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37469\Downloads\"/>
    </mc:Choice>
  </mc:AlternateContent>
  <xr:revisionPtr revIDLastSave="0" documentId="13_ncr:1_{EA0E515D-66A8-4677-96DB-8386C05701D0}" xr6:coauthVersionLast="47" xr6:coauthVersionMax="47" xr10:uidLastSave="{00000000-0000-0000-0000-000000000000}"/>
  <workbookProtection workbookAlgorithmName="SHA-512" workbookHashValue="JCNP9pcRui8Lzp0AKFN0p2eJNCifoBUGaSvSdDyEgLll/HZTqa6Ek6Y1c8MY3qbQrzXFpkTF3hoIUXNaF9F15A==" workbookSaltValue="9qNv3uhjSdYaTk1eSKS6Yg==" workbookSpinCount="100000" lockStructure="1"/>
  <bookViews>
    <workbookView xWindow="11535" yWindow="-16320" windowWidth="29040" windowHeight="15840" xr2:uid="{00000000-000D-0000-FFFF-FFFF00000000}"/>
  </bookViews>
  <sheets>
    <sheet name="Technicien" sheetId="1" r:id="rId1"/>
  </sheets>
  <definedNames>
    <definedName name="_xlnm._FilterDatabase" localSheetId="0" hidden="1">Technicien!$A$4:$Q$43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8" i="1" l="1"/>
  <c r="G38" i="1"/>
  <c r="G37" i="1"/>
  <c r="F37" i="1"/>
  <c r="E37" i="1"/>
  <c r="D37" i="1"/>
  <c r="C37" i="1"/>
  <c r="B37" i="1"/>
  <c r="Q16" i="1"/>
  <c r="P16" i="1"/>
  <c r="O16" i="1"/>
  <c r="N16" i="1"/>
  <c r="Q15" i="1"/>
  <c r="P15" i="1"/>
  <c r="O15" i="1"/>
  <c r="N15" i="1"/>
  <c r="Q14" i="1"/>
  <c r="P14" i="1"/>
  <c r="O14" i="1"/>
  <c r="N14" i="1"/>
  <c r="Q13" i="1"/>
  <c r="P13" i="1"/>
  <c r="O13" i="1"/>
  <c r="N13" i="1"/>
  <c r="Q12" i="1"/>
  <c r="P12" i="1"/>
  <c r="O12" i="1"/>
  <c r="N12" i="1"/>
  <c r="Q11" i="1"/>
  <c r="P11" i="1"/>
  <c r="O11" i="1"/>
  <c r="N11" i="1"/>
  <c r="Q10" i="1"/>
  <c r="P10" i="1"/>
  <c r="O10" i="1"/>
  <c r="N10" i="1"/>
  <c r="Q9" i="1"/>
  <c r="P9" i="1"/>
  <c r="O9" i="1"/>
  <c r="N9" i="1"/>
  <c r="Q8" i="1"/>
  <c r="P8" i="1"/>
  <c r="O8" i="1"/>
  <c r="N8" i="1"/>
  <c r="Q7" i="1"/>
  <c r="P7" i="1"/>
  <c r="O7" i="1"/>
  <c r="N7" i="1"/>
  <c r="Q6" i="1"/>
  <c r="P6" i="1"/>
  <c r="O6" i="1"/>
  <c r="N6" i="1"/>
  <c r="A6" i="1"/>
  <c r="M6" i="1" s="1"/>
  <c r="A7" i="1" l="1"/>
  <c r="A8" i="1" s="1"/>
  <c r="M8" i="1" s="1"/>
  <c r="L6" i="1"/>
  <c r="M7" i="1" l="1"/>
  <c r="A9" i="1"/>
  <c r="M9" i="1" s="1"/>
  <c r="A10" i="1" l="1"/>
  <c r="M10" i="1" s="1"/>
  <c r="A11" i="1" l="1"/>
  <c r="A12" i="1" s="1"/>
  <c r="M11" i="1" l="1"/>
  <c r="M12" i="1"/>
  <c r="A13" i="1"/>
  <c r="A14" i="1" l="1"/>
  <c r="M13" i="1"/>
  <c r="M14" i="1" l="1"/>
  <c r="A15" i="1"/>
  <c r="A16" i="1" l="1"/>
  <c r="M15" i="1"/>
  <c r="M16" i="1" l="1"/>
  <c r="A17" i="1"/>
  <c r="A18" i="1" l="1"/>
  <c r="M17" i="1"/>
  <c r="M18" i="1" l="1"/>
  <c r="A19" i="1"/>
  <c r="A20" i="1" l="1"/>
  <c r="M19" i="1"/>
  <c r="M20" i="1" l="1"/>
  <c r="A21" i="1"/>
  <c r="A22" i="1" l="1"/>
  <c r="M21" i="1"/>
  <c r="M22" i="1" l="1"/>
  <c r="A23" i="1"/>
  <c r="A24" i="1" l="1"/>
  <c r="M23" i="1"/>
  <c r="M24" i="1" l="1"/>
  <c r="A25" i="1"/>
  <c r="A26" i="1" l="1"/>
  <c r="M25" i="1"/>
  <c r="M26" i="1" l="1"/>
  <c r="A27" i="1"/>
  <c r="A28" i="1" l="1"/>
  <c r="M27" i="1"/>
  <c r="M28" i="1" l="1"/>
  <c r="A29" i="1"/>
  <c r="A30" i="1" l="1"/>
  <c r="M29" i="1"/>
  <c r="M30" i="1" l="1"/>
  <c r="A31" i="1"/>
  <c r="A32" i="1" l="1"/>
  <c r="M31" i="1"/>
  <c r="M32" i="1" l="1"/>
  <c r="A34" i="1"/>
  <c r="M34" i="1" s="1"/>
  <c r="A36" i="1"/>
  <c r="M36" i="1" s="1"/>
  <c r="A35" i="1"/>
  <c r="M35" i="1" s="1"/>
  <c r="A33" i="1"/>
  <c r="M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tc={0DFDD936-D671-419C-AF1B-54FA6C1A7B4A}</author>
    <author>tc={88D943F2-98FE-4C5C-A8AB-1E42260CE147}</author>
    <author>tc={180D8DF5-BA2D-48DD-8CA9-4CAD477F3844}</author>
    <author>tc={3BE417EA-6314-490D-9E67-2BC1164261F3}</author>
    <author>tc={385D1C71-0D9C-410C-8353-C1441BB6CA7F}</author>
    <author>tc={EA2F0DFF-D031-4989-B49D-C619A0B046B7}</author>
    <author>tc={2BDC8E65-EC7A-49CA-A6B1-E5314FC9DD13}</author>
    <author>tc={1A883E9B-1D54-44BD-998E-F249AD6E701D}</author>
    <author>tc={C4F84EAA-7FFE-4C2E-977B-B352E5E2DD25}</author>
    <author>tc={D6DCDE7C-B71F-4C87-9198-82D04267C0E3}</author>
  </authors>
  <commentList>
    <comment ref="B4" authorId="0" shapeId="0" xr:uid="{00000000-0006-0000-0000-000001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1 ou 0.5 (demi-journée) si travaillé / ne rien mettre si non travaillé</t>
      </text>
    </comment>
    <comment ref="C4" authorId="1" shapeId="0" xr:uid="{00000000-0006-0000-0000-000002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absence, mettre 1 ou 0.5 dans la colonne et ligne concernées</t>
      </text>
    </comment>
    <comment ref="G4" authorId="2" shapeId="0" xr:uid="{00000000-0006-0000-0000-000003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Nombre d'heures supplémentaires cumulées ou HNO à mettre dans la tranche horaire concernée</t>
      </text>
    </comment>
    <comment ref="I4" authorId="3" shapeId="0" xr:uid="{00000000-0006-0000-0000-000004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Indiquer les horaires en cas d'heure supp ou tout autre complément nécessaire pour l'établissement de la paie</t>
      </text>
    </comment>
    <comment ref="C5" authorId="4" shapeId="0" xr:uid="{00000000-0006-0000-0000-000005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congé payé, mettre 1 ou 0.5 (demi-journée) dans la ligne concernée</t>
      </text>
    </comment>
    <comment ref="D5" authorId="5" shapeId="0" xr:uid="{00000000-0006-0000-0000-000006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arrêt maladie, mettre 1 dans la ligne concernée</t>
      </text>
    </comment>
    <comment ref="E5" authorId="6" shapeId="0" xr:uid="{00000000-0006-0000-0000-000007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congé exceptionnel validé par izencia (mariage, naissance, décès, ...), mettre 1 ou 0.5 dans la ligne concernée</t>
      </text>
    </comment>
    <comment ref="F5" authorId="7" shapeId="0" xr:uid="{00000000-0006-0000-0000-000008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congé sans solde, mettre 1 ou 0.5 (demi-journée) dans la ligne concernée</t>
      </text>
    </comment>
    <comment ref="G5" authorId="8" shapeId="0" xr:uid="{00000000-0006-0000-0000-000009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Heures supp réalisées entre 6h et 22h</t>
      </text>
    </comment>
    <comment ref="H5" authorId="9" shapeId="0" xr:uid="{00000000-0006-0000-0000-00000A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Heures supp réalisées entre 22h et 6</t>
      </text>
    </comment>
  </commentList>
</comments>
</file>

<file path=xl/sharedStrings.xml><?xml version="1.0" encoding="utf-8"?>
<sst xmlns="http://schemas.openxmlformats.org/spreadsheetml/2006/main" count="28" uniqueCount="28">
  <si>
    <t>Mois :</t>
  </si>
  <si>
    <t>Année :</t>
  </si>
  <si>
    <t>Date</t>
  </si>
  <si>
    <t>Absences</t>
  </si>
  <si>
    <t>Commentaires</t>
  </si>
  <si>
    <t>Congé
payé</t>
  </si>
  <si>
    <t>Maladie</t>
  </si>
  <si>
    <t>Congé 
sans solde</t>
  </si>
  <si>
    <t>Mois (à cacher)</t>
  </si>
  <si>
    <t>Année (à cacher)</t>
  </si>
  <si>
    <t>Total du mois</t>
  </si>
  <si>
    <t>Signature client :</t>
  </si>
  <si>
    <t>date de fin de mois (à cacher</t>
  </si>
  <si>
    <t xml:space="preserve">dont jour </t>
  </si>
  <si>
    <t>dont nuit</t>
  </si>
  <si>
    <t xml:space="preserve"> </t>
  </si>
  <si>
    <t>dimanche 1, samedi 7</t>
  </si>
  <si>
    <t>HS</t>
  </si>
  <si>
    <t>6h - 22h
Jour</t>
  </si>
  <si>
    <t>22h - 6h
Nuit</t>
  </si>
  <si>
    <t>Congé
exception-nel</t>
  </si>
  <si>
    <t>Jour 
travaillé</t>
  </si>
  <si>
    <r>
      <t xml:space="preserve">* IMPORTANT : Les jours en </t>
    </r>
    <r>
      <rPr>
        <sz val="9"/>
        <color rgb="FF00B0F0"/>
        <rFont val="Argumentum"/>
        <family val="2"/>
      </rPr>
      <t>bleu clair</t>
    </r>
    <r>
      <rPr>
        <sz val="9"/>
        <color theme="1"/>
        <rFont val="Argumentum"/>
        <family val="2"/>
      </rPr>
      <t xml:space="preserve"> sont fériés et ne doivent être remplis que si travaillés.</t>
    </r>
  </si>
  <si>
    <t>NOM du TECHNICIEN :</t>
  </si>
  <si>
    <t>NOM du CLIENT :</t>
  </si>
  <si>
    <t>MARGOTTAT</t>
  </si>
  <si>
    <t>congé payé obligatoire sur edf</t>
  </si>
  <si>
    <t>EDF + BNP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</si>
</sst>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\ mmm"/>
  </numFmts>
  <fonts count="10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1AF9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Argumentum"/>
      <family val="2"/>
    </font>
    <font>
      <sz val="9"/>
      <color rgb="FF00B0F0"/>
      <name val="Argumentum"/>
      <family val="2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B692"/>
        <bgColor indexed="64"/>
      </patternFill>
    </fill>
    <fill>
      <patternFill patternType="solid">
        <fgColor theme="8" tint="-0.499984740745262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0" xfId="0" applyFont="1"/>
    <xf numFmtId="164" fontId="4" fillId="0" borderId="0" xfId="0" applyNumberFormat="1" applyFont="1"/>
    <xf numFmtId="14" fontId="4" fillId="0" borderId="0" xfId="0" applyNumberFormat="1" applyFont="1"/>
    <xf numFmtId="0" fontId="4" fillId="0" borderId="24" xfId="0" applyFont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3" fillId="0" borderId="0" xfId="0" applyFont="1" applyBorder="1"/>
    <xf numFmtId="0" fontId="4" fillId="0" borderId="9" xfId="0" applyFont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vertical="center"/>
    </xf>
    <xf numFmtId="0" fontId="1" fillId="2" borderId="30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1" fillId="3" borderId="9" xfId="0" applyNumberFormat="1" applyFont="1" applyFill="1" applyBorder="1" applyAlignment="1" applyProtection="1">
      <alignment horizontal="left" vertical="center"/>
      <protection hidden="1"/>
    </xf>
    <xf numFmtId="164" fontId="1" fillId="3" borderId="10" xfId="0" applyNumberFormat="1" applyFont="1" applyFill="1" applyBorder="1" applyAlignment="1" applyProtection="1">
      <alignment horizontal="left" vertical="center"/>
      <protection hidden="1"/>
    </xf>
    <xf numFmtId="164" fontId="1" fillId="3" borderId="11" xfId="0" applyNumberFormat="1" applyFont="1" applyFill="1" applyBorder="1" applyAlignment="1" applyProtection="1">
      <alignment horizontal="left" vertical="center"/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5" fillId="0" borderId="23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4" fillId="0" borderId="10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6" fillId="2" borderId="5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7" fillId="0" borderId="3" xfId="0" quotePrefix="1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62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on PIERRAT" id="{4CEAEAB4-FF69-4832-863B-120C0002F7B6}" userId="S::mpierrat@izencia.com::a217cebe-3c68-481e-8124-3573631663de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19-10-02T14:00:45.41" personId="{4CEAEAB4-FF69-4832-863B-120C0002F7B6}" id="{0DFDD936-D671-419C-AF1B-54FA6C1A7B4A}">
    <text>Mettre 1 ou 0.5 (demi-journée) si travaillé / ne rien mettre si non travaillé</text>
  </threadedComment>
  <threadedComment ref="C4" dT="2019-10-02T14:02:21.49" personId="{4CEAEAB4-FF69-4832-863B-120C0002F7B6}" id="{88D943F2-98FE-4C5C-A8AB-1E42260CE147}">
    <text>Si absence, mettre 1 ou 0.5 dans la colonne et ligne concernées</text>
  </threadedComment>
  <threadedComment ref="G4" dT="2019-10-02T14:00:59.29" personId="{4CEAEAB4-FF69-4832-863B-120C0002F7B6}" id="{180D8DF5-BA2D-48DD-8CA9-4CAD477F3844}">
    <text>Nombre d'heures supplémentaires cumulées ou HNO à mettre dans la tranche horaire concernée</text>
  </threadedComment>
  <threadedComment ref="I4" dT="2019-10-02T14:14:59.62" personId="{4CEAEAB4-FF69-4832-863B-120C0002F7B6}" id="{3BE417EA-6314-490D-9E67-2BC1164261F3}">
    <text>Indiquer les horaires en cas d'heure supp ou tout autre complément nécessaire pour l'établissement de la paie</text>
  </threadedComment>
  <threadedComment ref="C5" dT="2020-12-09T14:13:40.54" personId="{4CEAEAB4-FF69-4832-863B-120C0002F7B6}" id="{385D1C71-0D9C-410C-8353-C1441BB6CA7F}">
    <text>Si congé payé, mettre 1 ou 0.5 (demi-journée) dans la ligne concernée</text>
  </threadedComment>
  <threadedComment ref="D5" dT="2020-12-09T14:13:54.88" personId="{4CEAEAB4-FF69-4832-863B-120C0002F7B6}" id="{EA2F0DFF-D031-4989-B49D-C619A0B046B7}">
    <text>Si arrêt maladie, mettre 1 dans la ligne concernée</text>
  </threadedComment>
  <threadedComment ref="E5" dT="2020-01-29T13:54:14.75" personId="{4CEAEAB4-FF69-4832-863B-120C0002F7B6}" id="{2BDC8E65-EC7A-49CA-A6B1-E5314FC9DD13}">
    <text>Si congé exceptionnel validé par izencia (mariage, naissance, décès, ...), mettre 1 ou 0.5 dans la ligne concernée</text>
  </threadedComment>
  <threadedComment ref="F5" dT="2020-12-09T14:14:09.93" personId="{4CEAEAB4-FF69-4832-863B-120C0002F7B6}" id="{1A883E9B-1D54-44BD-998E-F249AD6E701D}">
    <text>Si congé sans solde, mettre 1 ou 0.5 (demi-journée) dans la ligne concernée</text>
  </threadedComment>
  <threadedComment ref="G5" dT="2020-12-09T14:14:28.68" personId="{4CEAEAB4-FF69-4832-863B-120C0002F7B6}" id="{C4F84EAA-7FFE-4C2E-977B-B352E5E2DD25}">
    <text>Heures supp réalisées entre 6h et 22h</text>
  </threadedComment>
  <threadedComment ref="H5" dT="2020-12-09T14:14:40.55" personId="{4CEAEAB4-FF69-4832-863B-120C0002F7B6}" id="{D6DCDE7C-B71F-4C87-9198-82D04267C0E3}">
    <text>Heures supp réalisées entre 22h et 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Q43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10" defaultColWidth="11.453125" defaultRowHeight="13"/>
  <cols>
    <col min="1" max="1" width="12.6328125" style="2" customWidth="1"/>
    <col min="2" max="2" width="9.36328125" style="1" customWidth="1"/>
    <col min="3" max="4" width="8.6328125" style="1" customWidth="1"/>
    <col min="5" max="5" width="9" style="1" customWidth="1"/>
    <col min="6" max="8" width="8.6328125" style="1" customWidth="1"/>
    <col min="9" max="9" width="23.90625" style="1" customWidth="1"/>
    <col min="10" max="10" width="13.36328125" style="1" hidden="1" customWidth="1"/>
    <col min="11" max="11" width="14" style="1" hidden="1" customWidth="1"/>
    <col min="12" max="12" width="23.90625" style="1" hidden="1" customWidth="1"/>
    <col min="13" max="13" width="18.36328125" style="1" hidden="1" customWidth="1"/>
    <col min="14" max="16" width="10.453125" style="1" hidden="1" customWidth="1"/>
    <col min="17" max="17" width="2.453125" style="1" hidden="1" customWidth="1"/>
    <col min="18" max="16384" width="11.453125" style="1"/>
  </cols>
  <sheetData>
    <row r="1" spans="1:17" ht="15.75" customHeight="1" thickBot="1">
      <c r="A1" s="51" t="s">
        <v>23</v>
      </c>
      <c r="B1" s="52"/>
      <c r="C1" s="53" t="s">
        <v>25</v>
      </c>
      <c r="D1" s="53"/>
      <c r="E1" s="54"/>
      <c r="F1" s="51" t="s">
        <v>24</v>
      </c>
      <c r="G1" s="52"/>
      <c r="H1" s="55" t="s">
        <v>27</v>
      </c>
      <c r="I1" s="56"/>
    </row>
    <row r="2" spans="1:17" ht="13.5" thickBot="1">
      <c r="A2" s="19" t="s">
        <v>0</v>
      </c>
      <c r="B2" s="20">
        <v>1</v>
      </c>
      <c r="C2" s="19" t="s">
        <v>1</v>
      </c>
      <c r="D2" s="20">
        <v>2023</v>
      </c>
      <c r="F2" s="12"/>
      <c r="G2" s="12"/>
    </row>
    <row r="3" spans="1:17" ht="15.75" customHeight="1" thickBot="1">
      <c r="A3" s="50" t="s">
        <v>22</v>
      </c>
      <c r="B3" s="50"/>
      <c r="C3" s="50"/>
      <c r="D3" s="50"/>
      <c r="E3" s="50"/>
      <c r="F3" s="50"/>
      <c r="G3" s="50"/>
      <c r="H3" s="50"/>
      <c r="I3" s="50"/>
    </row>
    <row r="4" spans="1:17" s="3" customFormat="1">
      <c r="A4" s="40" t="s">
        <v>2</v>
      </c>
      <c r="B4" s="42" t="s">
        <v>21</v>
      </c>
      <c r="C4" s="43" t="s">
        <v>3</v>
      </c>
      <c r="D4" s="44"/>
      <c r="E4" s="44"/>
      <c r="F4" s="45"/>
      <c r="G4" s="43" t="s">
        <v>17</v>
      </c>
      <c r="H4" s="45"/>
      <c r="I4" s="48" t="s">
        <v>4</v>
      </c>
    </row>
    <row r="5" spans="1:17" s="3" customFormat="1" ht="39.5" thickBot="1">
      <c r="A5" s="41"/>
      <c r="B5" s="41"/>
      <c r="C5" s="14" t="s">
        <v>5</v>
      </c>
      <c r="D5" s="15" t="s">
        <v>6</v>
      </c>
      <c r="E5" s="16" t="s">
        <v>20</v>
      </c>
      <c r="F5" s="17" t="s">
        <v>7</v>
      </c>
      <c r="G5" s="14" t="s">
        <v>18</v>
      </c>
      <c r="H5" s="17" t="s">
        <v>19</v>
      </c>
      <c r="I5" s="49"/>
      <c r="J5" s="3" t="s">
        <v>8</v>
      </c>
      <c r="K5" s="3" t="s">
        <v>9</v>
      </c>
      <c r="L5" s="3" t="s">
        <v>12</v>
      </c>
      <c r="M5" s="3" t="s">
        <v>16</v>
      </c>
      <c r="N5" s="3">
        <v>2021</v>
      </c>
      <c r="O5" s="3">
        <v>2022</v>
      </c>
      <c r="P5" s="3">
        <v>2023</v>
      </c>
      <c r="Q5" s="3">
        <v>2024</v>
      </c>
    </row>
    <row r="6" spans="1:17">
      <c r="A6" s="21">
        <f>DATE(D2,B2,1)</f>
        <v>44927</v>
      </c>
      <c r="B6" s="13"/>
      <c r="C6" s="13"/>
      <c r="D6" s="13"/>
      <c r="E6" s="13"/>
      <c r="F6" s="13"/>
      <c r="G6" s="13"/>
      <c r="H6" s="13"/>
      <c r="I6" s="13"/>
      <c r="J6" s="1">
        <v>1</v>
      </c>
      <c r="K6" s="1">
        <v>2021</v>
      </c>
      <c r="L6" s="6">
        <f>EOMONTH(A6,0)</f>
        <v>44957</v>
      </c>
      <c r="M6" s="1">
        <f>WEEKDAY(A6)</f>
        <v>1</v>
      </c>
      <c r="N6" s="7">
        <f>DATE(2021,1,1)</f>
        <v>44197</v>
      </c>
      <c r="O6" s="7">
        <f>DATE(2022,1,1)</f>
        <v>44562</v>
      </c>
      <c r="P6" s="7">
        <f>DATE(2023,1,1)</f>
        <v>44927</v>
      </c>
      <c r="Q6" s="7">
        <f>DATE(2024,1,1)</f>
        <v>45292</v>
      </c>
    </row>
    <row r="7" spans="1:17">
      <c r="A7" s="22">
        <f>A6+1</f>
        <v>44928</v>
      </c>
      <c r="B7" s="4">
        <v>0</v>
      </c>
      <c r="C7" s="4">
        <v>1</v>
      </c>
      <c r="D7" s="4"/>
      <c r="E7" s="4"/>
      <c r="F7" s="4"/>
      <c r="G7" s="4"/>
      <c r="H7" s="4"/>
      <c r="I7" s="4" t="s">
        <v>26</v>
      </c>
      <c r="J7" s="1">
        <v>2</v>
      </c>
      <c r="K7" s="1">
        <v>2022</v>
      </c>
      <c r="M7" s="1">
        <f t="shared" ref="M7:M32" si="0">WEEKDAY(A7)</f>
        <v>2</v>
      </c>
      <c r="N7" s="7">
        <f>DATE(2021,4,5)</f>
        <v>44291</v>
      </c>
      <c r="O7" s="7">
        <f>DATE(2022,4,18)</f>
        <v>44669</v>
      </c>
      <c r="P7" s="7">
        <f>DATE(2023,4,10)</f>
        <v>45026</v>
      </c>
      <c r="Q7" s="7">
        <f>DATE(2024,4,1)</f>
        <v>45383</v>
      </c>
    </row>
    <row r="8" spans="1:17">
      <c r="A8" s="22">
        <f t="shared" ref="A8:A32" si="1">A7+1</f>
        <v>44929</v>
      </c>
      <c r="B8" s="4">
        <v>1</v>
      </c>
      <c r="C8" s="4"/>
      <c r="D8" s="4"/>
      <c r="E8" s="4"/>
      <c r="F8" s="4"/>
      <c r="G8" s="4"/>
      <c r="H8" s="4"/>
      <c r="I8" s="4"/>
      <c r="J8" s="1">
        <v>3</v>
      </c>
      <c r="K8" s="1">
        <v>2023</v>
      </c>
      <c r="M8" s="1">
        <f t="shared" si="0"/>
        <v>3</v>
      </c>
      <c r="N8" s="7">
        <f>DATE(2021,5,1)</f>
        <v>44317</v>
      </c>
      <c r="O8" s="7">
        <f>DATE(2022,5,1)</f>
        <v>44682</v>
      </c>
      <c r="P8" s="7">
        <f>DATE(2023,5,1)</f>
        <v>45047</v>
      </c>
      <c r="Q8" s="7">
        <f>DATE(2024,5,1)</f>
        <v>45413</v>
      </c>
    </row>
    <row r="9" spans="1:17">
      <c r="A9" s="22">
        <f t="shared" si="1"/>
        <v>44930</v>
      </c>
      <c r="B9" s="4">
        <v>1</v>
      </c>
      <c r="C9" s="4"/>
      <c r="D9" s="4"/>
      <c r="E9" s="4"/>
      <c r="F9" s="4"/>
      <c r="G9" s="4"/>
      <c r="H9" s="4"/>
      <c r="I9" s="4"/>
      <c r="J9" s="1">
        <v>4</v>
      </c>
      <c r="K9" s="1">
        <v>2024</v>
      </c>
      <c r="M9" s="1">
        <f t="shared" si="0"/>
        <v>4</v>
      </c>
      <c r="N9" s="7">
        <f>DATE(2021,5,8)</f>
        <v>44324</v>
      </c>
      <c r="O9" s="7">
        <f>DATE(2022,5,8)</f>
        <v>44689</v>
      </c>
      <c r="P9" s="7">
        <f>DATE(2023,5,8)</f>
        <v>45054</v>
      </c>
      <c r="Q9" s="7">
        <f>DATE(2024,5,8)</f>
        <v>45420</v>
      </c>
    </row>
    <row r="10" spans="1:17">
      <c r="A10" s="22">
        <f t="shared" si="1"/>
        <v>44931</v>
      </c>
      <c r="B10" s="4">
        <v>1</v>
      </c>
      <c r="C10" s="4"/>
      <c r="D10" s="4"/>
      <c r="E10" s="4"/>
      <c r="F10" s="4"/>
      <c r="G10" s="4"/>
      <c r="H10" s="4"/>
      <c r="I10" s="4"/>
      <c r="J10" s="1">
        <v>5</v>
      </c>
      <c r="M10" s="1">
        <f t="shared" si="0"/>
        <v>5</v>
      </c>
      <c r="N10" s="7">
        <f>DATE(2021,5,13)</f>
        <v>44329</v>
      </c>
      <c r="O10" s="7">
        <f>DATE(2022,5,26)</f>
        <v>44707</v>
      </c>
      <c r="P10" s="7">
        <f>DATE(2023,5,18)</f>
        <v>45064</v>
      </c>
      <c r="Q10" s="7">
        <f>DATE(2024,5,9)</f>
        <v>45421</v>
      </c>
    </row>
    <row r="11" spans="1:17">
      <c r="A11" s="22">
        <f t="shared" si="1"/>
        <v>44932</v>
      </c>
      <c r="B11" s="4">
        <v>1</v>
      </c>
      <c r="C11" s="4"/>
      <c r="D11" s="4"/>
      <c r="E11" s="4"/>
      <c r="F11" s="4"/>
      <c r="G11" s="4"/>
      <c r="H11" s="4"/>
      <c r="I11" s="4"/>
      <c r="J11" s="1">
        <v>6</v>
      </c>
      <c r="M11" s="1">
        <f>WEEKDAY(A11)</f>
        <v>6</v>
      </c>
      <c r="N11" s="7">
        <f>DATE(2021,5,24)</f>
        <v>44340</v>
      </c>
      <c r="O11" s="7">
        <f>DATE(2022,6,6)</f>
        <v>44718</v>
      </c>
      <c r="P11" s="7">
        <f>DATE(2023,5,29)</f>
        <v>45075</v>
      </c>
      <c r="Q11" s="7">
        <f>DATE(2024,5,20)</f>
        <v>45432</v>
      </c>
    </row>
    <row r="12" spans="1:17">
      <c r="A12" s="22">
        <f t="shared" si="1"/>
        <v>44933</v>
      </c>
      <c r="B12" s="4"/>
      <c r="C12" s="4"/>
      <c r="D12" s="4"/>
      <c r="E12" s="4"/>
      <c r="F12" s="4"/>
      <c r="G12" s="4"/>
      <c r="H12" s="4"/>
      <c r="I12" s="4"/>
      <c r="J12" s="1">
        <v>7</v>
      </c>
      <c r="M12" s="1">
        <f t="shared" si="0"/>
        <v>7</v>
      </c>
      <c r="N12" s="7">
        <f>DATE(2021,7,14)</f>
        <v>44391</v>
      </c>
      <c r="O12" s="7">
        <f>DATE(2022,7,14)</f>
        <v>44756</v>
      </c>
      <c r="P12" s="7">
        <f>DATE(2023,7,14)</f>
        <v>45121</v>
      </c>
      <c r="Q12" s="7">
        <f>DATE(2024,7,14)</f>
        <v>45487</v>
      </c>
    </row>
    <row r="13" spans="1:17">
      <c r="A13" s="22">
        <f t="shared" si="1"/>
        <v>44934</v>
      </c>
      <c r="B13" s="4"/>
      <c r="C13" s="4"/>
      <c r="D13" s="4"/>
      <c r="E13" s="4"/>
      <c r="F13" s="4"/>
      <c r="G13" s="4"/>
      <c r="H13" s="4"/>
      <c r="I13" s="4"/>
      <c r="J13" s="1">
        <v>8</v>
      </c>
      <c r="M13" s="1">
        <f t="shared" si="0"/>
        <v>1</v>
      </c>
      <c r="N13" s="7">
        <f>DATE(2021,8,15)</f>
        <v>44423</v>
      </c>
      <c r="O13" s="7">
        <f>DATE(2022,8,15)</f>
        <v>44788</v>
      </c>
      <c r="P13" s="7">
        <f>DATE(2023,8,15)</f>
        <v>45153</v>
      </c>
      <c r="Q13" s="7">
        <f>DATE(2024,8,15)</f>
        <v>45519</v>
      </c>
    </row>
    <row r="14" spans="1:17">
      <c r="A14" s="22">
        <f t="shared" si="1"/>
        <v>44935</v>
      </c>
      <c r="B14" s="30">
        <v>1</v>
      </c>
      <c r="C14" s="4"/>
      <c r="D14" s="4"/>
      <c r="E14" s="4"/>
      <c r="F14" s="4"/>
      <c r="G14" s="4"/>
      <c r="H14" s="4"/>
      <c r="I14" s="4"/>
      <c r="J14" s="1">
        <v>9</v>
      </c>
      <c r="K14" s="5"/>
      <c r="M14" s="1">
        <f t="shared" si="0"/>
        <v>2</v>
      </c>
      <c r="N14" s="7">
        <f>DATE(2021,11,1)</f>
        <v>44501</v>
      </c>
      <c r="O14" s="7">
        <f>DATE(2022,11,1)</f>
        <v>44866</v>
      </c>
      <c r="P14" s="7">
        <f>DATE(2023,11,1)</f>
        <v>45231</v>
      </c>
      <c r="Q14" s="7">
        <f>DATE(2024,11,1)</f>
        <v>45597</v>
      </c>
    </row>
    <row r="15" spans="1:17">
      <c r="A15" s="22">
        <f t="shared" si="1"/>
        <v>44936</v>
      </c>
      <c r="B15" s="30">
        <v>1</v>
      </c>
      <c r="C15" s="4"/>
      <c r="D15" s="4"/>
      <c r="E15" s="4"/>
      <c r="F15" s="4"/>
      <c r="G15" s="4"/>
      <c r="H15" s="4"/>
      <c r="I15" s="4"/>
      <c r="J15" s="1">
        <v>10</v>
      </c>
      <c r="K15" s="5"/>
      <c r="M15" s="1">
        <f t="shared" si="0"/>
        <v>3</v>
      </c>
      <c r="N15" s="7">
        <f>DATE(2021,11,11)</f>
        <v>44511</v>
      </c>
      <c r="O15" s="7">
        <f>DATE(2022,11,11)</f>
        <v>44876</v>
      </c>
      <c r="P15" s="7">
        <f>DATE(2023,11,11)</f>
        <v>45241</v>
      </c>
      <c r="Q15" s="7">
        <f>DATE(2024,11,11)</f>
        <v>45607</v>
      </c>
    </row>
    <row r="16" spans="1:17">
      <c r="A16" s="22">
        <f t="shared" si="1"/>
        <v>44937</v>
      </c>
      <c r="B16" s="30">
        <v>1</v>
      </c>
      <c r="C16" s="4"/>
      <c r="D16" s="4"/>
      <c r="E16" s="4"/>
      <c r="F16" s="4"/>
      <c r="G16" s="4"/>
      <c r="H16" s="4"/>
      <c r="I16" s="4"/>
      <c r="J16" s="1">
        <v>11</v>
      </c>
      <c r="K16" s="5"/>
      <c r="M16" s="1">
        <f t="shared" si="0"/>
        <v>4</v>
      </c>
      <c r="N16" s="7">
        <f>DATE(2021,12,25)</f>
        <v>44555</v>
      </c>
      <c r="O16" s="7">
        <f>DATE(2022,12,25)</f>
        <v>44920</v>
      </c>
      <c r="P16" s="7">
        <f>DATE(2023,12,25)</f>
        <v>45285</v>
      </c>
      <c r="Q16" s="7">
        <f>DATE(2024,12,25)</f>
        <v>45651</v>
      </c>
    </row>
    <row r="17" spans="1:15">
      <c r="A17" s="22">
        <f t="shared" si="1"/>
        <v>44938</v>
      </c>
      <c r="B17" s="30">
        <v>1</v>
      </c>
      <c r="C17" s="4"/>
      <c r="D17" s="4"/>
      <c r="E17" s="4"/>
      <c r="F17" s="4"/>
      <c r="G17" s="4"/>
      <c r="H17" s="4"/>
      <c r="I17" s="4"/>
      <c r="J17" s="1">
        <v>12</v>
      </c>
      <c r="K17" s="5"/>
      <c r="M17" s="1">
        <f t="shared" si="0"/>
        <v>5</v>
      </c>
      <c r="N17" s="7"/>
    </row>
    <row r="18" spans="1:15">
      <c r="A18" s="22">
        <f t="shared" si="1"/>
        <v>44939</v>
      </c>
      <c r="B18" s="30">
        <v>1</v>
      </c>
      <c r="C18" s="4"/>
      <c r="D18" s="4"/>
      <c r="E18" s="4"/>
      <c r="F18" s="4"/>
      <c r="G18" s="4"/>
      <c r="H18" s="4"/>
      <c r="I18" s="4"/>
      <c r="K18" s="5"/>
      <c r="M18" s="1">
        <f t="shared" si="0"/>
        <v>6</v>
      </c>
      <c r="N18" s="7"/>
    </row>
    <row r="19" spans="1:15">
      <c r="A19" s="22">
        <f t="shared" si="1"/>
        <v>44940</v>
      </c>
      <c r="B19" s="30"/>
      <c r="C19" s="4"/>
      <c r="D19" s="4"/>
      <c r="E19" s="4"/>
      <c r="F19" s="4"/>
      <c r="G19" s="4"/>
      <c r="H19" s="4"/>
      <c r="I19" s="4"/>
      <c r="K19" s="5"/>
      <c r="M19" s="1">
        <f t="shared" si="0"/>
        <v>7</v>
      </c>
      <c r="N19" s="7"/>
    </row>
    <row r="20" spans="1:15">
      <c r="A20" s="22">
        <f t="shared" si="1"/>
        <v>44941</v>
      </c>
      <c r="B20" s="30"/>
      <c r="C20" s="4"/>
      <c r="D20" s="4"/>
      <c r="E20" s="4"/>
      <c r="F20" s="4"/>
      <c r="G20" s="4"/>
      <c r="H20" s="4"/>
      <c r="I20" s="4"/>
      <c r="K20" s="5"/>
      <c r="M20" s="1">
        <f t="shared" si="0"/>
        <v>1</v>
      </c>
    </row>
    <row r="21" spans="1:15">
      <c r="A21" s="22">
        <f t="shared" si="1"/>
        <v>44942</v>
      </c>
      <c r="B21" s="30">
        <v>1</v>
      </c>
      <c r="C21" s="4"/>
      <c r="D21" s="4"/>
      <c r="E21" s="4"/>
      <c r="F21" s="4"/>
      <c r="G21" s="4"/>
      <c r="H21" s="4"/>
      <c r="I21" s="4"/>
      <c r="M21" s="1">
        <f t="shared" si="0"/>
        <v>2</v>
      </c>
    </row>
    <row r="22" spans="1:15">
      <c r="A22" s="22">
        <f t="shared" si="1"/>
        <v>44943</v>
      </c>
      <c r="B22" s="30">
        <v>1</v>
      </c>
      <c r="C22" s="4"/>
      <c r="D22" s="4"/>
      <c r="E22" s="4"/>
      <c r="F22" s="4"/>
      <c r="G22" s="4"/>
      <c r="H22" s="4"/>
      <c r="I22" s="4"/>
      <c r="M22" s="1">
        <f t="shared" si="0"/>
        <v>3</v>
      </c>
    </row>
    <row r="23" spans="1:15">
      <c r="A23" s="22">
        <f t="shared" si="1"/>
        <v>44944</v>
      </c>
      <c r="B23" s="4">
        <v>1</v>
      </c>
      <c r="C23" s="4"/>
      <c r="D23" s="4"/>
      <c r="E23" s="4"/>
      <c r="F23" s="4"/>
      <c r="G23" s="4"/>
      <c r="H23" s="4"/>
      <c r="I23" s="4"/>
      <c r="M23" s="1">
        <f t="shared" si="0"/>
        <v>4</v>
      </c>
    </row>
    <row r="24" spans="1:15">
      <c r="A24" s="22">
        <f t="shared" si="1"/>
        <v>44945</v>
      </c>
      <c r="B24" s="4">
        <v>1</v>
      </c>
      <c r="C24" s="4"/>
      <c r="D24" s="4"/>
      <c r="E24" s="4"/>
      <c r="F24" s="4"/>
      <c r="G24" s="4"/>
      <c r="H24" s="4"/>
      <c r="I24" s="4"/>
      <c r="M24" s="1">
        <f t="shared" si="0"/>
        <v>5</v>
      </c>
      <c r="O24" s="1" t="s">
        <v>15</v>
      </c>
    </row>
    <row r="25" spans="1:15">
      <c r="A25" s="22">
        <f t="shared" si="1"/>
        <v>44946</v>
      </c>
      <c r="B25" s="4">
        <v>1</v>
      </c>
      <c r="C25" s="4"/>
      <c r="D25" s="4"/>
      <c r="E25" s="4"/>
      <c r="F25" s="4"/>
      <c r="G25" s="4"/>
      <c r="H25" s="4"/>
      <c r="I25" s="4"/>
      <c r="M25" s="1">
        <f t="shared" si="0"/>
        <v>6</v>
      </c>
    </row>
    <row r="26" spans="1:15">
      <c r="A26" s="22">
        <f t="shared" si="1"/>
        <v>44947</v>
      </c>
      <c r="B26" s="4"/>
      <c r="C26" s="4"/>
      <c r="D26" s="4"/>
      <c r="E26" s="4"/>
      <c r="F26" s="4"/>
      <c r="G26" s="4"/>
      <c r="H26" s="4"/>
      <c r="I26" s="4"/>
      <c r="M26" s="1">
        <f t="shared" si="0"/>
        <v>7</v>
      </c>
    </row>
    <row r="27" spans="1:15">
      <c r="A27" s="22">
        <f t="shared" si="1"/>
        <v>44948</v>
      </c>
      <c r="B27" s="4"/>
      <c r="C27" s="4"/>
      <c r="D27" s="4"/>
      <c r="E27" s="4"/>
      <c r="F27" s="4"/>
      <c r="G27" s="4"/>
      <c r="H27" s="4"/>
      <c r="I27" s="4"/>
      <c r="M27" s="1">
        <f t="shared" si="0"/>
        <v>1</v>
      </c>
    </row>
    <row r="28" spans="1:15">
      <c r="A28" s="22">
        <f t="shared" si="1"/>
        <v>44949</v>
      </c>
      <c r="B28" s="4">
        <v>1</v>
      </c>
      <c r="C28" s="4"/>
      <c r="D28" s="4"/>
      <c r="E28" s="4"/>
      <c r="F28" s="4"/>
      <c r="G28" s="4"/>
      <c r="H28" s="4"/>
      <c r="I28" s="4"/>
      <c r="M28" s="1">
        <f t="shared" si="0"/>
        <v>2</v>
      </c>
    </row>
    <row r="29" spans="1:15">
      <c r="A29" s="22">
        <f t="shared" si="1"/>
        <v>44950</v>
      </c>
      <c r="B29" s="4">
        <v>1</v>
      </c>
      <c r="C29" s="4"/>
      <c r="D29" s="4"/>
      <c r="E29" s="4"/>
      <c r="F29" s="4"/>
      <c r="G29" s="4"/>
      <c r="H29" s="4"/>
      <c r="I29" s="4"/>
      <c r="M29" s="1">
        <f t="shared" si="0"/>
        <v>3</v>
      </c>
    </row>
    <row r="30" spans="1:15">
      <c r="A30" s="22">
        <f t="shared" si="1"/>
        <v>44951</v>
      </c>
      <c r="B30" s="4">
        <v>1</v>
      </c>
      <c r="C30" s="4"/>
      <c r="D30" s="4"/>
      <c r="E30" s="4"/>
      <c r="F30" s="4"/>
      <c r="G30" s="4"/>
      <c r="H30" s="4"/>
      <c r="I30" s="4"/>
      <c r="M30" s="1">
        <f t="shared" si="0"/>
        <v>4</v>
      </c>
    </row>
    <row r="31" spans="1:15">
      <c r="A31" s="22">
        <f t="shared" si="1"/>
        <v>44952</v>
      </c>
      <c r="B31" s="4">
        <v>1</v>
      </c>
      <c r="C31" s="4"/>
      <c r="D31" s="4"/>
      <c r="E31" s="4"/>
      <c r="F31" s="4"/>
      <c r="G31" s="4"/>
      <c r="H31" s="4"/>
      <c r="I31" s="4"/>
      <c r="M31" s="1">
        <f t="shared" si="0"/>
        <v>5</v>
      </c>
    </row>
    <row r="32" spans="1:15">
      <c r="A32" s="22">
        <f t="shared" si="1"/>
        <v>44953</v>
      </c>
      <c r="B32" s="4">
        <v>1</v>
      </c>
      <c r="C32" s="4"/>
      <c r="D32" s="4"/>
      <c r="E32" s="4"/>
      <c r="F32" s="4"/>
      <c r="G32" s="4"/>
      <c r="H32" s="4"/>
      <c r="I32" s="4"/>
      <c r="M32" s="1">
        <f t="shared" si="0"/>
        <v>6</v>
      </c>
    </row>
    <row r="33" spans="1:13">
      <c r="A33" s="22">
        <f>IF(A32+1&lt;=L6,A32+1,"")</f>
        <v>44954</v>
      </c>
      <c r="B33" s="4"/>
      <c r="C33" s="4"/>
      <c r="D33" s="4"/>
      <c r="E33" s="4"/>
      <c r="F33" s="4"/>
      <c r="G33" s="4"/>
      <c r="H33" s="4"/>
      <c r="I33" s="4"/>
      <c r="M33" s="1">
        <f>IF(A32+1&lt;=L6,WEEKDAY(A33),0)</f>
        <v>7</v>
      </c>
    </row>
    <row r="34" spans="1:13">
      <c r="A34" s="22">
        <f>IF(A32+2&lt;=L6,A32+2,"")</f>
        <v>44955</v>
      </c>
      <c r="B34" s="4"/>
      <c r="C34" s="4"/>
      <c r="D34" s="4"/>
      <c r="E34" s="4"/>
      <c r="F34" s="4"/>
      <c r="G34" s="4"/>
      <c r="H34" s="4"/>
      <c r="I34" s="4"/>
      <c r="M34" s="1">
        <f>IF(A32+2&lt;=L6,WEEKDAY(A34),0)</f>
        <v>1</v>
      </c>
    </row>
    <row r="35" spans="1:13">
      <c r="A35" s="22">
        <f>IF(A32+3&lt;=L6,A32+3,"")</f>
        <v>44956</v>
      </c>
      <c r="B35" s="4">
        <v>1</v>
      </c>
      <c r="C35" s="4"/>
      <c r="D35" s="4"/>
      <c r="E35" s="4"/>
      <c r="F35" s="4"/>
      <c r="G35" s="4"/>
      <c r="H35" s="4"/>
      <c r="I35" s="4"/>
      <c r="M35" s="1">
        <f>IF(A32+3&lt;=L6,WEEKDAY(A35),0)</f>
        <v>2</v>
      </c>
    </row>
    <row r="36" spans="1:13" ht="13.5" thickBot="1">
      <c r="A36" s="23">
        <f>IF(A32+4&lt;=L6,A32+4,"")</f>
        <v>44957</v>
      </c>
      <c r="B36" s="4">
        <v>1</v>
      </c>
      <c r="C36" s="4"/>
      <c r="D36" s="4"/>
      <c r="E36" s="4"/>
      <c r="F36" s="4"/>
      <c r="G36" s="4"/>
      <c r="H36" s="4"/>
      <c r="I36" s="8"/>
      <c r="J36" s="3"/>
      <c r="M36" s="1">
        <f>IF(A32+4&lt;=L6,WEEKDAY(A36),0)</f>
        <v>3</v>
      </c>
    </row>
    <row r="37" spans="1:13" ht="15.75" customHeight="1" thickBot="1">
      <c r="A37" s="11" t="s">
        <v>10</v>
      </c>
      <c r="B37" s="24">
        <f>SUM(B6:B36)</f>
        <v>21</v>
      </c>
      <c r="C37" s="25">
        <f>SUM(C6:C36)</f>
        <v>1</v>
      </c>
      <c r="D37" s="26">
        <f>SUM(D6:D36)</f>
        <v>0</v>
      </c>
      <c r="E37" s="26">
        <f>SUM(E6:E36)</f>
        <v>0</v>
      </c>
      <c r="F37" s="27">
        <f>SUM(F6:F36)</f>
        <v>0</v>
      </c>
      <c r="G37" s="46">
        <f>SUM(G6:H36)</f>
        <v>0</v>
      </c>
      <c r="H37" s="47"/>
      <c r="I37" s="3"/>
    </row>
    <row r="38" spans="1:13">
      <c r="A38" s="18"/>
      <c r="G38" s="28">
        <f>SUM(G6:G36)</f>
        <v>0</v>
      </c>
      <c r="H38" s="29">
        <f>SUM(H6:H36)</f>
        <v>0</v>
      </c>
    </row>
    <row r="39" spans="1:13" ht="13.5" thickBot="1">
      <c r="A39" s="31" t="s">
        <v>11</v>
      </c>
      <c r="B39" s="32"/>
      <c r="C39" s="33"/>
      <c r="G39" s="9" t="s">
        <v>13</v>
      </c>
      <c r="H39" s="10" t="s">
        <v>14</v>
      </c>
    </row>
    <row r="40" spans="1:13">
      <c r="A40" s="34"/>
      <c r="B40" s="35"/>
      <c r="C40" s="36"/>
    </row>
    <row r="41" spans="1:13">
      <c r="A41" s="34"/>
      <c r="B41" s="35"/>
      <c r="C41" s="36"/>
    </row>
    <row r="42" spans="1:13">
      <c r="A42" s="34"/>
      <c r="B42" s="35"/>
      <c r="C42" s="36"/>
    </row>
    <row r="43" spans="1:13">
      <c r="A43" s="37"/>
      <c r="B43" s="38"/>
      <c r="C43" s="39"/>
    </row>
  </sheetData>
  <sheetProtection algorithmName="SHA-512" hashValue="jvV6YfMoSGYFpFXXCknw8ZNjsmbVJhlLzqylyhG0/C1MRI8bcI8MajPfeAJaxxKS3mJDGvge9YjV1354zFn3OQ==" saltValue="CFOhSxvQ5Qv/+0D6uiDouQ==" spinCount="100000" sheet="1" objects="1" scenarios="1"/>
  <protectedRanges>
    <protectedRange sqref="G1:I1 B1:D1" name="Plage3"/>
    <protectedRange sqref="B6:I36" name="Plage1"/>
    <protectedRange sqref="B2 D2" name="Plage2"/>
  </protectedRanges>
  <mergeCells count="12">
    <mergeCell ref="I4:I5"/>
    <mergeCell ref="A3:I3"/>
    <mergeCell ref="A1:B1"/>
    <mergeCell ref="C1:E1"/>
    <mergeCell ref="H1:I1"/>
    <mergeCell ref="F1:G1"/>
    <mergeCell ref="A39:C43"/>
    <mergeCell ref="A4:A5"/>
    <mergeCell ref="B4:B5"/>
    <mergeCell ref="C4:F4"/>
    <mergeCell ref="G4:H4"/>
    <mergeCell ref="G37:H37"/>
  </mergeCells>
  <conditionalFormatting sqref="A6:A36">
    <cfRule type="cellIs" dxfId="61" priority="49" operator="equal">
      <formula>$Q$16</formula>
    </cfRule>
    <cfRule type="cellIs" dxfId="60" priority="50" operator="equal">
      <formula>$Q$15</formula>
    </cfRule>
    <cfRule type="cellIs" dxfId="59" priority="51" operator="equal">
      <formula>$Q$14</formula>
    </cfRule>
    <cfRule type="cellIs" dxfId="58" priority="52" operator="equal">
      <formula>$Q$13</formula>
    </cfRule>
    <cfRule type="cellIs" dxfId="57" priority="53" operator="equal">
      <formula>$Q$12</formula>
    </cfRule>
    <cfRule type="cellIs" dxfId="56" priority="54" operator="equal">
      <formula>$Q$11</formula>
    </cfRule>
    <cfRule type="cellIs" dxfId="55" priority="55" operator="equal">
      <formula>$Q$10</formula>
    </cfRule>
    <cfRule type="cellIs" dxfId="54" priority="56" operator="equal">
      <formula>$Q$9</formula>
    </cfRule>
    <cfRule type="cellIs" dxfId="53" priority="57" operator="equal">
      <formula>$Q$8</formula>
    </cfRule>
    <cfRule type="cellIs" dxfId="52" priority="58" operator="equal">
      <formula>$Q$7</formula>
    </cfRule>
    <cfRule type="cellIs" dxfId="51" priority="59" operator="equal">
      <formula>$Q$6</formula>
    </cfRule>
    <cfRule type="cellIs" dxfId="50" priority="60" operator="equal">
      <formula>$P$16</formula>
    </cfRule>
    <cfRule type="cellIs" dxfId="49" priority="61" operator="equal">
      <formula>$P$15</formula>
    </cfRule>
    <cfRule type="cellIs" dxfId="48" priority="62" operator="equal">
      <formula>$P$14</formula>
    </cfRule>
    <cfRule type="cellIs" dxfId="47" priority="63" operator="equal">
      <formula>$P$13</formula>
    </cfRule>
    <cfRule type="cellIs" dxfId="46" priority="64" operator="equal">
      <formula>$P$12</formula>
    </cfRule>
    <cfRule type="cellIs" dxfId="45" priority="65" operator="equal">
      <formula>$P$11</formula>
    </cfRule>
    <cfRule type="cellIs" dxfId="44" priority="66" operator="equal">
      <formula>$P$10</formula>
    </cfRule>
    <cfRule type="cellIs" dxfId="43" priority="67" operator="equal">
      <formula>$P$9</formula>
    </cfRule>
    <cfRule type="cellIs" dxfId="42" priority="68" operator="equal">
      <formula>$P$8</formula>
    </cfRule>
    <cfRule type="cellIs" dxfId="41" priority="69" operator="equal">
      <formula>$P$7</formula>
    </cfRule>
    <cfRule type="cellIs" dxfId="40" priority="70" operator="equal">
      <formula>$P$6</formula>
    </cfRule>
    <cfRule type="cellIs" dxfId="39" priority="71" operator="equal">
      <formula>$O$16</formula>
    </cfRule>
    <cfRule type="cellIs" dxfId="38" priority="72" operator="equal">
      <formula>$O$15</formula>
    </cfRule>
    <cfRule type="cellIs" dxfId="37" priority="73" operator="equal">
      <formula>$O$14</formula>
    </cfRule>
    <cfRule type="cellIs" dxfId="36" priority="74" operator="equal">
      <formula>$O$13</formula>
    </cfRule>
    <cfRule type="cellIs" dxfId="35" priority="75" operator="equal">
      <formula>$O$12</formula>
    </cfRule>
    <cfRule type="cellIs" dxfId="34" priority="76" operator="equal">
      <formula>$O$11</formula>
    </cfRule>
    <cfRule type="cellIs" dxfId="33" priority="77" operator="equal">
      <formula>$O$10</formula>
    </cfRule>
    <cfRule type="cellIs" dxfId="32" priority="78" operator="equal">
      <formula>$O$9</formula>
    </cfRule>
    <cfRule type="cellIs" dxfId="31" priority="79" operator="equal">
      <formula>$O$8</formula>
    </cfRule>
    <cfRule type="cellIs" dxfId="30" priority="80" operator="equal">
      <formula>$O$7</formula>
    </cfRule>
    <cfRule type="cellIs" dxfId="29" priority="81" operator="equal">
      <formula>$O$6</formula>
    </cfRule>
    <cfRule type="cellIs" dxfId="28" priority="82" operator="equal">
      <formula>$N$16</formula>
    </cfRule>
    <cfRule type="cellIs" dxfId="27" priority="83" operator="equal">
      <formula>$N$15</formula>
    </cfRule>
    <cfRule type="cellIs" dxfId="26" priority="84" operator="equal">
      <formula>$N$14</formula>
    </cfRule>
    <cfRule type="cellIs" dxfId="25" priority="85" operator="equal">
      <formula>$N$13</formula>
    </cfRule>
    <cfRule type="cellIs" dxfId="24" priority="86" operator="equal">
      <formula>$N$12</formula>
    </cfRule>
    <cfRule type="cellIs" dxfId="23" priority="87" operator="equal">
      <formula>$N$11</formula>
    </cfRule>
    <cfRule type="cellIs" dxfId="22" priority="88" operator="equal">
      <formula>$N$10</formula>
    </cfRule>
    <cfRule type="cellIs" dxfId="21" priority="89" operator="equal">
      <formula>$N$9</formula>
    </cfRule>
    <cfRule type="cellIs" dxfId="20" priority="90" operator="equal">
      <formula>$N$8</formula>
    </cfRule>
    <cfRule type="cellIs" dxfId="19" priority="91" operator="equal">
      <formula>$N$7</formula>
    </cfRule>
    <cfRule type="cellIs" dxfId="18" priority="92" operator="equal">
      <formula>$N$6</formula>
    </cfRule>
    <cfRule type="expression" dxfId="17" priority="123">
      <formula>IF(INDEX(M6:M36,1)=7,TRUE,FALSE)</formula>
    </cfRule>
    <cfRule type="expression" dxfId="16" priority="124">
      <formula>IF(INDEX(M6:M36,1)=1,TRUE,FALSE)</formula>
    </cfRule>
  </conditionalFormatting>
  <conditionalFormatting sqref="B6:B36">
    <cfRule type="expression" dxfId="15" priority="120">
      <formula>IF(INDEX(M6:M36,1)=1,TRUE,FALSE)</formula>
    </cfRule>
    <cfRule type="expression" dxfId="14" priority="121">
      <formula>IF(INDEX(M6:M36,1)=7,TRUE,FALSE)</formula>
    </cfRule>
  </conditionalFormatting>
  <conditionalFormatting sqref="C6:C36">
    <cfRule type="expression" dxfId="13" priority="118">
      <formula>IF(INDEX(M6:M36,1)=7,TRUE,FALSE)</formula>
    </cfRule>
    <cfRule type="expression" dxfId="12" priority="119">
      <formula>IF(INDEX(M6:M36,1)=1,TRUE,FALSE)</formula>
    </cfRule>
  </conditionalFormatting>
  <conditionalFormatting sqref="D6:D36">
    <cfRule type="expression" dxfId="11" priority="116">
      <formula>IF(INDEX(M6:M36,1)=7,TRUE,FALSE)</formula>
    </cfRule>
    <cfRule type="expression" dxfId="10" priority="117">
      <formula>IF(INDEX(M6:M36,1)=1,TRUE,FALSE)</formula>
    </cfRule>
  </conditionalFormatting>
  <conditionalFormatting sqref="E6:E36">
    <cfRule type="expression" dxfId="9" priority="114">
      <formula>IF(INDEX(M6:M36,1)=7,TRUE,FALSE)</formula>
    </cfRule>
    <cfRule type="expression" dxfId="8" priority="115">
      <formula>IF(INDEX(M6:M36,1)=1,TRUE,FALSE)</formula>
    </cfRule>
  </conditionalFormatting>
  <conditionalFormatting sqref="F6:F36">
    <cfRule type="expression" dxfId="7" priority="112">
      <formula>IF(INDEX(M6:M36,1)=7,TRUE,FALSE)</formula>
    </cfRule>
    <cfRule type="expression" dxfId="6" priority="113">
      <formula>IF(INDEX(M6:M36,1)=1,TRUE,FALSE)</formula>
    </cfRule>
  </conditionalFormatting>
  <conditionalFormatting sqref="G6:G36">
    <cfRule type="expression" dxfId="5" priority="110">
      <formula>IF(INDEX(M6:M36,1)=7,TRUE,FALSE)</formula>
    </cfRule>
    <cfRule type="expression" dxfId="4" priority="111">
      <formula>IF(INDEX(M6:M36,1)=1,TRUE,FALSE)</formula>
    </cfRule>
  </conditionalFormatting>
  <conditionalFormatting sqref="H6:H36">
    <cfRule type="expression" dxfId="3" priority="108">
      <formula>IF(INDEX(M6:M36,1)=1,TRUE,FALSE)</formula>
    </cfRule>
    <cfRule type="expression" dxfId="2" priority="109">
      <formula>IF(INDEX(M6:M36,1)=7,TRUE,FALSE)</formula>
    </cfRule>
  </conditionalFormatting>
  <conditionalFormatting sqref="I6:I36">
    <cfRule type="expression" dxfId="1" priority="106">
      <formula>IF(INDEX(M6:M36,1)=7,TRUE,FALSE)</formula>
    </cfRule>
    <cfRule type="expression" dxfId="0" priority="107">
      <formula>IF(INDEX(M6:M36,1)=1,TRUE,FALSE)</formula>
    </cfRule>
  </conditionalFormatting>
  <dataValidations count="2">
    <dataValidation type="list" allowBlank="1" showInputMessage="1" showErrorMessage="1" sqref="B2" xr:uid="{00000000-0002-0000-0000-000000000000}">
      <formula1>$J$6:$J$17</formula1>
    </dataValidation>
    <dataValidation type="list" allowBlank="1" showInputMessage="1" showErrorMessage="1" sqref="D2" xr:uid="{00000000-0002-0000-0000-000001000000}">
      <formula1>$K$6:$K$9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fitToWidth="0" orientation="portrait" r:id="rId1"/>
  <headerFooter>
    <oddHeader>&amp;C&amp;G
&amp;"-,Gras"&amp;20Fiche d'activité mensuelle&amp;U
&amp;"-,Italique"&amp;14A renvoyer avant le fin du mois</oddHeader>
    <oddFooter>&amp;R&amp;1#&amp;"Calibri"&amp;10&amp;K0078D7Classification : Internal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F63894C60E034D8C810B5E326CE4EB" ma:contentTypeVersion="12" ma:contentTypeDescription="Crée un document." ma:contentTypeScope="" ma:versionID="3bf31d672387dea6bdef5ca7a5cc56c8">
  <xsd:schema xmlns:xsd="http://www.w3.org/2001/XMLSchema" xmlns:xs="http://www.w3.org/2001/XMLSchema" xmlns:p="http://schemas.microsoft.com/office/2006/metadata/properties" xmlns:ns1="http://schemas.microsoft.com/sharepoint/v3" xmlns:ns2="3072c0f3-27cf-4d30-a65b-0572d45c4178" xmlns:ns3="a0538f30-735f-4443-a5ee-8e685abebd40" targetNamespace="http://schemas.microsoft.com/office/2006/metadata/properties" ma:root="true" ma:fieldsID="7054a884d83ad79119f34592314e8ca6" ns1:_="" ns2:_="" ns3:_="">
    <xsd:import namespace="http://schemas.microsoft.com/sharepoint/v3"/>
    <xsd:import namespace="3072c0f3-27cf-4d30-a65b-0572d45c4178"/>
    <xsd:import namespace="a0538f30-735f-4443-a5ee-8e685abebd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2c0f3-27cf-4d30-a65b-0572d45c4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538f30-735f-4443-a5ee-8e685abebd4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0604466-F120-42E8-BFAE-5E05DC0091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CAC54E-CEC8-46B3-9B83-138B96BDE0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072c0f3-27cf-4d30-a65b-0572d45c4178"/>
    <ds:schemaRef ds:uri="a0538f30-735f-4443-a5ee-8e685abebd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E89656-C6D6-4632-A317-D34E844E6E32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3072c0f3-27cf-4d30-a65b-0572d45c4178"/>
    <ds:schemaRef ds:uri="http://purl.org/dc/terms/"/>
    <ds:schemaRef ds:uri="http://schemas.microsoft.com/office/infopath/2007/PartnerControls"/>
    <ds:schemaRef ds:uri="a0538f30-735f-4443-a5ee-8e685abebd40"/>
    <ds:schemaRef ds:uri="http://purl.org/dc/dcmitype/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Technicien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 PIERRAT</dc:creator>
  <cp:lastModifiedBy>MARGOTTAT Florian</cp:lastModifiedBy>
  <cp:lastPrinted>2021-03-09T14:38:38Z</cp:lastPrinted>
  <dcterms:created xsi:type="dcterms:W3CDTF">2020-12-09T18:27:28Z</dcterms:created>
  <dcterms:modified xsi:type="dcterms:W3CDTF">2023-01-30T10:19:53Z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0x01010088F63894C60E034D8C810B5E326CE4EB</vt:lpwstr>
  </property>
  <property fmtid="{D5CDD505-2E9C-101B-9397-08002B2CF9AE}" pid="3" name="MSIP_Label_2d26f538-337a-4593-a7e6-123667b1a538_Enabled">
    <vt:lpwstr>true</vt:lpwstr>
  </property>
  <property fmtid="{D5CDD505-2E9C-101B-9397-08002B2CF9AE}" pid="4" name="MSIP_Label_2d26f538-337a-4593-a7e6-123667b1a538_SetDate">
    <vt:lpwstr>2022-01-26T12:28:42Z</vt:lpwstr>
  </property>
  <property fmtid="{D5CDD505-2E9C-101B-9397-08002B2CF9AE}" pid="5" name="MSIP_Label_2d26f538-337a-4593-a7e6-123667b1a538_Method">
    <vt:lpwstr>Standard</vt:lpwstr>
  </property>
  <property fmtid="{D5CDD505-2E9C-101B-9397-08002B2CF9AE}" pid="6" name="MSIP_Label_2d26f538-337a-4593-a7e6-123667b1a538_Name">
    <vt:lpwstr>C1 Interne</vt:lpwstr>
  </property>
  <property fmtid="{D5CDD505-2E9C-101B-9397-08002B2CF9AE}" pid="7" name="MSIP_Label_2d26f538-337a-4593-a7e6-123667b1a538_SiteId">
    <vt:lpwstr>e242425b-70fc-44dc-9ddf-c21e304e6c80</vt:lpwstr>
  </property>
  <property fmtid="{D5CDD505-2E9C-101B-9397-08002B2CF9AE}" pid="8" name="MSIP_Label_2d26f538-337a-4593-a7e6-123667b1a538_ActionId">
    <vt:lpwstr>50c487d8-4ecc-48c4-8518-ff295f982c9b</vt:lpwstr>
  </property>
  <property fmtid="{D5CDD505-2E9C-101B-9397-08002B2CF9AE}" pid="9" name="MSIP_Label_2d26f538-337a-4593-a7e6-123667b1a538_ContentBits">
    <vt:lpwstr>0</vt:lpwstr>
  </property>
  <property fmtid="{D5CDD505-2E9C-101B-9397-08002B2CF9AE}" pid="10" name="MSIP_Label_8ffbc0b8-e97b-47d1-beac-cb0955d66f3b_Enabled">
    <vt:lpwstr>true</vt:lpwstr>
  </property>
  <property fmtid="{D5CDD505-2E9C-101B-9397-08002B2CF9AE}" pid="11" name="MSIP_Label_8ffbc0b8-e97b-47d1-beac-cb0955d66f3b_SetDate">
    <vt:lpwstr>2023-01-30T10:19:53Z</vt:lpwstr>
  </property>
  <property fmtid="{D5CDD505-2E9C-101B-9397-08002B2CF9AE}" pid="12" name="MSIP_Label_8ffbc0b8-e97b-47d1-beac-cb0955d66f3b_Method">
    <vt:lpwstr>Standard</vt:lpwstr>
  </property>
  <property fmtid="{D5CDD505-2E9C-101B-9397-08002B2CF9AE}" pid="13" name="MSIP_Label_8ffbc0b8-e97b-47d1-beac-cb0955d66f3b_Name">
    <vt:lpwstr>8ffbc0b8-e97b-47d1-beac-cb0955d66f3b</vt:lpwstr>
  </property>
  <property fmtid="{D5CDD505-2E9C-101B-9397-08002B2CF9AE}" pid="14" name="MSIP_Label_8ffbc0b8-e97b-47d1-beac-cb0955d66f3b_SiteId">
    <vt:lpwstr>614f9c25-bffa-42c7-86d8-964101f55fa2</vt:lpwstr>
  </property>
  <property fmtid="{D5CDD505-2E9C-101B-9397-08002B2CF9AE}" pid="15" name="MSIP_Label_8ffbc0b8-e97b-47d1-beac-cb0955d66f3b_ActionId">
    <vt:lpwstr>60e2bdd4-1811-4eb1-acc2-d567408ab224</vt:lpwstr>
  </property>
  <property fmtid="{D5CDD505-2E9C-101B-9397-08002B2CF9AE}" pid="16" name="MSIP_Label_8ffbc0b8-e97b-47d1-beac-cb0955d66f3b_ContentBits">
    <vt:lpwstr>2</vt:lpwstr>
  </property>
</Properties>
</file>