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fileSharing userName="PETITBOUT Marc" algorithmName="SHA-512" hashValue="iRT+nJxBOniu4HyJZslaWUtrl6ks73sHz9I3zkVllzVuVBfoeTvGB36m68t6ybXX9BZjn6hZe8KIADf8LPUP6Q==" saltValue="Imva8fPnzSPGM4HAoNZH7A==" spinCount="10000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teria.sharepoint.com/sites/CSPRoanneShares/Documents partages/ROANNE_PRODUCTION/01_PLANNINGS/PLANNING BNPP ITG/"/>
    </mc:Choice>
  </mc:AlternateContent>
  <xr:revisionPtr revIDLastSave="0" documentId="10_ncr:10000_{7915741A-9F73-416F-B786-04E1529E9ECD}" xr6:coauthVersionLast="47" xr6:coauthVersionMax="47" xr10:uidLastSave="{00000000-0000-0000-0000-000000000000}"/>
  <workbookProtection workbookAlgorithmName="SHA-512" workbookHashValue="Ioc8zHA4QxgibYBBFa+nPGBUUXrpyDHHXUV/5wA7tOfF2R336uMd8yrwuLuRvLTmptf8+6CyCg1jrgtiRo2UFQ==" workbookSaltValue="2LpXrBKesho6NkNoi4lsuQ==" workbookSpinCount="100000" lockStructure="1"/>
  <bookViews>
    <workbookView xWindow="-120" yWindow="-120" windowWidth="29040" windowHeight="15840" tabRatio="650" xr2:uid="{E263A3B3-B882-4C87-B26B-839FF8FCDBC2}"/>
  </bookViews>
  <sheets>
    <sheet name="Planning" sheetId="1" r:id="rId1"/>
    <sheet name="SYNTHESE-23" sheetId="6" r:id="rId2"/>
    <sheet name="Code H" sheetId="3" r:id="rId3"/>
    <sheet name="Code ABS" sheetId="2" r:id="rId4"/>
    <sheet name="CP 2023-Q1" sheetId="17" r:id="rId5"/>
    <sheet name="Télétravail" sheetId="12" r:id="rId6"/>
    <sheet name="Staffing Jour" sheetId="16" r:id="rId7"/>
    <sheet name="Horaires" sheetId="15" r:id="rId8"/>
    <sheet name="Charge" sheetId="14" r:id="rId9"/>
    <sheet name="CP 2022" sheetId="5" state="hidden" r:id="rId10"/>
    <sheet name="Plann-ASTR" sheetId="18" r:id="rId11"/>
    <sheet name="Param" sheetId="4" state="hidden" r:id="rId12"/>
  </sheets>
  <functionGroups builtInGroupCount="19"/>
  <definedNames>
    <definedName name="_xlnm._FilterDatabase" localSheetId="3" hidden="1">'Code ABS'!$A$2:$C$30</definedName>
    <definedName name="_xlnm._FilterDatabase" localSheetId="10" hidden="1">'Plann-ASTR'!$A$11:$ON$30</definedName>
    <definedName name="_xlnm._FilterDatabase" localSheetId="0" hidden="1">Planning!$A$11:$ON$59</definedName>
    <definedName name="_xlnm._FilterDatabase" localSheetId="6" hidden="1">'Staffing Jour'!$A$2:$BZ$71</definedName>
    <definedName name="_xlnm._FilterDatabase" localSheetId="1" hidden="1">'SYNTHESE-23'!$A$3:$BF$38</definedName>
    <definedName name="AS2DocOpenMode" hidden="1">"AS2DocumentEdit"</definedName>
    <definedName name="Charge">Charge!$B$1:$V$6</definedName>
    <definedName name="Charge_h">Charge!$B$1:$V$1</definedName>
    <definedName name="Charge_R">Charge!$B$11:$V$254</definedName>
    <definedName name="Charge_R_h">Charge!$B$11:$V$11</definedName>
    <definedName name="Charge_R_v">Charge!$B$11:$B$191</definedName>
    <definedName name="Charge_Tchat_G">Charge!$AA$27:$JS$45</definedName>
    <definedName name="Charge_Tchat_H">Charge!$AA$27:$JS$27</definedName>
    <definedName name="Charge_Tchat_V">Charge!$AA$27:$AA$45</definedName>
    <definedName name="Charge_v">Charge!$B$1:$B$6</definedName>
    <definedName name="Charge2">Charge!$AA$2:$JS$20</definedName>
    <definedName name="Charge2_h">Charge!$AA$2:$JS$2</definedName>
    <definedName name="Charge2_v">Charge!$AA$2:$AA$20</definedName>
    <definedName name="DONNEES">Planning!$NM$12:$OK$53</definedName>
    <definedName name="ferie">Param!$D$19:$D$30</definedName>
    <definedName name="HORAIRE">'Code H'!$C$2:$L$20</definedName>
    <definedName name="Horaires">Horaires!$A$1:$AX$93</definedName>
    <definedName name="Horaires_h">Horaires!$A$1:$AX$1</definedName>
    <definedName name="Horaires_v">Horaires!$A$1:$A$93</definedName>
    <definedName name="index1">Planning!$I$11</definedName>
    <definedName name="L.ABS">'Code ABS'!$B$3:$B$30</definedName>
    <definedName name="L.ABS.NP">'Code ABS'!$K$3:$K$12</definedName>
    <definedName name="L.ABS2">'Code ABS'!$B$3:$D$30</definedName>
    <definedName name="L.ABSP">'Code ABS'!$G$3:$G$20</definedName>
    <definedName name="L.DATE">Planning!$J$11:$NJ$11</definedName>
    <definedName name="L.EQUIPE">'Code H'!$C$2:$C$20</definedName>
    <definedName name="L.NOM">Planning!$B$12:$B$54</definedName>
    <definedName name="MAT_C">Planning!$A$12:$A$54</definedName>
    <definedName name="MOIS">Param!$A$3:$B$14</definedName>
    <definedName name="NOM_C">Planning!$B$12:$B$54</definedName>
    <definedName name="p.collab">Param!$A$60:$E$80</definedName>
    <definedName name="p.mat">Param!$A$60:$A$80</definedName>
    <definedName name="p.nom">Param!$B$60:$B$80</definedName>
    <definedName name="Planning">Planning!$B$11:$NJ$53</definedName>
    <definedName name="Planning_g">Planning!$A$11:$NJ$53</definedName>
    <definedName name="Planning_h">Planning!$B$11:$NJ$11</definedName>
    <definedName name="Planning_v">Planning!$B$11:$B$53</definedName>
    <definedName name="Z_PLAN">Planning!$J$12:$NJ$53</definedName>
    <definedName name="Z_TRI">Planning!$A$12:$NJ$51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7" i="1" l="1"/>
  <c r="D80" i="4"/>
  <c r="C80" i="4"/>
  <c r="D79" i="4"/>
  <c r="C79" i="4"/>
  <c r="D78" i="4"/>
  <c r="C78" i="4"/>
  <c r="D77" i="4"/>
  <c r="C77" i="4"/>
  <c r="D76" i="4"/>
  <c r="C76" i="4"/>
  <c r="D75" i="4"/>
  <c r="C75" i="4"/>
  <c r="D74" i="4"/>
  <c r="C74" i="4"/>
  <c r="D73" i="4"/>
  <c r="C73" i="4"/>
  <c r="D72" i="4"/>
  <c r="C72" i="4"/>
  <c r="D71" i="4"/>
  <c r="C71" i="4"/>
  <c r="D70" i="4"/>
  <c r="C70" i="4"/>
  <c r="D69" i="4"/>
  <c r="C69" i="4"/>
  <c r="D68" i="4"/>
  <c r="C68" i="4"/>
  <c r="D67" i="4"/>
  <c r="C67" i="4"/>
  <c r="D66" i="4"/>
  <c r="C66" i="4"/>
  <c r="D65" i="4"/>
  <c r="C65" i="4"/>
  <c r="D64" i="4"/>
  <c r="C64" i="4"/>
  <c r="D63" i="4"/>
  <c r="C63" i="4"/>
  <c r="D62" i="4"/>
  <c r="C62" i="4"/>
  <c r="D61" i="4"/>
  <c r="C61" i="4"/>
  <c r="D60" i="4"/>
  <c r="C60" i="4"/>
  <c r="D30" i="2" a="1"/>
  <c r="D30" i="2" s="1"/>
  <c r="A30" i="2"/>
  <c r="D29" i="2" a="1"/>
  <c r="D29" i="2" s="1"/>
  <c r="A29" i="2"/>
  <c r="D28" i="2" a="1"/>
  <c r="D28" i="2" s="1"/>
  <c r="A28" i="2"/>
  <c r="D27" i="2" a="1"/>
  <c r="D27" i="2" s="1"/>
  <c r="A27" i="2"/>
  <c r="D26" i="2" a="1"/>
  <c r="D26" i="2" s="1"/>
  <c r="A26" i="2"/>
  <c r="D25" i="2" a="1"/>
  <c r="D25" i="2" s="1"/>
  <c r="A25" i="2"/>
  <c r="D24" i="2" a="1"/>
  <c r="D24" i="2" s="1"/>
  <c r="A24" i="2"/>
  <c r="D23" i="2" a="1"/>
  <c r="D23" i="2" s="1"/>
  <c r="A23" i="2"/>
  <c r="D22" i="2" a="1"/>
  <c r="D22" i="2" s="1"/>
  <c r="A22" i="2"/>
  <c r="D21" i="2" a="1"/>
  <c r="D21" i="2" s="1"/>
  <c r="A21" i="2"/>
  <c r="D20" i="2" a="1"/>
  <c r="D20" i="2" s="1"/>
  <c r="A20" i="2"/>
  <c r="D19" i="2" a="1"/>
  <c r="D19" i="2" s="1"/>
  <c r="D18" i="2" a="1"/>
  <c r="D18" i="2" s="1"/>
  <c r="A18" i="2"/>
  <c r="D17" i="2" a="1"/>
  <c r="D17" i="2" s="1"/>
  <c r="A17" i="2"/>
  <c r="D16" i="2" a="1"/>
  <c r="D16" i="2" s="1"/>
  <c r="A16" i="2"/>
  <c r="D15" i="2" a="1"/>
  <c r="D15" i="2" s="1"/>
  <c r="A15" i="2"/>
  <c r="D14" i="2" a="1"/>
  <c r="D14" i="2" s="1"/>
  <c r="A14" i="2"/>
  <c r="D13" i="2" a="1"/>
  <c r="D13" i="2" s="1"/>
  <c r="A13" i="2"/>
  <c r="D12" i="2" a="1"/>
  <c r="D12" i="2" s="1"/>
  <c r="A12" i="2"/>
  <c r="D11" i="2" a="1"/>
  <c r="D11" i="2" s="1"/>
  <c r="A11" i="2"/>
  <c r="D10" i="2" a="1"/>
  <c r="D10" i="2" s="1"/>
  <c r="A10" i="2"/>
  <c r="D9" i="2" a="1"/>
  <c r="D9" i="2" s="1"/>
  <c r="A9" i="2"/>
  <c r="D8" i="2" a="1"/>
  <c r="D8" i="2" s="1"/>
  <c r="A8" i="2"/>
  <c r="D7" i="2" a="1"/>
  <c r="D7" i="2" s="1"/>
  <c r="D6" i="2" a="1"/>
  <c r="D6" i="2" s="1"/>
  <c r="A6" i="2"/>
  <c r="D5" i="2" a="1"/>
  <c r="D5" i="2" s="1"/>
  <c r="A5" i="2"/>
  <c r="D4" i="2" a="1"/>
  <c r="D4" i="2" s="1"/>
  <c r="A4" i="2"/>
  <c r="D3" i="2" a="1"/>
  <c r="D3" i="2" s="1"/>
  <c r="A3" i="2"/>
  <c r="I6" i="3"/>
  <c r="J6" i="3"/>
  <c r="K6" i="3" s="1"/>
  <c r="L6" i="3" a="1"/>
  <c r="L6" i="3" s="1"/>
  <c r="I7" i="3"/>
  <c r="J7" i="3"/>
  <c r="K7" i="3"/>
  <c r="L7" i="3" a="1"/>
  <c r="L7" i="3" s="1"/>
  <c r="I8" i="3"/>
  <c r="J8" i="3"/>
  <c r="K8" i="3" s="1"/>
  <c r="L8" i="3" a="1"/>
  <c r="L8" i="3" s="1"/>
  <c r="H51" i="1"/>
  <c r="G51" i="1"/>
  <c r="F51" i="1"/>
  <c r="E51" i="1"/>
  <c r="D51" i="1"/>
  <c r="C51" i="1"/>
  <c r="B51" i="1"/>
  <c r="H49" i="1"/>
  <c r="G49" i="1"/>
  <c r="F49" i="1"/>
  <c r="E49" i="1"/>
  <c r="D49" i="1"/>
  <c r="C49" i="1"/>
  <c r="B49" i="1"/>
  <c r="H47" i="1"/>
  <c r="G47" i="1"/>
  <c r="F47" i="1"/>
  <c r="E47" i="1"/>
  <c r="D47" i="1"/>
  <c r="C47" i="1"/>
  <c r="B47" i="1"/>
  <c r="H45" i="1"/>
  <c r="G45" i="1"/>
  <c r="F45" i="1"/>
  <c r="E45" i="1"/>
  <c r="D45" i="1"/>
  <c r="C45" i="1"/>
  <c r="B45" i="1"/>
  <c r="H43" i="1"/>
  <c r="G43" i="1"/>
  <c r="F43" i="1"/>
  <c r="E43" i="1"/>
  <c r="D43" i="1"/>
  <c r="C43" i="1"/>
  <c r="B43" i="1"/>
  <c r="H41" i="1"/>
  <c r="G41" i="1"/>
  <c r="F41" i="1"/>
  <c r="E41" i="1"/>
  <c r="D41" i="1"/>
  <c r="C41" i="1"/>
  <c r="B41" i="1"/>
  <c r="H39" i="1"/>
  <c r="G39" i="1"/>
  <c r="F39" i="1"/>
  <c r="E39" i="1"/>
  <c r="D39" i="1"/>
  <c r="C39" i="1"/>
  <c r="B39" i="1"/>
  <c r="H37" i="1"/>
  <c r="G37" i="1"/>
  <c r="F37" i="1"/>
  <c r="E37" i="1"/>
  <c r="D37" i="1"/>
  <c r="C37" i="1"/>
  <c r="B37" i="1"/>
  <c r="H35" i="1"/>
  <c r="G35" i="1"/>
  <c r="F35" i="1"/>
  <c r="E35" i="1"/>
  <c r="D35" i="1"/>
  <c r="C35" i="1"/>
  <c r="B35" i="1"/>
  <c r="H33" i="1"/>
  <c r="G33" i="1"/>
  <c r="F33" i="1"/>
  <c r="E33" i="1"/>
  <c r="D33" i="1"/>
  <c r="C33" i="1"/>
  <c r="B33" i="1"/>
  <c r="H31" i="1"/>
  <c r="G31" i="1"/>
  <c r="F31" i="1"/>
  <c r="E31" i="1"/>
  <c r="D31" i="1"/>
  <c r="C31" i="1"/>
  <c r="B31" i="1"/>
  <c r="H29" i="1"/>
  <c r="G29" i="1"/>
  <c r="F29" i="1"/>
  <c r="E29" i="1"/>
  <c r="D29" i="1"/>
  <c r="C29" i="1"/>
  <c r="B29" i="1"/>
  <c r="H27" i="1"/>
  <c r="G27" i="1"/>
  <c r="F27" i="1"/>
  <c r="E27" i="1"/>
  <c r="D27" i="1"/>
  <c r="C27" i="1"/>
  <c r="H25" i="1"/>
  <c r="G25" i="1"/>
  <c r="F25" i="1"/>
  <c r="E25" i="1"/>
  <c r="D25" i="1"/>
  <c r="C25" i="1"/>
  <c r="B25" i="1"/>
  <c r="H23" i="1"/>
  <c r="G23" i="1"/>
  <c r="F23" i="1"/>
  <c r="E23" i="1"/>
  <c r="D23" i="1"/>
  <c r="C23" i="1"/>
  <c r="B23" i="1"/>
  <c r="H21" i="1"/>
  <c r="G21" i="1"/>
  <c r="F21" i="1"/>
  <c r="E21" i="1"/>
  <c r="D21" i="1"/>
  <c r="C21" i="1"/>
  <c r="B21" i="1"/>
  <c r="H19" i="1"/>
  <c r="G19" i="1"/>
  <c r="F19" i="1"/>
  <c r="E19" i="1"/>
  <c r="D19" i="1"/>
  <c r="C19" i="1"/>
  <c r="B19" i="1"/>
  <c r="H17" i="1"/>
  <c r="G17" i="1"/>
  <c r="F17" i="1"/>
  <c r="E17" i="1"/>
  <c r="D17" i="1"/>
  <c r="C17" i="1"/>
  <c r="B17" i="1"/>
  <c r="H15" i="1"/>
  <c r="G15" i="1"/>
  <c r="F15" i="1"/>
  <c r="E15" i="1"/>
  <c r="D15" i="1"/>
  <c r="C15" i="1"/>
  <c r="B15" i="1"/>
  <c r="H13" i="1"/>
  <c r="G13" i="1"/>
  <c r="F13" i="1"/>
  <c r="E13" i="1"/>
  <c r="D13" i="1"/>
  <c r="C13" i="1"/>
  <c r="B13" i="1"/>
  <c r="NM50" i="1"/>
  <c r="NM51" i="1" s="1"/>
  <c r="NM48" i="1"/>
  <c r="NM49" i="1" s="1"/>
  <c r="NM46" i="1"/>
  <c r="NM47" i="1" s="1"/>
  <c r="NM44" i="1"/>
  <c r="NM45" i="1" s="1"/>
  <c r="NM42" i="1"/>
  <c r="NM43" i="1" s="1"/>
  <c r="NM40" i="1"/>
  <c r="NM41" i="1" s="1"/>
  <c r="NM38" i="1"/>
  <c r="NM39" i="1" s="1"/>
  <c r="NM36" i="1"/>
  <c r="NM37" i="1" s="1"/>
  <c r="NM34" i="1"/>
  <c r="NM35" i="1" s="1"/>
  <c r="NM32" i="1"/>
  <c r="NM33" i="1" s="1"/>
  <c r="NM30" i="1" l="1"/>
  <c r="NM31" i="1" s="1"/>
  <c r="L76" i="1" a="1"/>
  <c r="K55" i="1" a="1"/>
  <c r="N55" i="1" a="1"/>
  <c r="N76" i="1" a="1"/>
  <c r="K76" i="1" a="1"/>
  <c r="O55" i="1" a="1"/>
  <c r="M76" i="1" a="1"/>
  <c r="Q76" i="1" a="1"/>
  <c r="J76" i="1" a="1"/>
  <c r="L55" i="1" a="1"/>
  <c r="J55" i="1" a="1"/>
  <c r="P76" i="1" a="1"/>
  <c r="Q55" i="1" a="1"/>
  <c r="M55" i="1" a="1"/>
  <c r="O76" i="1" a="1"/>
  <c r="P55" i="1" a="1"/>
  <c r="J76" i="1" l="1"/>
  <c r="K76" i="1"/>
  <c r="J55" i="1"/>
  <c r="M76" i="1"/>
  <c r="O76" i="1"/>
  <c r="Q76" i="1"/>
  <c r="N76" i="1"/>
  <c r="L76" i="1"/>
  <c r="P76" i="1"/>
  <c r="O55" i="1"/>
  <c r="N55" i="1"/>
  <c r="M55" i="1"/>
  <c r="Q55" i="1"/>
  <c r="P55" i="1"/>
  <c r="L55" i="1"/>
  <c r="K55" i="1"/>
  <c r="K57" i="1" s="1" a="1"/>
  <c r="K58" i="1" l="1" a="1"/>
  <c r="K58" i="1" s="1"/>
  <c r="K86" i="1" s="1"/>
  <c r="K57" i="1"/>
  <c r="K85" i="1" s="1"/>
  <c r="J78" i="1" a="1"/>
  <c r="Q78" i="1" a="1"/>
  <c r="P58" i="1" a="1"/>
  <c r="P79" i="1" a="1"/>
  <c r="J57" i="1" a="1"/>
  <c r="J79" i="1" a="1"/>
  <c r="P78" i="1" a="1"/>
  <c r="J58" i="1" a="1"/>
  <c r="Q79" i="1" a="1"/>
  <c r="P57" i="1" a="1"/>
  <c r="Q57" i="1" a="1"/>
  <c r="Q58" i="1" a="1"/>
  <c r="N58" i="1" a="1"/>
  <c r="O79" i="1" a="1"/>
  <c r="M79" i="1" a="1"/>
  <c r="M78" i="1" a="1"/>
  <c r="O57" i="1" a="1"/>
  <c r="O58" i="1" a="1"/>
  <c r="L57" i="1" a="1"/>
  <c r="N78" i="1" a="1"/>
  <c r="N79" i="1" a="1"/>
  <c r="N57" i="1" a="1"/>
  <c r="L78" i="1" a="1"/>
  <c r="O78" i="1" a="1"/>
  <c r="M57" i="1" a="1"/>
  <c r="M58" i="1" a="1"/>
  <c r="K79" i="1" a="1"/>
  <c r="L58" i="1" a="1"/>
  <c r="K78" i="1" a="1"/>
  <c r="L79" i="1" a="1"/>
  <c r="Q58" i="1" l="1"/>
  <c r="Q65" i="1" s="1"/>
  <c r="Q57" i="1"/>
  <c r="Q64" i="1" s="1"/>
  <c r="P57" i="1"/>
  <c r="P85" i="1" s="1"/>
  <c r="Q79" i="1"/>
  <c r="J58" i="1"/>
  <c r="J86" i="1" s="1"/>
  <c r="P78" i="1"/>
  <c r="J79" i="1"/>
  <c r="J57" i="1"/>
  <c r="J64" i="1" s="1"/>
  <c r="P79" i="1"/>
  <c r="P58" i="1"/>
  <c r="P65" i="1" s="1"/>
  <c r="Q78" i="1"/>
  <c r="J78" i="1"/>
  <c r="L79" i="1"/>
  <c r="O79" i="1"/>
  <c r="N79" i="1"/>
  <c r="M79" i="1"/>
  <c r="K79" i="1"/>
  <c r="M78" i="1"/>
  <c r="N78" i="1"/>
  <c r="L78" i="1"/>
  <c r="O78" i="1"/>
  <c r="K78" i="1"/>
  <c r="K80" i="1"/>
  <c r="K77" i="1"/>
  <c r="Q86" i="1"/>
  <c r="K65" i="1"/>
  <c r="O57" i="1"/>
  <c r="N57" i="1"/>
  <c r="O58" i="1"/>
  <c r="M57" i="1"/>
  <c r="M58" i="1"/>
  <c r="L58" i="1"/>
  <c r="N58" i="1"/>
  <c r="L57" i="1"/>
  <c r="K59" i="1"/>
  <c r="K56" i="1"/>
  <c r="K64" i="1"/>
  <c r="L4" i="3" a="1"/>
  <c r="L4" i="3" s="1"/>
  <c r="J4" i="3"/>
  <c r="I4" i="3"/>
  <c r="I5" i="3"/>
  <c r="J5" i="3"/>
  <c r="K5" i="3" s="1"/>
  <c r="L5" i="3" a="1"/>
  <c r="L5" i="3" s="1"/>
  <c r="I3" i="3"/>
  <c r="J3" i="3"/>
  <c r="L3" i="3" a="1"/>
  <c r="L3" i="3" s="1"/>
  <c r="B13" i="6"/>
  <c r="P86" i="1" l="1"/>
  <c r="P64" i="1"/>
  <c r="J85" i="1"/>
  <c r="J77" i="1"/>
  <c r="J56" i="1"/>
  <c r="J80" i="1"/>
  <c r="J59" i="1"/>
  <c r="Q77" i="1"/>
  <c r="Q56" i="1"/>
  <c r="Q80" i="1"/>
  <c r="Q59" i="1"/>
  <c r="J65" i="1"/>
  <c r="K3" i="3"/>
  <c r="Q85" i="1"/>
  <c r="P59" i="1"/>
  <c r="P80" i="1"/>
  <c r="P56" i="1"/>
  <c r="P77" i="1"/>
  <c r="K66" i="1"/>
  <c r="K87" i="1"/>
  <c r="O85" i="1"/>
  <c r="O80" i="1"/>
  <c r="O77" i="1"/>
  <c r="N65" i="1"/>
  <c r="N86" i="1"/>
  <c r="M65" i="1"/>
  <c r="M86" i="1"/>
  <c r="M85" i="1"/>
  <c r="M80" i="1"/>
  <c r="M77" i="1"/>
  <c r="L85" i="1"/>
  <c r="L77" i="1"/>
  <c r="L80" i="1"/>
  <c r="L65" i="1"/>
  <c r="L86" i="1"/>
  <c r="O65" i="1"/>
  <c r="O86" i="1"/>
  <c r="N85" i="1"/>
  <c r="N77" i="1"/>
  <c r="N80" i="1"/>
  <c r="L64" i="1"/>
  <c r="L56" i="1"/>
  <c r="L59" i="1"/>
  <c r="M64" i="1"/>
  <c r="M56" i="1"/>
  <c r="M59" i="1"/>
  <c r="N64" i="1"/>
  <c r="N56" i="1"/>
  <c r="N59" i="1"/>
  <c r="O64" i="1"/>
  <c r="O59" i="1"/>
  <c r="O56" i="1"/>
  <c r="K4" i="3"/>
  <c r="P87" i="1" l="1"/>
  <c r="P66" i="1"/>
  <c r="J87" i="1"/>
  <c r="J66" i="1"/>
  <c r="Q66" i="1"/>
  <c r="Q87" i="1"/>
  <c r="M66" i="1"/>
  <c r="M87" i="1"/>
  <c r="L66" i="1"/>
  <c r="L87" i="1"/>
  <c r="O66" i="1"/>
  <c r="O87" i="1"/>
  <c r="N66" i="1"/>
  <c r="N87" i="1"/>
  <c r="NM28" i="1"/>
  <c r="NM29" i="1" s="1"/>
  <c r="H1" i="12" l="1"/>
  <c r="H3" i="12" s="1"/>
  <c r="H2" i="12" s="1"/>
  <c r="I1" i="12"/>
  <c r="I3" i="12" s="1"/>
  <c r="I2" i="12" s="1"/>
  <c r="H4" i="12"/>
  <c r="H6" i="12" s="1"/>
  <c r="H5" i="12" s="1"/>
  <c r="I4" i="12"/>
  <c r="I6" i="12" s="1"/>
  <c r="I5" i="12" s="1"/>
  <c r="H7" i="12"/>
  <c r="H9" i="12" s="1"/>
  <c r="H8" i="12" s="1"/>
  <c r="I7" i="12"/>
  <c r="I9" i="12" s="1"/>
  <c r="I8" i="12" s="1"/>
  <c r="B12" i="6"/>
  <c r="H29" i="18"/>
  <c r="G29" i="18"/>
  <c r="F29" i="18"/>
  <c r="E29" i="18"/>
  <c r="D29" i="18"/>
  <c r="C29" i="18"/>
  <c r="B29" i="18"/>
  <c r="NM28" i="18"/>
  <c r="NM29" i="18" s="1"/>
  <c r="H27" i="18"/>
  <c r="G27" i="18"/>
  <c r="F27" i="18"/>
  <c r="E27" i="18"/>
  <c r="D27" i="18"/>
  <c r="C27" i="18"/>
  <c r="B27" i="18"/>
  <c r="NM26" i="18"/>
  <c r="NM27" i="18" s="1"/>
  <c r="H25" i="18"/>
  <c r="G25" i="18"/>
  <c r="F25" i="18"/>
  <c r="E25" i="18"/>
  <c r="D25" i="18"/>
  <c r="C25" i="18"/>
  <c r="B25" i="18"/>
  <c r="NM24" i="18"/>
  <c r="NM25" i="18" s="1"/>
  <c r="H23" i="18"/>
  <c r="G23" i="18"/>
  <c r="F23" i="18"/>
  <c r="E23" i="18"/>
  <c r="D23" i="18"/>
  <c r="C23" i="18"/>
  <c r="B23" i="18"/>
  <c r="NM22" i="18"/>
  <c r="NM23" i="18" s="1"/>
  <c r="H21" i="18"/>
  <c r="G21" i="18"/>
  <c r="F21" i="18"/>
  <c r="E21" i="18"/>
  <c r="D21" i="18"/>
  <c r="C21" i="18"/>
  <c r="B21" i="18"/>
  <c r="NM20" i="18"/>
  <c r="NM21" i="18" s="1"/>
  <c r="H19" i="18"/>
  <c r="G19" i="18"/>
  <c r="F19" i="18"/>
  <c r="E19" i="18"/>
  <c r="D19" i="18"/>
  <c r="C19" i="18"/>
  <c r="B19" i="18"/>
  <c r="NM18" i="18"/>
  <c r="NM19" i="18" s="1"/>
  <c r="H17" i="18"/>
  <c r="G17" i="18"/>
  <c r="F17" i="18"/>
  <c r="E17" i="18"/>
  <c r="D17" i="18"/>
  <c r="C17" i="18"/>
  <c r="B17" i="18"/>
  <c r="NM16" i="18"/>
  <c r="NM17" i="18" s="1"/>
  <c r="H15" i="18"/>
  <c r="G15" i="18"/>
  <c r="F15" i="18"/>
  <c r="E15" i="18"/>
  <c r="D15" i="18"/>
  <c r="C15" i="18"/>
  <c r="B15" i="18"/>
  <c r="NM14" i="18"/>
  <c r="NM15" i="18" s="1"/>
  <c r="H13" i="18"/>
  <c r="G13" i="18"/>
  <c r="F13" i="18"/>
  <c r="E13" i="18"/>
  <c r="D13" i="18"/>
  <c r="C13" i="18"/>
  <c r="B13" i="18"/>
  <c r="NM12" i="18"/>
  <c r="NM13" i="18" s="1"/>
  <c r="NN11" i="18"/>
  <c r="NP11" i="18" s="1"/>
  <c r="NQ11" i="18" s="1"/>
  <c r="J11" i="18"/>
  <c r="J10" i="18" s="1"/>
  <c r="I11" i="18" a="1"/>
  <c r="I11" i="18" s="1"/>
  <c r="C4" i="18"/>
  <c r="D17" i="6"/>
  <c r="KN46" i="14"/>
  <c r="KM46" i="14"/>
  <c r="KL46" i="14"/>
  <c r="KK46" i="14"/>
  <c r="KJ46" i="14"/>
  <c r="KI46" i="14"/>
  <c r="KH46" i="14"/>
  <c r="KG46" i="14"/>
  <c r="KF46" i="14"/>
  <c r="KE46" i="14"/>
  <c r="KD46" i="14"/>
  <c r="KC46" i="14"/>
  <c r="KB46" i="14"/>
  <c r="KA46" i="14"/>
  <c r="JZ46" i="14"/>
  <c r="JY46" i="14"/>
  <c r="JX46" i="14"/>
  <c r="JW46" i="14"/>
  <c r="JV46" i="14"/>
  <c r="JU46" i="14"/>
  <c r="JT46" i="14"/>
  <c r="JS46" i="14"/>
  <c r="JR46" i="14"/>
  <c r="JQ46" i="14"/>
  <c r="JP46" i="14"/>
  <c r="JO46" i="14"/>
  <c r="JN46" i="14"/>
  <c r="JM46" i="14"/>
  <c r="JL46" i="14"/>
  <c r="JK46" i="14"/>
  <c r="JJ46" i="14"/>
  <c r="JI46" i="14"/>
  <c r="JH46" i="14"/>
  <c r="JG46" i="14"/>
  <c r="JF46" i="14"/>
  <c r="JE46" i="14"/>
  <c r="JD46" i="14"/>
  <c r="JC46" i="14"/>
  <c r="JB46" i="14"/>
  <c r="JA46" i="14"/>
  <c r="IZ46" i="14"/>
  <c r="IY46" i="14"/>
  <c r="IX46" i="14"/>
  <c r="IW46" i="14"/>
  <c r="IV46" i="14"/>
  <c r="IU46" i="14"/>
  <c r="IT46" i="14"/>
  <c r="IS46" i="14"/>
  <c r="IR46" i="14"/>
  <c r="IQ46" i="14"/>
  <c r="IP46" i="14"/>
  <c r="IO46" i="14"/>
  <c r="IN46" i="14"/>
  <c r="IM46" i="14"/>
  <c r="IL46" i="14"/>
  <c r="IK46" i="14"/>
  <c r="IJ46" i="14"/>
  <c r="II46" i="14"/>
  <c r="IH46" i="14"/>
  <c r="IG46" i="14"/>
  <c r="IF46" i="14"/>
  <c r="IE46" i="14"/>
  <c r="ID46" i="14"/>
  <c r="IC46" i="14"/>
  <c r="IB46" i="14"/>
  <c r="IA46" i="14"/>
  <c r="HZ46" i="14"/>
  <c r="HY46" i="14"/>
  <c r="HX46" i="14"/>
  <c r="HW46" i="14"/>
  <c r="HV46" i="14"/>
  <c r="HU46" i="14"/>
  <c r="HT46" i="14"/>
  <c r="HS46" i="14"/>
  <c r="HR46" i="14"/>
  <c r="HQ46" i="14"/>
  <c r="HP46" i="14"/>
  <c r="HO46" i="14"/>
  <c r="HN46" i="14"/>
  <c r="HM46" i="14"/>
  <c r="HL46" i="14"/>
  <c r="HK46" i="14"/>
  <c r="HJ46" i="14"/>
  <c r="HI46" i="14"/>
  <c r="HH46" i="14"/>
  <c r="HG46" i="14"/>
  <c r="HF46" i="14"/>
  <c r="HE46" i="14"/>
  <c r="HD46" i="14"/>
  <c r="HC46" i="14"/>
  <c r="HB46" i="14"/>
  <c r="HA46" i="14"/>
  <c r="GZ46" i="14"/>
  <c r="GY46" i="14"/>
  <c r="GX46" i="14"/>
  <c r="GW46" i="14"/>
  <c r="GV46" i="14"/>
  <c r="GU46" i="14"/>
  <c r="GT46" i="14"/>
  <c r="GS46" i="14"/>
  <c r="GR46" i="14"/>
  <c r="GQ46" i="14"/>
  <c r="GP46" i="14"/>
  <c r="GO46" i="14"/>
  <c r="GN46" i="14"/>
  <c r="GM46" i="14"/>
  <c r="GL46" i="14"/>
  <c r="GK46" i="14"/>
  <c r="GJ46" i="14"/>
  <c r="GI46" i="14"/>
  <c r="GH46" i="14"/>
  <c r="GG46" i="14"/>
  <c r="GF46" i="14"/>
  <c r="GE46" i="14"/>
  <c r="GD46" i="14"/>
  <c r="GC46" i="14"/>
  <c r="GB46" i="14"/>
  <c r="GA46" i="14"/>
  <c r="FZ46" i="14"/>
  <c r="FY46" i="14"/>
  <c r="FX46" i="14"/>
  <c r="FW46" i="14"/>
  <c r="FV46" i="14"/>
  <c r="FU46" i="14"/>
  <c r="FT46" i="14"/>
  <c r="FS46" i="14"/>
  <c r="FR46" i="14"/>
  <c r="FQ46" i="14"/>
  <c r="FP46" i="14"/>
  <c r="FO46" i="14"/>
  <c r="FN46" i="14"/>
  <c r="FM46" i="14"/>
  <c r="FL46" i="14"/>
  <c r="FK46" i="14"/>
  <c r="FJ46" i="14"/>
  <c r="FI46" i="14"/>
  <c r="FH46" i="14"/>
  <c r="FG46" i="14"/>
  <c r="FF46" i="14"/>
  <c r="FE46" i="14"/>
  <c r="FD46" i="14"/>
  <c r="FC46" i="14"/>
  <c r="FB46" i="14"/>
  <c r="FA46" i="14"/>
  <c r="EZ46" i="14"/>
  <c r="EY46" i="14"/>
  <c r="EX46" i="14"/>
  <c r="EW46" i="14"/>
  <c r="EV46" i="14"/>
  <c r="EU46" i="14"/>
  <c r="ET46" i="14"/>
  <c r="ES46" i="14"/>
  <c r="ER46" i="14"/>
  <c r="EQ46" i="14"/>
  <c r="EP46" i="14"/>
  <c r="EO46" i="14"/>
  <c r="EN46" i="14"/>
  <c r="EM46" i="14"/>
  <c r="EL46" i="14"/>
  <c r="EK46" i="14"/>
  <c r="EJ46" i="14"/>
  <c r="EI46" i="14"/>
  <c r="EH46" i="14"/>
  <c r="EG46" i="14"/>
  <c r="EF46" i="14"/>
  <c r="EE46" i="14"/>
  <c r="ED46" i="14"/>
  <c r="EC46" i="14"/>
  <c r="EB46" i="14"/>
  <c r="EA46" i="14"/>
  <c r="DZ46" i="14"/>
  <c r="DY46" i="14"/>
  <c r="DX46" i="14"/>
  <c r="DW46" i="14"/>
  <c r="DV46" i="14"/>
  <c r="DU46" i="14"/>
  <c r="DT46" i="14"/>
  <c r="DS46" i="14"/>
  <c r="DR46" i="14"/>
  <c r="DQ46" i="14"/>
  <c r="DP46" i="14"/>
  <c r="DO46" i="14"/>
  <c r="DN46" i="14"/>
  <c r="DM46" i="14"/>
  <c r="DL46" i="14"/>
  <c r="DK46" i="14"/>
  <c r="DJ46" i="14"/>
  <c r="DI46" i="14"/>
  <c r="DH46" i="14"/>
  <c r="DG46" i="14"/>
  <c r="DF46" i="14"/>
  <c r="DE46" i="14"/>
  <c r="DD46" i="14"/>
  <c r="DC46" i="14"/>
  <c r="DB46" i="14"/>
  <c r="DA46" i="14"/>
  <c r="CZ46" i="14"/>
  <c r="CY46" i="14"/>
  <c r="CX46" i="14"/>
  <c r="CW46" i="14"/>
  <c r="CV46" i="14"/>
  <c r="CU46" i="14"/>
  <c r="CT46" i="14"/>
  <c r="CS46" i="14"/>
  <c r="CR46" i="14"/>
  <c r="CQ46" i="14"/>
  <c r="CP46" i="14"/>
  <c r="CO46" i="14"/>
  <c r="CN46" i="14"/>
  <c r="CM46" i="14"/>
  <c r="CL46" i="14"/>
  <c r="CK46" i="14"/>
  <c r="CJ46" i="14"/>
  <c r="CI46" i="14"/>
  <c r="CH46" i="14"/>
  <c r="CG46" i="14"/>
  <c r="CF46" i="14"/>
  <c r="CE46" i="14"/>
  <c r="CD46" i="14"/>
  <c r="CC46" i="14"/>
  <c r="CB46" i="14"/>
  <c r="CA46" i="14"/>
  <c r="BZ46" i="14"/>
  <c r="BY46" i="14"/>
  <c r="BX46" i="14"/>
  <c r="BW46" i="14"/>
  <c r="BV46" i="14"/>
  <c r="BU46" i="14"/>
  <c r="BT46" i="14"/>
  <c r="BS46" i="14"/>
  <c r="BR46" i="14"/>
  <c r="BQ46" i="14"/>
  <c r="BP46" i="14"/>
  <c r="BO46" i="14"/>
  <c r="BN46" i="14"/>
  <c r="BM46" i="14"/>
  <c r="BL46" i="14"/>
  <c r="BK46" i="14"/>
  <c r="BJ46" i="14"/>
  <c r="BI46" i="14"/>
  <c r="BH46" i="14"/>
  <c r="BG46" i="14"/>
  <c r="BF46" i="14"/>
  <c r="BE46" i="14"/>
  <c r="BD46" i="14"/>
  <c r="BC46" i="14"/>
  <c r="BB46" i="14"/>
  <c r="BA46" i="14"/>
  <c r="AZ46" i="14"/>
  <c r="AY46" i="14"/>
  <c r="AX46" i="14"/>
  <c r="AW46" i="14"/>
  <c r="AV46" i="14"/>
  <c r="AU46" i="14"/>
  <c r="AT46" i="14"/>
  <c r="AS46" i="14"/>
  <c r="AR46" i="14"/>
  <c r="AQ46" i="14"/>
  <c r="AP46" i="14"/>
  <c r="AO46" i="14"/>
  <c r="AN46" i="14"/>
  <c r="AM46" i="14"/>
  <c r="AL46" i="14"/>
  <c r="AK46" i="14"/>
  <c r="AJ46" i="14"/>
  <c r="AI46" i="14"/>
  <c r="AH46" i="14"/>
  <c r="AG46" i="14"/>
  <c r="AF46" i="14"/>
  <c r="AE46" i="14"/>
  <c r="AD46" i="14"/>
  <c r="AC46" i="14"/>
  <c r="AB46" i="14"/>
  <c r="AE21" i="14"/>
  <c r="AF21" i="14"/>
  <c r="AG21" i="14"/>
  <c r="AH21" i="14"/>
  <c r="AI21" i="14"/>
  <c r="AJ21" i="14"/>
  <c r="AK21" i="14"/>
  <c r="AL21" i="14"/>
  <c r="AM21" i="14"/>
  <c r="AN21" i="14"/>
  <c r="AO21" i="14"/>
  <c r="AP21" i="14"/>
  <c r="AQ21" i="14"/>
  <c r="AR21" i="14"/>
  <c r="AS21" i="14"/>
  <c r="AT21" i="14"/>
  <c r="AU21" i="14"/>
  <c r="AV21" i="14"/>
  <c r="AW21" i="14"/>
  <c r="AX21" i="14"/>
  <c r="AY21" i="14"/>
  <c r="AZ21" i="14"/>
  <c r="BA21" i="14"/>
  <c r="BB21" i="14"/>
  <c r="BC21" i="14"/>
  <c r="BD21" i="14"/>
  <c r="BE21" i="14"/>
  <c r="BF21" i="14"/>
  <c r="BG21" i="14"/>
  <c r="BH21" i="14"/>
  <c r="BI21" i="14"/>
  <c r="BJ21" i="14"/>
  <c r="BK21" i="14"/>
  <c r="BL21" i="14"/>
  <c r="BM21" i="14"/>
  <c r="BN21" i="14"/>
  <c r="BO21" i="14"/>
  <c r="BP21" i="14"/>
  <c r="BQ21" i="14"/>
  <c r="BR21" i="14"/>
  <c r="BS21" i="14"/>
  <c r="BT21" i="14"/>
  <c r="BU21" i="14"/>
  <c r="BV21" i="14"/>
  <c r="BW21" i="14"/>
  <c r="BX21" i="14"/>
  <c r="BY21" i="14"/>
  <c r="BZ21" i="14"/>
  <c r="CA21" i="14"/>
  <c r="CB21" i="14"/>
  <c r="CC21" i="14"/>
  <c r="CD21" i="14"/>
  <c r="CE21" i="14"/>
  <c r="CF21" i="14"/>
  <c r="CG21" i="14"/>
  <c r="CH21" i="14"/>
  <c r="CI21" i="14"/>
  <c r="CJ21" i="14"/>
  <c r="CK21" i="14"/>
  <c r="CL21" i="14"/>
  <c r="CM21" i="14"/>
  <c r="CN21" i="14"/>
  <c r="CO21" i="14"/>
  <c r="CP21" i="14"/>
  <c r="CQ21" i="14"/>
  <c r="CR21" i="14"/>
  <c r="CS21" i="14"/>
  <c r="CT21" i="14"/>
  <c r="CU21" i="14"/>
  <c r="CV21" i="14"/>
  <c r="CW21" i="14"/>
  <c r="CX21" i="14"/>
  <c r="CY21" i="14"/>
  <c r="CZ21" i="14"/>
  <c r="DA21" i="14"/>
  <c r="DB21" i="14"/>
  <c r="DC21" i="14"/>
  <c r="DD21" i="14"/>
  <c r="DE21" i="14"/>
  <c r="DF21" i="14"/>
  <c r="DG21" i="14"/>
  <c r="DH21" i="14"/>
  <c r="DI21" i="14"/>
  <c r="DJ21" i="14"/>
  <c r="DK21" i="14"/>
  <c r="DL21" i="14"/>
  <c r="DM21" i="14"/>
  <c r="DN21" i="14"/>
  <c r="DO21" i="14"/>
  <c r="DP21" i="14"/>
  <c r="DQ21" i="14"/>
  <c r="DR21" i="14"/>
  <c r="DS21" i="14"/>
  <c r="DT21" i="14"/>
  <c r="DU21" i="14"/>
  <c r="DV21" i="14"/>
  <c r="DW21" i="14"/>
  <c r="DX21" i="14"/>
  <c r="DY21" i="14"/>
  <c r="DZ21" i="14"/>
  <c r="EA21" i="14"/>
  <c r="EB21" i="14"/>
  <c r="EC21" i="14"/>
  <c r="ED21" i="14"/>
  <c r="EE21" i="14"/>
  <c r="EF21" i="14"/>
  <c r="EG21" i="14"/>
  <c r="EH21" i="14"/>
  <c r="EI21" i="14"/>
  <c r="EJ21" i="14"/>
  <c r="EK21" i="14"/>
  <c r="EL21" i="14"/>
  <c r="EM21" i="14"/>
  <c r="EN21" i="14"/>
  <c r="EO21" i="14"/>
  <c r="EP21" i="14"/>
  <c r="EQ21" i="14"/>
  <c r="ER21" i="14"/>
  <c r="ES21" i="14"/>
  <c r="ET21" i="14"/>
  <c r="EU21" i="14"/>
  <c r="EV21" i="14"/>
  <c r="EW21" i="14"/>
  <c r="EX21" i="14"/>
  <c r="EY21" i="14"/>
  <c r="EZ21" i="14"/>
  <c r="FA21" i="14"/>
  <c r="FB21" i="14"/>
  <c r="FC21" i="14"/>
  <c r="FD21" i="14"/>
  <c r="FE21" i="14"/>
  <c r="FF21" i="14"/>
  <c r="FG21" i="14"/>
  <c r="FH21" i="14"/>
  <c r="FI21" i="14"/>
  <c r="FJ21" i="14"/>
  <c r="FK21" i="14"/>
  <c r="FL21" i="14"/>
  <c r="FM21" i="14"/>
  <c r="FN21" i="14"/>
  <c r="FO21" i="14"/>
  <c r="FP21" i="14"/>
  <c r="FQ21" i="14"/>
  <c r="FR21" i="14"/>
  <c r="FS21" i="14"/>
  <c r="FT21" i="14"/>
  <c r="FU21" i="14"/>
  <c r="FV21" i="14"/>
  <c r="FW21" i="14"/>
  <c r="FX21" i="14"/>
  <c r="FY21" i="14"/>
  <c r="FZ21" i="14"/>
  <c r="GA21" i="14"/>
  <c r="GB21" i="14"/>
  <c r="GC21" i="14"/>
  <c r="GD21" i="14"/>
  <c r="GE21" i="14"/>
  <c r="GF21" i="14"/>
  <c r="GG21" i="14"/>
  <c r="GH21" i="14"/>
  <c r="GI21" i="14"/>
  <c r="GJ21" i="14"/>
  <c r="GK21" i="14"/>
  <c r="GL21" i="14"/>
  <c r="GM21" i="14"/>
  <c r="GN21" i="14"/>
  <c r="GO21" i="14"/>
  <c r="GP21" i="14"/>
  <c r="GQ21" i="14"/>
  <c r="GR21" i="14"/>
  <c r="GS21" i="14"/>
  <c r="GT21" i="14"/>
  <c r="GU21" i="14"/>
  <c r="GV21" i="14"/>
  <c r="GW21" i="14"/>
  <c r="GX21" i="14"/>
  <c r="GY21" i="14"/>
  <c r="GZ21" i="14"/>
  <c r="HA21" i="14"/>
  <c r="HB21" i="14"/>
  <c r="HC21" i="14"/>
  <c r="HD21" i="14"/>
  <c r="HE21" i="14"/>
  <c r="HF21" i="14"/>
  <c r="HG21" i="14"/>
  <c r="HH21" i="14"/>
  <c r="HI21" i="14"/>
  <c r="HJ21" i="14"/>
  <c r="HK21" i="14"/>
  <c r="HL21" i="14"/>
  <c r="HM21" i="14"/>
  <c r="HN21" i="14"/>
  <c r="HO21" i="14"/>
  <c r="HP21" i="14"/>
  <c r="HQ21" i="14"/>
  <c r="HR21" i="14"/>
  <c r="HS21" i="14"/>
  <c r="HT21" i="14"/>
  <c r="HU21" i="14"/>
  <c r="HV21" i="14"/>
  <c r="HW21" i="14"/>
  <c r="HX21" i="14"/>
  <c r="HY21" i="14"/>
  <c r="HZ21" i="14"/>
  <c r="IA21" i="14"/>
  <c r="IB21" i="14"/>
  <c r="IC21" i="14"/>
  <c r="ID21" i="14"/>
  <c r="IE21" i="14"/>
  <c r="IF21" i="14"/>
  <c r="IG21" i="14"/>
  <c r="IH21" i="14"/>
  <c r="II21" i="14"/>
  <c r="IJ21" i="14"/>
  <c r="IK21" i="14"/>
  <c r="IL21" i="14"/>
  <c r="IM21" i="14"/>
  <c r="IN21" i="14"/>
  <c r="IO21" i="14"/>
  <c r="IP21" i="14"/>
  <c r="IQ21" i="14"/>
  <c r="IR21" i="14"/>
  <c r="IS21" i="14"/>
  <c r="IT21" i="14"/>
  <c r="IU21" i="14"/>
  <c r="IV21" i="14"/>
  <c r="IW21" i="14"/>
  <c r="IX21" i="14"/>
  <c r="IY21" i="14"/>
  <c r="IZ21" i="14"/>
  <c r="JA21" i="14"/>
  <c r="JB21" i="14"/>
  <c r="JC21" i="14"/>
  <c r="JD21" i="14"/>
  <c r="JE21" i="14"/>
  <c r="JF21" i="14"/>
  <c r="JG21" i="14"/>
  <c r="JH21" i="14"/>
  <c r="JI21" i="14"/>
  <c r="JJ21" i="14"/>
  <c r="JK21" i="14"/>
  <c r="JL21" i="14"/>
  <c r="JM21" i="14"/>
  <c r="JN21" i="14"/>
  <c r="JO21" i="14"/>
  <c r="JP21" i="14"/>
  <c r="JQ21" i="14"/>
  <c r="JR21" i="14"/>
  <c r="JS21" i="14"/>
  <c r="JT21" i="14"/>
  <c r="JU21" i="14"/>
  <c r="JV21" i="14"/>
  <c r="JW21" i="14"/>
  <c r="JX21" i="14"/>
  <c r="JY21" i="14"/>
  <c r="JZ21" i="14"/>
  <c r="KA21" i="14"/>
  <c r="KB21" i="14"/>
  <c r="KC21" i="14"/>
  <c r="KD21" i="14"/>
  <c r="KE21" i="14"/>
  <c r="KF21" i="14"/>
  <c r="KG21" i="14"/>
  <c r="KH21" i="14"/>
  <c r="KI21" i="14"/>
  <c r="KJ21" i="14"/>
  <c r="KK21" i="14"/>
  <c r="KL21" i="14"/>
  <c r="KM21" i="14"/>
  <c r="KN21" i="14"/>
  <c r="AC21" i="14"/>
  <c r="AD21" i="14"/>
  <c r="AB21" i="14"/>
  <c r="NO11" i="18" l="1"/>
  <c r="C10" i="18"/>
  <c r="K11" i="18"/>
  <c r="K9" i="18" s="1"/>
  <c r="J9" i="18"/>
  <c r="NR11" i="18"/>
  <c r="J30" i="18"/>
  <c r="K30" i="18"/>
  <c r="A2" i="4"/>
  <c r="C13" i="4" s="1"/>
  <c r="NM14" i="1"/>
  <c r="NM15" i="1" s="1"/>
  <c r="B34" i="6"/>
  <c r="B7" i="6"/>
  <c r="C7" i="6"/>
  <c r="D7" i="6"/>
  <c r="B8" i="6"/>
  <c r="C8" i="6"/>
  <c r="D8" i="6"/>
  <c r="B9" i="6"/>
  <c r="C9" i="6"/>
  <c r="D9" i="6"/>
  <c r="B10" i="6"/>
  <c r="C10" i="6"/>
  <c r="D10" i="6"/>
  <c r="B11" i="6"/>
  <c r="C11" i="6"/>
  <c r="D11" i="6"/>
  <c r="C12" i="6"/>
  <c r="D12" i="6"/>
  <c r="C13" i="6"/>
  <c r="D13" i="6"/>
  <c r="B14" i="6"/>
  <c r="C14" i="6"/>
  <c r="D14" i="6"/>
  <c r="B15" i="6"/>
  <c r="C15" i="6"/>
  <c r="D15" i="6"/>
  <c r="B16" i="6"/>
  <c r="C16" i="6"/>
  <c r="D16" i="6"/>
  <c r="B17" i="6"/>
  <c r="C17" i="6"/>
  <c r="B18" i="6"/>
  <c r="C18" i="6"/>
  <c r="D18" i="6"/>
  <c r="B19" i="6"/>
  <c r="C19" i="6"/>
  <c r="D19" i="6"/>
  <c r="B20" i="6"/>
  <c r="C20" i="6"/>
  <c r="D20" i="6"/>
  <c r="B21" i="6"/>
  <c r="C21" i="6"/>
  <c r="D21" i="6"/>
  <c r="B22" i="6"/>
  <c r="C22" i="6"/>
  <c r="D22" i="6"/>
  <c r="B23" i="6"/>
  <c r="C23" i="6"/>
  <c r="D23" i="6"/>
  <c r="B24" i="6"/>
  <c r="C24" i="6"/>
  <c r="D24" i="6"/>
  <c r="E24" i="6"/>
  <c r="F24" i="6"/>
  <c r="B25" i="6"/>
  <c r="C25" i="6"/>
  <c r="D25" i="6"/>
  <c r="E25" i="6"/>
  <c r="F25" i="6"/>
  <c r="B26" i="6"/>
  <c r="C26" i="6"/>
  <c r="D26" i="6"/>
  <c r="E26" i="6"/>
  <c r="F26" i="6"/>
  <c r="B27" i="6"/>
  <c r="C27" i="6"/>
  <c r="D27" i="6"/>
  <c r="E27" i="6"/>
  <c r="F27" i="6"/>
  <c r="B28" i="6"/>
  <c r="C28" i="6"/>
  <c r="D28" i="6"/>
  <c r="B29" i="6"/>
  <c r="C29" i="6"/>
  <c r="D29" i="6"/>
  <c r="E29" i="6"/>
  <c r="F29" i="6"/>
  <c r="B30" i="6"/>
  <c r="C30" i="6"/>
  <c r="D30" i="6"/>
  <c r="E30" i="6"/>
  <c r="F30" i="6"/>
  <c r="B31" i="6"/>
  <c r="C31" i="6"/>
  <c r="D31" i="6"/>
  <c r="E31" i="6"/>
  <c r="F31" i="6"/>
  <c r="B32" i="6"/>
  <c r="C32" i="6"/>
  <c r="D32" i="6"/>
  <c r="E32" i="6"/>
  <c r="F32" i="6"/>
  <c r="B33" i="6"/>
  <c r="C33" i="6"/>
  <c r="D33" i="6"/>
  <c r="E33" i="6"/>
  <c r="F33" i="6"/>
  <c r="C34" i="6"/>
  <c r="D34" i="6"/>
  <c r="B35" i="6"/>
  <c r="C35" i="6"/>
  <c r="D35" i="6"/>
  <c r="E35" i="6"/>
  <c r="F35" i="6"/>
  <c r="B36" i="6"/>
  <c r="C36" i="6"/>
  <c r="D36" i="6"/>
  <c r="E36" i="6"/>
  <c r="F36" i="6"/>
  <c r="B37" i="6"/>
  <c r="C37" i="6"/>
  <c r="D37" i="6"/>
  <c r="E37" i="6"/>
  <c r="F37" i="6"/>
  <c r="B38" i="6"/>
  <c r="C38" i="6"/>
  <c r="D38" i="6"/>
  <c r="E38" i="6"/>
  <c r="F38" i="6"/>
  <c r="K10" i="18" l="1"/>
  <c r="L11" i="18"/>
  <c r="L10" i="18" s="1"/>
  <c r="NT11" i="18"/>
  <c r="NS11" i="18"/>
  <c r="C10" i="4"/>
  <c r="C3" i="4"/>
  <c r="C11" i="4"/>
  <c r="C6" i="4"/>
  <c r="C14" i="4"/>
  <c r="C7" i="4"/>
  <c r="C8" i="4"/>
  <c r="C9" i="4"/>
  <c r="C4" i="4"/>
  <c r="C12" i="4"/>
  <c r="C5" i="4"/>
  <c r="NM12" i="1"/>
  <c r="NM26" i="1"/>
  <c r="NM27" i="1" s="1"/>
  <c r="NM24" i="1"/>
  <c r="NM25" i="1" s="1"/>
  <c r="NM22" i="1"/>
  <c r="NM23" i="1" s="1"/>
  <c r="NM20" i="1"/>
  <c r="NM21" i="1" s="1"/>
  <c r="NM18" i="1"/>
  <c r="NM19" i="1" s="1"/>
  <c r="BF4" i="6"/>
  <c r="BE4" i="6"/>
  <c r="BD4" i="6"/>
  <c r="BC4" i="6"/>
  <c r="BB4" i="6"/>
  <c r="BA4" i="6"/>
  <c r="AZ4" i="6"/>
  <c r="AY4" i="6"/>
  <c r="AX4" i="6"/>
  <c r="AW4" i="6"/>
  <c r="AV4" i="6"/>
  <c r="BF2" i="6"/>
  <c r="BE2" i="6"/>
  <c r="BD2" i="6"/>
  <c r="BC2" i="6"/>
  <c r="BB2" i="6"/>
  <c r="BA2" i="6"/>
  <c r="AZ2" i="6"/>
  <c r="AY2" i="6"/>
  <c r="AX2" i="6"/>
  <c r="AW2" i="6"/>
  <c r="AV2" i="6"/>
  <c r="AS4" i="6"/>
  <c r="AR4" i="6"/>
  <c r="AQ4" i="6"/>
  <c r="AP4" i="6"/>
  <c r="AO4" i="6"/>
  <c r="AN4" i="6"/>
  <c r="AM4" i="6"/>
  <c r="AL4" i="6"/>
  <c r="AK4" i="6"/>
  <c r="AJ4" i="6"/>
  <c r="AI4" i="6"/>
  <c r="AS2" i="6"/>
  <c r="AR2" i="6"/>
  <c r="AQ2" i="6"/>
  <c r="AP2" i="6"/>
  <c r="AO2" i="6"/>
  <c r="AN2" i="6"/>
  <c r="AM2" i="6"/>
  <c r="AL2" i="6"/>
  <c r="AK2" i="6"/>
  <c r="AJ2" i="6"/>
  <c r="AI2" i="6"/>
  <c r="A1" i="6"/>
  <c r="U3" i="6" s="1"/>
  <c r="NN11" i="1"/>
  <c r="NP11" i="1" s="1"/>
  <c r="NR11" i="1" s="1"/>
  <c r="NT11" i="1" s="1"/>
  <c r="NV11" i="1" s="1"/>
  <c r="NX11" i="1" s="1"/>
  <c r="NZ11" i="1" s="1"/>
  <c r="OB11" i="1" s="1"/>
  <c r="OD11" i="1" s="1"/>
  <c r="OF11" i="1" s="1"/>
  <c r="OH11" i="1" s="1"/>
  <c r="OJ11" i="1" s="1"/>
  <c r="NM13" i="1" l="1"/>
  <c r="M11" i="18"/>
  <c r="M30" i="18" s="1"/>
  <c r="L30" i="18"/>
  <c r="L9" i="18"/>
  <c r="NV11" i="18"/>
  <c r="NU11" i="18"/>
  <c r="AU3" i="6"/>
  <c r="AU4" i="6" s="1"/>
  <c r="AH3" i="6"/>
  <c r="BI3" i="6"/>
  <c r="BN3" i="6" s="1"/>
  <c r="BS3" i="6" s="1"/>
  <c r="BX3" i="6" s="1"/>
  <c r="CC3" i="6" s="1"/>
  <c r="CH3" i="6" s="1"/>
  <c r="CM3" i="6" s="1"/>
  <c r="CR3" i="6" s="1"/>
  <c r="CW3" i="6" s="1"/>
  <c r="DB3" i="6" s="1"/>
  <c r="DG3" i="6" s="1"/>
  <c r="DL3" i="6" s="1"/>
  <c r="H3" i="6"/>
  <c r="I3" i="6" s="1"/>
  <c r="J3" i="6" s="1"/>
  <c r="K3" i="6" s="1"/>
  <c r="L3" i="6" s="1"/>
  <c r="M3" i="6" s="1"/>
  <c r="N3" i="6" s="1"/>
  <c r="O3" i="6" s="1"/>
  <c r="P3" i="6" s="1"/>
  <c r="Q3" i="6" s="1"/>
  <c r="R3" i="6" s="1"/>
  <c r="S3" i="6" s="1"/>
  <c r="M9" i="18" l="1"/>
  <c r="M10" i="18"/>
  <c r="N11" i="18"/>
  <c r="N30" i="18" s="1"/>
  <c r="O11" i="18"/>
  <c r="N10" i="18"/>
  <c r="N9" i="18"/>
  <c r="NX11" i="18"/>
  <c r="NW11" i="18"/>
  <c r="AU2" i="6"/>
  <c r="AH2" i="6"/>
  <c r="AH4" i="6"/>
  <c r="O30" i="18" l="1"/>
  <c r="P11" i="18"/>
  <c r="O10" i="18"/>
  <c r="O9" i="18"/>
  <c r="NY11" i="18"/>
  <c r="NZ11" i="18"/>
  <c r="OK11" i="1"/>
  <c r="OI11" i="1"/>
  <c r="OG11" i="1"/>
  <c r="OE11" i="1"/>
  <c r="OC11" i="1"/>
  <c r="OA11" i="1"/>
  <c r="NY11" i="1"/>
  <c r="NW11" i="1"/>
  <c r="NU11" i="1"/>
  <c r="NS11" i="1"/>
  <c r="NQ11" i="1"/>
  <c r="NO11" i="1"/>
  <c r="OB11" i="18" l="1"/>
  <c r="OA11" i="18"/>
  <c r="P30" i="18"/>
  <c r="Q11" i="18"/>
  <c r="P9" i="18"/>
  <c r="P10" i="18"/>
  <c r="D18" i="4"/>
  <c r="J11" i="1"/>
  <c r="NO21" i="18" a="1"/>
  <c r="NN23" i="18" a="1"/>
  <c r="NN17" i="18" a="1"/>
  <c r="NO27" i="18" a="1"/>
  <c r="NO25" i="18" a="1"/>
  <c r="NO14" i="18"/>
  <c r="NO22" i="18"/>
  <c r="NN25" i="18" a="1"/>
  <c r="NO13" i="18" a="1"/>
  <c r="NN19" i="18" a="1"/>
  <c r="NN13" i="18" a="1"/>
  <c r="NO20" i="18"/>
  <c r="NN21" i="18" a="1"/>
  <c r="NO15" i="18" a="1"/>
  <c r="NO12" i="18"/>
  <c r="NO28" i="18"/>
  <c r="NN29" i="18" a="1"/>
  <c r="NO17" i="18" a="1"/>
  <c r="NN15" i="18" a="1"/>
  <c r="NO18" i="18"/>
  <c r="NO24" i="18"/>
  <c r="NO16" i="18"/>
  <c r="NO29" i="18" a="1"/>
  <c r="NN27" i="18" a="1"/>
  <c r="NO23" i="18" a="1"/>
  <c r="NO19" i="18" a="1"/>
  <c r="NO26" i="18"/>
  <c r="NN21" i="18" l="1"/>
  <c r="NO25" i="18"/>
  <c r="NN13" i="18"/>
  <c r="NO17" i="18"/>
  <c r="NO19" i="18"/>
  <c r="NN15" i="18"/>
  <c r="NO13" i="18"/>
  <c r="NO15" i="18"/>
  <c r="NO29" i="18"/>
  <c r="NN17" i="18"/>
  <c r="NN29" i="18"/>
  <c r="NO27" i="18"/>
  <c r="NN27" i="18"/>
  <c r="NN23" i="18"/>
  <c r="NO23" i="18"/>
  <c r="NN25" i="18"/>
  <c r="NO21" i="18"/>
  <c r="NN19" i="18"/>
  <c r="J54" i="1"/>
  <c r="OD11" i="18"/>
  <c r="OC11" i="18"/>
  <c r="Q30" i="18"/>
  <c r="R11" i="18"/>
  <c r="Q9" i="18"/>
  <c r="Q10" i="18"/>
  <c r="K11" i="1"/>
  <c r="K54" i="1" s="1"/>
  <c r="NN26" i="18"/>
  <c r="NN16" i="18"/>
  <c r="NN24" i="18"/>
  <c r="NN22" i="18"/>
  <c r="NN20" i="18"/>
  <c r="NN14" i="18"/>
  <c r="NN18" i="18"/>
  <c r="NN28" i="18"/>
  <c r="NN12" i="18"/>
  <c r="R9" i="18" l="1"/>
  <c r="R30" i="18"/>
  <c r="R10" i="18"/>
  <c r="S11" i="18"/>
  <c r="OE11" i="18"/>
  <c r="OF11" i="18"/>
  <c r="L11" i="1"/>
  <c r="L54" i="1" s="1"/>
  <c r="S30" i="18" l="1"/>
  <c r="T11" i="18"/>
  <c r="S10" i="18"/>
  <c r="S9" i="18"/>
  <c r="OG11" i="18"/>
  <c r="OH11" i="18"/>
  <c r="M11" i="1"/>
  <c r="M54" i="1" s="1"/>
  <c r="OJ11" i="18" l="1"/>
  <c r="OI11" i="18"/>
  <c r="U11" i="18"/>
  <c r="T10" i="18"/>
  <c r="T30" i="18"/>
  <c r="T9" i="18"/>
  <c r="N11" i="1"/>
  <c r="N54" i="1" s="1"/>
  <c r="U30" i="18" l="1"/>
  <c r="U10" i="18"/>
  <c r="U9" i="18"/>
  <c r="V11" i="18"/>
  <c r="OK11" i="18"/>
  <c r="O11" i="1"/>
  <c r="O54" i="1" s="1"/>
  <c r="V30" i="18" l="1"/>
  <c r="W11" i="18"/>
  <c r="V10" i="18"/>
  <c r="V9" i="18"/>
  <c r="P11" i="1"/>
  <c r="P54" i="1" s="1"/>
  <c r="W30" i="18" l="1"/>
  <c r="X11" i="18"/>
  <c r="W10" i="18"/>
  <c r="W9" i="18"/>
  <c r="Q11" i="1"/>
  <c r="Q54" i="1" s="1"/>
  <c r="X30" i="18" l="1"/>
  <c r="Y11" i="18"/>
  <c r="X10" i="18"/>
  <c r="X9" i="18"/>
  <c r="R11" i="1"/>
  <c r="R54" i="1" s="1"/>
  <c r="Y30" i="18" l="1"/>
  <c r="Y10" i="18"/>
  <c r="Y9" i="18"/>
  <c r="Z11" i="18"/>
  <c r="S11" i="1"/>
  <c r="S54" i="1" s="1"/>
  <c r="Z30" i="18" l="1"/>
  <c r="Z9" i="18"/>
  <c r="AA11" i="18"/>
  <c r="Z10" i="18"/>
  <c r="T11" i="1"/>
  <c r="T54" i="1" s="1"/>
  <c r="AA30" i="18" l="1"/>
  <c r="AB11" i="18"/>
  <c r="AA10" i="18"/>
  <c r="AA9" i="18"/>
  <c r="U11" i="1"/>
  <c r="U54" i="1" s="1"/>
  <c r="AB30" i="18" l="1"/>
  <c r="AC11" i="18"/>
  <c r="AB10" i="18"/>
  <c r="AB9" i="18"/>
  <c r="V11" i="1"/>
  <c r="V54" i="1" s="1"/>
  <c r="AC30" i="18" l="1"/>
  <c r="AD11" i="18"/>
  <c r="AC9" i="18"/>
  <c r="AC10" i="18"/>
  <c r="W11" i="1"/>
  <c r="W54" i="1" s="1"/>
  <c r="AD30" i="18" l="1"/>
  <c r="AE11" i="18"/>
  <c r="AD9" i="18"/>
  <c r="AD10" i="18"/>
  <c r="X11" i="1"/>
  <c r="X54" i="1" s="1"/>
  <c r="AE30" i="18" l="1"/>
  <c r="AF11" i="18"/>
  <c r="AE9" i="18"/>
  <c r="AE10" i="18"/>
  <c r="Y11" i="1"/>
  <c r="Y54" i="1" s="1"/>
  <c r="AF30" i="18" l="1"/>
  <c r="AG11" i="18"/>
  <c r="AF9" i="18"/>
  <c r="AF10" i="18"/>
  <c r="Z11" i="1"/>
  <c r="Z54" i="1" s="1"/>
  <c r="AG30" i="18" l="1"/>
  <c r="AG9" i="18"/>
  <c r="AH11" i="18"/>
  <c r="AG10" i="18"/>
  <c r="AA11" i="1"/>
  <c r="AA54" i="1" s="1"/>
  <c r="AH30" i="18" l="1"/>
  <c r="AH9" i="18"/>
  <c r="AI11" i="18"/>
  <c r="AH10" i="18"/>
  <c r="AB11" i="1"/>
  <c r="AB54" i="1" s="1"/>
  <c r="AI30" i="18" l="1"/>
  <c r="AJ11" i="18"/>
  <c r="AI10" i="18"/>
  <c r="AI9" i="18"/>
  <c r="AC11" i="1"/>
  <c r="AC54" i="1" s="1"/>
  <c r="AJ30" i="18" l="1"/>
  <c r="AK11" i="18"/>
  <c r="AJ10" i="18"/>
  <c r="AJ9" i="18"/>
  <c r="AD11" i="1"/>
  <c r="AD54" i="1" s="1"/>
  <c r="AK30" i="18" l="1"/>
  <c r="AL11" i="18"/>
  <c r="AK10" i="18"/>
  <c r="AK9" i="18"/>
  <c r="AE11" i="1"/>
  <c r="AE54" i="1" s="1"/>
  <c r="AL30" i="18" l="1"/>
  <c r="AM11" i="18"/>
  <c r="AL9" i="18"/>
  <c r="AL10" i="18"/>
  <c r="AF11" i="1"/>
  <c r="AF54" i="1" s="1"/>
  <c r="AM30" i="18" l="1"/>
  <c r="AN11" i="18"/>
  <c r="AM9" i="18"/>
  <c r="AM10" i="18"/>
  <c r="AG11" i="1"/>
  <c r="AG54" i="1" s="1"/>
  <c r="AN30" i="18" l="1"/>
  <c r="AO11" i="18"/>
  <c r="AN9" i="18"/>
  <c r="AN10" i="18"/>
  <c r="AH11" i="1"/>
  <c r="AH54" i="1" s="1"/>
  <c r="AO30" i="18" l="1"/>
  <c r="AO9" i="18"/>
  <c r="AO10" i="18"/>
  <c r="AP11" i="18"/>
  <c r="AI11" i="1"/>
  <c r="AI54" i="1" s="1"/>
  <c r="AN144" i="16"/>
  <c r="BA142" i="16"/>
  <c r="AZ142" i="16"/>
  <c r="AY142" i="16"/>
  <c r="AX142" i="16"/>
  <c r="AW142" i="16"/>
  <c r="AV142" i="16"/>
  <c r="AU142" i="16"/>
  <c r="AT142" i="16"/>
  <c r="AS142" i="16"/>
  <c r="AR142" i="16"/>
  <c r="AQ142" i="16"/>
  <c r="AP142" i="16"/>
  <c r="AO142" i="16"/>
  <c r="U142" i="16"/>
  <c r="AN141" i="16"/>
  <c r="AM141" i="16"/>
  <c r="AL141" i="16"/>
  <c r="AK141" i="16"/>
  <c r="AJ141" i="16"/>
  <c r="AI141" i="16"/>
  <c r="AH141" i="16"/>
  <c r="AG141" i="16"/>
  <c r="AF141" i="16"/>
  <c r="AE141" i="16"/>
  <c r="AD141" i="16"/>
  <c r="AC141" i="16"/>
  <c r="AB141" i="16"/>
  <c r="AA141" i="16"/>
  <c r="Z141" i="16"/>
  <c r="Y141" i="16"/>
  <c r="X141" i="16"/>
  <c r="W141" i="16"/>
  <c r="V141" i="16"/>
  <c r="AN137" i="16"/>
  <c r="AM137" i="16"/>
  <c r="AM139" i="16" s="1"/>
  <c r="AM138" i="16" s="1"/>
  <c r="AL137" i="16"/>
  <c r="AK137" i="16"/>
  <c r="AJ137" i="16"/>
  <c r="AJ139" i="16" s="1"/>
  <c r="AJ138" i="16" s="1"/>
  <c r="AI137" i="16"/>
  <c r="AI139" i="16" s="1"/>
  <c r="AI138" i="16" s="1"/>
  <c r="AH137" i="16"/>
  <c r="AH139" i="16" s="1"/>
  <c r="AH138" i="16" s="1"/>
  <c r="AG137" i="16"/>
  <c r="AG139" i="16" s="1"/>
  <c r="AG138" i="16" s="1"/>
  <c r="AF137" i="16"/>
  <c r="AF139" i="16" s="1"/>
  <c r="AF138" i="16" s="1"/>
  <c r="AE137" i="16"/>
  <c r="AD137" i="16"/>
  <c r="AD139" i="16" s="1"/>
  <c r="AD138" i="16" s="1"/>
  <c r="AC137" i="16"/>
  <c r="AB137" i="16"/>
  <c r="AB139" i="16" s="1"/>
  <c r="AB138" i="16" s="1"/>
  <c r="AA137" i="16"/>
  <c r="AA139" i="16" s="1"/>
  <c r="AA138" i="16" s="1"/>
  <c r="Z137" i="16"/>
  <c r="Z139" i="16" s="1"/>
  <c r="Z138" i="16" s="1"/>
  <c r="Y137" i="16"/>
  <c r="Y139" i="16" s="1"/>
  <c r="Y138" i="16" s="1"/>
  <c r="X137" i="16"/>
  <c r="X139" i="16" s="1"/>
  <c r="X138" i="16" s="1"/>
  <c r="W137" i="16"/>
  <c r="W139" i="16" s="1"/>
  <c r="W138" i="16" s="1"/>
  <c r="V137" i="16"/>
  <c r="BA129" i="16"/>
  <c r="AZ129" i="16"/>
  <c r="AY129" i="16"/>
  <c r="AX129" i="16"/>
  <c r="AW129" i="16"/>
  <c r="AV129" i="16"/>
  <c r="AU129" i="16"/>
  <c r="AT129" i="16"/>
  <c r="AS129" i="16"/>
  <c r="AR129" i="16"/>
  <c r="AQ129" i="16"/>
  <c r="AP129" i="16"/>
  <c r="AO129" i="16"/>
  <c r="U129" i="16"/>
  <c r="T129" i="16"/>
  <c r="S129" i="16"/>
  <c r="R129" i="16"/>
  <c r="Q129" i="16"/>
  <c r="P129" i="16"/>
  <c r="O129" i="16"/>
  <c r="N129" i="16"/>
  <c r="M129" i="16"/>
  <c r="L129" i="16"/>
  <c r="K129" i="16"/>
  <c r="J129" i="16"/>
  <c r="I129" i="16"/>
  <c r="H129" i="16"/>
  <c r="G129" i="16"/>
  <c r="F129" i="16"/>
  <c r="BA128" i="16"/>
  <c r="AZ128" i="16"/>
  <c r="AY128" i="16"/>
  <c r="AX128" i="16"/>
  <c r="AW128" i="16"/>
  <c r="AV128" i="16"/>
  <c r="AU128" i="16"/>
  <c r="AT128" i="16"/>
  <c r="AS128" i="16"/>
  <c r="AR128" i="16"/>
  <c r="AQ128" i="16"/>
  <c r="AP128" i="16"/>
  <c r="AO128" i="16"/>
  <c r="U128" i="16"/>
  <c r="T128" i="16"/>
  <c r="S128" i="16"/>
  <c r="R128" i="16"/>
  <c r="Q128" i="16"/>
  <c r="P128" i="16"/>
  <c r="O128" i="16"/>
  <c r="N128" i="16"/>
  <c r="M128" i="16"/>
  <c r="L128" i="16"/>
  <c r="K128" i="16"/>
  <c r="J128" i="16"/>
  <c r="I128" i="16"/>
  <c r="H128" i="16"/>
  <c r="G128" i="16"/>
  <c r="F128" i="16"/>
  <c r="BA127" i="16"/>
  <c r="AZ127" i="16"/>
  <c r="AY127" i="16"/>
  <c r="AX127" i="16"/>
  <c r="AW127" i="16"/>
  <c r="AV127" i="16"/>
  <c r="AU127" i="16"/>
  <c r="AT127" i="16"/>
  <c r="AS127" i="16"/>
  <c r="AR127" i="16"/>
  <c r="AQ127" i="16"/>
  <c r="AP127" i="16"/>
  <c r="AO127" i="16"/>
  <c r="U127" i="16"/>
  <c r="T127" i="16"/>
  <c r="S127" i="16"/>
  <c r="R127" i="16"/>
  <c r="Q127" i="16"/>
  <c r="P127" i="16"/>
  <c r="O127" i="16"/>
  <c r="N127" i="16"/>
  <c r="M127" i="16"/>
  <c r="L127" i="16"/>
  <c r="K127" i="16"/>
  <c r="J127" i="16"/>
  <c r="I127" i="16"/>
  <c r="H127" i="16"/>
  <c r="G127" i="16"/>
  <c r="F127" i="16"/>
  <c r="BD126" i="16"/>
  <c r="BA126" i="16"/>
  <c r="AZ126" i="16"/>
  <c r="AY126" i="16"/>
  <c r="AX126" i="16"/>
  <c r="AW126" i="16"/>
  <c r="AV126" i="16"/>
  <c r="AU126" i="16"/>
  <c r="AT126" i="16"/>
  <c r="AS126" i="16"/>
  <c r="AR126" i="16"/>
  <c r="AQ126" i="16"/>
  <c r="AP126" i="16"/>
  <c r="AO126" i="16"/>
  <c r="U126" i="16"/>
  <c r="T126" i="16"/>
  <c r="S126" i="16"/>
  <c r="R126" i="16"/>
  <c r="Q126" i="16"/>
  <c r="P126" i="16"/>
  <c r="O126" i="16"/>
  <c r="N126" i="16"/>
  <c r="M126" i="16"/>
  <c r="L126" i="16"/>
  <c r="K126" i="16"/>
  <c r="J126" i="16"/>
  <c r="I126" i="16"/>
  <c r="H126" i="16"/>
  <c r="G126" i="16"/>
  <c r="F126" i="16"/>
  <c r="BA125" i="16"/>
  <c r="AZ125" i="16"/>
  <c r="AY125" i="16"/>
  <c r="AX125" i="16"/>
  <c r="AW125" i="16"/>
  <c r="AV125" i="16"/>
  <c r="AU125" i="16"/>
  <c r="AT125" i="16"/>
  <c r="AS125" i="16"/>
  <c r="AR125" i="16"/>
  <c r="AQ125" i="16"/>
  <c r="AP125" i="16"/>
  <c r="AO125" i="16"/>
  <c r="U125" i="16"/>
  <c r="T125" i="16"/>
  <c r="S125" i="16"/>
  <c r="R125" i="16"/>
  <c r="Q125" i="16"/>
  <c r="P125" i="16"/>
  <c r="O125" i="16"/>
  <c r="N125" i="16"/>
  <c r="M125" i="16"/>
  <c r="L125" i="16"/>
  <c r="K125" i="16"/>
  <c r="J125" i="16"/>
  <c r="I125" i="16"/>
  <c r="H125" i="16"/>
  <c r="G125" i="16"/>
  <c r="F125" i="16"/>
  <c r="BA124" i="16"/>
  <c r="AZ124" i="16"/>
  <c r="AY124" i="16"/>
  <c r="AX124" i="16"/>
  <c r="AW124" i="16"/>
  <c r="AV124" i="16"/>
  <c r="AU124" i="16"/>
  <c r="AT124" i="16"/>
  <c r="AS124" i="16"/>
  <c r="AR124" i="16"/>
  <c r="AQ124" i="16"/>
  <c r="AP124" i="16"/>
  <c r="AO124" i="16"/>
  <c r="U124" i="16"/>
  <c r="T124" i="16"/>
  <c r="S124" i="16"/>
  <c r="R124" i="16"/>
  <c r="Q124" i="16"/>
  <c r="P124" i="16"/>
  <c r="O124" i="16"/>
  <c r="N124" i="16"/>
  <c r="M124" i="16"/>
  <c r="L124" i="16"/>
  <c r="K124" i="16"/>
  <c r="J124" i="16"/>
  <c r="I124" i="16"/>
  <c r="H124" i="16"/>
  <c r="G124" i="16"/>
  <c r="F124" i="16"/>
  <c r="BA123" i="16"/>
  <c r="AZ123" i="16"/>
  <c r="AY123" i="16"/>
  <c r="AX123" i="16"/>
  <c r="AW123" i="16"/>
  <c r="AV123" i="16"/>
  <c r="AU123" i="16"/>
  <c r="AT123" i="16"/>
  <c r="AS123" i="16"/>
  <c r="AR123" i="16"/>
  <c r="AQ123" i="16"/>
  <c r="AP123" i="16"/>
  <c r="AO123" i="16"/>
  <c r="U123" i="16"/>
  <c r="T123" i="16"/>
  <c r="S123" i="16"/>
  <c r="R123" i="16"/>
  <c r="Q123" i="16"/>
  <c r="P123" i="16"/>
  <c r="O123" i="16"/>
  <c r="N123" i="16"/>
  <c r="M123" i="16"/>
  <c r="L123" i="16"/>
  <c r="K123" i="16"/>
  <c r="J123" i="16"/>
  <c r="I123" i="16"/>
  <c r="H123" i="16"/>
  <c r="G123" i="16"/>
  <c r="F123" i="16"/>
  <c r="BA122" i="16"/>
  <c r="AZ122" i="16"/>
  <c r="AY122" i="16"/>
  <c r="AX122" i="16"/>
  <c r="AW122" i="16"/>
  <c r="AV122" i="16"/>
  <c r="AU122" i="16"/>
  <c r="AT122" i="16"/>
  <c r="AS122" i="16"/>
  <c r="AR122" i="16"/>
  <c r="AQ122" i="16"/>
  <c r="AP122" i="16"/>
  <c r="AO122" i="16"/>
  <c r="U122" i="16"/>
  <c r="T122" i="16"/>
  <c r="S122" i="16"/>
  <c r="R122" i="16"/>
  <c r="Q122" i="16"/>
  <c r="P122" i="16"/>
  <c r="O122" i="16"/>
  <c r="N122" i="16"/>
  <c r="M122" i="16"/>
  <c r="L122" i="16"/>
  <c r="K122" i="16"/>
  <c r="J122" i="16"/>
  <c r="I122" i="16"/>
  <c r="H122" i="16"/>
  <c r="G122" i="16"/>
  <c r="F122" i="16"/>
  <c r="AN96" i="16"/>
  <c r="BA94" i="16"/>
  <c r="AZ94" i="16"/>
  <c r="AY94" i="16"/>
  <c r="AX94" i="16"/>
  <c r="AW94" i="16"/>
  <c r="AV94" i="16"/>
  <c r="AU94" i="16"/>
  <c r="AT94" i="16"/>
  <c r="AS94" i="16"/>
  <c r="AR94" i="16"/>
  <c r="AQ94" i="16"/>
  <c r="AP94" i="16"/>
  <c r="AO94" i="16"/>
  <c r="U94" i="16"/>
  <c r="D94" i="16"/>
  <c r="AN93" i="16"/>
  <c r="AM93" i="16"/>
  <c r="AL93" i="16"/>
  <c r="AK93" i="16"/>
  <c r="AJ93" i="16"/>
  <c r="AI93" i="16"/>
  <c r="AH93" i="16"/>
  <c r="AG93" i="16"/>
  <c r="AF93" i="16"/>
  <c r="AE93" i="16"/>
  <c r="AD93" i="16"/>
  <c r="AC93" i="16"/>
  <c r="AB93" i="16"/>
  <c r="AA93" i="16"/>
  <c r="Z93" i="16"/>
  <c r="Y93" i="16"/>
  <c r="X93" i="16"/>
  <c r="W93" i="16"/>
  <c r="V93" i="16"/>
  <c r="D93" i="16"/>
  <c r="AN89" i="16"/>
  <c r="AN91" i="16" s="1"/>
  <c r="AN90" i="16" s="1"/>
  <c r="AM89" i="16"/>
  <c r="AL89" i="16"/>
  <c r="AK89" i="16"/>
  <c r="AK91" i="16" s="1"/>
  <c r="AK90" i="16" s="1"/>
  <c r="AJ89" i="16"/>
  <c r="AI89" i="16"/>
  <c r="AI91" i="16" s="1"/>
  <c r="AI90" i="16" s="1"/>
  <c r="AH89" i="16"/>
  <c r="AG89" i="16"/>
  <c r="AF89" i="16"/>
  <c r="AF91" i="16" s="1"/>
  <c r="AF90" i="16" s="1"/>
  <c r="AE89" i="16"/>
  <c r="AD89" i="16"/>
  <c r="AD91" i="16" s="1"/>
  <c r="AD90" i="16" s="1"/>
  <c r="AC89" i="16"/>
  <c r="AC91" i="16" s="1"/>
  <c r="AC90" i="16" s="1"/>
  <c r="AB89" i="16"/>
  <c r="AB91" i="16" s="1"/>
  <c r="AB90" i="16" s="1"/>
  <c r="AA89" i="16"/>
  <c r="AA91" i="16" s="1"/>
  <c r="AA90" i="16" s="1"/>
  <c r="Z89" i="16"/>
  <c r="Y89" i="16"/>
  <c r="X89" i="16"/>
  <c r="X91" i="16" s="1"/>
  <c r="X90" i="16" s="1"/>
  <c r="W89" i="16"/>
  <c r="V89" i="16"/>
  <c r="V91" i="16" s="1"/>
  <c r="V90" i="16" s="1"/>
  <c r="BZ83" i="16"/>
  <c r="BY83" i="16"/>
  <c r="BX83" i="16"/>
  <c r="BW83" i="16"/>
  <c r="BV83" i="16"/>
  <c r="BU83" i="16"/>
  <c r="BT83" i="16"/>
  <c r="BS83" i="16"/>
  <c r="BR83" i="16"/>
  <c r="BQ83" i="16"/>
  <c r="BP83" i="16"/>
  <c r="BO83" i="16"/>
  <c r="BN83" i="16"/>
  <c r="BM83" i="16"/>
  <c r="BL83" i="16"/>
  <c r="BK83" i="16"/>
  <c r="BJ83" i="16"/>
  <c r="BI83" i="16"/>
  <c r="BH83" i="16"/>
  <c r="BG83" i="16"/>
  <c r="BF83" i="16"/>
  <c r="B1" i="16"/>
  <c r="AP30" i="18" l="1"/>
  <c r="AP9" i="18"/>
  <c r="AP10" i="18"/>
  <c r="AQ11" i="18"/>
  <c r="AJ11" i="1"/>
  <c r="AJ54" i="1" s="1"/>
  <c r="AN145" i="16"/>
  <c r="AN139" i="16"/>
  <c r="AN138" i="16" s="1"/>
  <c r="AN97" i="16"/>
  <c r="AZ137" i="16"/>
  <c r="AR137" i="16"/>
  <c r="T137" i="16"/>
  <c r="L137" i="16"/>
  <c r="AY137" i="16"/>
  <c r="AQ137" i="16"/>
  <c r="S137" i="16"/>
  <c r="K137" i="16"/>
  <c r="AX137" i="16"/>
  <c r="AP137" i="16"/>
  <c r="R137" i="16"/>
  <c r="J137" i="16"/>
  <c r="AV137" i="16"/>
  <c r="P137" i="16"/>
  <c r="H137" i="16"/>
  <c r="AO137" i="16"/>
  <c r="M137" i="16"/>
  <c r="I137" i="16"/>
  <c r="AV89" i="16"/>
  <c r="P89" i="16"/>
  <c r="H89" i="16"/>
  <c r="G137" i="16"/>
  <c r="BA137" i="16"/>
  <c r="F137" i="16"/>
  <c r="AT137" i="16"/>
  <c r="O137" i="16"/>
  <c r="AY89" i="16"/>
  <c r="AQ89" i="16"/>
  <c r="S89" i="16"/>
  <c r="K89" i="16"/>
  <c r="AS137" i="16"/>
  <c r="AU89" i="16"/>
  <c r="L89" i="16"/>
  <c r="AT89" i="16"/>
  <c r="U89" i="16"/>
  <c r="J89" i="16"/>
  <c r="AS89" i="16"/>
  <c r="T89" i="16"/>
  <c r="I89" i="16"/>
  <c r="AR89" i="16"/>
  <c r="R89" i="16"/>
  <c r="G89" i="16"/>
  <c r="AW137" i="16"/>
  <c r="N137" i="16"/>
  <c r="AX89" i="16"/>
  <c r="N89" i="16"/>
  <c r="BA89" i="16"/>
  <c r="Q89" i="16"/>
  <c r="U137" i="16"/>
  <c r="AZ89" i="16"/>
  <c r="O89" i="16"/>
  <c r="Q137" i="16"/>
  <c r="AW89" i="16"/>
  <c r="M89" i="16"/>
  <c r="AO89" i="16"/>
  <c r="AU137" i="16"/>
  <c r="AP89" i="16"/>
  <c r="F89" i="16"/>
  <c r="Z91" i="16"/>
  <c r="Z90" i="16" s="1"/>
  <c r="AH91" i="16"/>
  <c r="AH90" i="16" s="1"/>
  <c r="Y91" i="16"/>
  <c r="Y90" i="16" s="1"/>
  <c r="AG91" i="16"/>
  <c r="AG90" i="16" s="1"/>
  <c r="AC139" i="16"/>
  <c r="AC138" i="16" s="1"/>
  <c r="AK139" i="16"/>
  <c r="AK138" i="16" s="1"/>
  <c r="W91" i="16"/>
  <c r="W90" i="16" s="1"/>
  <c r="BC89" i="16"/>
  <c r="AE91" i="16"/>
  <c r="AE90" i="16" s="1"/>
  <c r="AM91" i="16"/>
  <c r="AM90" i="16" s="1"/>
  <c r="AL91" i="16"/>
  <c r="AL90" i="16" s="1"/>
  <c r="BC94" i="16"/>
  <c r="BC93" i="16"/>
  <c r="BC142" i="16"/>
  <c r="AJ91" i="16"/>
  <c r="AJ90" i="16" s="1"/>
  <c r="AE139" i="16"/>
  <c r="AE138" i="16" s="1"/>
  <c r="BC137" i="16"/>
  <c r="V139" i="16"/>
  <c r="V138" i="16" s="1"/>
  <c r="AL139" i="16"/>
  <c r="AL138" i="16" s="1"/>
  <c r="BC141" i="16"/>
  <c r="W249" i="14"/>
  <c r="A249" i="14"/>
  <c r="W248" i="14"/>
  <c r="A248" i="14"/>
  <c r="W247" i="14"/>
  <c r="A247" i="14"/>
  <c r="W246" i="14"/>
  <c r="A246" i="14"/>
  <c r="W245" i="14"/>
  <c r="A245" i="14"/>
  <c r="W244" i="14"/>
  <c r="A244" i="14"/>
  <c r="W243" i="14"/>
  <c r="A243" i="14"/>
  <c r="W242" i="14"/>
  <c r="A242" i="14"/>
  <c r="W241" i="14"/>
  <c r="A241" i="14"/>
  <c r="W240" i="14"/>
  <c r="A240" i="14"/>
  <c r="W239" i="14"/>
  <c r="A239" i="14"/>
  <c r="W238" i="14"/>
  <c r="A238" i="14"/>
  <c r="W237" i="14"/>
  <c r="A237" i="14"/>
  <c r="W236" i="14"/>
  <c r="A236" i="14"/>
  <c r="W235" i="14"/>
  <c r="A235" i="14"/>
  <c r="W234" i="14"/>
  <c r="A234" i="14"/>
  <c r="W233" i="14"/>
  <c r="A233" i="14"/>
  <c r="W232" i="14"/>
  <c r="A232" i="14"/>
  <c r="W231" i="14"/>
  <c r="A231" i="14"/>
  <c r="W230" i="14"/>
  <c r="A230" i="14"/>
  <c r="W229" i="14"/>
  <c r="A229" i="14"/>
  <c r="W228" i="14"/>
  <c r="A228" i="14"/>
  <c r="W227" i="14"/>
  <c r="A227" i="14"/>
  <c r="W226" i="14"/>
  <c r="A226" i="14"/>
  <c r="W225" i="14"/>
  <c r="A225" i="14"/>
  <c r="W224" i="14"/>
  <c r="A224" i="14"/>
  <c r="W223" i="14"/>
  <c r="A223" i="14"/>
  <c r="W222" i="14"/>
  <c r="A222" i="14"/>
  <c r="W221" i="14"/>
  <c r="A221" i="14"/>
  <c r="W220" i="14"/>
  <c r="A220" i="14"/>
  <c r="W219" i="14"/>
  <c r="A219" i="14"/>
  <c r="W218" i="14"/>
  <c r="A218" i="14"/>
  <c r="W217" i="14"/>
  <c r="A217" i="14"/>
  <c r="W216" i="14"/>
  <c r="A216" i="14"/>
  <c r="W215" i="14"/>
  <c r="A215" i="14"/>
  <c r="W214" i="14"/>
  <c r="A214" i="14"/>
  <c r="W213" i="14"/>
  <c r="A213" i="14"/>
  <c r="W212" i="14"/>
  <c r="A212" i="14"/>
  <c r="W211" i="14"/>
  <c r="A211" i="14"/>
  <c r="W210" i="14"/>
  <c r="A210" i="14"/>
  <c r="W209" i="14"/>
  <c r="A209" i="14"/>
  <c r="W208" i="14"/>
  <c r="A208" i="14"/>
  <c r="W207" i="14"/>
  <c r="A207" i="14"/>
  <c r="W206" i="14"/>
  <c r="A206" i="14"/>
  <c r="W205" i="14"/>
  <c r="A205" i="14"/>
  <c r="W204" i="14"/>
  <c r="A204" i="14"/>
  <c r="W203" i="14"/>
  <c r="A203" i="14"/>
  <c r="W202" i="14"/>
  <c r="A202" i="14"/>
  <c r="W201" i="14"/>
  <c r="A201" i="14"/>
  <c r="W200" i="14"/>
  <c r="A200" i="14"/>
  <c r="W199" i="14"/>
  <c r="A199" i="14"/>
  <c r="W198" i="14"/>
  <c r="A198" i="14"/>
  <c r="W197" i="14"/>
  <c r="A197" i="14"/>
  <c r="W196" i="14"/>
  <c r="A196" i="14"/>
  <c r="W195" i="14"/>
  <c r="A195" i="14"/>
  <c r="W194" i="14"/>
  <c r="A194" i="14"/>
  <c r="W193" i="14"/>
  <c r="A193" i="14"/>
  <c r="W192" i="14"/>
  <c r="A192" i="14"/>
  <c r="W191" i="14"/>
  <c r="A191" i="14"/>
  <c r="W190" i="14"/>
  <c r="A190" i="14"/>
  <c r="W189" i="14"/>
  <c r="A189" i="14"/>
  <c r="W188" i="14"/>
  <c r="A188" i="14"/>
  <c r="W187" i="14"/>
  <c r="A187" i="14"/>
  <c r="W186" i="14"/>
  <c r="A186" i="14"/>
  <c r="W185" i="14"/>
  <c r="A185" i="14"/>
  <c r="W184" i="14"/>
  <c r="A184" i="14"/>
  <c r="W183" i="14"/>
  <c r="A183" i="14"/>
  <c r="W182" i="14"/>
  <c r="A182" i="14"/>
  <c r="W181" i="14"/>
  <c r="A181" i="14"/>
  <c r="W180" i="14"/>
  <c r="A180" i="14"/>
  <c r="W179" i="14"/>
  <c r="A179" i="14"/>
  <c r="W178" i="14"/>
  <c r="A178" i="14"/>
  <c r="W177" i="14"/>
  <c r="A177" i="14"/>
  <c r="W176" i="14"/>
  <c r="A176" i="14"/>
  <c r="W175" i="14"/>
  <c r="A175" i="14"/>
  <c r="W174" i="14"/>
  <c r="A174" i="14"/>
  <c r="W173" i="14"/>
  <c r="A173" i="14"/>
  <c r="W172" i="14"/>
  <c r="A172" i="14"/>
  <c r="W171" i="14"/>
  <c r="A171" i="14"/>
  <c r="W170" i="14"/>
  <c r="A170" i="14"/>
  <c r="W169" i="14"/>
  <c r="A169" i="14"/>
  <c r="W168" i="14"/>
  <c r="A168" i="14"/>
  <c r="W167" i="14"/>
  <c r="A167" i="14"/>
  <c r="W166" i="14"/>
  <c r="A166" i="14"/>
  <c r="W165" i="14"/>
  <c r="A165" i="14"/>
  <c r="W164" i="14"/>
  <c r="A164" i="14"/>
  <c r="W163" i="14"/>
  <c r="A163" i="14"/>
  <c r="W162" i="14"/>
  <c r="A162" i="14"/>
  <c r="W161" i="14"/>
  <c r="A161" i="14"/>
  <c r="W160" i="14"/>
  <c r="A160" i="14"/>
  <c r="W159" i="14"/>
  <c r="A159" i="14"/>
  <c r="W158" i="14"/>
  <c r="A158" i="14"/>
  <c r="W157" i="14"/>
  <c r="A157" i="14"/>
  <c r="W156" i="14"/>
  <c r="A156" i="14"/>
  <c r="W155" i="14"/>
  <c r="A155" i="14"/>
  <c r="W154" i="14"/>
  <c r="A154" i="14"/>
  <c r="W153" i="14"/>
  <c r="A153" i="14"/>
  <c r="W152" i="14"/>
  <c r="A152" i="14"/>
  <c r="W151" i="14"/>
  <c r="A151" i="14"/>
  <c r="W150" i="14"/>
  <c r="A150" i="14"/>
  <c r="W149" i="14"/>
  <c r="A149" i="14"/>
  <c r="W148" i="14"/>
  <c r="A148" i="14"/>
  <c r="W147" i="14"/>
  <c r="A147" i="14"/>
  <c r="W146" i="14"/>
  <c r="A146" i="14"/>
  <c r="W145" i="14"/>
  <c r="A145" i="14"/>
  <c r="W144" i="14"/>
  <c r="A144" i="14"/>
  <c r="W143" i="14"/>
  <c r="A143" i="14"/>
  <c r="W142" i="14"/>
  <c r="A142" i="14"/>
  <c r="W141" i="14"/>
  <c r="A141" i="14"/>
  <c r="W140" i="14"/>
  <c r="A140" i="14"/>
  <c r="W139" i="14"/>
  <c r="A139" i="14"/>
  <c r="W138" i="14"/>
  <c r="A138" i="14"/>
  <c r="W137" i="14"/>
  <c r="A137" i="14"/>
  <c r="W136" i="14"/>
  <c r="A136" i="14"/>
  <c r="W135" i="14"/>
  <c r="A135" i="14"/>
  <c r="W134" i="14"/>
  <c r="A134" i="14"/>
  <c r="W133" i="14"/>
  <c r="A133" i="14"/>
  <c r="W132" i="14"/>
  <c r="A132" i="14"/>
  <c r="W131" i="14"/>
  <c r="A131" i="14"/>
  <c r="W130" i="14"/>
  <c r="A130" i="14"/>
  <c r="W129" i="14"/>
  <c r="A129" i="14"/>
  <c r="W128" i="14"/>
  <c r="A128" i="14"/>
  <c r="W127" i="14"/>
  <c r="A127" i="14"/>
  <c r="W126" i="14"/>
  <c r="A126" i="14"/>
  <c r="W125" i="14"/>
  <c r="A125" i="14"/>
  <c r="W124" i="14"/>
  <c r="A124" i="14"/>
  <c r="W123" i="14"/>
  <c r="A123" i="14"/>
  <c r="W122" i="14"/>
  <c r="A122" i="14"/>
  <c r="W121" i="14"/>
  <c r="A121" i="14"/>
  <c r="W120" i="14"/>
  <c r="A120" i="14"/>
  <c r="W119" i="14"/>
  <c r="A119" i="14"/>
  <c r="W118" i="14"/>
  <c r="A118" i="14"/>
  <c r="W117" i="14"/>
  <c r="A117" i="14"/>
  <c r="W116" i="14"/>
  <c r="A116" i="14"/>
  <c r="W115" i="14"/>
  <c r="A115" i="14"/>
  <c r="W114" i="14"/>
  <c r="A114" i="14"/>
  <c r="W113" i="14"/>
  <c r="A113" i="14"/>
  <c r="W112" i="14"/>
  <c r="A112" i="14"/>
  <c r="W111" i="14"/>
  <c r="A111" i="14"/>
  <c r="W110" i="14"/>
  <c r="A110" i="14"/>
  <c r="W109" i="14"/>
  <c r="A109" i="14"/>
  <c r="W108" i="14"/>
  <c r="A108" i="14"/>
  <c r="W107" i="14"/>
  <c r="A107" i="14"/>
  <c r="W106" i="14"/>
  <c r="A106" i="14"/>
  <c r="W105" i="14"/>
  <c r="A105" i="14"/>
  <c r="W104" i="14"/>
  <c r="A104" i="14"/>
  <c r="W103" i="14"/>
  <c r="A103" i="14"/>
  <c r="W102" i="14"/>
  <c r="A102" i="14"/>
  <c r="W101" i="14"/>
  <c r="A101" i="14"/>
  <c r="W100" i="14"/>
  <c r="A100" i="14"/>
  <c r="W99" i="14"/>
  <c r="A99" i="14"/>
  <c r="W98" i="14"/>
  <c r="A98" i="14"/>
  <c r="W97" i="14"/>
  <c r="A97" i="14"/>
  <c r="W96" i="14"/>
  <c r="A96" i="14"/>
  <c r="W95" i="14"/>
  <c r="A95" i="14"/>
  <c r="W94" i="14"/>
  <c r="A94" i="14"/>
  <c r="W93" i="14"/>
  <c r="A93" i="14"/>
  <c r="W92" i="14"/>
  <c r="A92" i="14"/>
  <c r="W91" i="14"/>
  <c r="A91" i="14"/>
  <c r="W90" i="14"/>
  <c r="A90" i="14"/>
  <c r="W89" i="14"/>
  <c r="A89" i="14"/>
  <c r="W88" i="14"/>
  <c r="A88" i="14"/>
  <c r="W87" i="14"/>
  <c r="A87" i="14"/>
  <c r="W86" i="14"/>
  <c r="A86" i="14"/>
  <c r="W85" i="14"/>
  <c r="A85" i="14"/>
  <c r="W84" i="14"/>
  <c r="A84" i="14"/>
  <c r="W83" i="14"/>
  <c r="A83" i="14"/>
  <c r="W82" i="14"/>
  <c r="A82" i="14"/>
  <c r="W81" i="14"/>
  <c r="A81" i="14"/>
  <c r="W80" i="14"/>
  <c r="A80" i="14"/>
  <c r="W79" i="14"/>
  <c r="A79" i="14"/>
  <c r="W78" i="14"/>
  <c r="A78" i="14"/>
  <c r="W77" i="14"/>
  <c r="A77" i="14"/>
  <c r="W76" i="14"/>
  <c r="A76" i="14"/>
  <c r="W75" i="14"/>
  <c r="A75" i="14"/>
  <c r="W74" i="14"/>
  <c r="A74" i="14"/>
  <c r="W73" i="14"/>
  <c r="A73" i="14"/>
  <c r="W72" i="14"/>
  <c r="A72" i="14"/>
  <c r="W71" i="14"/>
  <c r="A71" i="14"/>
  <c r="W70" i="14"/>
  <c r="A70" i="14"/>
  <c r="W69" i="14"/>
  <c r="A69" i="14"/>
  <c r="W68" i="14"/>
  <c r="A68" i="14"/>
  <c r="W67" i="14"/>
  <c r="A67" i="14"/>
  <c r="W66" i="14"/>
  <c r="A66" i="14"/>
  <c r="W65" i="14"/>
  <c r="A65" i="14"/>
  <c r="W64" i="14"/>
  <c r="A64" i="14"/>
  <c r="W63" i="14"/>
  <c r="A63" i="14"/>
  <c r="W62" i="14"/>
  <c r="A62" i="14"/>
  <c r="W61" i="14"/>
  <c r="A61" i="14"/>
  <c r="W60" i="14"/>
  <c r="A60" i="14"/>
  <c r="W59" i="14"/>
  <c r="A59" i="14"/>
  <c r="W58" i="14"/>
  <c r="A58" i="14"/>
  <c r="W57" i="14"/>
  <c r="A57" i="14"/>
  <c r="W56" i="14"/>
  <c r="A56" i="14"/>
  <c r="W55" i="14"/>
  <c r="A55" i="14"/>
  <c r="W54" i="14"/>
  <c r="A54" i="14"/>
  <c r="W53" i="14"/>
  <c r="A53" i="14"/>
  <c r="W52" i="14"/>
  <c r="A52" i="14"/>
  <c r="W51" i="14"/>
  <c r="A51" i="14"/>
  <c r="W50" i="14"/>
  <c r="A50" i="14"/>
  <c r="W49" i="14"/>
  <c r="A49" i="14"/>
  <c r="W48" i="14"/>
  <c r="A48" i="14"/>
  <c r="W47" i="14"/>
  <c r="A47" i="14"/>
  <c r="W46" i="14"/>
  <c r="A46" i="14"/>
  <c r="W45" i="14"/>
  <c r="A45" i="14"/>
  <c r="W44" i="14"/>
  <c r="A44" i="14"/>
  <c r="W43" i="14"/>
  <c r="A43" i="14"/>
  <c r="W42" i="14"/>
  <c r="A42" i="14"/>
  <c r="W41" i="14"/>
  <c r="A41" i="14"/>
  <c r="W40" i="14"/>
  <c r="A40" i="14"/>
  <c r="W39" i="14"/>
  <c r="A39" i="14"/>
  <c r="W38" i="14"/>
  <c r="A38" i="14"/>
  <c r="W37" i="14"/>
  <c r="A37" i="14"/>
  <c r="W36" i="14"/>
  <c r="A36" i="14"/>
  <c r="W35" i="14"/>
  <c r="A35" i="14"/>
  <c r="W34" i="14"/>
  <c r="A34" i="14"/>
  <c r="W33" i="14"/>
  <c r="A33" i="14"/>
  <c r="W32" i="14"/>
  <c r="A32" i="14"/>
  <c r="W31" i="14"/>
  <c r="A31" i="14"/>
  <c r="W30" i="14"/>
  <c r="A30" i="14"/>
  <c r="W29" i="14"/>
  <c r="A29" i="14"/>
  <c r="W28" i="14"/>
  <c r="A28" i="14"/>
  <c r="W27" i="14"/>
  <c r="A27" i="14"/>
  <c r="W26" i="14"/>
  <c r="A26" i="14"/>
  <c r="W25" i="14"/>
  <c r="A25" i="14"/>
  <c r="W24" i="14"/>
  <c r="A24" i="14"/>
  <c r="W23" i="14"/>
  <c r="A23" i="14"/>
  <c r="W22" i="14"/>
  <c r="A22" i="14"/>
  <c r="W21" i="14"/>
  <c r="A21" i="14"/>
  <c r="W20" i="14"/>
  <c r="A20" i="14"/>
  <c r="W19" i="14"/>
  <c r="A19" i="14"/>
  <c r="W18" i="14"/>
  <c r="A18" i="14"/>
  <c r="W17" i="14"/>
  <c r="A17" i="14"/>
  <c r="W16" i="14"/>
  <c r="A16" i="14"/>
  <c r="W15" i="14"/>
  <c r="A15" i="14"/>
  <c r="W14" i="14"/>
  <c r="A14" i="14"/>
  <c r="W13" i="14"/>
  <c r="A13" i="14"/>
  <c r="W12" i="14"/>
  <c r="A12" i="14"/>
  <c r="W6" i="14"/>
  <c r="W5" i="14"/>
  <c r="W4" i="14"/>
  <c r="W3" i="14"/>
  <c r="W2" i="14"/>
  <c r="AR11" i="18" l="1"/>
  <c r="AQ10" i="18"/>
  <c r="AQ30" i="18"/>
  <c r="AQ9" i="18"/>
  <c r="AK11" i="1"/>
  <c r="AK54" i="1" s="1"/>
  <c r="Q138" i="16"/>
  <c r="Q139" i="16" s="1"/>
  <c r="N138" i="16"/>
  <c r="N139" i="16" s="1"/>
  <c r="J90" i="16"/>
  <c r="J91" i="16" s="1"/>
  <c r="AQ90" i="16"/>
  <c r="AQ91" i="16" s="1"/>
  <c r="P90" i="16"/>
  <c r="P91" i="16" s="1"/>
  <c r="J138" i="16"/>
  <c r="J139" i="16" s="1"/>
  <c r="L138" i="16"/>
  <c r="L139" i="16" s="1"/>
  <c r="O90" i="16"/>
  <c r="O91" i="16" s="1"/>
  <c r="AW138" i="16"/>
  <c r="AW139" i="16" s="1"/>
  <c r="U90" i="16"/>
  <c r="U91" i="16" s="1"/>
  <c r="AY90" i="16"/>
  <c r="AV90" i="16"/>
  <c r="R138" i="16"/>
  <c r="R139" i="16" s="1"/>
  <c r="T138" i="16"/>
  <c r="T139" i="16" s="1"/>
  <c r="O98" i="16"/>
  <c r="G98" i="16"/>
  <c r="U98" i="16"/>
  <c r="M98" i="16"/>
  <c r="S98" i="16"/>
  <c r="K98" i="16"/>
  <c r="I98" i="16"/>
  <c r="T98" i="16"/>
  <c r="H98" i="16"/>
  <c r="R98" i="16"/>
  <c r="F98" i="16"/>
  <c r="Q98" i="16"/>
  <c r="L98" i="16"/>
  <c r="P98" i="16"/>
  <c r="N98" i="16"/>
  <c r="J98" i="16"/>
  <c r="F90" i="16"/>
  <c r="F91" i="16" s="1"/>
  <c r="AZ90" i="16"/>
  <c r="G90" i="16"/>
  <c r="G91" i="16" s="1"/>
  <c r="AT90" i="16"/>
  <c r="O138" i="16"/>
  <c r="O139" i="16" s="1"/>
  <c r="I138" i="16"/>
  <c r="I139" i="16" s="1"/>
  <c r="AP138" i="16"/>
  <c r="AP139" i="16" s="1"/>
  <c r="AR138" i="16"/>
  <c r="AR139" i="16" s="1"/>
  <c r="AP90" i="16"/>
  <c r="AP91" i="16" s="1"/>
  <c r="U138" i="16"/>
  <c r="U139" i="16" s="1"/>
  <c r="R90" i="16"/>
  <c r="R91" i="16" s="1"/>
  <c r="L90" i="16"/>
  <c r="L91" i="16" s="1"/>
  <c r="AT138" i="16"/>
  <c r="AT139" i="16" s="1"/>
  <c r="M138" i="16"/>
  <c r="M139" i="16" s="1"/>
  <c r="AX138" i="16"/>
  <c r="AX139" i="16" s="1"/>
  <c r="AZ138" i="16"/>
  <c r="AZ139" i="16" s="1"/>
  <c r="AU138" i="16"/>
  <c r="AU139" i="16" s="1"/>
  <c r="Q90" i="16"/>
  <c r="Q91" i="16" s="1"/>
  <c r="AR90" i="16"/>
  <c r="AU90" i="16"/>
  <c r="N146" i="16"/>
  <c r="F146" i="16"/>
  <c r="U146" i="16"/>
  <c r="M146" i="16"/>
  <c r="T146" i="16"/>
  <c r="L146" i="16"/>
  <c r="S146" i="16"/>
  <c r="K146" i="16"/>
  <c r="R146" i="16"/>
  <c r="J146" i="16"/>
  <c r="O146" i="16"/>
  <c r="I146" i="16"/>
  <c r="F138" i="16"/>
  <c r="F139" i="16" s="1"/>
  <c r="H146" i="16"/>
  <c r="G146" i="16"/>
  <c r="Q146" i="16"/>
  <c r="P146" i="16"/>
  <c r="AO138" i="16"/>
  <c r="AO139" i="16" s="1"/>
  <c r="K138" i="16"/>
  <c r="K139" i="16" s="1"/>
  <c r="AO90" i="16"/>
  <c r="AO91" i="16" s="1"/>
  <c r="BA90" i="16"/>
  <c r="I90" i="16"/>
  <c r="I91" i="16" s="1"/>
  <c r="AS138" i="16"/>
  <c r="AS139" i="16" s="1"/>
  <c r="BA138" i="16"/>
  <c r="BA139" i="16" s="1"/>
  <c r="H138" i="16"/>
  <c r="H139" i="16" s="1"/>
  <c r="S138" i="16"/>
  <c r="S139" i="16" s="1"/>
  <c r="M90" i="16"/>
  <c r="M91" i="16" s="1"/>
  <c r="N90" i="16"/>
  <c r="N91" i="16" s="1"/>
  <c r="T90" i="16"/>
  <c r="T91" i="16" s="1"/>
  <c r="K90" i="16"/>
  <c r="K91" i="16" s="1"/>
  <c r="G138" i="16"/>
  <c r="G139" i="16" s="1"/>
  <c r="P138" i="16"/>
  <c r="P139" i="16" s="1"/>
  <c r="AQ138" i="16"/>
  <c r="AQ139" i="16" s="1"/>
  <c r="AW90" i="16"/>
  <c r="AX90" i="16"/>
  <c r="AS90" i="16"/>
  <c r="S90" i="16"/>
  <c r="S91" i="16" s="1"/>
  <c r="H90" i="16"/>
  <c r="H91" i="16" s="1"/>
  <c r="AV138" i="16"/>
  <c r="AV139" i="16" s="1"/>
  <c r="AY138" i="16"/>
  <c r="AY139" i="16" s="1"/>
  <c r="D7" i="12"/>
  <c r="D9" i="12" s="1"/>
  <c r="D8" i="12" s="1"/>
  <c r="E7" i="12"/>
  <c r="E9" i="12" s="1"/>
  <c r="E8" i="12" s="1"/>
  <c r="F7" i="12"/>
  <c r="F9" i="12" s="1"/>
  <c r="F8" i="12" s="1"/>
  <c r="G7" i="12"/>
  <c r="G9" i="12" s="1"/>
  <c r="G8" i="12" s="1"/>
  <c r="C7" i="12"/>
  <c r="C9" i="12" s="1"/>
  <c r="C8" i="12" s="1"/>
  <c r="C4" i="12"/>
  <c r="C6" i="12" s="1"/>
  <c r="C5" i="12" s="1"/>
  <c r="D4" i="12"/>
  <c r="D6" i="12" s="1"/>
  <c r="D5" i="12" s="1"/>
  <c r="E4" i="12"/>
  <c r="E6" i="12" s="1"/>
  <c r="E5" i="12" s="1"/>
  <c r="F4" i="12"/>
  <c r="F6" i="12" s="1"/>
  <c r="F5" i="12" s="1"/>
  <c r="G4" i="12"/>
  <c r="G6" i="12" s="1"/>
  <c r="G5" i="12" s="1"/>
  <c r="D1" i="12"/>
  <c r="D3" i="12" s="1"/>
  <c r="E1" i="12"/>
  <c r="E3" i="12" s="1"/>
  <c r="F1" i="12"/>
  <c r="F3" i="12" s="1"/>
  <c r="G1" i="12"/>
  <c r="G3" i="12" s="1"/>
  <c r="C1" i="12"/>
  <c r="C3" i="12" s="1"/>
  <c r="C2" i="12" s="1"/>
  <c r="H2" i="6"/>
  <c r="AR30" i="18" l="1"/>
  <c r="AS11" i="18"/>
  <c r="AR10" i="18"/>
  <c r="AR9" i="18"/>
  <c r="AL11" i="1"/>
  <c r="AW118" i="16"/>
  <c r="AW91" i="16"/>
  <c r="AU91" i="16"/>
  <c r="AU118" i="16"/>
  <c r="AS118" i="16"/>
  <c r="AS91" i="16"/>
  <c r="AR118" i="16"/>
  <c r="AR91" i="16"/>
  <c r="AZ118" i="16"/>
  <c r="AZ91" i="16"/>
  <c r="AV91" i="16"/>
  <c r="AV118" i="16"/>
  <c r="AX118" i="16"/>
  <c r="AX91" i="16"/>
  <c r="BA118" i="16"/>
  <c r="BA91" i="16"/>
  <c r="AT118" i="16"/>
  <c r="AT91" i="16"/>
  <c r="AY91" i="16"/>
  <c r="AY118" i="16"/>
  <c r="AF2" i="6"/>
  <c r="AE2" i="6"/>
  <c r="AD2" i="6"/>
  <c r="AC2" i="6"/>
  <c r="AB2" i="6"/>
  <c r="AA2" i="6"/>
  <c r="Z2" i="6"/>
  <c r="Y2" i="6"/>
  <c r="X2" i="6"/>
  <c r="W2" i="6"/>
  <c r="V2" i="6"/>
  <c r="U2" i="6"/>
  <c r="I2" i="6"/>
  <c r="J2" i="6"/>
  <c r="K2" i="6"/>
  <c r="L2" i="6"/>
  <c r="M2" i="6"/>
  <c r="N2" i="6"/>
  <c r="O2" i="6"/>
  <c r="P2" i="6"/>
  <c r="Q2" i="6"/>
  <c r="R2" i="6"/>
  <c r="S2" i="6"/>
  <c r="C6" i="6"/>
  <c r="C5" i="6"/>
  <c r="AK68" i="1"/>
  <c r="AJ68" i="1"/>
  <c r="AI68" i="1"/>
  <c r="AH68" i="1"/>
  <c r="AG68" i="1"/>
  <c r="AF68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R68" i="1"/>
  <c r="Q68" i="1"/>
  <c r="P68" i="1"/>
  <c r="O68" i="1"/>
  <c r="N68" i="1"/>
  <c r="M68" i="1"/>
  <c r="L68" i="1"/>
  <c r="K68" i="1"/>
  <c r="J68" i="1"/>
  <c r="AK9" i="1"/>
  <c r="AJ9" i="1"/>
  <c r="AI9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P9" i="1"/>
  <c r="O9" i="1"/>
  <c r="N9" i="1"/>
  <c r="M9" i="1"/>
  <c r="L9" i="1"/>
  <c r="K9" i="1"/>
  <c r="J9" i="1"/>
  <c r="H53" i="1"/>
  <c r="NM16" i="1"/>
  <c r="D44" i="6" l="1"/>
  <c r="C44" i="6"/>
  <c r="AF72" i="1"/>
  <c r="AS30" i="18"/>
  <c r="AS10" i="18"/>
  <c r="AT11" i="18"/>
  <c r="AS9" i="18"/>
  <c r="AL68" i="1"/>
  <c r="AL54" i="1"/>
  <c r="AL9" i="1"/>
  <c r="NM17" i="1"/>
  <c r="AM11" i="1"/>
  <c r="AM54" i="1" s="1"/>
  <c r="NM52" i="1"/>
  <c r="NM53" i="1" s="1"/>
  <c r="BP3" i="6"/>
  <c r="D6" i="6"/>
  <c r="D5" i="6"/>
  <c r="B6" i="6"/>
  <c r="B5" i="6"/>
  <c r="AF4" i="6"/>
  <c r="AE4" i="6"/>
  <c r="AD4" i="6"/>
  <c r="AC4" i="6"/>
  <c r="AB4" i="6"/>
  <c r="AA4" i="6"/>
  <c r="Z4" i="6"/>
  <c r="Y4" i="6"/>
  <c r="X4" i="6"/>
  <c r="W4" i="6"/>
  <c r="V4" i="6"/>
  <c r="U4" i="6"/>
  <c r="I4" i="6"/>
  <c r="J4" i="6"/>
  <c r="K4" i="6"/>
  <c r="L4" i="6"/>
  <c r="M4" i="6"/>
  <c r="N4" i="6"/>
  <c r="O4" i="6"/>
  <c r="P4" i="6"/>
  <c r="Q4" i="6"/>
  <c r="R4" i="6"/>
  <c r="S4" i="6"/>
  <c r="H4" i="6"/>
  <c r="B19" i="4"/>
  <c r="C19" i="4" s="1"/>
  <c r="B30" i="4"/>
  <c r="C30" i="4" s="1"/>
  <c r="B29" i="4"/>
  <c r="C29" i="4" s="1"/>
  <c r="B28" i="4"/>
  <c r="C28" i="4" s="1"/>
  <c r="B27" i="4"/>
  <c r="C27" i="4" s="1"/>
  <c r="B26" i="4"/>
  <c r="C26" i="4" s="1"/>
  <c r="B25" i="4"/>
  <c r="C25" i="4" s="1"/>
  <c r="B24" i="4"/>
  <c r="C24" i="4" s="1"/>
  <c r="B23" i="4"/>
  <c r="C23" i="4" s="1"/>
  <c r="B22" i="4"/>
  <c r="C22" i="4" s="1"/>
  <c r="B21" i="4"/>
  <c r="C21" i="4" s="1"/>
  <c r="B20" i="4"/>
  <c r="C20" i="4" s="1"/>
  <c r="G31" i="4"/>
  <c r="E31" i="4"/>
  <c r="E44" i="6" l="1"/>
  <c r="DD29" i="6"/>
  <c r="CO25" i="6"/>
  <c r="CJ38" i="6"/>
  <c r="AM38" i="6" s="1"/>
  <c r="BQ24" i="6"/>
  <c r="CO29" i="6"/>
  <c r="BK34" i="6"/>
  <c r="BU28" i="6"/>
  <c r="CF25" i="6"/>
  <c r="CZ28" i="6"/>
  <c r="DE36" i="6"/>
  <c r="CY36" i="6"/>
  <c r="BP27" i="6"/>
  <c r="CP25" i="6"/>
  <c r="CJ25" i="6"/>
  <c r="DO32" i="6"/>
  <c r="DE26" i="6"/>
  <c r="CF31" i="6"/>
  <c r="CP38" i="6"/>
  <c r="DD36" i="6"/>
  <c r="CZ27" i="6"/>
  <c r="CP32" i="6"/>
  <c r="DE35" i="6"/>
  <c r="BL29" i="6"/>
  <c r="AU29" i="6" s="1"/>
  <c r="CY37" i="6"/>
  <c r="CY27" i="6"/>
  <c r="BU35" i="6"/>
  <c r="BQ30" i="6"/>
  <c r="DN27" i="6"/>
  <c r="CP30" i="6"/>
  <c r="BU29" i="6"/>
  <c r="DD27" i="6"/>
  <c r="DD33" i="6"/>
  <c r="CU35" i="6"/>
  <c r="CF34" i="6"/>
  <c r="BK33" i="6"/>
  <c r="BZ34" i="6"/>
  <c r="DI24" i="6"/>
  <c r="CO24" i="6"/>
  <c r="BL37" i="6"/>
  <c r="AU37" i="6" s="1"/>
  <c r="CY35" i="6"/>
  <c r="BZ29" i="6"/>
  <c r="AK29" i="6" s="1"/>
  <c r="CO27" i="6"/>
  <c r="DN31" i="6"/>
  <c r="CY26" i="6"/>
  <c r="BU34" i="6"/>
  <c r="BZ37" i="6"/>
  <c r="AK37" i="6" s="1"/>
  <c r="CE29" i="6"/>
  <c r="AL29" i="6" s="1"/>
  <c r="DN29" i="6"/>
  <c r="BK30" i="6"/>
  <c r="CA35" i="6"/>
  <c r="DN25" i="6"/>
  <c r="DO35" i="6"/>
  <c r="CT38" i="6"/>
  <c r="BZ27" i="6"/>
  <c r="CU30" i="6"/>
  <c r="CK31" i="6"/>
  <c r="CF28" i="6"/>
  <c r="BU31" i="6"/>
  <c r="BQ35" i="6"/>
  <c r="BL31" i="6"/>
  <c r="DD25" i="6"/>
  <c r="DI25" i="6"/>
  <c r="CY29" i="6"/>
  <c r="AP29" i="6" s="1"/>
  <c r="CK36" i="6"/>
  <c r="BP35" i="6"/>
  <c r="CY33" i="6"/>
  <c r="CO30" i="6"/>
  <c r="AN30" i="6" s="1"/>
  <c r="BL32" i="6"/>
  <c r="BK36" i="6"/>
  <c r="CP29" i="6"/>
  <c r="CP35" i="6"/>
  <c r="DO24" i="6"/>
  <c r="CP33" i="6"/>
  <c r="CO37" i="6"/>
  <c r="CJ33" i="6"/>
  <c r="BQ28" i="6"/>
  <c r="CP31" i="6"/>
  <c r="CO28" i="6"/>
  <c r="DD28" i="6"/>
  <c r="CF37" i="6"/>
  <c r="CF27" i="6"/>
  <c r="CA26" i="6"/>
  <c r="DJ34" i="6"/>
  <c r="CJ31" i="6"/>
  <c r="BL30" i="6"/>
  <c r="DO28" i="6"/>
  <c r="CP37" i="6"/>
  <c r="CT29" i="6"/>
  <c r="AO29" i="6" s="1"/>
  <c r="CE37" i="6"/>
  <c r="CP28" i="6"/>
  <c r="DN24" i="6"/>
  <c r="DN34" i="6"/>
  <c r="CT27" i="6"/>
  <c r="CT37" i="6"/>
  <c r="AO37" i="6" s="1"/>
  <c r="CT35" i="6"/>
  <c r="DN36" i="6"/>
  <c r="AS36" i="6" s="1"/>
  <c r="BZ31" i="6"/>
  <c r="AK31" i="6" s="1"/>
  <c r="DO37" i="6"/>
  <c r="CU25" i="6"/>
  <c r="DI30" i="6"/>
  <c r="CK29" i="6"/>
  <c r="BL28" i="6"/>
  <c r="BL34" i="6"/>
  <c r="BK27" i="6"/>
  <c r="BQ31" i="6"/>
  <c r="CJ26" i="6"/>
  <c r="CF30" i="6"/>
  <c r="CU26" i="6"/>
  <c r="BV35" i="6"/>
  <c r="CK26" i="6"/>
  <c r="CA36" i="6"/>
  <c r="DJ31" i="6"/>
  <c r="DE27" i="6"/>
  <c r="BU24" i="6"/>
  <c r="DD31" i="6"/>
  <c r="CZ35" i="6"/>
  <c r="DO31" i="6"/>
  <c r="CE26" i="6"/>
  <c r="CJ29" i="6"/>
  <c r="AM29" i="6" s="1"/>
  <c r="DE25" i="6"/>
  <c r="CJ34" i="6"/>
  <c r="CJ24" i="6"/>
  <c r="CF38" i="6"/>
  <c r="CU34" i="6"/>
  <c r="BK29" i="6"/>
  <c r="AH29" i="6" s="1"/>
  <c r="CP36" i="6"/>
  <c r="BL27" i="6"/>
  <c r="CF32" i="6"/>
  <c r="BL35" i="6"/>
  <c r="BP24" i="6"/>
  <c r="CT30" i="6"/>
  <c r="AO30" i="6" s="1"/>
  <c r="DN28" i="6"/>
  <c r="CA31" i="6"/>
  <c r="BK28" i="6"/>
  <c r="DE32" i="6"/>
  <c r="DE38" i="6"/>
  <c r="CJ35" i="6"/>
  <c r="DE31" i="6"/>
  <c r="CA38" i="6"/>
  <c r="CA28" i="6"/>
  <c r="DJ36" i="6"/>
  <c r="CK35" i="6"/>
  <c r="BV25" i="6"/>
  <c r="DI33" i="6"/>
  <c r="DE37" i="6"/>
  <c r="CZ33" i="6"/>
  <c r="CJ28" i="6"/>
  <c r="BL24" i="6"/>
  <c r="DD37" i="6"/>
  <c r="AQ37" i="6" s="1"/>
  <c r="DD24" i="6"/>
  <c r="CE36" i="6"/>
  <c r="CZ31" i="6"/>
  <c r="CE30" i="6"/>
  <c r="DI37" i="6"/>
  <c r="AR37" i="6" s="1"/>
  <c r="BV34" i="6"/>
  <c r="BQ26" i="6"/>
  <c r="BP30" i="6"/>
  <c r="BK26" i="6"/>
  <c r="CK28" i="6"/>
  <c r="BU26" i="6"/>
  <c r="DE28" i="6"/>
  <c r="DD32" i="6"/>
  <c r="AQ32" i="6" s="1"/>
  <c r="CY28" i="6"/>
  <c r="DN35" i="6"/>
  <c r="CT25" i="6"/>
  <c r="DD26" i="6"/>
  <c r="CT24" i="6"/>
  <c r="BK32" i="6"/>
  <c r="AH32" i="6" s="1"/>
  <c r="CT32" i="6"/>
  <c r="CY32" i="6"/>
  <c r="AP32" i="6" s="1"/>
  <c r="CE27" i="6"/>
  <c r="CT26" i="6"/>
  <c r="CY24" i="6"/>
  <c r="CK32" i="6"/>
  <c r="BU27" i="6"/>
  <c r="CK38" i="6"/>
  <c r="BU33" i="6"/>
  <c r="CY25" i="6"/>
  <c r="CE32" i="6"/>
  <c r="CU36" i="6"/>
  <c r="DI29" i="6"/>
  <c r="DI35" i="6"/>
  <c r="AR35" i="6" s="1"/>
  <c r="CU31" i="6"/>
  <c r="DI26" i="6"/>
  <c r="BV28" i="6"/>
  <c r="BU32" i="6"/>
  <c r="AJ32" i="6" s="1"/>
  <c r="BP28" i="6"/>
  <c r="BU37" i="6"/>
  <c r="CO33" i="6"/>
  <c r="BQ32" i="6"/>
  <c r="AV32" i="6" s="1"/>
  <c r="CZ30" i="6"/>
  <c r="CZ36" i="6"/>
  <c r="BP37" i="6"/>
  <c r="BQ34" i="6"/>
  <c r="BP26" i="6"/>
  <c r="CZ34" i="6"/>
  <c r="CZ24" i="6"/>
  <c r="CY38" i="6"/>
  <c r="AP38" i="6" s="1"/>
  <c r="BV32" i="6"/>
  <c r="BV38" i="6"/>
  <c r="CE31" i="6"/>
  <c r="AL31" i="6" s="1"/>
  <c r="DI38" i="6"/>
  <c r="AR38" i="6" s="1"/>
  <c r="CK37" i="6"/>
  <c r="CK24" i="6"/>
  <c r="BL36" i="6"/>
  <c r="BQ27" i="6"/>
  <c r="CZ38" i="6"/>
  <c r="CU24" i="6"/>
  <c r="CT34" i="6"/>
  <c r="BZ28" i="6"/>
  <c r="DO26" i="6"/>
  <c r="DN30" i="6"/>
  <c r="CA27" i="6"/>
  <c r="BZ30" i="6"/>
  <c r="AK30" i="6" s="1"/>
  <c r="DN32" i="6"/>
  <c r="AS32" i="6" s="1"/>
  <c r="BZ32" i="6"/>
  <c r="AK32" i="6" s="1"/>
  <c r="DO29" i="6"/>
  <c r="DN26" i="6"/>
  <c r="CE35" i="6"/>
  <c r="DD35" i="6"/>
  <c r="AQ35" i="6" s="1"/>
  <c r="DI32" i="6"/>
  <c r="CP27" i="6"/>
  <c r="CA37" i="6"/>
  <c r="CZ26" i="6"/>
  <c r="CY30" i="6"/>
  <c r="AP30" i="6" s="1"/>
  <c r="BV24" i="6"/>
  <c r="CO35" i="6"/>
  <c r="BV30" i="6"/>
  <c r="CJ37" i="6"/>
  <c r="DO30" i="6"/>
  <c r="CP26" i="6"/>
  <c r="BQ38" i="6"/>
  <c r="AV38" i="6" s="1"/>
  <c r="DE29" i="6"/>
  <c r="DJ27" i="6"/>
  <c r="CO36" i="6"/>
  <c r="CO26" i="6"/>
  <c r="BP25" i="6"/>
  <c r="CF36" i="6"/>
  <c r="BP31" i="6"/>
  <c r="AI31" i="6" s="1"/>
  <c r="CE38" i="6"/>
  <c r="CF35" i="6"/>
  <c r="BP29" i="6"/>
  <c r="AI29" i="6" s="1"/>
  <c r="BL33" i="6"/>
  <c r="CA29" i="6"/>
  <c r="DJ37" i="6"/>
  <c r="CY31" i="6"/>
  <c r="AP31" i="6" s="1"/>
  <c r="BV33" i="6"/>
  <c r="DI31" i="6"/>
  <c r="AR31" i="6" s="1"/>
  <c r="CJ30" i="6"/>
  <c r="CJ36" i="6"/>
  <c r="AM36" i="6" s="1"/>
  <c r="CZ32" i="6"/>
  <c r="DJ35" i="6"/>
  <c r="CO34" i="6"/>
  <c r="BP33" i="6"/>
  <c r="BZ35" i="6"/>
  <c r="AK35" i="6" s="1"/>
  <c r="CA32" i="6"/>
  <c r="BQ37" i="6"/>
  <c r="AV37" i="6" s="1"/>
  <c r="CA25" i="6"/>
  <c r="CA33" i="6"/>
  <c r="DO34" i="6"/>
  <c r="CZ37" i="6"/>
  <c r="BZ25" i="6"/>
  <c r="CU32" i="6"/>
  <c r="CT28" i="6"/>
  <c r="CU37" i="6"/>
  <c r="CF24" i="6"/>
  <c r="CZ25" i="6"/>
  <c r="CA34" i="6"/>
  <c r="BV27" i="6"/>
  <c r="BP32" i="6"/>
  <c r="AI32" i="6" s="1"/>
  <c r="CP24" i="6"/>
  <c r="BL38" i="6"/>
  <c r="AU38" i="6" s="1"/>
  <c r="BL25" i="6"/>
  <c r="DO36" i="6"/>
  <c r="DJ29" i="6"/>
  <c r="DJ33" i="6"/>
  <c r="BU30" i="6"/>
  <c r="CF26" i="6"/>
  <c r="BK35" i="6"/>
  <c r="AH35" i="6" s="1"/>
  <c r="BK25" i="6"/>
  <c r="CT33" i="6"/>
  <c r="CO32" i="6"/>
  <c r="AN32" i="6" s="1"/>
  <c r="CO38" i="6"/>
  <c r="AN38" i="6" s="1"/>
  <c r="DJ30" i="6"/>
  <c r="DI34" i="6"/>
  <c r="DD30" i="6"/>
  <c r="AQ30" i="6" s="1"/>
  <c r="CK25" i="6"/>
  <c r="CE25" i="6"/>
  <c r="DO33" i="6"/>
  <c r="CJ27" i="6"/>
  <c r="BP34" i="6"/>
  <c r="DI28" i="6"/>
  <c r="CU27" i="6"/>
  <c r="BV36" i="6"/>
  <c r="BV26" i="6"/>
  <c r="DE24" i="6"/>
  <c r="BP36" i="6"/>
  <c r="DE30" i="6"/>
  <c r="CK34" i="6"/>
  <c r="CA30" i="6"/>
  <c r="DJ38" i="6"/>
  <c r="DJ28" i="6"/>
  <c r="CK27" i="6"/>
  <c r="DD38" i="6"/>
  <c r="AQ38" i="6" s="1"/>
  <c r="CK33" i="6"/>
  <c r="DN33" i="6"/>
  <c r="CU38" i="6"/>
  <c r="CO31" i="6"/>
  <c r="DI36" i="6"/>
  <c r="AR36" i="6" s="1"/>
  <c r="DN37" i="6"/>
  <c r="AS37" i="6" s="1"/>
  <c r="DD34" i="6"/>
  <c r="BK38" i="6"/>
  <c r="AH38" i="6" s="1"/>
  <c r="BZ26" i="6"/>
  <c r="BZ33" i="6"/>
  <c r="BL26" i="6"/>
  <c r="CE28" i="6"/>
  <c r="CE34" i="6"/>
  <c r="DJ24" i="6"/>
  <c r="DE33" i="6"/>
  <c r="CJ32" i="6"/>
  <c r="AM32" i="6" s="1"/>
  <c r="BK31" i="6"/>
  <c r="AH31" i="6" s="1"/>
  <c r="BK37" i="6"/>
  <c r="AH37" i="6" s="1"/>
  <c r="BQ36" i="6"/>
  <c r="AV36" i="6" s="1"/>
  <c r="CF29" i="6"/>
  <c r="CE33" i="6"/>
  <c r="DJ26" i="6"/>
  <c r="BU38" i="6"/>
  <c r="AJ38" i="6" s="1"/>
  <c r="DJ32" i="6"/>
  <c r="CU33" i="6"/>
  <c r="BV29" i="6"/>
  <c r="BQ25" i="6"/>
  <c r="BZ38" i="6"/>
  <c r="AK38" i="6" s="1"/>
  <c r="BP38" i="6"/>
  <c r="BU36" i="6"/>
  <c r="AJ36" i="6" s="1"/>
  <c r="DE34" i="6"/>
  <c r="CF33" i="6"/>
  <c r="CY34" i="6"/>
  <c r="DO38" i="6"/>
  <c r="DO25" i="6"/>
  <c r="CP34" i="6"/>
  <c r="CK30" i="6"/>
  <c r="BU25" i="6"/>
  <c r="BZ24" i="6"/>
  <c r="CE24" i="6"/>
  <c r="CU28" i="6"/>
  <c r="BV37" i="6"/>
  <c r="BQ33" i="6"/>
  <c r="DI27" i="6"/>
  <c r="CT31" i="6"/>
  <c r="AO31" i="6" s="1"/>
  <c r="DJ25" i="6"/>
  <c r="CZ29" i="6"/>
  <c r="BV31" i="6"/>
  <c r="BZ36" i="6"/>
  <c r="AK36" i="6" s="1"/>
  <c r="DO27" i="6"/>
  <c r="CT36" i="6"/>
  <c r="AO36" i="6" s="1"/>
  <c r="DN38" i="6"/>
  <c r="AS38" i="6" s="1"/>
  <c r="CU29" i="6"/>
  <c r="BQ29" i="6"/>
  <c r="AV29" i="6" s="1"/>
  <c r="BK24" i="6"/>
  <c r="CA24" i="6"/>
  <c r="AT30" i="18"/>
  <c r="AU11" i="18"/>
  <c r="AT10" i="18"/>
  <c r="AT9" i="18"/>
  <c r="AU35" i="6"/>
  <c r="AJ29" i="6"/>
  <c r="AJ31" i="6"/>
  <c r="AI37" i="6"/>
  <c r="AJ35" i="6"/>
  <c r="AL35" i="6"/>
  <c r="AR29" i="6"/>
  <c r="AJ37" i="6"/>
  <c r="AM30" i="6"/>
  <c r="AQ36" i="6"/>
  <c r="AP36" i="6"/>
  <c r="AI36" i="6"/>
  <c r="AS31" i="6"/>
  <c r="AH36" i="6"/>
  <c r="AQ31" i="6"/>
  <c r="AN35" i="6"/>
  <c r="AU30" i="6"/>
  <c r="AS30" i="6"/>
  <c r="AO35" i="6"/>
  <c r="AL36" i="6"/>
  <c r="AU32" i="6"/>
  <c r="AR30" i="6"/>
  <c r="AO32" i="6"/>
  <c r="AJ30" i="6"/>
  <c r="AL32" i="6"/>
  <c r="AR32" i="6"/>
  <c r="AN29" i="6"/>
  <c r="AI30" i="6"/>
  <c r="AU36" i="6"/>
  <c r="AM31" i="6"/>
  <c r="AS29" i="6"/>
  <c r="AN37" i="6"/>
  <c r="AQ29" i="6"/>
  <c r="AI38" i="6"/>
  <c r="AM35" i="6"/>
  <c r="AO38" i="6"/>
  <c r="AM37" i="6"/>
  <c r="AS35" i="6"/>
  <c r="AL37" i="6"/>
  <c r="AP37" i="6"/>
  <c r="AI35" i="6"/>
  <c r="AN31" i="6"/>
  <c r="AL38" i="6"/>
  <c r="AU31" i="6"/>
  <c r="AP35" i="6"/>
  <c r="AH30" i="6"/>
  <c r="AN36" i="6"/>
  <c r="AL30" i="6"/>
  <c r="BU3" i="6"/>
  <c r="AV30" i="6"/>
  <c r="AV35" i="6"/>
  <c r="AV31" i="6"/>
  <c r="AN11" i="1"/>
  <c r="AN54" i="1" s="1"/>
  <c r="AM68" i="1"/>
  <c r="AM9" i="1"/>
  <c r="F25" i="4"/>
  <c r="C31" i="4"/>
  <c r="F28" i="4"/>
  <c r="F22" i="4"/>
  <c r="F19" i="4"/>
  <c r="AV11" i="18" l="1"/>
  <c r="AU30" i="18"/>
  <c r="AU10" i="18"/>
  <c r="AU9" i="18"/>
  <c r="BZ3" i="6"/>
  <c r="AW36" i="6"/>
  <c r="AW32" i="6"/>
  <c r="AW35" i="6"/>
  <c r="AW31" i="6"/>
  <c r="AW29" i="6"/>
  <c r="AW38" i="6"/>
  <c r="AW30" i="6"/>
  <c r="AW37" i="6"/>
  <c r="AO11" i="1"/>
  <c r="AO54" i="1" s="1"/>
  <c r="AN68" i="1"/>
  <c r="AN9" i="1"/>
  <c r="DM3" i="6"/>
  <c r="DH3" i="6"/>
  <c r="DC3" i="6"/>
  <c r="CX3" i="6"/>
  <c r="CS3" i="6"/>
  <c r="CN3" i="6"/>
  <c r="CI3" i="6"/>
  <c r="CD3" i="6"/>
  <c r="BY3" i="6"/>
  <c r="BT3" i="6"/>
  <c r="BO3" i="6"/>
  <c r="BJ3" i="6"/>
  <c r="B53" i="1"/>
  <c r="L19" i="3" a="1"/>
  <c r="L19" i="3" s="1"/>
  <c r="J19" i="3"/>
  <c r="K19" i="3" s="1"/>
  <c r="I19" i="3"/>
  <c r="L15" i="3" a="1"/>
  <c r="L15" i="3" s="1"/>
  <c r="J15" i="3"/>
  <c r="I15" i="3"/>
  <c r="L9" i="3" a="1"/>
  <c r="L9" i="3" s="1"/>
  <c r="L10" i="3" a="1"/>
  <c r="L10" i="3" s="1"/>
  <c r="L11" i="3" a="1"/>
  <c r="L11" i="3" s="1"/>
  <c r="L12" i="3" a="1"/>
  <c r="L12" i="3" s="1"/>
  <c r="L13" i="3" a="1"/>
  <c r="L13" i="3" s="1"/>
  <c r="L14" i="3" a="1"/>
  <c r="L14" i="3" s="1"/>
  <c r="L16" i="3" a="1"/>
  <c r="L16" i="3" s="1"/>
  <c r="L17" i="3" a="1"/>
  <c r="L17" i="3" s="1"/>
  <c r="L18" i="3" a="1"/>
  <c r="L18" i="3" s="1"/>
  <c r="L2" i="3" a="1"/>
  <c r="L2" i="3" s="1"/>
  <c r="J9" i="3"/>
  <c r="J10" i="3"/>
  <c r="J11" i="3"/>
  <c r="J12" i="3"/>
  <c r="J13" i="3"/>
  <c r="J14" i="3"/>
  <c r="J16" i="3"/>
  <c r="J17" i="3"/>
  <c r="J18" i="3"/>
  <c r="J2" i="3"/>
  <c r="I9" i="3"/>
  <c r="I10" i="3"/>
  <c r="I11" i="3"/>
  <c r="I12" i="3"/>
  <c r="I13" i="3"/>
  <c r="I14" i="3"/>
  <c r="I16" i="3"/>
  <c r="I17" i="3"/>
  <c r="I18" i="3"/>
  <c r="I2" i="3"/>
  <c r="AV30" i="18" l="1"/>
  <c r="AW11" i="18"/>
  <c r="AV9" i="18"/>
  <c r="AV10" i="18"/>
  <c r="CE3" i="6"/>
  <c r="AX35" i="6"/>
  <c r="AX31" i="6"/>
  <c r="AX38" i="6"/>
  <c r="AX30" i="6"/>
  <c r="AX36" i="6"/>
  <c r="AX37" i="6"/>
  <c r="AX29" i="6"/>
  <c r="AX32" i="6"/>
  <c r="AP11" i="1"/>
  <c r="AP54" i="1" s="1"/>
  <c r="AO68" i="1"/>
  <c r="AO9" i="1"/>
  <c r="K15" i="3"/>
  <c r="K16" i="3"/>
  <c r="K12" i="3"/>
  <c r="K11" i="3"/>
  <c r="K14" i="3"/>
  <c r="K10" i="3"/>
  <c r="K17" i="3"/>
  <c r="K2" i="3"/>
  <c r="K18" i="3"/>
  <c r="K13" i="3"/>
  <c r="K9" i="3"/>
  <c r="E53" i="1"/>
  <c r="AW30" i="18" l="1"/>
  <c r="AW9" i="18"/>
  <c r="AX11" i="18"/>
  <c r="AW10" i="18"/>
  <c r="CJ3" i="6"/>
  <c r="AY31" i="6"/>
  <c r="AY35" i="6"/>
  <c r="AY36" i="6"/>
  <c r="AY32" i="6"/>
  <c r="AY30" i="6"/>
  <c r="AY38" i="6"/>
  <c r="AY37" i="6"/>
  <c r="AY29" i="6"/>
  <c r="AQ11" i="1"/>
  <c r="AQ54" i="1" s="1"/>
  <c r="AP68" i="1"/>
  <c r="AP9" i="1"/>
  <c r="AX30" i="18" l="1"/>
  <c r="AX9" i="18"/>
  <c r="AY11" i="18"/>
  <c r="AX10" i="18"/>
  <c r="AZ29" i="6"/>
  <c r="AZ38" i="6"/>
  <c r="CO3" i="6"/>
  <c r="AZ36" i="6"/>
  <c r="AZ30" i="6"/>
  <c r="AZ32" i="6"/>
  <c r="AZ37" i="6"/>
  <c r="AZ35" i="6"/>
  <c r="AZ31" i="6"/>
  <c r="AR11" i="1"/>
  <c r="AR54" i="1" s="1"/>
  <c r="AQ68" i="1"/>
  <c r="AQ9" i="1"/>
  <c r="AY30" i="18" l="1"/>
  <c r="AZ11" i="18"/>
  <c r="AY10" i="18"/>
  <c r="AY9" i="18"/>
  <c r="BA31" i="6"/>
  <c r="BA32" i="6"/>
  <c r="BA38" i="6"/>
  <c r="CT3" i="6"/>
  <c r="BA30" i="6"/>
  <c r="BA37" i="6"/>
  <c r="BA35" i="6"/>
  <c r="BA29" i="6"/>
  <c r="BA36" i="6"/>
  <c r="AS11" i="1"/>
  <c r="AS54" i="1" s="1"/>
  <c r="AR9" i="1"/>
  <c r="AR68" i="1"/>
  <c r="G53" i="1"/>
  <c r="F53" i="1"/>
  <c r="D53" i="1"/>
  <c r="C53" i="1"/>
  <c r="A50" i="16" l="1"/>
  <c r="A61" i="16"/>
  <c r="A35" i="16"/>
  <c r="A52" i="16"/>
  <c r="A33" i="16"/>
  <c r="A45" i="16"/>
  <c r="A34" i="16"/>
  <c r="A63" i="16"/>
  <c r="A71" i="16"/>
  <c r="A69" i="16"/>
  <c r="A32" i="16"/>
  <c r="A28" i="16"/>
  <c r="A65" i="16"/>
  <c r="A44" i="16"/>
  <c r="A42" i="16"/>
  <c r="A57" i="16"/>
  <c r="A31" i="16"/>
  <c r="A41" i="16"/>
  <c r="A46" i="16"/>
  <c r="A37" i="16"/>
  <c r="A70" i="16"/>
  <c r="A27" i="16"/>
  <c r="A58" i="16"/>
  <c r="A60" i="16"/>
  <c r="A67" i="16"/>
  <c r="A43" i="16"/>
  <c r="A62" i="16"/>
  <c r="A66" i="16"/>
  <c r="A51" i="16"/>
  <c r="A39" i="16"/>
  <c r="A54" i="16"/>
  <c r="A36" i="16"/>
  <c r="A40" i="16"/>
  <c r="A59" i="16"/>
  <c r="A48" i="16"/>
  <c r="A55" i="16"/>
  <c r="A47" i="16"/>
  <c r="A38" i="16"/>
  <c r="A53" i="16"/>
  <c r="A29" i="16"/>
  <c r="A49" i="16"/>
  <c r="A30" i="16"/>
  <c r="A64" i="16"/>
  <c r="A68" i="16"/>
  <c r="A56" i="16"/>
  <c r="AF73" i="1"/>
  <c r="C10" i="1"/>
  <c r="Z73" i="1"/>
  <c r="W72" i="1"/>
  <c r="S72" i="1"/>
  <c r="M72" i="1"/>
  <c r="Y72" i="1"/>
  <c r="K72" i="1"/>
  <c r="Q73" i="1"/>
  <c r="O72" i="1"/>
  <c r="L72" i="1"/>
  <c r="AD73" i="1"/>
  <c r="AB73" i="1"/>
  <c r="AD72" i="1"/>
  <c r="N73" i="1"/>
  <c r="K73" i="1"/>
  <c r="W73" i="1"/>
  <c r="O73" i="1"/>
  <c r="P72" i="1"/>
  <c r="AB72" i="1"/>
  <c r="U73" i="1"/>
  <c r="AC73" i="1"/>
  <c r="AA72" i="1"/>
  <c r="V73" i="1"/>
  <c r="T73" i="1"/>
  <c r="T72" i="1"/>
  <c r="Q72" i="1"/>
  <c r="AE73" i="1"/>
  <c r="X72" i="1"/>
  <c r="AA73" i="1"/>
  <c r="Y73" i="1"/>
  <c r="R72" i="1"/>
  <c r="S73" i="1"/>
  <c r="U72" i="1"/>
  <c r="X73" i="1"/>
  <c r="AE72" i="1"/>
  <c r="AC72" i="1"/>
  <c r="M73" i="1"/>
  <c r="N72" i="1"/>
  <c r="P73" i="1"/>
  <c r="V72" i="1"/>
  <c r="Z72" i="1"/>
  <c r="L73" i="1"/>
  <c r="R73" i="1"/>
  <c r="AZ30" i="18"/>
  <c r="BA11" i="18"/>
  <c r="AZ10" i="18"/>
  <c r="AZ9" i="18"/>
  <c r="CY3" i="6"/>
  <c r="BB36" i="6"/>
  <c r="BB38" i="6"/>
  <c r="BB32" i="6"/>
  <c r="BB29" i="6"/>
  <c r="BB30" i="6"/>
  <c r="BB35" i="6"/>
  <c r="BB31" i="6"/>
  <c r="BB37" i="6"/>
  <c r="AT11" i="1"/>
  <c r="AS68" i="1"/>
  <c r="AS9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AP10" i="1"/>
  <c r="AQ10" i="1"/>
  <c r="AR10" i="1"/>
  <c r="AS10" i="1"/>
  <c r="J10" i="1"/>
  <c r="I11" i="1" a="1"/>
  <c r="I11" i="1" s="1"/>
  <c r="NN25" i="1" a="1"/>
  <c r="NN29" i="1" a="1"/>
  <c r="NO23" i="1" a="1"/>
  <c r="NP29" i="1" a="1"/>
  <c r="NQ19" i="1" a="1"/>
  <c r="NO29" i="1" a="1"/>
  <c r="NN19" i="1" a="1"/>
  <c r="NP27" i="1" a="1"/>
  <c r="NQ53" i="1" a="1"/>
  <c r="NN21" i="1" a="1"/>
  <c r="NN23" i="1" a="1"/>
  <c r="NP21" i="1" a="1"/>
  <c r="NO21" i="1" a="1"/>
  <c r="NO27" i="1" a="1"/>
  <c r="NO19" i="1" a="1"/>
  <c r="NN53" i="1" a="1"/>
  <c r="NP23" i="1" a="1"/>
  <c r="NO53" i="1" a="1"/>
  <c r="NQ25" i="1" a="1"/>
  <c r="NP53" i="1" a="1"/>
  <c r="NQ21" i="1" a="1"/>
  <c r="NP25" i="1" a="1"/>
  <c r="NQ23" i="1" a="1"/>
  <c r="NO25" i="1" a="1"/>
  <c r="NQ27" i="1" a="1"/>
  <c r="NN27" i="1" a="1"/>
  <c r="NP19" i="1" a="1"/>
  <c r="NQ29" i="1" a="1"/>
  <c r="NQ27" i="1" l="1"/>
  <c r="NQ53" i="1"/>
  <c r="NQ25" i="1"/>
  <c r="NP25" i="1"/>
  <c r="NP21" i="1"/>
  <c r="NP23" i="1"/>
  <c r="NQ21" i="1"/>
  <c r="NO21" i="1"/>
  <c r="NN27" i="1"/>
  <c r="NP19" i="1"/>
  <c r="NO29" i="1"/>
  <c r="BL12" i="6" s="1"/>
  <c r="NQ29" i="1"/>
  <c r="BQ12" i="6" s="1"/>
  <c r="NP29" i="1"/>
  <c r="BP12" i="6" s="1"/>
  <c r="NQ23" i="1"/>
  <c r="NN21" i="1"/>
  <c r="NO27" i="1"/>
  <c r="NN53" i="1"/>
  <c r="NP53" i="1"/>
  <c r="NO25" i="1"/>
  <c r="NP27" i="1"/>
  <c r="NN29" i="1"/>
  <c r="BK12" i="6" s="1"/>
  <c r="NO19" i="1"/>
  <c r="NN19" i="1"/>
  <c r="NN25" i="1"/>
  <c r="NQ19" i="1"/>
  <c r="NN23" i="1"/>
  <c r="NO53" i="1"/>
  <c r="NO23" i="1"/>
  <c r="BA30" i="18"/>
  <c r="BB11" i="18"/>
  <c r="BA10" i="18"/>
  <c r="BA9" i="18"/>
  <c r="AT10" i="1"/>
  <c r="AT54" i="1"/>
  <c r="AH27" i="6"/>
  <c r="AU27" i="6"/>
  <c r="AI27" i="6"/>
  <c r="AV27" i="6"/>
  <c r="AH24" i="6"/>
  <c r="AU24" i="6"/>
  <c r="AI24" i="6"/>
  <c r="AV24" i="6"/>
  <c r="AH25" i="6"/>
  <c r="AU25" i="6"/>
  <c r="AI25" i="6"/>
  <c r="AV25" i="6"/>
  <c r="AH26" i="6"/>
  <c r="AV26" i="6"/>
  <c r="AU26" i="6"/>
  <c r="AI26" i="6"/>
  <c r="BC30" i="6"/>
  <c r="BC36" i="6"/>
  <c r="BC38" i="6"/>
  <c r="BC32" i="6"/>
  <c r="DD3" i="6"/>
  <c r="BC37" i="6"/>
  <c r="BC35" i="6"/>
  <c r="BC31" i="6"/>
  <c r="BC29" i="6"/>
  <c r="AU11" i="1"/>
  <c r="AT68" i="1"/>
  <c r="AT9" i="1"/>
  <c r="NO47" i="1" a="1"/>
  <c r="NN35" i="1" a="1"/>
  <c r="NQ35" i="1" a="1"/>
  <c r="NQ22" i="1"/>
  <c r="NO39" i="1" a="1"/>
  <c r="NP47" i="1" a="1"/>
  <c r="NO33" i="1" a="1"/>
  <c r="NP43" i="1" a="1"/>
  <c r="NO51" i="1" a="1"/>
  <c r="NQ48" i="1"/>
  <c r="NN51" i="1" a="1"/>
  <c r="NQ51" i="1" a="1"/>
  <c r="NQ18" i="1"/>
  <c r="NQ43" i="1" a="1"/>
  <c r="NN31" i="1" a="1"/>
  <c r="NQ32" i="1"/>
  <c r="NO22" i="1"/>
  <c r="NO36" i="1"/>
  <c r="NN43" i="1" a="1"/>
  <c r="NO18" i="1"/>
  <c r="NQ42" i="1"/>
  <c r="NP49" i="1" a="1"/>
  <c r="NQ47" i="1" a="1"/>
  <c r="NP51" i="1" a="1"/>
  <c r="NO44" i="1"/>
  <c r="NO45" i="1" a="1"/>
  <c r="NO43" i="1" a="1"/>
  <c r="NP45" i="1" a="1"/>
  <c r="NO40" i="1"/>
  <c r="NO35" i="1" a="1"/>
  <c r="NO46" i="1"/>
  <c r="NQ38" i="1"/>
  <c r="NQ33" i="1" a="1"/>
  <c r="NO42" i="1"/>
  <c r="NQ44" i="1"/>
  <c r="NQ36" i="1"/>
  <c r="NO31" i="1" a="1"/>
  <c r="NO32" i="1"/>
  <c r="NN37" i="1" a="1"/>
  <c r="NP33" i="1" a="1"/>
  <c r="NQ39" i="1" a="1"/>
  <c r="NQ41" i="1" a="1"/>
  <c r="NN41" i="1" a="1"/>
  <c r="NN49" i="1" a="1"/>
  <c r="NQ46" i="1"/>
  <c r="NQ50" i="1"/>
  <c r="NO50" i="1"/>
  <c r="NQ30" i="1"/>
  <c r="NQ40" i="1"/>
  <c r="NN45" i="1" a="1"/>
  <c r="NN33" i="1" a="1"/>
  <c r="NQ26" i="1"/>
  <c r="NO20" i="1"/>
  <c r="NO30" i="1"/>
  <c r="NO28" i="1"/>
  <c r="NQ37" i="1" a="1"/>
  <c r="NQ24" i="1"/>
  <c r="NP37" i="1" a="1"/>
  <c r="NN39" i="1" a="1"/>
  <c r="NP35" i="1" a="1"/>
  <c r="NQ34" i="1"/>
  <c r="NQ49" i="1" a="1"/>
  <c r="NQ28" i="1"/>
  <c r="NO34" i="1"/>
  <c r="NO37" i="1" a="1"/>
  <c r="NN47" i="1" a="1"/>
  <c r="NO48" i="1"/>
  <c r="NQ31" i="1" a="1"/>
  <c r="NO49" i="1" a="1"/>
  <c r="NO24" i="1"/>
  <c r="NQ20" i="1"/>
  <c r="NO26" i="1"/>
  <c r="NO41" i="1" a="1"/>
  <c r="NP39" i="1" a="1"/>
  <c r="NO38" i="1"/>
  <c r="NP31" i="1" a="1"/>
  <c r="NQ45" i="1" a="1"/>
  <c r="NP41" i="1" a="1"/>
  <c r="NP51" i="1" l="1"/>
  <c r="BP23" i="6" s="1"/>
  <c r="AI23" i="6" s="1"/>
  <c r="NN51" i="1"/>
  <c r="BK23" i="6" s="1"/>
  <c r="AH23" i="6" s="1"/>
  <c r="NQ51" i="1"/>
  <c r="BQ23" i="6" s="1"/>
  <c r="AV23" i="6" s="1"/>
  <c r="NO51" i="1"/>
  <c r="BL23" i="6" s="1"/>
  <c r="AU23" i="6" s="1"/>
  <c r="NN49" i="1"/>
  <c r="BK22" i="6" s="1"/>
  <c r="AH22" i="6" s="1"/>
  <c r="NQ49" i="1"/>
  <c r="BQ22" i="6" s="1"/>
  <c r="AV22" i="6" s="1"/>
  <c r="NP49" i="1"/>
  <c r="BP22" i="6" s="1"/>
  <c r="AI22" i="6" s="1"/>
  <c r="NO49" i="1"/>
  <c r="BL22" i="6" s="1"/>
  <c r="AU22" i="6" s="1"/>
  <c r="NP45" i="1"/>
  <c r="NN45" i="1"/>
  <c r="NQ43" i="1"/>
  <c r="NQ47" i="1"/>
  <c r="BQ21" i="6" s="1"/>
  <c r="AV21" i="6" s="1"/>
  <c r="NO43" i="1"/>
  <c r="NN43" i="1"/>
  <c r="NQ45" i="1"/>
  <c r="NO47" i="1"/>
  <c r="BL21" i="6" s="1"/>
  <c r="AU21" i="6" s="1"/>
  <c r="NP43" i="1"/>
  <c r="NP47" i="1"/>
  <c r="BP21" i="6" s="1"/>
  <c r="AI21" i="6" s="1"/>
  <c r="NO45" i="1"/>
  <c r="NN47" i="1"/>
  <c r="BK21" i="6" s="1"/>
  <c r="AH21" i="6" s="1"/>
  <c r="NQ41" i="1"/>
  <c r="NP41" i="1"/>
  <c r="NN41" i="1"/>
  <c r="NO41" i="1"/>
  <c r="NP39" i="1"/>
  <c r="BP17" i="6" s="1"/>
  <c r="AI17" i="6" s="1"/>
  <c r="NQ39" i="1"/>
  <c r="BQ17" i="6" s="1"/>
  <c r="AV17" i="6" s="1"/>
  <c r="NN39" i="1"/>
  <c r="BK17" i="6" s="1"/>
  <c r="AH17" i="6" s="1"/>
  <c r="NO39" i="1"/>
  <c r="BL17" i="6" s="1"/>
  <c r="AU17" i="6" s="1"/>
  <c r="NN35" i="1"/>
  <c r="BK15" i="6" s="1"/>
  <c r="AH15" i="6" s="1"/>
  <c r="NQ35" i="1"/>
  <c r="BQ15" i="6" s="1"/>
  <c r="AV15" i="6" s="1"/>
  <c r="NP35" i="1"/>
  <c r="BP15" i="6" s="1"/>
  <c r="AI15" i="6" s="1"/>
  <c r="NN37" i="1"/>
  <c r="BK16" i="6" s="1"/>
  <c r="AH16" i="6" s="1"/>
  <c r="NQ37" i="1"/>
  <c r="BQ16" i="6" s="1"/>
  <c r="AV16" i="6" s="1"/>
  <c r="NO35" i="1"/>
  <c r="BL15" i="6" s="1"/>
  <c r="AU15" i="6" s="1"/>
  <c r="NO37" i="1"/>
  <c r="BL16" i="6" s="1"/>
  <c r="AU16" i="6" s="1"/>
  <c r="NP37" i="1"/>
  <c r="BP16" i="6" s="1"/>
  <c r="AI16" i="6" s="1"/>
  <c r="NQ33" i="1"/>
  <c r="BQ14" i="6" s="1"/>
  <c r="AV14" i="6" s="1"/>
  <c r="NN33" i="1"/>
  <c r="BK14" i="6" s="1"/>
  <c r="AH14" i="6" s="1"/>
  <c r="NO33" i="1"/>
  <c r="BL14" i="6" s="1"/>
  <c r="AU14" i="6" s="1"/>
  <c r="NP33" i="1"/>
  <c r="BP14" i="6" s="1"/>
  <c r="AI14" i="6" s="1"/>
  <c r="BI10" i="6"/>
  <c r="H10" i="6" s="1"/>
  <c r="BN10" i="6"/>
  <c r="I10" i="6" s="1"/>
  <c r="BI9" i="6"/>
  <c r="H9" i="6" s="1"/>
  <c r="BN38" i="6"/>
  <c r="I38" i="6" s="1"/>
  <c r="BN37" i="6"/>
  <c r="I37" i="6" s="1"/>
  <c r="BN36" i="6"/>
  <c r="I36" i="6" s="1"/>
  <c r="BN35" i="6"/>
  <c r="I35" i="6" s="1"/>
  <c r="BN34" i="6"/>
  <c r="I34" i="6" s="1"/>
  <c r="BN33" i="6"/>
  <c r="I33" i="6" s="1"/>
  <c r="BN32" i="6"/>
  <c r="I32" i="6" s="1"/>
  <c r="BN31" i="6"/>
  <c r="I31" i="6" s="1"/>
  <c r="BN30" i="6"/>
  <c r="I30" i="6" s="1"/>
  <c r="BN29" i="6"/>
  <c r="I29" i="6" s="1"/>
  <c r="BN28" i="6"/>
  <c r="I28" i="6" s="1"/>
  <c r="BN27" i="6"/>
  <c r="I27" i="6" s="1"/>
  <c r="BN26" i="6"/>
  <c r="I26" i="6" s="1"/>
  <c r="BN25" i="6"/>
  <c r="I25" i="6" s="1"/>
  <c r="BN24" i="6"/>
  <c r="I24" i="6" s="1"/>
  <c r="BN23" i="6"/>
  <c r="I23" i="6" s="1"/>
  <c r="BN22" i="6"/>
  <c r="I22" i="6" s="1"/>
  <c r="BN21" i="6"/>
  <c r="I21" i="6" s="1"/>
  <c r="BN20" i="6"/>
  <c r="I20" i="6" s="1"/>
  <c r="BN19" i="6"/>
  <c r="I19" i="6" s="1"/>
  <c r="BN18" i="6"/>
  <c r="I18" i="6" s="1"/>
  <c r="BN17" i="6"/>
  <c r="I17" i="6" s="1"/>
  <c r="BN16" i="6"/>
  <c r="I16" i="6" s="1"/>
  <c r="BN15" i="6"/>
  <c r="I15" i="6" s="1"/>
  <c r="BN14" i="6"/>
  <c r="I14" i="6" s="1"/>
  <c r="BN13" i="6"/>
  <c r="I13" i="6" s="1"/>
  <c r="BN12" i="6"/>
  <c r="I12" i="6" s="1"/>
  <c r="BI11" i="6"/>
  <c r="H11" i="6" s="1"/>
  <c r="BN9" i="6"/>
  <c r="I9" i="6" s="1"/>
  <c r="BI24" i="6"/>
  <c r="H24" i="6" s="1"/>
  <c r="BI23" i="6"/>
  <c r="H23" i="6" s="1"/>
  <c r="BI22" i="6"/>
  <c r="H22" i="6" s="1"/>
  <c r="BI21" i="6"/>
  <c r="H21" i="6" s="1"/>
  <c r="BI20" i="6"/>
  <c r="H20" i="6" s="1"/>
  <c r="BI19" i="6"/>
  <c r="H19" i="6" s="1"/>
  <c r="BI18" i="6"/>
  <c r="H18" i="6" s="1"/>
  <c r="BI17" i="6"/>
  <c r="H17" i="6" s="1"/>
  <c r="BI16" i="6"/>
  <c r="H16" i="6" s="1"/>
  <c r="BI15" i="6"/>
  <c r="H15" i="6" s="1"/>
  <c r="BI14" i="6"/>
  <c r="H14" i="6" s="1"/>
  <c r="BI13" i="6"/>
  <c r="H13" i="6" s="1"/>
  <c r="BI36" i="6"/>
  <c r="H36" i="6" s="1"/>
  <c r="BI32" i="6"/>
  <c r="H32" i="6" s="1"/>
  <c r="BI28" i="6"/>
  <c r="H28" i="6" s="1"/>
  <c r="BI25" i="6"/>
  <c r="H25" i="6" s="1"/>
  <c r="BI37" i="6"/>
  <c r="H37" i="6" s="1"/>
  <c r="BI33" i="6"/>
  <c r="H33" i="6" s="1"/>
  <c r="BI29" i="6"/>
  <c r="H29" i="6" s="1"/>
  <c r="BI38" i="6"/>
  <c r="H38" i="6" s="1"/>
  <c r="BI34" i="6"/>
  <c r="H34" i="6" s="1"/>
  <c r="BI30" i="6"/>
  <c r="H30" i="6" s="1"/>
  <c r="BI12" i="6"/>
  <c r="H12" i="6" s="1"/>
  <c r="BI27" i="6"/>
  <c r="H27" i="6" s="1"/>
  <c r="BI31" i="6"/>
  <c r="H31" i="6" s="1"/>
  <c r="BI26" i="6"/>
  <c r="H26" i="6" s="1"/>
  <c r="BI35" i="6"/>
  <c r="H35" i="6" s="1"/>
  <c r="BN11" i="6"/>
  <c r="I11" i="6" s="1"/>
  <c r="NQ31" i="1"/>
  <c r="BQ13" i="6" s="1"/>
  <c r="AV13" i="6" s="1"/>
  <c r="NN31" i="1"/>
  <c r="BK13" i="6" s="1"/>
  <c r="AH13" i="6" s="1"/>
  <c r="NP31" i="1"/>
  <c r="BP13" i="6" s="1"/>
  <c r="AI13" i="6" s="1"/>
  <c r="NO31" i="1"/>
  <c r="BL13" i="6" s="1"/>
  <c r="AU13" i="6" s="1"/>
  <c r="AU54" i="1"/>
  <c r="BB30" i="18"/>
  <c r="BC11" i="18"/>
  <c r="BB10" i="18"/>
  <c r="BB9" i="18"/>
  <c r="AH33" i="6"/>
  <c r="AU33" i="6"/>
  <c r="AV33" i="6"/>
  <c r="AI33" i="6"/>
  <c r="BD29" i="6"/>
  <c r="BD31" i="6"/>
  <c r="BD35" i="6"/>
  <c r="BD38" i="6"/>
  <c r="DI3" i="6"/>
  <c r="BD36" i="6"/>
  <c r="BD30" i="6"/>
  <c r="BD32" i="6"/>
  <c r="BD37" i="6"/>
  <c r="AV11" i="1"/>
  <c r="AU9" i="1"/>
  <c r="AU68" i="1"/>
  <c r="AU10" i="1"/>
  <c r="A24" i="16"/>
  <c r="A15" i="16"/>
  <c r="A26" i="16"/>
  <c r="A16" i="16"/>
  <c r="A6" i="16"/>
  <c r="A17" i="16"/>
  <c r="A7" i="16"/>
  <c r="A18" i="16"/>
  <c r="A23" i="16"/>
  <c r="A8" i="16"/>
  <c r="A22" i="16"/>
  <c r="A9" i="16"/>
  <c r="A10" i="16"/>
  <c r="A14" i="16"/>
  <c r="A25" i="16"/>
  <c r="A4" i="16"/>
  <c r="A12" i="16"/>
  <c r="A20" i="16"/>
  <c r="A21" i="16"/>
  <c r="A13" i="16"/>
  <c r="A11" i="16"/>
  <c r="A19" i="16"/>
  <c r="A5" i="16"/>
  <c r="A3" i="16"/>
  <c r="NP32" i="1"/>
  <c r="NN48" i="1"/>
  <c r="NP34" i="1"/>
  <c r="NP36" i="1"/>
  <c r="NN30" i="1"/>
  <c r="NN26" i="1"/>
  <c r="NN40" i="1"/>
  <c r="NN44" i="1"/>
  <c r="NP22" i="1"/>
  <c r="NN20" i="1"/>
  <c r="NN24" i="1"/>
  <c r="NN32" i="1"/>
  <c r="NN38" i="1"/>
  <c r="NP20" i="1"/>
  <c r="NP44" i="1"/>
  <c r="NP38" i="1"/>
  <c r="NN36" i="1"/>
  <c r="NN18" i="1"/>
  <c r="NP28" i="1"/>
  <c r="NP30" i="1"/>
  <c r="NN34" i="1"/>
  <c r="NP50" i="1"/>
  <c r="NP26" i="1"/>
  <c r="NN46" i="1"/>
  <c r="NP24" i="1"/>
  <c r="NP42" i="1"/>
  <c r="NN42" i="1"/>
  <c r="NP48" i="1"/>
  <c r="NN50" i="1"/>
  <c r="NN28" i="1"/>
  <c r="NP18" i="1"/>
  <c r="NP40" i="1"/>
  <c r="NN22" i="1"/>
  <c r="NP46" i="1"/>
  <c r="BK11" i="6" l="1"/>
  <c r="AH11" i="6" s="1"/>
  <c r="BK20" i="6"/>
  <c r="AH20" i="6" s="1"/>
  <c r="BL9" i="6"/>
  <c r="AU9" i="6" s="1"/>
  <c r="BL18" i="6"/>
  <c r="AU18" i="6" s="1"/>
  <c r="BK9" i="6"/>
  <c r="AH9" i="6" s="1"/>
  <c r="BK18" i="6"/>
  <c r="AH18" i="6" s="1"/>
  <c r="BQ11" i="6"/>
  <c r="BQ20" i="6"/>
  <c r="AV20" i="6" s="1"/>
  <c r="BP9" i="6"/>
  <c r="AI9" i="6" s="1"/>
  <c r="BP18" i="6"/>
  <c r="AI18" i="6" s="1"/>
  <c r="BK10" i="6"/>
  <c r="AH10" i="6" s="1"/>
  <c r="BK19" i="6"/>
  <c r="AH19" i="6" s="1"/>
  <c r="BQ9" i="6"/>
  <c r="BQ18" i="6"/>
  <c r="AV18" i="6" s="1"/>
  <c r="BL10" i="6"/>
  <c r="AU10" i="6" s="1"/>
  <c r="BL19" i="6"/>
  <c r="AU19" i="6" s="1"/>
  <c r="BL11" i="6"/>
  <c r="AU11" i="6" s="1"/>
  <c r="BL20" i="6"/>
  <c r="AU20" i="6" s="1"/>
  <c r="BQ10" i="6"/>
  <c r="BQ19" i="6"/>
  <c r="AV19" i="6" s="1"/>
  <c r="BP10" i="6"/>
  <c r="AI10" i="6" s="1"/>
  <c r="BP19" i="6"/>
  <c r="AI19" i="6" s="1"/>
  <c r="BP11" i="6"/>
  <c r="AI11" i="6" s="1"/>
  <c r="BP20" i="6"/>
  <c r="AI20" i="6" s="1"/>
  <c r="BJ9" i="6"/>
  <c r="BO11" i="6"/>
  <c r="BO10" i="6"/>
  <c r="BJ38" i="6"/>
  <c r="BJ37" i="6"/>
  <c r="BJ36" i="6"/>
  <c r="BJ35" i="6"/>
  <c r="BJ34" i="6"/>
  <c r="BJ33" i="6"/>
  <c r="BJ32" i="6"/>
  <c r="BJ31" i="6"/>
  <c r="BJ30" i="6"/>
  <c r="BJ29" i="6"/>
  <c r="BJ28" i="6"/>
  <c r="BJ27" i="6"/>
  <c r="BJ25" i="6"/>
  <c r="BJ26" i="6"/>
  <c r="BJ23" i="6"/>
  <c r="BJ19" i="6"/>
  <c r="BJ15" i="6"/>
  <c r="BJ13" i="6"/>
  <c r="BJ24" i="6"/>
  <c r="BJ20" i="6"/>
  <c r="BJ16" i="6"/>
  <c r="BJ22" i="6"/>
  <c r="BJ18" i="6"/>
  <c r="BJ14" i="6"/>
  <c r="BJ12" i="6"/>
  <c r="BJ21" i="6"/>
  <c r="BJ17" i="6"/>
  <c r="BJ10" i="6"/>
  <c r="BO38" i="6"/>
  <c r="BO37" i="6"/>
  <c r="BO36" i="6"/>
  <c r="BO35" i="6"/>
  <c r="BO34" i="6"/>
  <c r="BO33" i="6"/>
  <c r="BO32" i="6"/>
  <c r="BO31" i="6"/>
  <c r="BO30" i="6"/>
  <c r="BO29" i="6"/>
  <c r="BO28" i="6"/>
  <c r="BO27" i="6"/>
  <c r="BO26" i="6"/>
  <c r="BO25" i="6"/>
  <c r="BO24" i="6"/>
  <c r="BO23" i="6"/>
  <c r="BO22" i="6"/>
  <c r="BO21" i="6"/>
  <c r="BO20" i="6"/>
  <c r="BO19" i="6"/>
  <c r="BO18" i="6"/>
  <c r="BO17" i="6"/>
  <c r="BO16" i="6"/>
  <c r="BO15" i="6"/>
  <c r="BO14" i="6"/>
  <c r="BO13" i="6"/>
  <c r="BO12" i="6"/>
  <c r="BJ11" i="6"/>
  <c r="BO9" i="6"/>
  <c r="AV54" i="1"/>
  <c r="BC30" i="18"/>
  <c r="BD11" i="18"/>
  <c r="BC10" i="18"/>
  <c r="BC9" i="18"/>
  <c r="AU28" i="6"/>
  <c r="AH28" i="6"/>
  <c r="AV28" i="6"/>
  <c r="AI28" i="6"/>
  <c r="AU34" i="6"/>
  <c r="AU12" i="6"/>
  <c r="AH34" i="6"/>
  <c r="AH12" i="6"/>
  <c r="AV34" i="6"/>
  <c r="AV12" i="6"/>
  <c r="AI34" i="6"/>
  <c r="AI12" i="6"/>
  <c r="BE32" i="6"/>
  <c r="BE29" i="6"/>
  <c r="DN3" i="6"/>
  <c r="BE38" i="6"/>
  <c r="BE30" i="6"/>
  <c r="BE37" i="6"/>
  <c r="BE35" i="6"/>
  <c r="BE31" i="6"/>
  <c r="BE36" i="6"/>
  <c r="AW11" i="1"/>
  <c r="AV68" i="1"/>
  <c r="AV9" i="1"/>
  <c r="AV10" i="1"/>
  <c r="V74" i="16"/>
  <c r="AE74" i="16"/>
  <c r="AJ74" i="16"/>
  <c r="AS80" i="16"/>
  <c r="AQ80" i="16"/>
  <c r="AV80" i="16"/>
  <c r="AW80" i="16"/>
  <c r="Y74" i="16"/>
  <c r="Z74" i="16"/>
  <c r="BF9" i="16"/>
  <c r="AH74" i="16"/>
  <c r="AX80" i="16"/>
  <c r="BF5" i="16"/>
  <c r="AP80" i="16"/>
  <c r="BF2" i="16"/>
  <c r="AO80" i="16"/>
  <c r="BF8" i="16"/>
  <c r="AM74" i="16"/>
  <c r="AG74" i="16"/>
  <c r="AK74" i="16"/>
  <c r="AN74" i="16"/>
  <c r="AY80" i="16"/>
  <c r="AF74" i="16"/>
  <c r="X74" i="16"/>
  <c r="AB74" i="16"/>
  <c r="AL74" i="16"/>
  <c r="BF7" i="16"/>
  <c r="AC74" i="16"/>
  <c r="W74" i="16"/>
  <c r="AI74" i="16"/>
  <c r="AR80" i="16"/>
  <c r="BF4" i="16"/>
  <c r="AZ80" i="16"/>
  <c r="BF3" i="16"/>
  <c r="AU80" i="16"/>
  <c r="AA74" i="16"/>
  <c r="AT80" i="16"/>
  <c r="AD74" i="16"/>
  <c r="BA80" i="16"/>
  <c r="G79" i="16"/>
  <c r="AU79" i="16"/>
  <c r="J79" i="16"/>
  <c r="AG79" i="16"/>
  <c r="Z79" i="16"/>
  <c r="R79" i="16"/>
  <c r="AI79" i="16"/>
  <c r="S79" i="16"/>
  <c r="AV79" i="16"/>
  <c r="H79" i="16"/>
  <c r="T79" i="16"/>
  <c r="AX79" i="16"/>
  <c r="L79" i="16"/>
  <c r="U79" i="16"/>
  <c r="AD79" i="16"/>
  <c r="AF79" i="16"/>
  <c r="O79" i="16"/>
  <c r="AN79" i="16"/>
  <c r="AC79" i="16"/>
  <c r="AJ79" i="16"/>
  <c r="K79" i="16"/>
  <c r="W79" i="16"/>
  <c r="AA79" i="16"/>
  <c r="V79" i="16"/>
  <c r="AM79" i="16"/>
  <c r="AW79" i="16"/>
  <c r="P79" i="16"/>
  <c r="S74" i="16"/>
  <c r="G74" i="16"/>
  <c r="AA78" i="16"/>
  <c r="AK78" i="16"/>
  <c r="Q78" i="16"/>
  <c r="AG78" i="16"/>
  <c r="V78" i="16"/>
  <c r="U78" i="16"/>
  <c r="AL78" i="16"/>
  <c r="I78" i="16"/>
  <c r="AH78" i="16"/>
  <c r="AD78" i="16"/>
  <c r="AF78" i="16"/>
  <c r="X78" i="16"/>
  <c r="R74" i="16"/>
  <c r="L78" i="16"/>
  <c r="H74" i="16"/>
  <c r="AI78" i="16"/>
  <c r="Y78" i="16"/>
  <c r="AC78" i="16"/>
  <c r="N74" i="16"/>
  <c r="J78" i="16"/>
  <c r="M78" i="16"/>
  <c r="K78" i="16"/>
  <c r="T78" i="16"/>
  <c r="AE78" i="16"/>
  <c r="W78" i="16"/>
  <c r="AB78" i="16"/>
  <c r="AJ78" i="16"/>
  <c r="Z78" i="16"/>
  <c r="O78" i="16"/>
  <c r="AN78" i="16"/>
  <c r="AM78" i="16"/>
  <c r="P74" i="16"/>
  <c r="W76" i="16"/>
  <c r="AK76" i="16"/>
  <c r="Z76" i="16"/>
  <c r="AL76" i="16"/>
  <c r="M76" i="16"/>
  <c r="AB76" i="16"/>
  <c r="I76" i="16"/>
  <c r="AJ76" i="16"/>
  <c r="Q76" i="16"/>
  <c r="AD76" i="16"/>
  <c r="S76" i="16"/>
  <c r="P76" i="16"/>
  <c r="V76" i="16"/>
  <c r="N76" i="16"/>
  <c r="AC76" i="16"/>
  <c r="H76" i="16"/>
  <c r="L76" i="16"/>
  <c r="T76" i="16"/>
  <c r="AA76" i="16"/>
  <c r="AN76" i="16"/>
  <c r="AI76" i="16"/>
  <c r="K76" i="16"/>
  <c r="O76" i="16"/>
  <c r="X76" i="16"/>
  <c r="R76" i="16"/>
  <c r="AG76" i="16"/>
  <c r="AH76" i="16"/>
  <c r="G76" i="16"/>
  <c r="AF76" i="16"/>
  <c r="NN15" i="1" a="1"/>
  <c r="NP15" i="1" a="1"/>
  <c r="NQ15" i="1" a="1"/>
  <c r="NO15" i="1" a="1"/>
  <c r="NP15" i="1" l="1"/>
  <c r="BP6" i="6" s="1"/>
  <c r="AI6" i="6" s="1"/>
  <c r="NQ15" i="1"/>
  <c r="BQ6" i="6" s="1"/>
  <c r="NO15" i="1"/>
  <c r="BL6" i="6" s="1"/>
  <c r="AU6" i="6" s="1"/>
  <c r="NN15" i="1"/>
  <c r="BK6" i="6" s="1"/>
  <c r="AH6" i="6" s="1"/>
  <c r="AW54" i="1"/>
  <c r="BD30" i="18"/>
  <c r="BE11" i="18"/>
  <c r="BD10" i="18"/>
  <c r="BD9" i="18"/>
  <c r="BF30" i="6"/>
  <c r="BF31" i="6"/>
  <c r="BF37" i="6"/>
  <c r="BF29" i="6"/>
  <c r="BF36" i="6"/>
  <c r="BF35" i="6"/>
  <c r="BF38" i="6"/>
  <c r="BF32" i="6"/>
  <c r="AX11" i="1"/>
  <c r="AW68" i="1"/>
  <c r="AW9" i="1"/>
  <c r="AW10" i="1"/>
  <c r="AE77" i="16"/>
  <c r="AW77" i="16"/>
  <c r="Z77" i="16"/>
  <c r="J77" i="16"/>
  <c r="X77" i="16"/>
  <c r="N77" i="16"/>
  <c r="AT73" i="16"/>
  <c r="AT131" i="16" s="1"/>
  <c r="AY73" i="16"/>
  <c r="AY82" i="16" s="1"/>
  <c r="AY85" i="16" s="1"/>
  <c r="AP78" i="16"/>
  <c r="AM77" i="16"/>
  <c r="AJ77" i="16"/>
  <c r="G77" i="16"/>
  <c r="AH77" i="16"/>
  <c r="AN77" i="16"/>
  <c r="AI77" i="16"/>
  <c r="AN83" i="16"/>
  <c r="AW73" i="16"/>
  <c r="AW131" i="16" s="1"/>
  <c r="AU73" i="16"/>
  <c r="AU82" i="16" s="1"/>
  <c r="AU85" i="16" s="1"/>
  <c r="AJ83" i="16"/>
  <c r="AV77" i="16"/>
  <c r="AU77" i="16"/>
  <c r="AO77" i="16"/>
  <c r="AQ77" i="16"/>
  <c r="M77" i="16"/>
  <c r="U77" i="16"/>
  <c r="U76" i="16"/>
  <c r="S77" i="16"/>
  <c r="AZ77" i="16"/>
  <c r="F77" i="16"/>
  <c r="BA77" i="16"/>
  <c r="AT77" i="16"/>
  <c r="AS77" i="16"/>
  <c r="AZ73" i="16"/>
  <c r="AZ131" i="16" s="1"/>
  <c r="AG83" i="16"/>
  <c r="AX73" i="16"/>
  <c r="AX131" i="16" s="1"/>
  <c r="AV73" i="16"/>
  <c r="AV82" i="16" s="1"/>
  <c r="AV85" i="16" s="1"/>
  <c r="J76" i="16"/>
  <c r="AL77" i="16"/>
  <c r="I77" i="16"/>
  <c r="AA77" i="16"/>
  <c r="P77" i="16"/>
  <c r="R77" i="16"/>
  <c r="K77" i="16"/>
  <c r="AQ73" i="16"/>
  <c r="AQ118" i="16" s="1"/>
  <c r="AR73" i="16"/>
  <c r="AR131" i="16" s="1"/>
  <c r="U83" i="16"/>
  <c r="AM83" i="16"/>
  <c r="AE76" i="16"/>
  <c r="AB83" i="16"/>
  <c r="AR77" i="16"/>
  <c r="L77" i="16"/>
  <c r="AK77" i="16"/>
  <c r="O77" i="16"/>
  <c r="AF77" i="16"/>
  <c r="H77" i="16"/>
  <c r="AL83" i="16"/>
  <c r="BA73" i="16"/>
  <c r="BA82" i="16" s="1"/>
  <c r="BA85" i="16" s="1"/>
  <c r="P78" i="16"/>
  <c r="AD77" i="16"/>
  <c r="T77" i="16"/>
  <c r="AY77" i="16"/>
  <c r="AP77" i="16"/>
  <c r="AX77" i="16"/>
  <c r="V77" i="16"/>
  <c r="AH83" i="16"/>
  <c r="AK83" i="16"/>
  <c r="AP83" i="16"/>
  <c r="AS73" i="16"/>
  <c r="AS131" i="16" s="1"/>
  <c r="Y76" i="16"/>
  <c r="AM76" i="16"/>
  <c r="W77" i="16"/>
  <c r="AB77" i="16"/>
  <c r="Q77" i="16"/>
  <c r="Y77" i="16"/>
  <c r="AC77" i="16"/>
  <c r="AG77" i="16"/>
  <c r="AO73" i="16"/>
  <c r="AO131" i="16" s="1"/>
  <c r="AY74" i="16"/>
  <c r="AX74" i="16"/>
  <c r="F79" i="16"/>
  <c r="T74" i="16"/>
  <c r="R78" i="16"/>
  <c r="AO83" i="16"/>
  <c r="Y83" i="16"/>
  <c r="AS78" i="16"/>
  <c r="AC83" i="16"/>
  <c r="AD83" i="16"/>
  <c r="BA78" i="16"/>
  <c r="Z83" i="16"/>
  <c r="AW74" i="16"/>
  <c r="AG75" i="16"/>
  <c r="AG131" i="16" s="1"/>
  <c r="AQ75" i="16"/>
  <c r="F75" i="16"/>
  <c r="P75" i="16"/>
  <c r="AV75" i="16"/>
  <c r="U75" i="16"/>
  <c r="J74" i="16"/>
  <c r="AQ74" i="16"/>
  <c r="W83" i="16"/>
  <c r="V83" i="16"/>
  <c r="AE83" i="16"/>
  <c r="AF83" i="16"/>
  <c r="L75" i="16"/>
  <c r="AI75" i="16"/>
  <c r="AI131" i="16" s="1"/>
  <c r="AY75" i="16"/>
  <c r="AU75" i="16"/>
  <c r="AC75" i="16"/>
  <c r="AC131" i="16" s="1"/>
  <c r="AR75" i="16"/>
  <c r="AZ78" i="16"/>
  <c r="AP73" i="16"/>
  <c r="AA83" i="16"/>
  <c r="AR78" i="16"/>
  <c r="H78" i="16"/>
  <c r="U73" i="16"/>
  <c r="L74" i="16"/>
  <c r="I74" i="16"/>
  <c r="AW75" i="16"/>
  <c r="AX75" i="16"/>
  <c r="G75" i="16"/>
  <c r="AN75" i="16"/>
  <c r="AN131" i="16" s="1"/>
  <c r="AS75" i="16"/>
  <c r="BA75" i="16"/>
  <c r="N78" i="16"/>
  <c r="M74" i="16"/>
  <c r="AT78" i="16"/>
  <c r="K75" i="16"/>
  <c r="AL75" i="16"/>
  <c r="AL131" i="16" s="1"/>
  <c r="AK75" i="16"/>
  <c r="AK131" i="16" s="1"/>
  <c r="T75" i="16"/>
  <c r="AD75" i="16"/>
  <c r="AD131" i="16" s="1"/>
  <c r="AT75" i="16"/>
  <c r="G78" i="16"/>
  <c r="O74" i="16"/>
  <c r="AV78" i="16"/>
  <c r="F78" i="16"/>
  <c r="AO74" i="16"/>
  <c r="AI83" i="16"/>
  <c r="V75" i="16"/>
  <c r="V131" i="16" s="1"/>
  <c r="AO75" i="16"/>
  <c r="AF75" i="16"/>
  <c r="AF131" i="16" s="1"/>
  <c r="S75" i="16"/>
  <c r="AM75" i="16"/>
  <c r="AM131" i="16" s="1"/>
  <c r="Y75" i="16"/>
  <c r="Y131" i="16" s="1"/>
  <c r="AQ83" i="16"/>
  <c r="S78" i="16"/>
  <c r="X83" i="16"/>
  <c r="N75" i="16"/>
  <c r="W75" i="16"/>
  <c r="W131" i="16" s="1"/>
  <c r="AA75" i="16"/>
  <c r="AA131" i="16" s="1"/>
  <c r="AP75" i="16"/>
  <c r="X75" i="16"/>
  <c r="X131" i="16" s="1"/>
  <c r="AJ75" i="16"/>
  <c r="AJ131" i="16" s="1"/>
  <c r="F76" i="16"/>
  <c r="F74" i="16"/>
  <c r="Q74" i="16"/>
  <c r="U74" i="16"/>
  <c r="K74" i="16"/>
  <c r="AU78" i="16"/>
  <c r="H75" i="16"/>
  <c r="AB75" i="16"/>
  <c r="AB131" i="16" s="1"/>
  <c r="AZ75" i="16"/>
  <c r="AE75" i="16"/>
  <c r="AE131" i="16" s="1"/>
  <c r="Z75" i="16"/>
  <c r="Z131" i="16" s="1"/>
  <c r="Q75" i="16"/>
  <c r="AH75" i="16"/>
  <c r="AH131" i="16" s="1"/>
  <c r="R75" i="16"/>
  <c r="O75" i="16"/>
  <c r="M75" i="16"/>
  <c r="I75" i="16"/>
  <c r="J75" i="16"/>
  <c r="AW82" i="16" l="1"/>
  <c r="AW85" i="16" s="1"/>
  <c r="AW87" i="16" s="1"/>
  <c r="AX54" i="1"/>
  <c r="BE30" i="18"/>
  <c r="BE10" i="18"/>
  <c r="BF11" i="18"/>
  <c r="BE9" i="18"/>
  <c r="AZ82" i="16"/>
  <c r="AZ85" i="16" s="1"/>
  <c r="AZ96" i="16" s="1"/>
  <c r="AZ97" i="16" s="1"/>
  <c r="AY11" i="1"/>
  <c r="AX68" i="1"/>
  <c r="AX9" i="1"/>
  <c r="AX10" i="1"/>
  <c r="AR82" i="16"/>
  <c r="AR85" i="16" s="1"/>
  <c r="AR86" i="16" s="1"/>
  <c r="AQ82" i="16"/>
  <c r="AQ85" i="16" s="1"/>
  <c r="AQ87" i="16" s="1"/>
  <c r="AY131" i="16"/>
  <c r="AY133" i="16" s="1"/>
  <c r="AT82" i="16"/>
  <c r="AT85" i="16" s="1"/>
  <c r="AT96" i="16" s="1"/>
  <c r="AT97" i="16" s="1"/>
  <c r="AQ131" i="16"/>
  <c r="AQ173" i="16" s="1"/>
  <c r="AX82" i="16"/>
  <c r="AX85" i="16" s="1"/>
  <c r="AX86" i="16" s="1"/>
  <c r="AS82" i="16"/>
  <c r="AS85" i="16" s="1"/>
  <c r="AS87" i="16" s="1"/>
  <c r="BA131" i="16"/>
  <c r="BA133" i="16" s="1"/>
  <c r="AV131" i="16"/>
  <c r="AV133" i="16" s="1"/>
  <c r="AU131" i="16"/>
  <c r="AU133" i="16" s="1"/>
  <c r="AO118" i="16"/>
  <c r="AO82" i="16"/>
  <c r="AO85" i="16" s="1"/>
  <c r="AO96" i="16" s="1"/>
  <c r="AO97" i="16" s="1"/>
  <c r="AJ173" i="16"/>
  <c r="AJ133" i="16"/>
  <c r="AM133" i="16"/>
  <c r="AM173" i="16"/>
  <c r="AN133" i="16"/>
  <c r="AN173" i="16"/>
  <c r="AY96" i="16"/>
  <c r="AY97" i="16" s="1"/>
  <c r="AY86" i="16"/>
  <c r="AY87" i="16"/>
  <c r="AH173" i="16"/>
  <c r="AH133" i="16"/>
  <c r="Z133" i="16"/>
  <c r="Z173" i="16"/>
  <c r="X173" i="16"/>
  <c r="X133" i="16"/>
  <c r="AD173" i="16"/>
  <c r="AD133" i="16"/>
  <c r="U131" i="16"/>
  <c r="U133" i="16" s="1"/>
  <c r="U82" i="16"/>
  <c r="U85" i="16" s="1"/>
  <c r="U118" i="16"/>
  <c r="AE173" i="16"/>
  <c r="AE133" i="16"/>
  <c r="AF133" i="16"/>
  <c r="AF173" i="16"/>
  <c r="AV86" i="16"/>
  <c r="AV87" i="16"/>
  <c r="AV96" i="16"/>
  <c r="AV97" i="16" s="1"/>
  <c r="AA173" i="16"/>
  <c r="AA133" i="16"/>
  <c r="AK173" i="16"/>
  <c r="AK133" i="16"/>
  <c r="AC173" i="16"/>
  <c r="AC133" i="16"/>
  <c r="AS173" i="16"/>
  <c r="AS133" i="16"/>
  <c r="AB173" i="16"/>
  <c r="AB133" i="16"/>
  <c r="W173" i="16"/>
  <c r="W133" i="16"/>
  <c r="V173" i="16"/>
  <c r="V133" i="16"/>
  <c r="AL173" i="16"/>
  <c r="AL133" i="16"/>
  <c r="AR173" i="16"/>
  <c r="AR133" i="16"/>
  <c r="AU86" i="16"/>
  <c r="AU96" i="16"/>
  <c r="AU97" i="16" s="1"/>
  <c r="AU87" i="16"/>
  <c r="AP118" i="16"/>
  <c r="AP82" i="16"/>
  <c r="AP85" i="16" s="1"/>
  <c r="AP131" i="16"/>
  <c r="AX133" i="16"/>
  <c r="AX173" i="16"/>
  <c r="AI173" i="16"/>
  <c r="AI133" i="16"/>
  <c r="AO173" i="16"/>
  <c r="AO133" i="16"/>
  <c r="Y173" i="16"/>
  <c r="Y133" i="16"/>
  <c r="AG133" i="16"/>
  <c r="AG173" i="16"/>
  <c r="BA86" i="16"/>
  <c r="BA87" i="16"/>
  <c r="BA96" i="16"/>
  <c r="BA97" i="16" s="1"/>
  <c r="AZ133" i="16"/>
  <c r="AZ173" i="16"/>
  <c r="AW173" i="16"/>
  <c r="AW133" i="16"/>
  <c r="AT133" i="16"/>
  <c r="AT173" i="16"/>
  <c r="NQ12" i="1"/>
  <c r="AW96" i="16" l="1"/>
  <c r="AW97" i="16" s="1"/>
  <c r="AW86" i="16"/>
  <c r="BN8" i="6"/>
  <c r="I8" i="6" s="1"/>
  <c r="AY54" i="1"/>
  <c r="BF30" i="18"/>
  <c r="BG11" i="18"/>
  <c r="BF9" i="18"/>
  <c r="BF10" i="18"/>
  <c r="AZ86" i="16"/>
  <c r="AZ87" i="16"/>
  <c r="AR87" i="16"/>
  <c r="AR96" i="16"/>
  <c r="AR97" i="16" s="1"/>
  <c r="AT86" i="16"/>
  <c r="AT87" i="16"/>
  <c r="AQ133" i="16"/>
  <c r="AQ134" i="16" s="1"/>
  <c r="AX96" i="16"/>
  <c r="AX97" i="16" s="1"/>
  <c r="AQ96" i="16"/>
  <c r="AQ97" i="16" s="1"/>
  <c r="AX87" i="16"/>
  <c r="AZ11" i="1"/>
  <c r="AY68" i="1"/>
  <c r="AY9" i="1"/>
  <c r="AY10" i="1"/>
  <c r="AY173" i="16"/>
  <c r="AV173" i="16"/>
  <c r="AU173" i="16"/>
  <c r="AO87" i="16"/>
  <c r="AQ86" i="16"/>
  <c r="AO86" i="16"/>
  <c r="BA173" i="16"/>
  <c r="AS96" i="16"/>
  <c r="AS97" i="16" s="1"/>
  <c r="AS86" i="16"/>
  <c r="Y144" i="16"/>
  <c r="Y145" i="16" s="1"/>
  <c r="Y135" i="16"/>
  <c r="Y134" i="16"/>
  <c r="AP173" i="16"/>
  <c r="AP133" i="16"/>
  <c r="W144" i="16"/>
  <c r="W145" i="16" s="1"/>
  <c r="W134" i="16"/>
  <c r="W135" i="16"/>
  <c r="AN134" i="16"/>
  <c r="AN135" i="16"/>
  <c r="AO134" i="16"/>
  <c r="AO144" i="16"/>
  <c r="AO145" i="16" s="1"/>
  <c r="AO135" i="16"/>
  <c r="AP86" i="16"/>
  <c r="AP96" i="16"/>
  <c r="AP97" i="16" s="1"/>
  <c r="AP87" i="16"/>
  <c r="AR135" i="16"/>
  <c r="AR144" i="16"/>
  <c r="AR145" i="16" s="1"/>
  <c r="AR134" i="16"/>
  <c r="AL144" i="16"/>
  <c r="AL145" i="16" s="1"/>
  <c r="AL135" i="16"/>
  <c r="AL134" i="16"/>
  <c r="AS144" i="16"/>
  <c r="AS145" i="16" s="1"/>
  <c r="AS135" i="16"/>
  <c r="AS134" i="16"/>
  <c r="AC134" i="16"/>
  <c r="AC135" i="16"/>
  <c r="AC144" i="16"/>
  <c r="AC145" i="16" s="1"/>
  <c r="AE144" i="16"/>
  <c r="AE145" i="16" s="1"/>
  <c r="AE135" i="16"/>
  <c r="AE134" i="16"/>
  <c r="AT144" i="16"/>
  <c r="AT145" i="16" s="1"/>
  <c r="AT135" i="16"/>
  <c r="AT134" i="16"/>
  <c r="AX135" i="16"/>
  <c r="AX134" i="16"/>
  <c r="AX144" i="16"/>
  <c r="AX145" i="16" s="1"/>
  <c r="V144" i="16"/>
  <c r="V145" i="16" s="1"/>
  <c r="V135" i="16"/>
  <c r="V134" i="16"/>
  <c r="BC133" i="16"/>
  <c r="U87" i="16"/>
  <c r="U86" i="16"/>
  <c r="U96" i="16"/>
  <c r="U97" i="16" s="1"/>
  <c r="Z134" i="16"/>
  <c r="Z135" i="16"/>
  <c r="Z144" i="16"/>
  <c r="Z145" i="16" s="1"/>
  <c r="AJ135" i="16"/>
  <c r="AJ134" i="16"/>
  <c r="AJ144" i="16"/>
  <c r="AJ145" i="16" s="1"/>
  <c r="AW134" i="16"/>
  <c r="AW144" i="16"/>
  <c r="AW145" i="16" s="1"/>
  <c r="AW135" i="16"/>
  <c r="AG135" i="16"/>
  <c r="AG134" i="16"/>
  <c r="AG144" i="16"/>
  <c r="AG145" i="16" s="1"/>
  <c r="AA135" i="16"/>
  <c r="AA134" i="16"/>
  <c r="AA144" i="16"/>
  <c r="AA145" i="16" s="1"/>
  <c r="AY135" i="16"/>
  <c r="AY134" i="16"/>
  <c r="AY144" i="16"/>
  <c r="AY145" i="16" s="1"/>
  <c r="U144" i="16"/>
  <c r="U145" i="16" s="1"/>
  <c r="U173" i="16" s="1"/>
  <c r="U134" i="16"/>
  <c r="U135" i="16"/>
  <c r="AH134" i="16"/>
  <c r="AH144" i="16"/>
  <c r="AH145" i="16" s="1"/>
  <c r="AH135" i="16"/>
  <c r="AI135" i="16"/>
  <c r="AI134" i="16"/>
  <c r="AI144" i="16"/>
  <c r="AI145" i="16" s="1"/>
  <c r="AU144" i="16"/>
  <c r="AU145" i="16" s="1"/>
  <c r="AU135" i="16"/>
  <c r="AU134" i="16"/>
  <c r="AB135" i="16"/>
  <c r="AB134" i="16"/>
  <c r="AB144" i="16"/>
  <c r="AB145" i="16" s="1"/>
  <c r="AV135" i="16"/>
  <c r="AV134" i="16"/>
  <c r="AV144" i="16"/>
  <c r="AV145" i="16" s="1"/>
  <c r="AD144" i="16"/>
  <c r="AD145" i="16" s="1"/>
  <c r="AD135" i="16"/>
  <c r="AD134" i="16"/>
  <c r="X144" i="16"/>
  <c r="X145" i="16" s="1"/>
  <c r="X134" i="16"/>
  <c r="X135" i="16"/>
  <c r="BA144" i="16"/>
  <c r="BA145" i="16" s="1"/>
  <c r="BA134" i="16"/>
  <c r="BA135" i="16"/>
  <c r="AF135" i="16"/>
  <c r="AF134" i="16"/>
  <c r="AF144" i="16"/>
  <c r="AF145" i="16" s="1"/>
  <c r="AZ134" i="16"/>
  <c r="AZ144" i="16"/>
  <c r="AZ145" i="16" s="1"/>
  <c r="AZ135" i="16"/>
  <c r="AK135" i="16"/>
  <c r="AK134" i="16"/>
  <c r="AK144" i="16"/>
  <c r="AK145" i="16" s="1"/>
  <c r="AM134" i="16"/>
  <c r="AM144" i="16"/>
  <c r="AM145" i="16" s="1"/>
  <c r="AM135" i="16"/>
  <c r="FT55" i="1" a="1"/>
  <c r="HA55" i="1" a="1"/>
  <c r="FJ55" i="1" a="1"/>
  <c r="HJ55" i="1" a="1"/>
  <c r="IR55" i="1" a="1"/>
  <c r="FF55" i="1" a="1"/>
  <c r="CA55" i="1" a="1"/>
  <c r="HG55" i="1" a="1"/>
  <c r="HX55" i="1" a="1"/>
  <c r="IM55" i="1" a="1"/>
  <c r="FE55" i="1" a="1"/>
  <c r="BS55" i="1" a="1"/>
  <c r="HH55" i="1" a="1"/>
  <c r="GP55" i="1" a="1"/>
  <c r="FL55" i="1" a="1"/>
  <c r="GW55" i="1" a="1"/>
  <c r="IF55" i="1" a="1"/>
  <c r="AR55" i="1" a="1"/>
  <c r="JW55" i="1" a="1"/>
  <c r="HK55" i="1" a="1"/>
  <c r="GG55" i="1" a="1"/>
  <c r="FU55" i="1" a="1"/>
  <c r="HY55" i="1" a="1"/>
  <c r="FR55" i="1" a="1"/>
  <c r="FK55" i="1" a="1"/>
  <c r="JQ55" i="1" a="1"/>
  <c r="IY55" i="1" a="1"/>
  <c r="HN55" i="1" a="1"/>
  <c r="HV55" i="1" a="1"/>
  <c r="GU55" i="1" a="1"/>
  <c r="HO55" i="1" a="1"/>
  <c r="GI55" i="1" a="1"/>
  <c r="GH55" i="1" a="1"/>
  <c r="II55" i="1" a="1"/>
  <c r="FX55" i="1" a="1"/>
  <c r="IP55" i="1" a="1"/>
  <c r="IX55" i="1" a="1"/>
  <c r="CK55" i="1" a="1"/>
  <c r="IE55" i="1" a="1"/>
  <c r="HR55" i="1" a="1"/>
  <c r="HB55" i="1" a="1"/>
  <c r="IJ55" i="1" a="1"/>
  <c r="FM55" i="1" a="1"/>
  <c r="HC55" i="1" a="1"/>
  <c r="HQ55" i="1" a="1"/>
  <c r="IC55" i="1" a="1"/>
  <c r="BN55" i="1" a="1"/>
  <c r="GZ55" i="1" a="1"/>
  <c r="GB55" i="1" a="1"/>
  <c r="DB55" i="1" a="1"/>
  <c r="FQ55" i="1" a="1"/>
  <c r="GT55" i="1" a="1"/>
  <c r="IT55" i="1" a="1"/>
  <c r="GF55" i="1" a="1"/>
  <c r="DR55" i="1" a="1"/>
  <c r="GM55" i="1" a="1"/>
  <c r="FG55" i="1" a="1"/>
  <c r="HW55" i="1" a="1"/>
  <c r="GN55" i="1" a="1"/>
  <c r="FS55" i="1" a="1"/>
  <c r="HU55" i="1" a="1"/>
  <c r="GL55" i="1" a="1"/>
  <c r="CG55" i="1" a="1"/>
  <c r="GO55" i="1" a="1"/>
  <c r="GA55" i="1" a="1"/>
  <c r="HI55" i="1" a="1"/>
  <c r="CF55" i="1" a="1"/>
  <c r="GS55" i="1" a="1"/>
  <c r="HD55" i="1" a="1"/>
  <c r="FY55" i="1" a="1"/>
  <c r="GE55" i="1" a="1"/>
  <c r="NP12" i="1"/>
  <c r="NQ13" i="1" a="1"/>
  <c r="NQ14" i="1"/>
  <c r="NP13" i="1" a="1"/>
  <c r="BN6" i="6" l="1"/>
  <c r="I6" i="6" s="1"/>
  <c r="BO8" i="6"/>
  <c r="HU55" i="1"/>
  <c r="IT55" i="1"/>
  <c r="GE55" i="1"/>
  <c r="IF55" i="1"/>
  <c r="IF57" i="1" s="1" a="1"/>
  <c r="GU55" i="1"/>
  <c r="GU58" i="1" s="1" a="1"/>
  <c r="CK55" i="1"/>
  <c r="DB55" i="1"/>
  <c r="DB58" i="1" s="1" a="1"/>
  <c r="CA55" i="1"/>
  <c r="HV55" i="1"/>
  <c r="IP55" i="1"/>
  <c r="GI55" i="1"/>
  <c r="GP55" i="1"/>
  <c r="AR55" i="1"/>
  <c r="AR57" i="1" s="1" a="1"/>
  <c r="JW55" i="1"/>
  <c r="JW57" i="1" s="1" a="1"/>
  <c r="BS55" i="1"/>
  <c r="FK55" i="1"/>
  <c r="GN55" i="1"/>
  <c r="HA55" i="1"/>
  <c r="FS55" i="1"/>
  <c r="CG55" i="1"/>
  <c r="JQ55" i="1"/>
  <c r="JQ58" i="1" s="1" a="1"/>
  <c r="CF55" i="1"/>
  <c r="FL55" i="1"/>
  <c r="FX55" i="1"/>
  <c r="GA55" i="1"/>
  <c r="GL55" i="1"/>
  <c r="HX55" i="1"/>
  <c r="FE55" i="1"/>
  <c r="FJ55" i="1"/>
  <c r="FJ58" i="1" s="1" a="1"/>
  <c r="FY55" i="1"/>
  <c r="HK55" i="1"/>
  <c r="GT55" i="1"/>
  <c r="GT57" i="1" s="1" a="1"/>
  <c r="FQ55" i="1"/>
  <c r="HW55" i="1"/>
  <c r="IJ55" i="1"/>
  <c r="GB55" i="1"/>
  <c r="IE55" i="1"/>
  <c r="IE57" i="1" s="1" a="1"/>
  <c r="HQ55" i="1"/>
  <c r="HQ58" i="1" s="1" a="1"/>
  <c r="FU55" i="1"/>
  <c r="FG55" i="1"/>
  <c r="HD55" i="1"/>
  <c r="IC55" i="1"/>
  <c r="IR55" i="1"/>
  <c r="GF55" i="1"/>
  <c r="IY55" i="1"/>
  <c r="HY55" i="1"/>
  <c r="FM55" i="1"/>
  <c r="HN55" i="1"/>
  <c r="HN58" i="1" s="1" a="1"/>
  <c r="GO55" i="1"/>
  <c r="HB55" i="1"/>
  <c r="HJ55" i="1"/>
  <c r="HR55" i="1"/>
  <c r="HG55" i="1"/>
  <c r="GH55" i="1"/>
  <c r="HO55" i="1"/>
  <c r="HH55" i="1"/>
  <c r="FF55" i="1"/>
  <c r="DR55" i="1"/>
  <c r="BN55" i="1"/>
  <c r="II55" i="1"/>
  <c r="GM55" i="1"/>
  <c r="GS55" i="1"/>
  <c r="IX55" i="1"/>
  <c r="FR55" i="1"/>
  <c r="HC55" i="1"/>
  <c r="HI55" i="1"/>
  <c r="IM55" i="1"/>
  <c r="GG55" i="1"/>
  <c r="GZ55" i="1"/>
  <c r="GW55" i="1"/>
  <c r="GW57" i="1" s="1" a="1"/>
  <c r="FT55" i="1"/>
  <c r="NP13" i="1"/>
  <c r="NQ13" i="1"/>
  <c r="BQ8" i="6" s="1"/>
  <c r="AZ54" i="1"/>
  <c r="BG30" i="18"/>
  <c r="BH11" i="18"/>
  <c r="BG10" i="18"/>
  <c r="BG9" i="18"/>
  <c r="AQ135" i="16"/>
  <c r="AQ144" i="16"/>
  <c r="AQ145" i="16" s="1"/>
  <c r="BA11" i="1"/>
  <c r="AZ68" i="1"/>
  <c r="AZ9" i="1"/>
  <c r="AZ10" i="1"/>
  <c r="AA146" i="16"/>
  <c r="AE146" i="16"/>
  <c r="AO146" i="16"/>
  <c r="AR146" i="16"/>
  <c r="AP134" i="16"/>
  <c r="AP144" i="16"/>
  <c r="AP145" i="16" s="1"/>
  <c r="AP135" i="16"/>
  <c r="AU146" i="16"/>
  <c r="AW146" i="16"/>
  <c r="AC146" i="16"/>
  <c r="AV146" i="16"/>
  <c r="AP146" i="16"/>
  <c r="AM146" i="16"/>
  <c r="BD146" i="16" s="1"/>
  <c r="V146" i="16"/>
  <c r="AS146" i="16"/>
  <c r="AY146" i="16"/>
  <c r="AK146" i="16"/>
  <c r="AN146" i="16"/>
  <c r="AX146" i="16"/>
  <c r="X146" i="16"/>
  <c r="AH146" i="16"/>
  <c r="Z146" i="16"/>
  <c r="AZ146" i="16"/>
  <c r="AG146" i="16"/>
  <c r="Y146" i="16"/>
  <c r="AF146" i="16"/>
  <c r="AQ146" i="16"/>
  <c r="AI146" i="16"/>
  <c r="W146" i="16"/>
  <c r="AL146" i="16"/>
  <c r="AT146" i="16"/>
  <c r="BA146" i="16"/>
  <c r="AD146" i="16"/>
  <c r="AJ146" i="16"/>
  <c r="AB146" i="16"/>
  <c r="CA58" i="1" a="1"/>
  <c r="HD58" i="1" a="1"/>
  <c r="GE58" i="1" a="1"/>
  <c r="HA57" i="1" a="1"/>
  <c r="BU55" i="1" a="1"/>
  <c r="DC55" i="1" a="1"/>
  <c r="CL55" i="1" a="1"/>
  <c r="EM55" i="1" a="1"/>
  <c r="BV55" i="1" a="1"/>
  <c r="NH55" i="1" a="1"/>
  <c r="EN55" i="1" a="1"/>
  <c r="KS55" i="1" a="1"/>
  <c r="MT55" i="1" a="1"/>
  <c r="LN55" i="1" a="1"/>
  <c r="JP55" i="1" a="1"/>
  <c r="JS55" i="1" a="1"/>
  <c r="DS55" i="1" a="1"/>
  <c r="ND55" i="1" a="1"/>
  <c r="IA55" i="1" a="1"/>
  <c r="MB55" i="1" a="1"/>
  <c r="CY55" i="1" a="1"/>
  <c r="KW55" i="1" a="1"/>
  <c r="AD55" i="1" a="1"/>
  <c r="EJ55" i="1" a="1"/>
  <c r="LU55" i="1" a="1"/>
  <c r="KB55" i="1" a="1"/>
  <c r="T55" i="1" a="1"/>
  <c r="MN55" i="1" a="1"/>
  <c r="LP55" i="1" a="1"/>
  <c r="BD55" i="1" a="1"/>
  <c r="LB55" i="1" a="1"/>
  <c r="AY55" i="1" a="1"/>
  <c r="JI55" i="1" a="1"/>
  <c r="MZ55" i="1" a="1"/>
  <c r="JF55" i="1" a="1"/>
  <c r="DJ55" i="1" a="1"/>
  <c r="BP55" i="1" a="1"/>
  <c r="EF55" i="1" a="1"/>
  <c r="BQ55" i="1" a="1"/>
  <c r="FB55" i="1" a="1"/>
  <c r="MX55" i="1" a="1"/>
  <c r="AG55" i="1" a="1"/>
  <c r="LX55" i="1" a="1"/>
  <c r="KT55" i="1" a="1"/>
  <c r="AJ55" i="1" a="1"/>
  <c r="CQ55" i="1" a="1"/>
  <c r="CO55" i="1" a="1"/>
  <c r="AQ55" i="1" a="1"/>
  <c r="MW55" i="1" a="1"/>
  <c r="AS55" i="1" a="1"/>
  <c r="AA55" i="1" a="1"/>
  <c r="BG55" i="1" a="1"/>
  <c r="LW55" i="1" a="1"/>
  <c r="BO55" i="1" a="1"/>
  <c r="DP55" i="1" a="1"/>
  <c r="MD55" i="1" a="1"/>
  <c r="JC55" i="1" a="1"/>
  <c r="EA55" i="1" a="1"/>
  <c r="CU55" i="1" a="1"/>
  <c r="FI55" i="1" a="1"/>
  <c r="NG55" i="1" a="1"/>
  <c r="U55" i="1" a="1"/>
  <c r="JJ55" i="1" a="1"/>
  <c r="NC55" i="1" a="1"/>
  <c r="S55" i="1" a="1"/>
  <c r="EG55" i="1" a="1"/>
  <c r="ED55" i="1" a="1"/>
  <c r="EK55" i="1" a="1"/>
  <c r="CB55" i="1" a="1"/>
  <c r="DA55" i="1" a="1"/>
  <c r="AF55" i="1" a="1"/>
  <c r="CP55" i="1" a="1"/>
  <c r="LO55" i="1" a="1"/>
  <c r="DN55" i="1" a="1"/>
  <c r="KV55" i="1" a="1"/>
  <c r="EV55" i="1" a="1"/>
  <c r="JG55" i="1" a="1"/>
  <c r="DQ55" i="1" a="1"/>
  <c r="JL55" i="1" a="1"/>
  <c r="MV55" i="1" a="1"/>
  <c r="AC55" i="1" a="1"/>
  <c r="AH55" i="1" a="1"/>
  <c r="KJ55" i="1" a="1"/>
  <c r="KC55" i="1" a="1"/>
  <c r="AK55" i="1" a="1"/>
  <c r="HT55" i="1" a="1"/>
  <c r="AB55" i="1" a="1"/>
  <c r="KQ55" i="1" a="1"/>
  <c r="IN55" i="1" a="1"/>
  <c r="HE55" i="1" a="1"/>
  <c r="BR55" i="1" a="1"/>
  <c r="DX55" i="1" a="1"/>
  <c r="KZ55" i="1" a="1"/>
  <c r="AI55" i="1" a="1"/>
  <c r="KU55" i="1" a="1"/>
  <c r="KP55" i="1" a="1"/>
  <c r="DF55" i="1" a="1"/>
  <c r="MJ55" i="1" a="1"/>
  <c r="KA55" i="1" a="1"/>
  <c r="CR55" i="1" a="1"/>
  <c r="FP55" i="1" a="1"/>
  <c r="DT55" i="1" a="1"/>
  <c r="EL55" i="1" a="1"/>
  <c r="KF55" i="1" a="1"/>
  <c r="JY55" i="1" a="1"/>
  <c r="EH55" i="1" a="1"/>
  <c r="BH55" i="1" a="1"/>
  <c r="HZ55" i="1" a="1"/>
  <c r="KN55" i="1" a="1"/>
  <c r="Y55" i="1" a="1"/>
  <c r="CD55" i="1" a="1"/>
  <c r="LC55" i="1" a="1"/>
  <c r="CX55" i="1" a="1"/>
  <c r="BL55" i="1" a="1"/>
  <c r="EB55" i="1" a="1"/>
  <c r="ME55" i="1" a="1"/>
  <c r="CS55" i="1" a="1"/>
  <c r="CN55" i="1" a="1"/>
  <c r="LH55" i="1" a="1"/>
  <c r="MS55" i="1" a="1"/>
  <c r="JM55" i="1" a="1"/>
  <c r="AP55" i="1" a="1"/>
  <c r="CW55" i="1" a="1"/>
  <c r="LS55" i="1" a="1"/>
  <c r="IO55" i="1" a="1"/>
  <c r="X55" i="1" a="1"/>
  <c r="LM55" i="1" a="1"/>
  <c r="JK55" i="1" a="1"/>
  <c r="BI55" i="1" a="1"/>
  <c r="NF55" i="1" a="1"/>
  <c r="DW55" i="1" a="1"/>
  <c r="AO55" i="1" a="1"/>
  <c r="V55" i="1" a="1"/>
  <c r="DE55" i="1" a="1"/>
  <c r="LR55" i="1" a="1"/>
  <c r="KG55" i="1" a="1"/>
  <c r="AM55" i="1" a="1"/>
  <c r="DD55" i="1" a="1"/>
  <c r="DI55" i="1" a="1"/>
  <c r="EE55" i="1" a="1"/>
  <c r="CH55" i="1" a="1"/>
  <c r="JB55" i="1" a="1"/>
  <c r="GR55" i="1" a="1"/>
  <c r="JU55" i="1" a="1"/>
  <c r="BX55" i="1" a="1"/>
  <c r="MM55" i="1" a="1"/>
  <c r="DM55" i="1" a="1"/>
  <c r="EX55" i="1" a="1"/>
  <c r="FW55" i="1" a="1"/>
  <c r="DY55" i="1" a="1"/>
  <c r="ET55" i="1" a="1"/>
  <c r="AV55" i="1" a="1"/>
  <c r="MC55" i="1" a="1"/>
  <c r="LZ55" i="1" a="1"/>
  <c r="EO55" i="1" a="1"/>
  <c r="DO55" i="1" a="1"/>
  <c r="AL55" i="1" a="1"/>
  <c r="BM55" i="1" a="1"/>
  <c r="EC55" i="1" a="1"/>
  <c r="LL55" i="1" a="1"/>
  <c r="GX55" i="1" a="1"/>
  <c r="EZ55" i="1" a="1"/>
  <c r="JR55" i="1" a="1"/>
  <c r="KM55" i="1" a="1"/>
  <c r="LJ55" i="1" a="1"/>
  <c r="FC55" i="1" a="1"/>
  <c r="NI55" i="1" a="1"/>
  <c r="AE55" i="1" a="1"/>
  <c r="KD55" i="1" a="1"/>
  <c r="GJ55" i="1" a="1"/>
  <c r="MK55" i="1" a="1"/>
  <c r="CF58" i="1" a="1"/>
  <c r="CI55" i="1" a="1"/>
  <c r="AU55" i="1" a="1"/>
  <c r="KH55" i="1" a="1"/>
  <c r="NJ55" i="1" a="1"/>
  <c r="LF55" i="1" a="1"/>
  <c r="W55" i="1" a="1"/>
  <c r="GQ55" i="1" a="1"/>
  <c r="KY55" i="1" a="1"/>
  <c r="LK55" i="1" a="1"/>
  <c r="FD55" i="1" a="1"/>
  <c r="MG55" i="1" a="1"/>
  <c r="GV55" i="1" a="1"/>
  <c r="MQ55" i="1" a="1"/>
  <c r="JT55" i="1" a="1"/>
  <c r="NB55" i="1" a="1"/>
  <c r="MY55" i="1" a="1"/>
  <c r="LE55" i="1" a="1"/>
  <c r="IH55" i="1" a="1"/>
  <c r="GY55" i="1" a="1"/>
  <c r="FH55" i="1" a="1"/>
  <c r="CZ55" i="1" a="1"/>
  <c r="JN55" i="1" a="1"/>
  <c r="EY55" i="1" a="1"/>
  <c r="HM55" i="1" a="1"/>
  <c r="MI55" i="1" a="1"/>
  <c r="BK55" i="1" a="1"/>
  <c r="DL55" i="1" a="1"/>
  <c r="GC55" i="1" a="1"/>
  <c r="CJ55" i="1" a="1"/>
  <c r="JH55" i="1" a="1"/>
  <c r="DZ55" i="1" a="1"/>
  <c r="GK55" i="1" a="1"/>
  <c r="GD55" i="1" a="1"/>
  <c r="KR55" i="1" a="1"/>
  <c r="MU55" i="1" a="1"/>
  <c r="BT55" i="1" a="1"/>
  <c r="JV55" i="1" a="1"/>
  <c r="DG55" i="1" a="1"/>
  <c r="IU55" i="1" a="1"/>
  <c r="MO55" i="1" a="1"/>
  <c r="CM55" i="1" a="1"/>
  <c r="DH55" i="1" a="1"/>
  <c r="ES55" i="1" a="1"/>
  <c r="AX55" i="1" a="1"/>
  <c r="NA55" i="1" a="1"/>
  <c r="BJ55" i="1" a="1"/>
  <c r="BF55" i="1" a="1"/>
  <c r="BZ55" i="1" a="1"/>
  <c r="Z55" i="1" a="1"/>
  <c r="AN55" i="1" a="1"/>
  <c r="BC55" i="1" a="1"/>
  <c r="CK57" i="1" a="1"/>
  <c r="DU55" i="1" a="1"/>
  <c r="LG55" i="1" a="1"/>
  <c r="ER55" i="1" a="1"/>
  <c r="BB55" i="1" a="1"/>
  <c r="LY55" i="1" a="1"/>
  <c r="FA55" i="1" a="1"/>
  <c r="BY55" i="1" a="1"/>
  <c r="KK55" i="1" a="1"/>
  <c r="BE55" i="1" a="1"/>
  <c r="R55" i="1" a="1"/>
  <c r="JE55" i="1" a="1"/>
  <c r="EQ55" i="1" a="1"/>
  <c r="IV55" i="1" a="1"/>
  <c r="BA55" i="1" a="1"/>
  <c r="MA55" i="1" a="1"/>
  <c r="JO55" i="1" a="1"/>
  <c r="HS55" i="1" a="1"/>
  <c r="MR55" i="1" a="1"/>
  <c r="AW55" i="1" a="1"/>
  <c r="FV55" i="1" a="1"/>
  <c r="CC55" i="1" a="1"/>
  <c r="ML55" i="1" a="1"/>
  <c r="LI55" i="1" a="1"/>
  <c r="LV55" i="1" a="1"/>
  <c r="LT55" i="1" a="1"/>
  <c r="AZ55" i="1" a="1"/>
  <c r="AT55" i="1" a="1"/>
  <c r="LQ55" i="1" a="1"/>
  <c r="KO55" i="1" a="1"/>
  <c r="MP55" i="1" a="1"/>
  <c r="HL55" i="1" a="1"/>
  <c r="CE55" i="1" a="1"/>
  <c r="LA55" i="1" a="1"/>
  <c r="KI55" i="1" a="1"/>
  <c r="IB55" i="1" a="1"/>
  <c r="HF55" i="1" a="1"/>
  <c r="MF55" i="1" a="1"/>
  <c r="KL55" i="1" a="1"/>
  <c r="NE55" i="1" a="1"/>
  <c r="EW55" i="1" a="1"/>
  <c r="DK55" i="1" a="1"/>
  <c r="JD55" i="1" a="1"/>
  <c r="EU55" i="1" a="1"/>
  <c r="MH55" i="1" a="1"/>
  <c r="LD55" i="1" a="1"/>
  <c r="FO55" i="1" a="1"/>
  <c r="EP55" i="1" a="1"/>
  <c r="CV55" i="1" a="1"/>
  <c r="JZ55" i="1" a="1"/>
  <c r="BW55" i="1" a="1"/>
  <c r="DV55" i="1" a="1"/>
  <c r="BS58" i="1" a="1"/>
  <c r="CG57" i="1" a="1"/>
  <c r="NP14" i="1"/>
  <c r="NQ17" i="1" a="1"/>
  <c r="NP17" i="1" a="1"/>
  <c r="IE58" i="1" l="1" a="1"/>
  <c r="IE58" i="1" s="1"/>
  <c r="IE65" i="1" s="1"/>
  <c r="BO6" i="6"/>
  <c r="BP8" i="6"/>
  <c r="AI8" i="6" s="1"/>
  <c r="CF58" i="1"/>
  <c r="CF65" i="1" s="1"/>
  <c r="HD58" i="1"/>
  <c r="HD65" i="1" s="1"/>
  <c r="CG57" i="1"/>
  <c r="CG64" i="1" s="1"/>
  <c r="GU58" i="1"/>
  <c r="GU65" i="1" s="1"/>
  <c r="GW57" i="1"/>
  <c r="GW64" i="1" s="1"/>
  <c r="HN58" i="1"/>
  <c r="HN65" i="1" s="1"/>
  <c r="FJ58" i="1"/>
  <c r="FJ65" i="1" s="1"/>
  <c r="HA57" i="1"/>
  <c r="HA64" i="1" s="1"/>
  <c r="IF57" i="1"/>
  <c r="IF64" i="1" s="1"/>
  <c r="GE58" i="1"/>
  <c r="GE65" i="1" s="1"/>
  <c r="HQ58" i="1"/>
  <c r="HQ65" i="1" s="1"/>
  <c r="GT57" i="1"/>
  <c r="GT64" i="1" s="1"/>
  <c r="IE57" i="1"/>
  <c r="IE64" i="1" s="1"/>
  <c r="JW57" i="1"/>
  <c r="JW64" i="1" s="1"/>
  <c r="JQ58" i="1"/>
  <c r="JQ65" i="1" s="1"/>
  <c r="BS58" i="1"/>
  <c r="BS65" i="1" s="1"/>
  <c r="AR57" i="1"/>
  <c r="AR64" i="1" s="1"/>
  <c r="CA58" i="1"/>
  <c r="CA65" i="1" s="1"/>
  <c r="DB58" i="1"/>
  <c r="DB65" i="1" s="1"/>
  <c r="CK57" i="1"/>
  <c r="CK64" i="1" s="1"/>
  <c r="IF56" i="1"/>
  <c r="JW56" i="1"/>
  <c r="AR56" i="1"/>
  <c r="BA55" i="1"/>
  <c r="LH55" i="1"/>
  <c r="HS55" i="1"/>
  <c r="HS57" i="1" s="1" a="1"/>
  <c r="IH55" i="1"/>
  <c r="IH58" i="1" s="1" a="1"/>
  <c r="CC55" i="1"/>
  <c r="EV55" i="1"/>
  <c r="EV57" i="1" s="1" a="1"/>
  <c r="AT55" i="1"/>
  <c r="GY55" i="1"/>
  <c r="GY57" i="1" s="1" a="1"/>
  <c r="FB55" i="1"/>
  <c r="DD55" i="1"/>
  <c r="DD57" i="1" s="1" a="1"/>
  <c r="BH55" i="1"/>
  <c r="EQ55" i="1"/>
  <c r="EQ58" i="1" s="1" a="1"/>
  <c r="AV55" i="1"/>
  <c r="JB55" i="1"/>
  <c r="JB58" i="1" s="1" a="1"/>
  <c r="AO55" i="1"/>
  <c r="AB55" i="1"/>
  <c r="Y55" i="1"/>
  <c r="LL55" i="1"/>
  <c r="LL58" i="1" s="1" a="1"/>
  <c r="DP55" i="1"/>
  <c r="S55" i="1"/>
  <c r="MJ55" i="1"/>
  <c r="MJ57" i="1" s="1" a="1"/>
  <c r="AD55" i="1"/>
  <c r="NF55" i="1"/>
  <c r="NF57" i="1" s="1" a="1"/>
  <c r="NI55" i="1"/>
  <c r="NI57" i="1" s="1" a="1"/>
  <c r="EJ55" i="1"/>
  <c r="EJ57" i="1" s="1" a="1"/>
  <c r="DE55" i="1"/>
  <c r="BP55" i="1"/>
  <c r="EM55" i="1"/>
  <c r="EM57" i="1" s="1" a="1"/>
  <c r="JS55" i="1"/>
  <c r="JS57" i="1" s="1" a="1"/>
  <c r="JM55" i="1"/>
  <c r="JM58" i="1" s="1" a="1"/>
  <c r="LT55" i="1"/>
  <c r="LT57" i="1" s="1" a="1"/>
  <c r="BM55" i="1"/>
  <c r="BM58" i="1" s="1" a="1"/>
  <c r="MK55" i="1"/>
  <c r="AC55" i="1"/>
  <c r="MN55" i="1"/>
  <c r="MN57" i="1" s="1" a="1"/>
  <c r="IB55" i="1"/>
  <c r="IB58" i="1" s="1" a="1"/>
  <c r="R55" i="1"/>
  <c r="LG55" i="1"/>
  <c r="LG57" i="1" s="1" a="1"/>
  <c r="HF55" i="1"/>
  <c r="HF58" i="1" s="1" a="1"/>
  <c r="JC55" i="1"/>
  <c r="JC57" i="1" s="1" a="1"/>
  <c r="LD55" i="1"/>
  <c r="BC55" i="1"/>
  <c r="FC55" i="1"/>
  <c r="FC57" i="1" s="1" a="1"/>
  <c r="W55" i="1"/>
  <c r="W58" i="1" s="1" a="1"/>
  <c r="CD55" i="1"/>
  <c r="GD55" i="1"/>
  <c r="LJ55" i="1"/>
  <c r="LJ57" i="1" s="1" a="1"/>
  <c r="MD55" i="1"/>
  <c r="LI55" i="1"/>
  <c r="EW55" i="1"/>
  <c r="EW57" i="1" s="1" a="1"/>
  <c r="CM55" i="1"/>
  <c r="EL55" i="1"/>
  <c r="EL57" i="1" s="1" a="1"/>
  <c r="HE55" i="1"/>
  <c r="FD55" i="1"/>
  <c r="FD58" i="1" s="1" a="1"/>
  <c r="AF55" i="1"/>
  <c r="LS55" i="1"/>
  <c r="LS57" i="1" s="1" a="1"/>
  <c r="EH55" i="1"/>
  <c r="LN55" i="1"/>
  <c r="LN57" i="1" s="1" a="1"/>
  <c r="JU55" i="1"/>
  <c r="JU57" i="1" s="1" a="1"/>
  <c r="DJ55" i="1"/>
  <c r="BW55" i="1"/>
  <c r="KU55" i="1"/>
  <c r="KU58" i="1" s="1" a="1"/>
  <c r="LM55" i="1"/>
  <c r="LM57" i="1" s="1" a="1"/>
  <c r="BO55" i="1"/>
  <c r="ET55" i="1"/>
  <c r="AZ55" i="1"/>
  <c r="LO55" i="1"/>
  <c r="LO58" i="1" s="1" a="1"/>
  <c r="AE55" i="1"/>
  <c r="AE58" i="1" s="1" a="1"/>
  <c r="BL55" i="1"/>
  <c r="KF55" i="1"/>
  <c r="KF57" i="1" s="1" a="1"/>
  <c r="NE55" i="1"/>
  <c r="NE57" i="1" s="1" a="1"/>
  <c r="MM55" i="1"/>
  <c r="MM57" i="1" s="1" a="1"/>
  <c r="EB55" i="1"/>
  <c r="DS55" i="1"/>
  <c r="DS58" i="1" s="1" a="1"/>
  <c r="JH55" i="1"/>
  <c r="JH58" i="1" s="1" a="1"/>
  <c r="KZ55" i="1"/>
  <c r="KZ58" i="1" s="1" a="1"/>
  <c r="IN55" i="1"/>
  <c r="IN58" i="1" s="1" a="1"/>
  <c r="EZ55" i="1"/>
  <c r="EZ58" i="1" s="1" a="1"/>
  <c r="JR55" i="1"/>
  <c r="JR58" i="1" s="1" a="1"/>
  <c r="CW55" i="1"/>
  <c r="CW58" i="1" s="1" a="1"/>
  <c r="DZ55" i="1"/>
  <c r="KG55" i="1"/>
  <c r="KG58" i="1" s="1" a="1"/>
  <c r="KH55" i="1"/>
  <c r="KH57" i="1" s="1" a="1"/>
  <c r="KV55" i="1"/>
  <c r="KV57" i="1" s="1" a="1"/>
  <c r="BT55" i="1"/>
  <c r="BT58" i="1" s="1" a="1"/>
  <c r="JE55" i="1"/>
  <c r="GJ55" i="1"/>
  <c r="GJ57" i="1" s="1" a="1"/>
  <c r="DK55" i="1"/>
  <c r="DK57" i="1" s="1" a="1"/>
  <c r="FP55" i="1"/>
  <c r="KW55" i="1"/>
  <c r="KW57" i="1" s="1" a="1"/>
  <c r="DI55" i="1"/>
  <c r="LB55" i="1"/>
  <c r="LB58" i="1" s="1" a="1"/>
  <c r="JN55" i="1"/>
  <c r="JN58" i="1" s="1" a="1"/>
  <c r="JT55" i="1"/>
  <c r="JT57" i="1" s="1" a="1"/>
  <c r="KL55" i="1"/>
  <c r="KL57" i="1" s="1" a="1"/>
  <c r="KY55" i="1"/>
  <c r="KY58" i="1" s="1" a="1"/>
  <c r="BU55" i="1"/>
  <c r="LA55" i="1"/>
  <c r="LA58" i="1" s="1" a="1"/>
  <c r="FI55" i="1"/>
  <c r="FI58" i="1" s="1" a="1"/>
  <c r="GR55" i="1"/>
  <c r="GR57" i="1" s="1" a="1"/>
  <c r="MI55" i="1"/>
  <c r="MI57" i="1" s="1" a="1"/>
  <c r="LE55" i="1"/>
  <c r="LE58" i="1" s="1" a="1"/>
  <c r="AI55" i="1"/>
  <c r="KP55" i="1"/>
  <c r="KP58" i="1" s="1" a="1"/>
  <c r="KO55" i="1"/>
  <c r="LK55" i="1"/>
  <c r="LK57" i="1" s="1" a="1"/>
  <c r="CL55" i="1"/>
  <c r="KT55" i="1"/>
  <c r="KT57" i="1" s="1" a="1"/>
  <c r="MW55" i="1"/>
  <c r="MW58" i="1" s="1" a="1"/>
  <c r="BR55" i="1"/>
  <c r="U55" i="1"/>
  <c r="LU55" i="1"/>
  <c r="LU58" i="1" s="1" a="1"/>
  <c r="KK55" i="1"/>
  <c r="AG55" i="1"/>
  <c r="FA55" i="1"/>
  <c r="FA57" i="1" s="1" a="1"/>
  <c r="HM55" i="1"/>
  <c r="HM57" i="1" s="1" a="1"/>
  <c r="DV55" i="1"/>
  <c r="DV58" i="1" s="1" a="1"/>
  <c r="BE55" i="1"/>
  <c r="GC55" i="1"/>
  <c r="GC57" i="1" s="1" a="1"/>
  <c r="ER55" i="1"/>
  <c r="DW55" i="1"/>
  <c r="ML55" i="1"/>
  <c r="ML57" i="1" s="1" a="1"/>
  <c r="CB55" i="1"/>
  <c r="CB58" i="1" s="1" a="1"/>
  <c r="T55" i="1"/>
  <c r="DL55" i="1"/>
  <c r="AM55" i="1"/>
  <c r="BG55" i="1"/>
  <c r="BG57" i="1" s="1" a="1"/>
  <c r="DF55" i="1"/>
  <c r="KQ55" i="1"/>
  <c r="AA55" i="1"/>
  <c r="DO55" i="1"/>
  <c r="LZ55" i="1"/>
  <c r="LY55" i="1"/>
  <c r="LY58" i="1" s="1" a="1"/>
  <c r="V55" i="1"/>
  <c r="NG55" i="1"/>
  <c r="NG57" i="1" s="1" a="1"/>
  <c r="HT55" i="1"/>
  <c r="AP55" i="1"/>
  <c r="BK55" i="1"/>
  <c r="MY55" i="1"/>
  <c r="MY58" i="1" s="1" a="1"/>
  <c r="MZ55" i="1"/>
  <c r="MZ57" i="1" s="1" a="1"/>
  <c r="JD55" i="1"/>
  <c r="JD57" i="1" s="1" a="1"/>
  <c r="NH55" i="1"/>
  <c r="NH57" i="1" s="1" a="1"/>
  <c r="GK55" i="1"/>
  <c r="GK58" i="1" s="1" a="1"/>
  <c r="EN55" i="1"/>
  <c r="EN57" i="1" s="1" a="1"/>
  <c r="CZ55" i="1"/>
  <c r="MF55" i="1"/>
  <c r="MF58" i="1" s="1" a="1"/>
  <c r="EE55" i="1"/>
  <c r="EE58" i="1" s="1" a="1"/>
  <c r="MU55" i="1"/>
  <c r="MU58" i="1" s="1" a="1"/>
  <c r="EK55" i="1"/>
  <c r="EK57" i="1" s="1" a="1"/>
  <c r="JI55" i="1"/>
  <c r="BX55" i="1"/>
  <c r="BI55" i="1"/>
  <c r="BZ55" i="1"/>
  <c r="EF55" i="1"/>
  <c r="EF57" i="1" s="1" a="1"/>
  <c r="CI55" i="1"/>
  <c r="CI58" i="1" s="1" a="1"/>
  <c r="JJ55" i="1"/>
  <c r="JJ57" i="1" s="1" a="1"/>
  <c r="JY55" i="1"/>
  <c r="JY58" i="1" s="1" a="1"/>
  <c r="IU55" i="1"/>
  <c r="IU57" i="1" s="1" a="1"/>
  <c r="BY55" i="1"/>
  <c r="FO55" i="1"/>
  <c r="FO57" i="1" s="1" a="1"/>
  <c r="MV55" i="1"/>
  <c r="KM55" i="1"/>
  <c r="DM55" i="1"/>
  <c r="IO55" i="1"/>
  <c r="IO58" i="1" s="1" a="1"/>
  <c r="EA55" i="1"/>
  <c r="EA57" i="1" s="1" a="1"/>
  <c r="JF55" i="1"/>
  <c r="JF58" i="1" s="1" a="1"/>
  <c r="ES55" i="1"/>
  <c r="ES58" i="1" s="1" a="1"/>
  <c r="CX55" i="1"/>
  <c r="CX58" i="1" s="1" a="1"/>
  <c r="ED55" i="1"/>
  <c r="FH55" i="1"/>
  <c r="FH58" i="1" s="1" a="1"/>
  <c r="JO55" i="1"/>
  <c r="JO57" i="1" s="1" a="1"/>
  <c r="KA55" i="1"/>
  <c r="KA58" i="1" s="1" a="1"/>
  <c r="MS55" i="1"/>
  <c r="MS58" i="1" s="1" a="1"/>
  <c r="CE55" i="1"/>
  <c r="EO55" i="1"/>
  <c r="EO58" i="1" s="1" a="1"/>
  <c r="LV55" i="1"/>
  <c r="LV58" i="1" s="1" a="1"/>
  <c r="MG55" i="1"/>
  <c r="CO55" i="1"/>
  <c r="CO58" i="1" s="1" a="1"/>
  <c r="MX55" i="1"/>
  <c r="MX58" i="1" s="1" a="1"/>
  <c r="DX55" i="1"/>
  <c r="DX58" i="1" s="1" a="1"/>
  <c r="MB55" i="1"/>
  <c r="MB57" i="1" s="1" a="1"/>
  <c r="CR55" i="1"/>
  <c r="MQ55" i="1"/>
  <c r="MQ57" i="1" s="1" a="1"/>
  <c r="LW55" i="1"/>
  <c r="LW57" i="1" s="1" a="1"/>
  <c r="EG55" i="1"/>
  <c r="AK55" i="1"/>
  <c r="AK58" i="1" s="1" a="1"/>
  <c r="AU55" i="1"/>
  <c r="FW55" i="1"/>
  <c r="FW57" i="1" s="1" a="1"/>
  <c r="IA55" i="1"/>
  <c r="IA57" i="1" s="1" a="1"/>
  <c r="AJ55" i="1"/>
  <c r="KB55" i="1"/>
  <c r="KB57" i="1" s="1" a="1"/>
  <c r="MC55" i="1"/>
  <c r="JV55" i="1"/>
  <c r="DU55" i="1"/>
  <c r="EC55" i="1"/>
  <c r="EC58" i="1" s="1" a="1"/>
  <c r="BD55" i="1"/>
  <c r="CY55" i="1"/>
  <c r="CY57" i="1" s="1" a="1"/>
  <c r="DT55" i="1"/>
  <c r="DT57" i="1" s="1" a="1"/>
  <c r="DC55" i="1"/>
  <c r="DC57" i="1" s="1" a="1"/>
  <c r="Z55" i="1"/>
  <c r="BV55" i="1"/>
  <c r="JZ55" i="1"/>
  <c r="JZ57" i="1" s="1" a="1"/>
  <c r="LX55" i="1"/>
  <c r="LX57" i="1" s="1" a="1"/>
  <c r="HZ55" i="1"/>
  <c r="HZ58" i="1" s="1" a="1"/>
  <c r="MO55" i="1"/>
  <c r="MO57" i="1" s="1" a="1"/>
  <c r="LR55" i="1"/>
  <c r="LR58" i="1" s="1" a="1"/>
  <c r="EP55" i="1"/>
  <c r="EP58" i="1" s="1" a="1"/>
  <c r="KC55" i="1"/>
  <c r="KC57" i="1" s="1" a="1"/>
  <c r="AL55" i="1"/>
  <c r="HL55" i="1"/>
  <c r="HL57" i="1" s="1" a="1"/>
  <c r="KI55" i="1"/>
  <c r="KI58" i="1" s="1" a="1"/>
  <c r="BB55" i="1"/>
  <c r="AS55" i="1"/>
  <c r="AS57" i="1" s="1" a="1"/>
  <c r="DQ55" i="1"/>
  <c r="ME55" i="1"/>
  <c r="ME57" i="1" s="1" a="1"/>
  <c r="NC55" i="1"/>
  <c r="NC57" i="1" s="1" a="1"/>
  <c r="X55" i="1"/>
  <c r="KJ55" i="1"/>
  <c r="KJ58" i="1" s="1" a="1"/>
  <c r="MT55" i="1"/>
  <c r="MT57" i="1" s="1" a="1"/>
  <c r="DN55" i="1"/>
  <c r="AX55" i="1"/>
  <c r="JL55" i="1"/>
  <c r="JL57" i="1" s="1" a="1"/>
  <c r="EY55" i="1"/>
  <c r="EY58" i="1" s="1" a="1"/>
  <c r="MR55" i="1"/>
  <c r="MR57" i="1" s="1" a="1"/>
  <c r="JG55" i="1"/>
  <c r="BQ55" i="1"/>
  <c r="JP55" i="1"/>
  <c r="JP58" i="1" s="1" a="1"/>
  <c r="LQ55" i="1"/>
  <c r="BF55" i="1"/>
  <c r="BF57" i="1" s="1" a="1"/>
  <c r="MA55" i="1"/>
  <c r="MA58" i="1" s="1" a="1"/>
  <c r="CH55" i="1"/>
  <c r="CS55" i="1"/>
  <c r="CN55" i="1"/>
  <c r="AH55" i="1"/>
  <c r="NA55" i="1"/>
  <c r="NA57" i="1" s="1" a="1"/>
  <c r="GQ55" i="1"/>
  <c r="GQ57" i="1" s="1" a="1"/>
  <c r="LP55" i="1"/>
  <c r="LP57" i="1" s="1" a="1"/>
  <c r="MH55" i="1"/>
  <c r="MH57" i="1" s="1" a="1"/>
  <c r="CU55" i="1"/>
  <c r="DA55" i="1"/>
  <c r="DA57" i="1" s="1" a="1"/>
  <c r="NB55" i="1"/>
  <c r="KD55" i="1"/>
  <c r="KD57" i="1" s="1" a="1"/>
  <c r="CP55" i="1"/>
  <c r="CP57" i="1" s="1" a="1"/>
  <c r="KS55" i="1"/>
  <c r="KS58" i="1" s="1" a="1"/>
  <c r="EX55" i="1"/>
  <c r="EX57" i="1" s="1" a="1"/>
  <c r="ND55" i="1"/>
  <c r="ND57" i="1" s="1" a="1"/>
  <c r="KN55" i="1"/>
  <c r="KN58" i="1" s="1" a="1"/>
  <c r="DH55" i="1"/>
  <c r="CQ55" i="1"/>
  <c r="AQ55" i="1"/>
  <c r="IV55" i="1"/>
  <c r="IV58" i="1" s="1" a="1"/>
  <c r="AN55" i="1"/>
  <c r="GV55" i="1"/>
  <c r="GV57" i="1" s="1" a="1"/>
  <c r="AY55" i="1"/>
  <c r="AY57" i="1" s="1" a="1"/>
  <c r="LF55" i="1"/>
  <c r="LF57" i="1" s="1" a="1"/>
  <c r="JK55" i="1"/>
  <c r="JK57" i="1" s="1" a="1"/>
  <c r="CV55" i="1"/>
  <c r="NJ55" i="1"/>
  <c r="NJ57" i="1" s="1" a="1"/>
  <c r="BJ55" i="1"/>
  <c r="LC55" i="1"/>
  <c r="LC58" i="1" s="1" a="1"/>
  <c r="KR55" i="1"/>
  <c r="KR57" i="1" s="1" a="1"/>
  <c r="EU55" i="1"/>
  <c r="EU57" i="1" s="1" a="1"/>
  <c r="AW55" i="1"/>
  <c r="DY55" i="1"/>
  <c r="DY57" i="1" s="1" a="1"/>
  <c r="CJ55" i="1"/>
  <c r="GX55" i="1"/>
  <c r="GX58" i="1" s="1" a="1"/>
  <c r="DG55" i="1"/>
  <c r="FV55" i="1"/>
  <c r="FV58" i="1" s="1" a="1"/>
  <c r="MP55" i="1"/>
  <c r="MP57" i="1" s="1" a="1"/>
  <c r="NQ17" i="1"/>
  <c r="BQ7" i="6" s="1"/>
  <c r="NP17" i="1"/>
  <c r="BA54" i="1"/>
  <c r="BH30" i="18"/>
  <c r="BI11" i="18"/>
  <c r="BH10" i="18"/>
  <c r="BH9" i="18"/>
  <c r="BB11" i="1"/>
  <c r="BA68" i="1"/>
  <c r="BA9" i="1"/>
  <c r="BA10" i="1"/>
  <c r="GZ57" i="1" a="1"/>
  <c r="GH57" i="1" a="1"/>
  <c r="HQ57" i="1" a="1"/>
  <c r="HK58" i="1" a="1"/>
  <c r="FL58" i="1" a="1"/>
  <c r="GO58" i="1" a="1"/>
  <c r="FX57" i="1" a="1"/>
  <c r="HX57" i="1" a="1"/>
  <c r="IJ58" i="1" a="1"/>
  <c r="DR58" i="1" a="1"/>
  <c r="HR57" i="1" a="1"/>
  <c r="HV58" i="1" a="1"/>
  <c r="GF57" i="1" a="1"/>
  <c r="FX58" i="1" a="1"/>
  <c r="LH57" i="1" a="1"/>
  <c r="AZ58" i="1" a="1"/>
  <c r="KM58" i="1" a="1"/>
  <c r="DU57" i="1" a="1"/>
  <c r="AR58" i="1" a="1"/>
  <c r="CA57" i="1" a="1"/>
  <c r="GI57" i="1" a="1"/>
  <c r="GP57" i="1" a="1"/>
  <c r="HJ57" i="1" a="1"/>
  <c r="IT58" i="1" a="1"/>
  <c r="GM57" i="1" a="1"/>
  <c r="HG58" i="1" a="1"/>
  <c r="HN57" i="1" a="1"/>
  <c r="GZ58" i="1" a="1"/>
  <c r="HO57" i="1" a="1"/>
  <c r="FM57" i="1" a="1"/>
  <c r="FF58" i="1" a="1"/>
  <c r="FS58" i="1" a="1"/>
  <c r="HX58" i="1" a="1"/>
  <c r="HB57" i="1" a="1"/>
  <c r="IM57" i="1" a="1"/>
  <c r="GG57" i="1" a="1"/>
  <c r="GF58" i="1" a="1"/>
  <c r="FR57" i="1" a="1"/>
  <c r="FY58" i="1" a="1"/>
  <c r="FK58" i="1" a="1"/>
  <c r="JW58" i="1" a="1"/>
  <c r="HW57" i="1" a="1"/>
  <c r="HH58" i="1" a="1"/>
  <c r="GG58" i="1" a="1"/>
  <c r="FT58" i="1" a="1"/>
  <c r="GU57" i="1" a="1"/>
  <c r="IY58" i="1" a="1"/>
  <c r="IX57" i="1" a="1"/>
  <c r="GT58" i="1" a="1"/>
  <c r="HG57" i="1" a="1"/>
  <c r="GE57" i="1" a="1"/>
  <c r="FK57" i="1" a="1"/>
  <c r="BN58" i="1" a="1"/>
  <c r="HB58" i="1" a="1"/>
  <c r="IM58" i="1" a="1"/>
  <c r="IC57" i="1" a="1"/>
  <c r="GB57" i="1" a="1"/>
  <c r="FR58" i="1" a="1"/>
  <c r="FG57" i="1" a="1"/>
  <c r="IT57" i="1" a="1"/>
  <c r="DJ58" i="1" a="1"/>
  <c r="LZ57" i="1" a="1"/>
  <c r="LQ57" i="1" a="1"/>
  <c r="IY57" i="1" a="1"/>
  <c r="FG58" i="1" a="1"/>
  <c r="HD57" i="1" a="1"/>
  <c r="FJ57" i="1" a="1"/>
  <c r="HH57" i="1" a="1"/>
  <c r="GP58" i="1" a="1"/>
  <c r="GN57" i="1" a="1"/>
  <c r="HK57" i="1" a="1"/>
  <c r="FL57" i="1" a="1"/>
  <c r="HR58" i="1" a="1"/>
  <c r="GI58" i="1" a="1"/>
  <c r="HW58" i="1" a="1"/>
  <c r="IR57" i="1" a="1"/>
  <c r="IJ57" i="1" a="1"/>
  <c r="IF58" i="1" a="1"/>
  <c r="FE57" i="1" a="1"/>
  <c r="GS58" i="1" a="1"/>
  <c r="GA57" i="1" a="1"/>
  <c r="AD58" i="1" a="1"/>
  <c r="GD57" i="1" a="1"/>
  <c r="JE57" i="1" a="1"/>
  <c r="JI57" i="1" a="1"/>
  <c r="DQ57" i="1" a="1"/>
  <c r="MH58" i="1" a="1"/>
  <c r="DZ57" i="1" a="1"/>
  <c r="DB57" i="1" a="1"/>
  <c r="FU58" i="1" a="1"/>
  <c r="II58" i="1" a="1"/>
  <c r="FT57" i="1" a="1"/>
  <c r="GH58" i="1" a="1"/>
  <c r="HA58" i="1" a="1"/>
  <c r="HC57" i="1" a="1"/>
  <c r="GM58" i="1" a="1"/>
  <c r="FM58" i="1" a="1"/>
  <c r="GN58" i="1" a="1"/>
  <c r="HO58" i="1" a="1"/>
  <c r="IX58" i="1" a="1"/>
  <c r="HU58" i="1" a="1"/>
  <c r="GS57" i="1" a="1"/>
  <c r="HJ58" i="1" a="1"/>
  <c r="HI57" i="1" a="1"/>
  <c r="IP57" i="1" a="1"/>
  <c r="FS57" i="1" a="1"/>
  <c r="GO57" i="1" a="1"/>
  <c r="HC58" i="1" a="1"/>
  <c r="GL57" i="1" a="1"/>
  <c r="FQ58" i="1" a="1"/>
  <c r="MD57" i="1" a="1"/>
  <c r="ER57" i="1" a="1"/>
  <c r="MC57" i="1" a="1"/>
  <c r="AL58" i="1" a="1"/>
  <c r="GB58" i="1" a="1"/>
  <c r="FF57" i="1" a="1"/>
  <c r="IC58" i="1" a="1"/>
  <c r="FE58" i="1" a="1"/>
  <c r="CH57" i="1" a="1"/>
  <c r="JQ57" i="1" a="1"/>
  <c r="FU57" i="1" a="1"/>
  <c r="II57" i="1" a="1"/>
  <c r="GW58" i="1" a="1"/>
  <c r="FY57" i="1" a="1"/>
  <c r="HY57" i="1" a="1"/>
  <c r="HY58" i="1" a="1"/>
  <c r="HI58" i="1" a="1"/>
  <c r="IP58" i="1" a="1"/>
  <c r="DR57" i="1" a="1"/>
  <c r="HU57" i="1" a="1"/>
  <c r="GL58" i="1" a="1"/>
  <c r="HV57" i="1" a="1"/>
  <c r="GA58" i="1" a="1"/>
  <c r="FB58" i="1" a="1"/>
  <c r="EJ58" i="1" a="1"/>
  <c r="MK57" i="1" a="1"/>
  <c r="LD58" i="1" a="1"/>
  <c r="LI58" i="1" a="1"/>
  <c r="EH57" i="1" a="1"/>
  <c r="ET57" i="1" a="1"/>
  <c r="EB57" i="1" a="1"/>
  <c r="DZ58" i="1" a="1"/>
  <c r="FP58" i="1" a="1"/>
  <c r="BU57" i="1" a="1"/>
  <c r="KO58" i="1" a="1"/>
  <c r="KK58" i="1" a="1"/>
  <c r="DW58" i="1" a="1"/>
  <c r="KQ58" i="1" a="1"/>
  <c r="CZ58" i="1" a="1"/>
  <c r="MV58" i="1" a="1"/>
  <c r="ED58" i="1" a="1"/>
  <c r="MG57" i="1" a="1"/>
  <c r="EG57" i="1" a="1"/>
  <c r="JV58" i="1" a="1"/>
  <c r="AL57" i="1" a="1"/>
  <c r="X58" i="1" a="1"/>
  <c r="JG58" i="1" a="1"/>
  <c r="NB57" i="1" a="1"/>
  <c r="CV58" i="1" a="1"/>
  <c r="LE57" i="1" a="1"/>
  <c r="MK58" i="1" a="1"/>
  <c r="ET58" i="1" a="1"/>
  <c r="BN57" i="1" a="1"/>
  <c r="FQ57" i="1" a="1"/>
  <c r="HE58" i="1" a="1"/>
  <c r="MV57" i="1" a="1"/>
  <c r="IR58" i="1" a="1"/>
  <c r="DO58" i="1" a="1"/>
  <c r="DP58" i="1" a="1"/>
  <c r="DL57" i="1" a="1"/>
  <c r="DM58" i="1" a="1"/>
  <c r="DN58" i="1" a="1"/>
  <c r="DG58" i="1" a="1"/>
  <c r="DE58" i="1" a="1"/>
  <c r="DI58" i="1" a="1"/>
  <c r="DF58" i="1" a="1"/>
  <c r="DH57" i="1" a="1"/>
  <c r="HT57" i="1" a="1"/>
  <c r="AQ57" i="1" a="1"/>
  <c r="AP57" i="1" a="1"/>
  <c r="AH58" i="1" a="1"/>
  <c r="AV58" i="1" a="1"/>
  <c r="R58" i="1" a="1"/>
  <c r="AG58" i="1" a="1"/>
  <c r="AB57" i="1" a="1"/>
  <c r="S58" i="1" a="1"/>
  <c r="Y58" i="1" a="1"/>
  <c r="BY58" i="1" a="1"/>
  <c r="CC58" i="1" a="1"/>
  <c r="Y57" i="1" a="1"/>
  <c r="BK58" i="1" a="1"/>
  <c r="AA57" i="1" a="1"/>
  <c r="R57" i="1" a="1"/>
  <c r="T58" i="1" a="1"/>
  <c r="BV57" i="1" a="1"/>
  <c r="AN57" i="1" a="1"/>
  <c r="Z57" i="1" a="1"/>
  <c r="U57" i="1" a="1"/>
  <c r="AQ58" i="1" a="1"/>
  <c r="CN58" i="1" a="1"/>
  <c r="CL58" i="1" a="1"/>
  <c r="CR58" i="1" a="1"/>
  <c r="BQ57" i="1" a="1"/>
  <c r="BB58" i="1" a="1"/>
  <c r="CF57" i="1" a="1"/>
  <c r="BA57" i="1" a="1"/>
  <c r="BS57" i="1" a="1"/>
  <c r="CC57" i="1" a="1"/>
  <c r="BD58" i="1" a="1"/>
  <c r="CJ57" i="1" a="1"/>
  <c r="S57" i="1" a="1"/>
  <c r="BL58" i="1" a="1"/>
  <c r="AX57" i="1" a="1"/>
  <c r="AP58" i="1" a="1"/>
  <c r="BZ57" i="1" a="1"/>
  <c r="AC57" i="1" a="1"/>
  <c r="CE58" i="1" a="1"/>
  <c r="AG57" i="1" a="1"/>
  <c r="AJ58" i="1" a="1"/>
  <c r="CS57" i="1" a="1"/>
  <c r="AX58" i="1" a="1"/>
  <c r="BC57" i="1" a="1"/>
  <c r="CG58" i="1" a="1"/>
  <c r="AA58" i="1" a="1"/>
  <c r="AM57" i="1" a="1"/>
  <c r="T57" i="1" a="1"/>
  <c r="BR57" i="1" a="1"/>
  <c r="CD58" i="1" a="1"/>
  <c r="V58" i="1" a="1"/>
  <c r="CK58" i="1" a="1"/>
  <c r="AC58" i="1" a="1"/>
  <c r="AH57" i="1" a="1"/>
  <c r="BE58" i="1" a="1"/>
  <c r="BW58" i="1" a="1"/>
  <c r="AN58" i="1" a="1"/>
  <c r="CQ58" i="1" a="1"/>
  <c r="AM58" i="1" a="1"/>
  <c r="BA58" i="1" a="1"/>
  <c r="BI57" i="1" a="1"/>
  <c r="BW57" i="1" a="1"/>
  <c r="AJ57" i="1" a="1"/>
  <c r="BO57" i="1" a="1"/>
  <c r="BL57" i="1" a="1"/>
  <c r="AT58" i="1" a="1"/>
  <c r="AF57" i="1" a="1"/>
  <c r="BX57" i="1" a="1"/>
  <c r="CU57" i="1" a="1"/>
  <c r="AO57" i="1" a="1"/>
  <c r="BP58" i="1" a="1"/>
  <c r="BH57" i="1" a="1"/>
  <c r="CM58" i="1" a="1"/>
  <c r="AU58" i="1" a="1"/>
  <c r="BJ57" i="1" a="1"/>
  <c r="AI57" i="1" a="1"/>
  <c r="AW58" i="1" a="1"/>
  <c r="MZ58" i="1" l="1" a="1"/>
  <c r="EL58" i="1" a="1"/>
  <c r="EL58" i="1" s="1"/>
  <c r="EL65" i="1" s="1"/>
  <c r="KT58" i="1" a="1"/>
  <c r="ES57" i="1" a="1"/>
  <c r="CG56" i="1"/>
  <c r="JB57" i="1" a="1"/>
  <c r="JB57" i="1" s="1"/>
  <c r="JB64" i="1" s="1"/>
  <c r="IU58" i="1" a="1"/>
  <c r="IU58" i="1" s="1"/>
  <c r="MY57" i="1" a="1"/>
  <c r="KR58" i="1" a="1"/>
  <c r="KR58" i="1" s="1"/>
  <c r="KR65" i="1" s="1"/>
  <c r="NA58" i="1" a="1"/>
  <c r="NA58" i="1" s="1"/>
  <c r="NA65" i="1" s="1"/>
  <c r="MW57" i="1" a="1"/>
  <c r="LY57" i="1" a="1"/>
  <c r="DV57" i="1" a="1"/>
  <c r="DV57" i="1" s="1"/>
  <c r="MT58" i="1" a="1"/>
  <c r="MX57" i="1" a="1"/>
  <c r="MX57" i="1" s="1"/>
  <c r="MX64" i="1" s="1"/>
  <c r="CP58" i="1" a="1"/>
  <c r="CP58" i="1" s="1"/>
  <c r="CP65" i="1" s="1"/>
  <c r="CB57" i="1" a="1"/>
  <c r="CB57" i="1" s="1"/>
  <c r="IE56" i="1"/>
  <c r="IE59" i="1"/>
  <c r="IE66" i="1" s="1"/>
  <c r="GT56" i="1"/>
  <c r="HA56" i="1"/>
  <c r="IR58" i="1"/>
  <c r="IR65" i="1" s="1"/>
  <c r="FQ57" i="1"/>
  <c r="BN57" i="1"/>
  <c r="GA58" i="1"/>
  <c r="GA65" i="1" s="1"/>
  <c r="HV57" i="1"/>
  <c r="GL58" i="1"/>
  <c r="GL65" i="1" s="1"/>
  <c r="HU57" i="1"/>
  <c r="DR57" i="1"/>
  <c r="IP58" i="1"/>
  <c r="IP65" i="1" s="1"/>
  <c r="HI58" i="1"/>
  <c r="HI65" i="1" s="1"/>
  <c r="HY58" i="1"/>
  <c r="HY65" i="1" s="1"/>
  <c r="HY57" i="1"/>
  <c r="FY57" i="1"/>
  <c r="GW58" i="1"/>
  <c r="GW65" i="1" s="1"/>
  <c r="II57" i="1"/>
  <c r="FU57" i="1"/>
  <c r="JQ57" i="1"/>
  <c r="FE58" i="1"/>
  <c r="FE65" i="1" s="1"/>
  <c r="IC58" i="1"/>
  <c r="IC65" i="1" s="1"/>
  <c r="FF57" i="1"/>
  <c r="GB58" i="1"/>
  <c r="GB65" i="1" s="1"/>
  <c r="FQ58" i="1"/>
  <c r="FQ65" i="1" s="1"/>
  <c r="GL57" i="1"/>
  <c r="HC58" i="1"/>
  <c r="HC65" i="1" s="1"/>
  <c r="GO57" i="1"/>
  <c r="FS57" i="1"/>
  <c r="IP57" i="1"/>
  <c r="HI57" i="1"/>
  <c r="HJ58" i="1"/>
  <c r="HJ65" i="1" s="1"/>
  <c r="GS57" i="1"/>
  <c r="HU58" i="1"/>
  <c r="HU65" i="1" s="1"/>
  <c r="IX58" i="1"/>
  <c r="IX65" i="1" s="1"/>
  <c r="HO58" i="1"/>
  <c r="HO65" i="1" s="1"/>
  <c r="GN58" i="1"/>
  <c r="GN65" i="1" s="1"/>
  <c r="FM58" i="1"/>
  <c r="FM65" i="1" s="1"/>
  <c r="GM58" i="1"/>
  <c r="GM65" i="1" s="1"/>
  <c r="HC57" i="1"/>
  <c r="HA58" i="1"/>
  <c r="GH58" i="1"/>
  <c r="GH65" i="1" s="1"/>
  <c r="FT57" i="1"/>
  <c r="II58" i="1"/>
  <c r="II65" i="1" s="1"/>
  <c r="FU58" i="1"/>
  <c r="FU65" i="1" s="1"/>
  <c r="DB57" i="1"/>
  <c r="GA57" i="1"/>
  <c r="GS58" i="1"/>
  <c r="GS65" i="1" s="1"/>
  <c r="FE57" i="1"/>
  <c r="IF58" i="1"/>
  <c r="IJ57" i="1"/>
  <c r="IR57" i="1"/>
  <c r="HW58" i="1"/>
  <c r="HW65" i="1" s="1"/>
  <c r="GI58" i="1"/>
  <c r="GI65" i="1" s="1"/>
  <c r="HR58" i="1"/>
  <c r="HR65" i="1" s="1"/>
  <c r="FL57" i="1"/>
  <c r="HK57" i="1"/>
  <c r="GN57" i="1"/>
  <c r="GP58" i="1"/>
  <c r="GP65" i="1" s="1"/>
  <c r="HH57" i="1"/>
  <c r="FJ57" i="1"/>
  <c r="HD57" i="1"/>
  <c r="FG58" i="1"/>
  <c r="FG65" i="1" s="1"/>
  <c r="IY57" i="1"/>
  <c r="IT57" i="1"/>
  <c r="FG57" i="1"/>
  <c r="FR58" i="1"/>
  <c r="FR65" i="1" s="1"/>
  <c r="GB57" i="1"/>
  <c r="IC57" i="1"/>
  <c r="IM58" i="1"/>
  <c r="IM65" i="1" s="1"/>
  <c r="HB58" i="1"/>
  <c r="HB65" i="1" s="1"/>
  <c r="BN58" i="1"/>
  <c r="BN65" i="1" s="1"/>
  <c r="FK57" i="1"/>
  <c r="GE57" i="1"/>
  <c r="HG57" i="1"/>
  <c r="GT58" i="1"/>
  <c r="IX57" i="1"/>
  <c r="IY58" i="1"/>
  <c r="IY65" i="1" s="1"/>
  <c r="GU57" i="1"/>
  <c r="FT58" i="1"/>
  <c r="FT65" i="1" s="1"/>
  <c r="GG58" i="1"/>
  <c r="GG65" i="1" s="1"/>
  <c r="HH58" i="1"/>
  <c r="HH65" i="1" s="1"/>
  <c r="HW57" i="1"/>
  <c r="JW58" i="1"/>
  <c r="FK58" i="1"/>
  <c r="FK65" i="1" s="1"/>
  <c r="FY58" i="1"/>
  <c r="FY65" i="1" s="1"/>
  <c r="FR57" i="1"/>
  <c r="GF58" i="1"/>
  <c r="GF65" i="1" s="1"/>
  <c r="GG57" i="1"/>
  <c r="IM57" i="1"/>
  <c r="HB57" i="1"/>
  <c r="HX58" i="1"/>
  <c r="HX65" i="1" s="1"/>
  <c r="FS58" i="1"/>
  <c r="FS65" i="1" s="1"/>
  <c r="FF58" i="1"/>
  <c r="FF65" i="1" s="1"/>
  <c r="FM57" i="1"/>
  <c r="HO57" i="1"/>
  <c r="GZ58" i="1"/>
  <c r="GZ65" i="1" s="1"/>
  <c r="HN57" i="1"/>
  <c r="HG58" i="1"/>
  <c r="HG65" i="1" s="1"/>
  <c r="GM57" i="1"/>
  <c r="IT58" i="1"/>
  <c r="IT65" i="1" s="1"/>
  <c r="HJ57" i="1"/>
  <c r="GP57" i="1"/>
  <c r="GI57" i="1"/>
  <c r="CA57" i="1"/>
  <c r="AR58" i="1"/>
  <c r="FX58" i="1"/>
  <c r="FX65" i="1" s="1"/>
  <c r="GF57" i="1"/>
  <c r="HV58" i="1"/>
  <c r="HV65" i="1" s="1"/>
  <c r="HR57" i="1"/>
  <c r="DR58" i="1"/>
  <c r="DR65" i="1" s="1"/>
  <c r="IJ58" i="1"/>
  <c r="IJ65" i="1" s="1"/>
  <c r="HX57" i="1"/>
  <c r="FX57" i="1"/>
  <c r="GO58" i="1"/>
  <c r="GO65" i="1" s="1"/>
  <c r="FL58" i="1"/>
  <c r="FL65" i="1" s="1"/>
  <c r="HK58" i="1"/>
  <c r="HK65" i="1" s="1"/>
  <c r="HQ57" i="1"/>
  <c r="GH57" i="1"/>
  <c r="GZ57" i="1"/>
  <c r="GW56" i="1"/>
  <c r="BP5" i="6"/>
  <c r="BP7" i="6"/>
  <c r="AI7" i="6" s="1"/>
  <c r="CG58" i="1"/>
  <c r="CK58" i="1"/>
  <c r="BS57" i="1"/>
  <c r="CF57" i="1"/>
  <c r="CK56" i="1"/>
  <c r="EY58" i="1"/>
  <c r="EY65" i="1" s="1"/>
  <c r="AP58" i="1"/>
  <c r="AP65" i="1" s="1"/>
  <c r="AP57" i="1"/>
  <c r="AP64" i="1" s="1"/>
  <c r="ND57" i="1"/>
  <c r="ND64" i="1" s="1"/>
  <c r="DQ57" i="1"/>
  <c r="DT57" i="1"/>
  <c r="DT64" i="1" s="1"/>
  <c r="LV58" i="1"/>
  <c r="LV65" i="1" s="1"/>
  <c r="CX58" i="1"/>
  <c r="CX65" i="1" s="1"/>
  <c r="KO58" i="1"/>
  <c r="KO65" i="1" s="1"/>
  <c r="MN57" i="1"/>
  <c r="MN64" i="1" s="1"/>
  <c r="MP57" i="1"/>
  <c r="MP64" i="1" s="1"/>
  <c r="KR57" i="1"/>
  <c r="KR56" i="1" s="1"/>
  <c r="GV57" i="1"/>
  <c r="EX57" i="1"/>
  <c r="EX64" i="1" s="1"/>
  <c r="LP57" i="1"/>
  <c r="LP64" i="1" s="1"/>
  <c r="BF57" i="1"/>
  <c r="BF64" i="1" s="1"/>
  <c r="AX58" i="1"/>
  <c r="AX65" i="1" s="1"/>
  <c r="AX57" i="1"/>
  <c r="AS57" i="1"/>
  <c r="AS64" i="1" s="1"/>
  <c r="MO57" i="1"/>
  <c r="CY57" i="1"/>
  <c r="AJ58" i="1"/>
  <c r="AJ65" i="1" s="1"/>
  <c r="AJ57" i="1"/>
  <c r="AJ64" i="1" s="1"/>
  <c r="EO58" i="1"/>
  <c r="EO65" i="1" s="1"/>
  <c r="ES58" i="1"/>
  <c r="ES57" i="1"/>
  <c r="ES64" i="1" s="1"/>
  <c r="BY58" i="1"/>
  <c r="BY65" i="1" s="1"/>
  <c r="BX57" i="1"/>
  <c r="BX64" i="1" s="1"/>
  <c r="GK58" i="1"/>
  <c r="GK65" i="1" s="1"/>
  <c r="HT57" i="1"/>
  <c r="HT64" i="1" s="1"/>
  <c r="DF58" i="1"/>
  <c r="DF65" i="1" s="1"/>
  <c r="ER57" i="1"/>
  <c r="LU58" i="1"/>
  <c r="LU65" i="1" s="1"/>
  <c r="KP58" i="1"/>
  <c r="KP65" i="1" s="1"/>
  <c r="KY58" i="1"/>
  <c r="KY65" i="1" s="1"/>
  <c r="FP58" i="1"/>
  <c r="FP65" i="1" s="1"/>
  <c r="DZ58" i="1"/>
  <c r="DZ65" i="1" s="1"/>
  <c r="DZ57" i="1"/>
  <c r="DS58" i="1"/>
  <c r="DS65" i="1" s="1"/>
  <c r="AZ58" i="1"/>
  <c r="AZ65" i="1" s="1"/>
  <c r="LN57" i="1"/>
  <c r="LN64" i="1" s="1"/>
  <c r="EW57" i="1"/>
  <c r="BC57" i="1"/>
  <c r="BC64" i="1" s="1"/>
  <c r="AC58" i="1"/>
  <c r="AC65" i="1" s="1"/>
  <c r="AC57" i="1"/>
  <c r="AC64" i="1" s="1"/>
  <c r="DE58" i="1"/>
  <c r="DE65" i="1" s="1"/>
  <c r="LL58" i="1"/>
  <c r="LL65" i="1" s="1"/>
  <c r="DD57" i="1"/>
  <c r="HS57" i="1"/>
  <c r="HS64" i="1" s="1"/>
  <c r="MV58" i="1"/>
  <c r="MV65" i="1" s="1"/>
  <c r="MV57" i="1"/>
  <c r="MV64" i="1" s="1"/>
  <c r="MH58" i="1"/>
  <c r="MH65" i="1" s="1"/>
  <c r="MH57" i="1"/>
  <c r="KB57" i="1"/>
  <c r="BI57" i="1"/>
  <c r="BI64" i="1" s="1"/>
  <c r="KW57" i="1"/>
  <c r="JU57" i="1"/>
  <c r="FC57" i="1"/>
  <c r="FC64" i="1" s="1"/>
  <c r="BH57" i="1"/>
  <c r="BH64" i="1" s="1"/>
  <c r="GQ57" i="1"/>
  <c r="IA57" i="1"/>
  <c r="IA64" i="1" s="1"/>
  <c r="IU57" i="1"/>
  <c r="IU64" i="1" s="1"/>
  <c r="BG57" i="1"/>
  <c r="U57" i="1"/>
  <c r="U64" i="1" s="1"/>
  <c r="CW58" i="1"/>
  <c r="CW65" i="1" s="1"/>
  <c r="ET58" i="1"/>
  <c r="ET65" i="1" s="1"/>
  <c r="ET57" i="1"/>
  <c r="ET64" i="1" s="1"/>
  <c r="MK58" i="1"/>
  <c r="MK65" i="1" s="1"/>
  <c r="MK57" i="1"/>
  <c r="MK56" i="1" s="1"/>
  <c r="LH57" i="1"/>
  <c r="LH64" i="1" s="1"/>
  <c r="AW58" i="1"/>
  <c r="AW65" i="1" s="1"/>
  <c r="CU57" i="1"/>
  <c r="CU64" i="1" s="1"/>
  <c r="EP58" i="1"/>
  <c r="EP65" i="1" s="1"/>
  <c r="LW57" i="1"/>
  <c r="LW64" i="1" s="1"/>
  <c r="CZ58" i="1"/>
  <c r="CZ65" i="1" s="1"/>
  <c r="LK57" i="1"/>
  <c r="LK64" i="1" s="1"/>
  <c r="W58" i="1"/>
  <c r="W65" i="1" s="1"/>
  <c r="JL57" i="1"/>
  <c r="DW58" i="1"/>
  <c r="DW65" i="1" s="1"/>
  <c r="LC58" i="1"/>
  <c r="LC65" i="1" s="1"/>
  <c r="KS58" i="1"/>
  <c r="KS65" i="1" s="1"/>
  <c r="LQ57" i="1"/>
  <c r="LQ64" i="1" s="1"/>
  <c r="HZ58" i="1"/>
  <c r="HZ65" i="1" s="1"/>
  <c r="CR58" i="1"/>
  <c r="CR65" i="1" s="1"/>
  <c r="JF58" i="1"/>
  <c r="JF65" i="1" s="1"/>
  <c r="NG57" i="1"/>
  <c r="NG64" i="1" s="1"/>
  <c r="AI57" i="1"/>
  <c r="AI64" i="1" s="1"/>
  <c r="EH57" i="1"/>
  <c r="BJ57" i="1"/>
  <c r="BJ64" i="1" s="1"/>
  <c r="NA57" i="1"/>
  <c r="NA64" i="1" s="1"/>
  <c r="MT58" i="1"/>
  <c r="MT57" i="1"/>
  <c r="MT64" i="1" s="1"/>
  <c r="LX57" i="1"/>
  <c r="EC58" i="1"/>
  <c r="EC65" i="1" s="1"/>
  <c r="MS58" i="1"/>
  <c r="MS65" i="1" s="1"/>
  <c r="JY58" i="1"/>
  <c r="JY65" i="1" s="1"/>
  <c r="AM58" i="1"/>
  <c r="AM65" i="1" s="1"/>
  <c r="AM57" i="1"/>
  <c r="AM64" i="1" s="1"/>
  <c r="BR57" i="1"/>
  <c r="BR64" i="1" s="1"/>
  <c r="KL57" i="1"/>
  <c r="JR58" i="1"/>
  <c r="JR65" i="1" s="1"/>
  <c r="BO57" i="1"/>
  <c r="BO64" i="1" s="1"/>
  <c r="MD57" i="1"/>
  <c r="MD64" i="1" s="1"/>
  <c r="NI57" i="1"/>
  <c r="NJ57" i="1"/>
  <c r="NJ64" i="1" s="1"/>
  <c r="KD57" i="1"/>
  <c r="KD64" i="1" s="1"/>
  <c r="AH58" i="1"/>
  <c r="AH65" i="1" s="1"/>
  <c r="AH57" i="1"/>
  <c r="AH64" i="1" s="1"/>
  <c r="KJ58" i="1"/>
  <c r="KJ65" i="1" s="1"/>
  <c r="HL57" i="1"/>
  <c r="DU57" i="1"/>
  <c r="DU64" i="1" s="1"/>
  <c r="AU58" i="1"/>
  <c r="KA58" i="1"/>
  <c r="KA65" i="1" s="1"/>
  <c r="IO58" i="1"/>
  <c r="IO65" i="1" s="1"/>
  <c r="JJ57" i="1"/>
  <c r="JJ64" i="1" s="1"/>
  <c r="MZ58" i="1"/>
  <c r="MZ65" i="1" s="1"/>
  <c r="MZ57" i="1"/>
  <c r="MZ64" i="1" s="1"/>
  <c r="LY58" i="1"/>
  <c r="LY57" i="1"/>
  <c r="LY64" i="1" s="1"/>
  <c r="DV58" i="1"/>
  <c r="DV65" i="1" s="1"/>
  <c r="MI57" i="1"/>
  <c r="JE57" i="1"/>
  <c r="NE57" i="1"/>
  <c r="NE64" i="1" s="1"/>
  <c r="AF57" i="1"/>
  <c r="AF64" i="1" s="1"/>
  <c r="HF58" i="1"/>
  <c r="HF65" i="1" s="1"/>
  <c r="KN58" i="1"/>
  <c r="KN65" i="1" s="1"/>
  <c r="ME57" i="1"/>
  <c r="DC57" i="1"/>
  <c r="DC64" i="1" s="1"/>
  <c r="MG57" i="1"/>
  <c r="MG56" i="1" s="1"/>
  <c r="BZ57" i="1"/>
  <c r="BZ64" i="1" s="1"/>
  <c r="AG58" i="1"/>
  <c r="AG65" i="1" s="1"/>
  <c r="AG57" i="1"/>
  <c r="AG64" i="1" s="1"/>
  <c r="JH58" i="1"/>
  <c r="JH65" i="1" s="1"/>
  <c r="EM57" i="1"/>
  <c r="AY57" i="1"/>
  <c r="AY64" i="1" s="1"/>
  <c r="KQ58" i="1"/>
  <c r="KQ65" i="1" s="1"/>
  <c r="FV58" i="1"/>
  <c r="FV65" i="1" s="1"/>
  <c r="DN58" i="1"/>
  <c r="DN65" i="1" s="1"/>
  <c r="BD58" i="1"/>
  <c r="BD65" i="1" s="1"/>
  <c r="CE58" i="1"/>
  <c r="CE65" i="1" s="1"/>
  <c r="NH57" i="1"/>
  <c r="NH64" i="1" s="1"/>
  <c r="GC57" i="1"/>
  <c r="EB57" i="1"/>
  <c r="EB64" i="1" s="1"/>
  <c r="LI58" i="1"/>
  <c r="LI65" i="1" s="1"/>
  <c r="LD58" i="1"/>
  <c r="LD65" i="1" s="1"/>
  <c r="EJ58" i="1"/>
  <c r="EJ65" i="1" s="1"/>
  <c r="EJ57" i="1"/>
  <c r="Y58" i="1"/>
  <c r="Y65" i="1" s="1"/>
  <c r="Y57" i="1"/>
  <c r="Y64" i="1" s="1"/>
  <c r="FB58" i="1"/>
  <c r="FB65" i="1" s="1"/>
  <c r="DG58" i="1"/>
  <c r="DG65" i="1" s="1"/>
  <c r="CP57" i="1"/>
  <c r="JP58" i="1"/>
  <c r="JP65" i="1" s="1"/>
  <c r="KI58" i="1"/>
  <c r="KI65" i="1" s="1"/>
  <c r="FW57" i="1"/>
  <c r="MB57" i="1"/>
  <c r="MB64" i="1" s="1"/>
  <c r="EA57" i="1"/>
  <c r="EK57" i="1"/>
  <c r="EK64" i="1" s="1"/>
  <c r="V58" i="1"/>
  <c r="V65" i="1" s="1"/>
  <c r="BE58" i="1"/>
  <c r="BE65" i="1" s="1"/>
  <c r="LE58" i="1"/>
  <c r="LE57" i="1"/>
  <c r="LE64" i="1" s="1"/>
  <c r="GJ57" i="1"/>
  <c r="GJ64" i="1" s="1"/>
  <c r="MM57" i="1"/>
  <c r="MM56" i="1" s="1"/>
  <c r="LS57" i="1"/>
  <c r="BM58" i="1"/>
  <c r="BM65" i="1" s="1"/>
  <c r="AB57" i="1"/>
  <c r="AB64" i="1" s="1"/>
  <c r="GY57" i="1"/>
  <c r="GY64" i="1" s="1"/>
  <c r="BA58" i="1"/>
  <c r="BA57" i="1"/>
  <c r="BA64" i="1" s="1"/>
  <c r="GX58" i="1"/>
  <c r="GX65" i="1" s="1"/>
  <c r="AQ58" i="1"/>
  <c r="AQ65" i="1" s="1"/>
  <c r="AQ57" i="1"/>
  <c r="AQ64" i="1" s="1"/>
  <c r="BQ57" i="1"/>
  <c r="BQ64" i="1" s="1"/>
  <c r="JZ57" i="1"/>
  <c r="JZ64" i="1" s="1"/>
  <c r="DX58" i="1"/>
  <c r="DX65" i="1" s="1"/>
  <c r="MU58" i="1"/>
  <c r="MU65" i="1" s="1"/>
  <c r="DL57" i="1"/>
  <c r="DL64" i="1" s="1"/>
  <c r="MW58" i="1"/>
  <c r="MW65" i="1" s="1"/>
  <c r="MW57" i="1"/>
  <c r="MW64" i="1" s="1"/>
  <c r="JT57" i="1"/>
  <c r="JT64" i="1" s="1"/>
  <c r="EZ58" i="1"/>
  <c r="EZ65" i="1" s="1"/>
  <c r="LM57" i="1"/>
  <c r="LM64" i="1" s="1"/>
  <c r="LJ57" i="1"/>
  <c r="LT57" i="1"/>
  <c r="LT64" i="1" s="1"/>
  <c r="NF57" i="1"/>
  <c r="NF64" i="1" s="1"/>
  <c r="AO57" i="1"/>
  <c r="AO64" i="1" s="1"/>
  <c r="AT58" i="1"/>
  <c r="AT65" i="1" s="1"/>
  <c r="CJ57" i="1"/>
  <c r="CJ64" i="1" s="1"/>
  <c r="CV58" i="1"/>
  <c r="CV65" i="1" s="1"/>
  <c r="CQ58" i="1"/>
  <c r="CQ65" i="1" s="1"/>
  <c r="NB57" i="1"/>
  <c r="NB64" i="1" s="1"/>
  <c r="CN58" i="1"/>
  <c r="CN65" i="1" s="1"/>
  <c r="JG58" i="1"/>
  <c r="JG65" i="1" s="1"/>
  <c r="X58" i="1"/>
  <c r="X65" i="1" s="1"/>
  <c r="AL58" i="1"/>
  <c r="AL57" i="1"/>
  <c r="AL64" i="1" s="1"/>
  <c r="BV57" i="1"/>
  <c r="AK58" i="1"/>
  <c r="AK65" i="1" s="1"/>
  <c r="MX58" i="1"/>
  <c r="MX65" i="1" s="1"/>
  <c r="JO57" i="1"/>
  <c r="DM58" i="1"/>
  <c r="DM65" i="1" s="1"/>
  <c r="CI58" i="1"/>
  <c r="CI65" i="1" s="1"/>
  <c r="EE58" i="1"/>
  <c r="EE65" i="1" s="1"/>
  <c r="MY58" i="1"/>
  <c r="MY65" i="1" s="1"/>
  <c r="MY57" i="1"/>
  <c r="MY64" i="1" s="1"/>
  <c r="LZ57" i="1"/>
  <c r="LZ64" i="1" s="1"/>
  <c r="T58" i="1"/>
  <c r="T65" i="1" s="1"/>
  <c r="T57" i="1"/>
  <c r="T64" i="1" s="1"/>
  <c r="HM57" i="1"/>
  <c r="KT58" i="1"/>
  <c r="KT65" i="1" s="1"/>
  <c r="KT57" i="1"/>
  <c r="KT64" i="1" s="1"/>
  <c r="GR57" i="1"/>
  <c r="JN58" i="1"/>
  <c r="JN65" i="1" s="1"/>
  <c r="BT58" i="1"/>
  <c r="BT65" i="1" s="1"/>
  <c r="IN58" i="1"/>
  <c r="IN65" i="1" s="1"/>
  <c r="KF57" i="1"/>
  <c r="KF64" i="1" s="1"/>
  <c r="KU58" i="1"/>
  <c r="KU65" i="1" s="1"/>
  <c r="FD58" i="1"/>
  <c r="FD65" i="1" s="1"/>
  <c r="GD57" i="1"/>
  <c r="GD64" i="1" s="1"/>
  <c r="LG57" i="1"/>
  <c r="JM58" i="1"/>
  <c r="JM65" i="1" s="1"/>
  <c r="AD58" i="1"/>
  <c r="AD65" i="1" s="1"/>
  <c r="JB58" i="1"/>
  <c r="JB65" i="1" s="1"/>
  <c r="EV57" i="1"/>
  <c r="LF57" i="1"/>
  <c r="LF64" i="1" s="1"/>
  <c r="CH57" i="1"/>
  <c r="MC57" i="1"/>
  <c r="MC64" i="1" s="1"/>
  <c r="ED58" i="1"/>
  <c r="ED65" i="1" s="1"/>
  <c r="AA58" i="1"/>
  <c r="AA65" i="1" s="1"/>
  <c r="AA57" i="1"/>
  <c r="AA64" i="1" s="1"/>
  <c r="ML57" i="1"/>
  <c r="LA58" i="1"/>
  <c r="LA65" i="1" s="1"/>
  <c r="KH57" i="1"/>
  <c r="AE58" i="1"/>
  <c r="AE65" i="1" s="1"/>
  <c r="DJ58" i="1"/>
  <c r="DJ65" i="1" s="1"/>
  <c r="EL57" i="1"/>
  <c r="IB58" i="1"/>
  <c r="IB65" i="1" s="1"/>
  <c r="S58" i="1"/>
  <c r="S65" i="1" s="1"/>
  <c r="S57" i="1"/>
  <c r="S64" i="1" s="1"/>
  <c r="EQ58" i="1"/>
  <c r="EQ65" i="1" s="1"/>
  <c r="CC58" i="1"/>
  <c r="CC65" i="1" s="1"/>
  <c r="CC57" i="1"/>
  <c r="CC64" i="1" s="1"/>
  <c r="EU57" i="1"/>
  <c r="MA58" i="1"/>
  <c r="MA65" i="1" s="1"/>
  <c r="LR58" i="1"/>
  <c r="LR65" i="1" s="1"/>
  <c r="MQ57" i="1"/>
  <c r="FO57" i="1"/>
  <c r="FO64" i="1" s="1"/>
  <c r="EN57" i="1"/>
  <c r="EN64" i="1" s="1"/>
  <c r="KK58" i="1"/>
  <c r="KK65" i="1" s="1"/>
  <c r="BU57" i="1"/>
  <c r="BU64" i="1" s="1"/>
  <c r="KG58" i="1"/>
  <c r="KG65" i="1" s="1"/>
  <c r="LO58" i="1"/>
  <c r="LO65" i="1" s="1"/>
  <c r="CM58" i="1"/>
  <c r="CM65" i="1" s="1"/>
  <c r="BP58" i="1"/>
  <c r="BP65" i="1" s="1"/>
  <c r="DP58" i="1"/>
  <c r="DP65" i="1" s="1"/>
  <c r="IH58" i="1"/>
  <c r="IH65" i="1" s="1"/>
  <c r="AN58" i="1"/>
  <c r="AN65" i="1" s="1"/>
  <c r="AN57" i="1"/>
  <c r="AN64" i="1" s="1"/>
  <c r="BB58" i="1"/>
  <c r="BB65" i="1" s="1"/>
  <c r="JI57" i="1"/>
  <c r="JI64" i="1" s="1"/>
  <c r="DK57" i="1"/>
  <c r="DK64" i="1" s="1"/>
  <c r="IV58" i="1"/>
  <c r="IV65" i="1" s="1"/>
  <c r="JD57" i="1"/>
  <c r="JD64" i="1" s="1"/>
  <c r="JC57" i="1"/>
  <c r="DY57" i="1"/>
  <c r="DY64" i="1" s="1"/>
  <c r="JK57" i="1"/>
  <c r="JK64" i="1" s="1"/>
  <c r="DH57" i="1"/>
  <c r="DH64" i="1" s="1"/>
  <c r="DA57" i="1"/>
  <c r="DA64" i="1" s="1"/>
  <c r="CS57" i="1"/>
  <c r="MR57" i="1"/>
  <c r="MR56" i="1" s="1"/>
  <c r="NC57" i="1"/>
  <c r="NC64" i="1" s="1"/>
  <c r="KC57" i="1"/>
  <c r="Z57" i="1"/>
  <c r="Z64" i="1" s="1"/>
  <c r="JV58" i="1"/>
  <c r="JV65" i="1" s="1"/>
  <c r="EG57" i="1"/>
  <c r="EG64" i="1" s="1"/>
  <c r="CO58" i="1"/>
  <c r="CO65" i="1" s="1"/>
  <c r="FH58" i="1"/>
  <c r="FH65" i="1" s="1"/>
  <c r="KM58" i="1"/>
  <c r="KM65" i="1" s="1"/>
  <c r="EF57" i="1"/>
  <c r="EF56" i="1" s="1"/>
  <c r="MF58" i="1"/>
  <c r="MF65" i="1" s="1"/>
  <c r="BK58" i="1"/>
  <c r="BK65" i="1" s="1"/>
  <c r="DO58" i="1"/>
  <c r="DO65" i="1" s="1"/>
  <c r="CB58" i="1"/>
  <c r="CB65" i="1" s="1"/>
  <c r="FA57" i="1"/>
  <c r="FA64" i="1" s="1"/>
  <c r="CL58" i="1"/>
  <c r="CL65" i="1" s="1"/>
  <c r="FI58" i="1"/>
  <c r="FI65" i="1" s="1"/>
  <c r="LB58" i="1"/>
  <c r="LB65" i="1" s="1"/>
  <c r="KV57" i="1"/>
  <c r="KV64" i="1" s="1"/>
  <c r="KZ58" i="1"/>
  <c r="KZ65" i="1" s="1"/>
  <c r="BL58" i="1"/>
  <c r="BL57" i="1"/>
  <c r="BL64" i="1" s="1"/>
  <c r="BW58" i="1"/>
  <c r="BW65" i="1" s="1"/>
  <c r="BW57" i="1"/>
  <c r="BW64" i="1" s="1"/>
  <c r="HE58" i="1"/>
  <c r="HE65" i="1" s="1"/>
  <c r="CD58" i="1"/>
  <c r="CD65" i="1" s="1"/>
  <c r="R58" i="1"/>
  <c r="R65" i="1" s="1"/>
  <c r="R57" i="1"/>
  <c r="R64" i="1" s="1"/>
  <c r="JS57" i="1"/>
  <c r="JS64" i="1" s="1"/>
  <c r="MJ57" i="1"/>
  <c r="MJ64" i="1" s="1"/>
  <c r="AV58" i="1"/>
  <c r="AV65" i="1" s="1"/>
  <c r="DI58" i="1"/>
  <c r="DI65" i="1" s="1"/>
  <c r="DT56" i="1"/>
  <c r="EX56" i="1"/>
  <c r="LP56" i="1"/>
  <c r="BF56" i="1"/>
  <c r="AS56" i="1"/>
  <c r="ES56" i="1"/>
  <c r="LN56" i="1"/>
  <c r="HS56" i="1"/>
  <c r="MV56" i="1"/>
  <c r="MH59" i="1"/>
  <c r="MH66" i="1" s="1"/>
  <c r="IA56" i="1"/>
  <c r="IU56" i="1"/>
  <c r="ET56" i="1"/>
  <c r="LH56" i="1"/>
  <c r="LK56" i="1"/>
  <c r="MT56" i="1"/>
  <c r="LX56" i="1"/>
  <c r="KL56" i="1"/>
  <c r="NJ56" i="1"/>
  <c r="KD56" i="1"/>
  <c r="JJ56" i="1"/>
  <c r="LY56" i="1"/>
  <c r="DV59" i="1"/>
  <c r="DV66" i="1" s="1"/>
  <c r="DC56" i="1"/>
  <c r="AY56" i="1"/>
  <c r="CP59" i="1"/>
  <c r="CP66" i="1" s="1"/>
  <c r="EA56" i="1"/>
  <c r="LE56" i="1"/>
  <c r="GJ56" i="1"/>
  <c r="GY56" i="1"/>
  <c r="JZ56" i="1"/>
  <c r="JT56" i="1"/>
  <c r="LM56" i="1"/>
  <c r="LT56" i="1"/>
  <c r="NB56" i="1"/>
  <c r="AL56" i="1"/>
  <c r="JO56" i="1"/>
  <c r="LZ56" i="1"/>
  <c r="KT56" i="1"/>
  <c r="KF56" i="1"/>
  <c r="GD56" i="1"/>
  <c r="LG56" i="1"/>
  <c r="JB59" i="1"/>
  <c r="JB66" i="1" s="1"/>
  <c r="JB56" i="1"/>
  <c r="ML56" i="1"/>
  <c r="EU56" i="1"/>
  <c r="BU56" i="1"/>
  <c r="JI56" i="1"/>
  <c r="DK56" i="1"/>
  <c r="JC56" i="1"/>
  <c r="DA56" i="1"/>
  <c r="FA56" i="1"/>
  <c r="MJ56" i="1"/>
  <c r="BB54" i="1"/>
  <c r="BI30" i="18"/>
  <c r="BI9" i="18"/>
  <c r="BI10" i="18"/>
  <c r="BJ11" i="18"/>
  <c r="BC11" i="1"/>
  <c r="BB68" i="1"/>
  <c r="BB9" i="1"/>
  <c r="BB10" i="1"/>
  <c r="EK58" i="1" a="1"/>
  <c r="GV58" i="1" a="1"/>
  <c r="EY57" i="1" a="1"/>
  <c r="KP57" i="1" a="1"/>
  <c r="BT57" i="1" a="1"/>
  <c r="LG58" i="1" a="1"/>
  <c r="JP57" i="1" a="1"/>
  <c r="MN58" i="1" a="1"/>
  <c r="JD58" i="1" a="1"/>
  <c r="LQ58" i="1" a="1"/>
  <c r="HZ57" i="1" a="1"/>
  <c r="AK57" i="1" a="1"/>
  <c r="EH58" i="1" a="1"/>
  <c r="JG57" i="1" a="1"/>
  <c r="KK57" i="1" a="1"/>
  <c r="NB58" i="1" a="1"/>
  <c r="KJ57" i="1" a="1"/>
  <c r="GK57" i="1" a="1"/>
  <c r="JZ58" i="1" a="1"/>
  <c r="FA58" i="1" a="1"/>
  <c r="MD58" i="1" a="1"/>
  <c r="LW58" i="1" a="1"/>
  <c r="DY58" i="1" a="1"/>
  <c r="BG58" i="1" a="1"/>
  <c r="JY57" i="1" a="1"/>
  <c r="W57" i="1" a="1"/>
  <c r="JJ58" i="1" a="1"/>
  <c r="EU58" i="1" a="1"/>
  <c r="LR57" i="1" a="1"/>
  <c r="LO57" i="1" a="1"/>
  <c r="EX58" i="1" a="1"/>
  <c r="FV57" i="1" a="1"/>
  <c r="IO57" i="1" a="1"/>
  <c r="LD57" i="1" a="1"/>
  <c r="HM58" i="1" a="1"/>
  <c r="MF57" i="1" a="1"/>
  <c r="BU58" i="1" a="1"/>
  <c r="DS57" i="1" a="1"/>
  <c r="EW58" i="1" a="1"/>
  <c r="JT58" i="1" a="1"/>
  <c r="EZ57" i="1" a="1"/>
  <c r="CX57" i="1" a="1"/>
  <c r="KL58" i="1" a="1"/>
  <c r="DC58" i="1" a="1"/>
  <c r="LT58" i="1" a="1"/>
  <c r="MB58" i="1" a="1"/>
  <c r="FB57" i="1" a="1"/>
  <c r="GD58" i="1" a="1"/>
  <c r="JS58" i="1" a="1"/>
  <c r="KI57" i="1" a="1"/>
  <c r="AS58" i="1" a="1"/>
  <c r="JN57" i="1" a="1"/>
  <c r="MU57" i="1" a="1"/>
  <c r="LZ58" i="1" a="1"/>
  <c r="JF57" i="1" a="1"/>
  <c r="CO57" i="1" a="1"/>
  <c r="AE57" i="1" a="1"/>
  <c r="KW58" i="1" a="1"/>
  <c r="JV57" i="1" a="1"/>
  <c r="LH58" i="1" a="1"/>
  <c r="IN57" i="1" a="1"/>
  <c r="FC58" i="1" a="1"/>
  <c r="EC57" i="1" a="1"/>
  <c r="LP58" i="1" a="1"/>
  <c r="AY58" i="1" a="1"/>
  <c r="JO58" i="1" a="1"/>
  <c r="MI58" i="1" a="1"/>
  <c r="KS57" i="1" a="1"/>
  <c r="GQ58" i="1" a="1"/>
  <c r="ED57" i="1" a="1"/>
  <c r="LU57" i="1" a="1"/>
  <c r="KO57" i="1" a="1"/>
  <c r="JL58" i="1" a="1"/>
  <c r="LN58" i="1" a="1"/>
  <c r="EO57" i="1" a="1"/>
  <c r="NJ58" i="1" a="1"/>
  <c r="DT58" i="1" a="1"/>
  <c r="EE57" i="1" a="1"/>
  <c r="EP57" i="1" a="1"/>
  <c r="GJ58" i="1" a="1"/>
  <c r="LM58" i="1" a="1"/>
  <c r="DA58" i="1" a="1"/>
  <c r="MJ58" i="1" a="1"/>
  <c r="HE57" i="1" a="1"/>
  <c r="GC58" i="1" a="1"/>
  <c r="KZ57" i="1" a="1"/>
  <c r="FP57" i="1" a="1"/>
  <c r="DQ58" i="1" a="1"/>
  <c r="LX58" i="1" a="1"/>
  <c r="EA58" i="1" a="1"/>
  <c r="DX57" i="1" a="1"/>
  <c r="LB57" i="1" a="1"/>
  <c r="MG58" i="1" a="1"/>
  <c r="EQ57" i="1" a="1"/>
  <c r="CW57" i="1" a="1"/>
  <c r="HL58" i="1" a="1"/>
  <c r="JR57" i="1" a="1"/>
  <c r="DW57" i="1" a="1"/>
  <c r="LI57" i="1" a="1"/>
  <c r="DU58" i="1" a="1"/>
  <c r="HF57" i="1" a="1"/>
  <c r="CY58" i="1" a="1"/>
  <c r="KH58" i="1" a="1"/>
  <c r="MP58" i="1" a="1"/>
  <c r="MS57" i="1" a="1"/>
  <c r="HS58" i="1" a="1"/>
  <c r="CI57" i="1" a="1"/>
  <c r="IH57" i="1" a="1"/>
  <c r="KD58" i="1" a="1"/>
  <c r="NC58" i="1" a="1"/>
  <c r="LC57" i="1" a="1"/>
  <c r="KM57" i="1" a="1"/>
  <c r="EB58" i="1" a="1"/>
  <c r="MC58" i="1" a="1"/>
  <c r="ML58" i="1" a="1"/>
  <c r="JE58" i="1" a="1"/>
  <c r="JM57" i="1" a="1"/>
  <c r="BM57" i="1" a="1"/>
  <c r="EN58" i="1" a="1"/>
  <c r="JK58" i="1" a="1"/>
  <c r="IB57" i="1" a="1"/>
  <c r="MO58" i="1" a="1"/>
  <c r="FW58" i="1" a="1"/>
  <c r="JH57" i="1" a="1"/>
  <c r="IV57" i="1" a="1"/>
  <c r="MA57" i="1" a="1"/>
  <c r="GR58" i="1" a="1"/>
  <c r="DJ57" i="1" a="1"/>
  <c r="EM58" i="1" a="1"/>
  <c r="LV57" i="1" a="1"/>
  <c r="IA58" i="1" a="1"/>
  <c r="CZ57" i="1" a="1"/>
  <c r="EG58" i="1" a="1"/>
  <c r="JI58" i="1" a="1"/>
  <c r="ER58" i="1" a="1"/>
  <c r="MR58" i="1" a="1"/>
  <c r="EV58" i="1" a="1"/>
  <c r="KQ57" i="1" a="1"/>
  <c r="FH57" i="1" a="1"/>
  <c r="AD57" i="1" a="1"/>
  <c r="NI58" i="1" a="1"/>
  <c r="FO58" i="1" a="1"/>
  <c r="FI57" i="1" a="1"/>
  <c r="X57" i="1" a="1"/>
  <c r="DD58" i="1" a="1"/>
  <c r="KU57" i="1" a="1"/>
  <c r="ME58" i="1" a="1"/>
  <c r="JC58" i="1" a="1"/>
  <c r="JU58" i="1" a="1"/>
  <c r="LL57" i="1" a="1"/>
  <c r="KB58" i="1" a="1"/>
  <c r="FD57" i="1" a="1"/>
  <c r="LF58" i="1" a="1"/>
  <c r="KC58" i="1" a="1"/>
  <c r="BF58" i="1" a="1"/>
  <c r="AZ57" i="1" a="1"/>
  <c r="LS58" i="1" a="1"/>
  <c r="DK58" i="1" a="1"/>
  <c r="KA57" i="1" a="1"/>
  <c r="GX57" i="1" a="1"/>
  <c r="MQ58" i="1" a="1"/>
  <c r="MM58" i="1" a="1"/>
  <c r="LJ58" i="1" a="1"/>
  <c r="KV58" i="1" a="1"/>
  <c r="LA57" i="1" a="1"/>
  <c r="EF58" i="1" a="1"/>
  <c r="GY58" i="1" a="1"/>
  <c r="CV57" i="1" a="1"/>
  <c r="KY57" i="1" a="1"/>
  <c r="LK58" i="1" a="1"/>
  <c r="KN57" i="1" a="1"/>
  <c r="CH58" i="1" a="1"/>
  <c r="KG57" i="1" a="1"/>
  <c r="KF58" i="1" a="1"/>
  <c r="ND58" i="1" a="1"/>
  <c r="NH58" i="1" a="1"/>
  <c r="NF58" i="1" a="1"/>
  <c r="NG58" i="1" a="1"/>
  <c r="NE58" i="1" a="1"/>
  <c r="DN57" i="1" a="1"/>
  <c r="DL58" i="1" a="1"/>
  <c r="DO57" i="1" a="1"/>
  <c r="DP57" i="1" a="1"/>
  <c r="DM57" i="1" a="1"/>
  <c r="DI57" i="1" a="1"/>
  <c r="DH58" i="1" a="1"/>
  <c r="DG57" i="1" a="1"/>
  <c r="DE57" i="1" a="1"/>
  <c r="DF57" i="1" a="1"/>
  <c r="HT58" i="1" a="1"/>
  <c r="BO58" i="1" a="1"/>
  <c r="CU58" i="1" a="1"/>
  <c r="BZ58" i="1" a="1"/>
  <c r="AF58" i="1" a="1"/>
  <c r="BB57" i="1" a="1"/>
  <c r="AU57" i="1" a="1"/>
  <c r="BK57" i="1" a="1"/>
  <c r="AV57" i="1" a="1"/>
  <c r="BC58" i="1" a="1"/>
  <c r="AB58" i="1" a="1"/>
  <c r="BX58" i="1" a="1"/>
  <c r="U58" i="1" a="1"/>
  <c r="BE57" i="1" a="1"/>
  <c r="CN57" i="1" a="1"/>
  <c r="BQ58" i="1" a="1"/>
  <c r="AI58" i="1" a="1"/>
  <c r="V57" i="1" a="1"/>
  <c r="BI58" i="1" a="1"/>
  <c r="CJ58" i="1" a="1"/>
  <c r="BP57" i="1" a="1"/>
  <c r="Z58" i="1" a="1"/>
  <c r="BD57" i="1" a="1"/>
  <c r="CM57" i="1" a="1"/>
  <c r="CL57" i="1" a="1"/>
  <c r="CD57" i="1" a="1"/>
  <c r="CS58" i="1" a="1"/>
  <c r="BR58" i="1" a="1"/>
  <c r="AT57" i="1" a="1"/>
  <c r="AW57" i="1" a="1"/>
  <c r="CE57" i="1" a="1"/>
  <c r="AO58" i="1" a="1"/>
  <c r="BY57" i="1" a="1"/>
  <c r="CQ57" i="1" a="1"/>
  <c r="BJ58" i="1" a="1"/>
  <c r="BV58" i="1" a="1"/>
  <c r="BH58" i="1" a="1"/>
  <c r="CR57" i="1" a="1"/>
  <c r="DL56" i="1" l="1"/>
  <c r="DP57" i="1"/>
  <c r="DP64" i="1" s="1"/>
  <c r="DH56" i="1"/>
  <c r="AI58" i="1"/>
  <c r="AI65" i="1" s="1"/>
  <c r="AU57" i="1"/>
  <c r="AU64" i="1" s="1"/>
  <c r="BA56" i="1"/>
  <c r="AM56" i="1"/>
  <c r="BW56" i="1"/>
  <c r="BC56" i="1"/>
  <c r="BW59" i="1"/>
  <c r="BW66" i="1" s="1"/>
  <c r="BZ56" i="1"/>
  <c r="BI56" i="1"/>
  <c r="JD56" i="1"/>
  <c r="EG56" i="1"/>
  <c r="MC56" i="1"/>
  <c r="KT59" i="1"/>
  <c r="KT66" i="1" s="1"/>
  <c r="MB56" i="1"/>
  <c r="BR56" i="1"/>
  <c r="NC56" i="1"/>
  <c r="LF56" i="1"/>
  <c r="MP56" i="1"/>
  <c r="JS56" i="1"/>
  <c r="EB56" i="1"/>
  <c r="DU56" i="1"/>
  <c r="FC56" i="1"/>
  <c r="HT56" i="1"/>
  <c r="MN56" i="1"/>
  <c r="EN56" i="1"/>
  <c r="KV56" i="1"/>
  <c r="DY56" i="1"/>
  <c r="FO56" i="1"/>
  <c r="MD56" i="1"/>
  <c r="EK56" i="1"/>
  <c r="BO56" i="1"/>
  <c r="MV59" i="1"/>
  <c r="MV66" i="1" s="1"/>
  <c r="BX56" i="1"/>
  <c r="BQ56" i="1"/>
  <c r="CJ56" i="1"/>
  <c r="KF58" i="1"/>
  <c r="KG57" i="1"/>
  <c r="CH58" i="1"/>
  <c r="CH65" i="1" s="1"/>
  <c r="KN57" i="1"/>
  <c r="LK58" i="1"/>
  <c r="KY57" i="1"/>
  <c r="CV57" i="1"/>
  <c r="GY58" i="1"/>
  <c r="EF58" i="1"/>
  <c r="EF65" i="1" s="1"/>
  <c r="LA57" i="1"/>
  <c r="KV58" i="1"/>
  <c r="LJ58" i="1"/>
  <c r="LJ65" i="1" s="1"/>
  <c r="MM58" i="1"/>
  <c r="MM65" i="1" s="1"/>
  <c r="DF57" i="1"/>
  <c r="MQ58" i="1"/>
  <c r="MQ65" i="1" s="1"/>
  <c r="GX57" i="1"/>
  <c r="KA57" i="1"/>
  <c r="DK58" i="1"/>
  <c r="DH58" i="1"/>
  <c r="LS58" i="1"/>
  <c r="AZ57" i="1"/>
  <c r="DO57" i="1"/>
  <c r="BF58" i="1"/>
  <c r="KC58" i="1"/>
  <c r="LF58" i="1"/>
  <c r="FD57" i="1"/>
  <c r="KB58" i="1"/>
  <c r="LL57" i="1"/>
  <c r="JU58" i="1"/>
  <c r="JU65" i="1" s="1"/>
  <c r="JC58" i="1"/>
  <c r="JC65" i="1" s="1"/>
  <c r="ME58" i="1"/>
  <c r="ME65" i="1" s="1"/>
  <c r="KU57" i="1"/>
  <c r="DD58" i="1"/>
  <c r="DD65" i="1" s="1"/>
  <c r="X57" i="1"/>
  <c r="FI57" i="1"/>
  <c r="FO58" i="1"/>
  <c r="NI58" i="1"/>
  <c r="NI65" i="1" s="1"/>
  <c r="AD57" i="1"/>
  <c r="FH57" i="1"/>
  <c r="KQ57" i="1"/>
  <c r="EV58" i="1"/>
  <c r="EV65" i="1" s="1"/>
  <c r="MR58" i="1"/>
  <c r="MR65" i="1" s="1"/>
  <c r="ER58" i="1"/>
  <c r="ER65" i="1" s="1"/>
  <c r="JI58" i="1"/>
  <c r="EG58" i="1"/>
  <c r="CZ57" i="1"/>
  <c r="IA58" i="1"/>
  <c r="LV57" i="1"/>
  <c r="EM58" i="1"/>
  <c r="EM65" i="1" s="1"/>
  <c r="DJ57" i="1"/>
  <c r="GR58" i="1"/>
  <c r="GR65" i="1" s="1"/>
  <c r="MA57" i="1"/>
  <c r="IV57" i="1"/>
  <c r="JH57" i="1"/>
  <c r="FW58" i="1"/>
  <c r="MO58" i="1"/>
  <c r="MO65" i="1" s="1"/>
  <c r="IB57" i="1"/>
  <c r="JK58" i="1"/>
  <c r="EN58" i="1"/>
  <c r="BM57" i="1"/>
  <c r="DI57" i="1"/>
  <c r="JM57" i="1"/>
  <c r="JE58" i="1"/>
  <c r="JE65" i="1" s="1"/>
  <c r="ML58" i="1"/>
  <c r="ML65" i="1" s="1"/>
  <c r="MC58" i="1"/>
  <c r="EB58" i="1"/>
  <c r="KM57" i="1"/>
  <c r="LC57" i="1"/>
  <c r="NC58" i="1"/>
  <c r="KD58" i="1"/>
  <c r="DE57" i="1"/>
  <c r="IH57" i="1"/>
  <c r="DL58" i="1"/>
  <c r="CI57" i="1"/>
  <c r="HS58" i="1"/>
  <c r="MS57" i="1"/>
  <c r="MP58" i="1"/>
  <c r="KH58" i="1"/>
  <c r="CY58" i="1"/>
  <c r="CY65" i="1" s="1"/>
  <c r="HF57" i="1"/>
  <c r="DU58" i="1"/>
  <c r="LI57" i="1"/>
  <c r="DW57" i="1"/>
  <c r="JR57" i="1"/>
  <c r="HL58" i="1"/>
  <c r="CW57" i="1"/>
  <c r="EQ57" i="1"/>
  <c r="MG58" i="1"/>
  <c r="MG65" i="1" s="1"/>
  <c r="LB57" i="1"/>
  <c r="DX57" i="1"/>
  <c r="EA58" i="1"/>
  <c r="EA65" i="1" s="1"/>
  <c r="LX58" i="1"/>
  <c r="LX65" i="1" s="1"/>
  <c r="DQ58" i="1"/>
  <c r="FP57" i="1"/>
  <c r="KZ57" i="1"/>
  <c r="GC58" i="1"/>
  <c r="GC65" i="1" s="1"/>
  <c r="HE57" i="1"/>
  <c r="MJ58" i="1"/>
  <c r="DA58" i="1"/>
  <c r="LM58" i="1"/>
  <c r="GJ58" i="1"/>
  <c r="EP57" i="1"/>
  <c r="EE57" i="1"/>
  <c r="DT58" i="1"/>
  <c r="NJ58" i="1"/>
  <c r="EO57" i="1"/>
  <c r="LN58" i="1"/>
  <c r="JL58" i="1"/>
  <c r="JL65" i="1" s="1"/>
  <c r="KO57" i="1"/>
  <c r="LU57" i="1"/>
  <c r="ED57" i="1"/>
  <c r="GQ58" i="1"/>
  <c r="GQ65" i="1" s="1"/>
  <c r="DN57" i="1"/>
  <c r="KS57" i="1"/>
  <c r="MI58" i="1"/>
  <c r="JO58" i="1"/>
  <c r="JO65" i="1" s="1"/>
  <c r="AY58" i="1"/>
  <c r="LP58" i="1"/>
  <c r="EC57" i="1"/>
  <c r="FC58" i="1"/>
  <c r="IN57" i="1"/>
  <c r="LH58" i="1"/>
  <c r="JV57" i="1"/>
  <c r="KW58" i="1"/>
  <c r="KW65" i="1" s="1"/>
  <c r="AE57" i="1"/>
  <c r="CO57" i="1"/>
  <c r="JF57" i="1"/>
  <c r="LZ58" i="1"/>
  <c r="MU57" i="1"/>
  <c r="JN57" i="1"/>
  <c r="AS58" i="1"/>
  <c r="KI57" i="1"/>
  <c r="JS58" i="1"/>
  <c r="GD58" i="1"/>
  <c r="DM57" i="1"/>
  <c r="FB57" i="1"/>
  <c r="MB58" i="1"/>
  <c r="LT58" i="1"/>
  <c r="DC58" i="1"/>
  <c r="KL58" i="1"/>
  <c r="KL65" i="1" s="1"/>
  <c r="CX57" i="1"/>
  <c r="EZ57" i="1"/>
  <c r="JT58" i="1"/>
  <c r="EW58" i="1"/>
  <c r="EW65" i="1" s="1"/>
  <c r="DS57" i="1"/>
  <c r="BU58" i="1"/>
  <c r="MF57" i="1"/>
  <c r="HM58" i="1"/>
  <c r="HM65" i="1" s="1"/>
  <c r="LD57" i="1"/>
  <c r="HT58" i="1"/>
  <c r="IO57" i="1"/>
  <c r="FV57" i="1"/>
  <c r="DG57" i="1"/>
  <c r="EX58" i="1"/>
  <c r="LO57" i="1"/>
  <c r="LR57" i="1"/>
  <c r="EU58" i="1"/>
  <c r="EU65" i="1" s="1"/>
  <c r="JJ58" i="1"/>
  <c r="W57" i="1"/>
  <c r="JY57" i="1"/>
  <c r="BG58" i="1"/>
  <c r="BG65" i="1" s="1"/>
  <c r="DY58" i="1"/>
  <c r="LW58" i="1"/>
  <c r="LW65" i="1" s="1"/>
  <c r="MD58" i="1"/>
  <c r="FA58" i="1"/>
  <c r="JZ58" i="1"/>
  <c r="GK57" i="1"/>
  <c r="KJ57" i="1"/>
  <c r="NB58" i="1"/>
  <c r="KK57" i="1"/>
  <c r="JG57" i="1"/>
  <c r="EH58" i="1"/>
  <c r="EH65" i="1" s="1"/>
  <c r="AK57" i="1"/>
  <c r="HZ57" i="1"/>
  <c r="LQ58" i="1"/>
  <c r="LQ65" i="1" s="1"/>
  <c r="JD58" i="1"/>
  <c r="MN58" i="1"/>
  <c r="JP57" i="1"/>
  <c r="LG58" i="1"/>
  <c r="LG65" i="1" s="1"/>
  <c r="BT57" i="1"/>
  <c r="KP57" i="1"/>
  <c r="EY57" i="1"/>
  <c r="GV58" i="1"/>
  <c r="EK58" i="1"/>
  <c r="EM64" i="1"/>
  <c r="EM59" i="1"/>
  <c r="EM66" i="1" s="1"/>
  <c r="EM56" i="1"/>
  <c r="BL59" i="1"/>
  <c r="BL66" i="1" s="1"/>
  <c r="BL65" i="1"/>
  <c r="BA65" i="1"/>
  <c r="BA59" i="1"/>
  <c r="BA66" i="1" s="1"/>
  <c r="LE65" i="1"/>
  <c r="LE59" i="1"/>
  <c r="LE66" i="1" s="1"/>
  <c r="MQ64" i="1"/>
  <c r="MQ56" i="1"/>
  <c r="ME64" i="1"/>
  <c r="ME56" i="1"/>
  <c r="CB64" i="1"/>
  <c r="CB56" i="1"/>
  <c r="CB59" i="1"/>
  <c r="CB66" i="1" s="1"/>
  <c r="LJ64" i="1"/>
  <c r="LJ56" i="1"/>
  <c r="JU64" i="1"/>
  <c r="JU59" i="1"/>
  <c r="JU66" i="1" s="1"/>
  <c r="AX64" i="1"/>
  <c r="AX56" i="1"/>
  <c r="AX59" i="1"/>
  <c r="AX66" i="1" s="1"/>
  <c r="JU56" i="1"/>
  <c r="BG64" i="1"/>
  <c r="BG59" i="1"/>
  <c r="BG66" i="1" s="1"/>
  <c r="BG56" i="1"/>
  <c r="KW64" i="1"/>
  <c r="KW59" i="1"/>
  <c r="KW66" i="1" s="1"/>
  <c r="KW56" i="1"/>
  <c r="DD64" i="1"/>
  <c r="DD56" i="1"/>
  <c r="DD59" i="1"/>
  <c r="DD66" i="1" s="1"/>
  <c r="ES65" i="1"/>
  <c r="ES59" i="1"/>
  <c r="ES66" i="1" s="1"/>
  <c r="KH64" i="1"/>
  <c r="KH56" i="1"/>
  <c r="GR64" i="1"/>
  <c r="GR56" i="1"/>
  <c r="BV64" i="1"/>
  <c r="BV56" i="1"/>
  <c r="MT65" i="1"/>
  <c r="MT59" i="1"/>
  <c r="MT66" i="1" s="1"/>
  <c r="JL64" i="1"/>
  <c r="JL59" i="1"/>
  <c r="JL66" i="1" s="1"/>
  <c r="JL56" i="1"/>
  <c r="EJ64" i="1"/>
  <c r="EJ59" i="1"/>
  <c r="EJ66" i="1" s="1"/>
  <c r="EJ56" i="1"/>
  <c r="BP39" i="6"/>
  <c r="ML64" i="1"/>
  <c r="EV64" i="1"/>
  <c r="EV59" i="1"/>
  <c r="EV66" i="1" s="1"/>
  <c r="LY65" i="1"/>
  <c r="LY59" i="1"/>
  <c r="LY66" i="1" s="1"/>
  <c r="AU65" i="1"/>
  <c r="NI64" i="1"/>
  <c r="NI56" i="1"/>
  <c r="MK64" i="1"/>
  <c r="MK59" i="1"/>
  <c r="MK66" i="1" s="1"/>
  <c r="IU65" i="1"/>
  <c r="IU59" i="1"/>
  <c r="IU66" i="1" s="1"/>
  <c r="ER64" i="1"/>
  <c r="ER59" i="1"/>
  <c r="ER66" i="1" s="1"/>
  <c r="ET59" i="1"/>
  <c r="ET66" i="1" s="1"/>
  <c r="EL64" i="1"/>
  <c r="EL59" i="1"/>
  <c r="EL66" i="1" s="1"/>
  <c r="EL56" i="1"/>
  <c r="AL65" i="1"/>
  <c r="AL59" i="1"/>
  <c r="AL66" i="1" s="1"/>
  <c r="CP64" i="1"/>
  <c r="CP56" i="1"/>
  <c r="KB64" i="1"/>
  <c r="KB56" i="1"/>
  <c r="JK56" i="1"/>
  <c r="KC64" i="1"/>
  <c r="KC56" i="1"/>
  <c r="JC64" i="1"/>
  <c r="EU64" i="1"/>
  <c r="EU59" i="1"/>
  <c r="EU66" i="1" s="1"/>
  <c r="HM64" i="1"/>
  <c r="HM56" i="1"/>
  <c r="LS64" i="1"/>
  <c r="LS56" i="1"/>
  <c r="HL64" i="1"/>
  <c r="HL56" i="1"/>
  <c r="MH64" i="1"/>
  <c r="MH56" i="1"/>
  <c r="DZ64" i="1"/>
  <c r="DZ59" i="1"/>
  <c r="DZ66" i="1" s="1"/>
  <c r="DZ56" i="1"/>
  <c r="EF64" i="1"/>
  <c r="EF59" i="1"/>
  <c r="EF66" i="1" s="1"/>
  <c r="JO64" i="1"/>
  <c r="JO59" i="1"/>
  <c r="JO66" i="1" s="1"/>
  <c r="MM64" i="1"/>
  <c r="MM59" i="1"/>
  <c r="MM66" i="1" s="1"/>
  <c r="EA64" i="1"/>
  <c r="EA59" i="1"/>
  <c r="EA66" i="1" s="1"/>
  <c r="JE64" i="1"/>
  <c r="JE56" i="1"/>
  <c r="EH64" i="1"/>
  <c r="EH59" i="1"/>
  <c r="EH66" i="1" s="1"/>
  <c r="EH56" i="1"/>
  <c r="GQ64" i="1"/>
  <c r="GQ56" i="1"/>
  <c r="CY64" i="1"/>
  <c r="GH64" i="1"/>
  <c r="GH56" i="1"/>
  <c r="GH59" i="1"/>
  <c r="GH66" i="1" s="1"/>
  <c r="GP64" i="1"/>
  <c r="GP59" i="1"/>
  <c r="GP66" i="1" s="1"/>
  <c r="GP56" i="1"/>
  <c r="FM64" i="1"/>
  <c r="FM59" i="1"/>
  <c r="FM66" i="1" s="1"/>
  <c r="FM56" i="1"/>
  <c r="FR64" i="1"/>
  <c r="FR56" i="1"/>
  <c r="FR59" i="1"/>
  <c r="FR66" i="1" s="1"/>
  <c r="GU64" i="1"/>
  <c r="GU56" i="1"/>
  <c r="GU59" i="1"/>
  <c r="GU66" i="1" s="1"/>
  <c r="GA64" i="1"/>
  <c r="GA59" i="1"/>
  <c r="GA66" i="1" s="1"/>
  <c r="GA56" i="1"/>
  <c r="HI64" i="1"/>
  <c r="HI56" i="1"/>
  <c r="HI59" i="1"/>
  <c r="HI66" i="1" s="1"/>
  <c r="FF64" i="1"/>
  <c r="FF59" i="1"/>
  <c r="FF66" i="1" s="1"/>
  <c r="FF56" i="1"/>
  <c r="HY64" i="1"/>
  <c r="HY56" i="1"/>
  <c r="HY59" i="1"/>
  <c r="HY66" i="1" s="1"/>
  <c r="EV56" i="1"/>
  <c r="LQ56" i="1"/>
  <c r="LW56" i="1"/>
  <c r="ER56" i="1"/>
  <c r="CY56" i="1"/>
  <c r="MR64" i="1"/>
  <c r="MR59" i="1"/>
  <c r="MR66" i="1" s="1"/>
  <c r="MG64" i="1"/>
  <c r="MI64" i="1"/>
  <c r="MI56" i="1"/>
  <c r="KL64" i="1"/>
  <c r="KL59" i="1"/>
  <c r="KL66" i="1" s="1"/>
  <c r="MO64" i="1"/>
  <c r="MO56" i="1"/>
  <c r="GV64" i="1"/>
  <c r="GV56" i="1"/>
  <c r="DP59" i="1"/>
  <c r="DP66" i="1" s="1"/>
  <c r="NI59" i="1"/>
  <c r="NI66" i="1" s="1"/>
  <c r="LW59" i="1"/>
  <c r="LW66" i="1" s="1"/>
  <c r="CS64" i="1"/>
  <c r="CS56" i="1"/>
  <c r="CH64" i="1"/>
  <c r="CH59" i="1"/>
  <c r="CH66" i="1" s="1"/>
  <c r="CH56" i="1"/>
  <c r="LG64" i="1"/>
  <c r="LG59" i="1"/>
  <c r="LG66" i="1" s="1"/>
  <c r="FW64" i="1"/>
  <c r="FW56" i="1"/>
  <c r="GC64" i="1"/>
  <c r="GC56" i="1"/>
  <c r="DV64" i="1"/>
  <c r="DV56" i="1"/>
  <c r="LX64" i="1"/>
  <c r="EW64" i="1"/>
  <c r="EW56" i="1"/>
  <c r="KR64" i="1"/>
  <c r="KR59" i="1"/>
  <c r="KR66" i="1" s="1"/>
  <c r="DQ64" i="1"/>
  <c r="DQ56" i="1"/>
  <c r="HB64" i="1"/>
  <c r="HB56" i="1"/>
  <c r="HB59" i="1"/>
  <c r="HB66" i="1" s="1"/>
  <c r="HW64" i="1"/>
  <c r="HW56" i="1"/>
  <c r="HW59" i="1"/>
  <c r="HW66" i="1" s="1"/>
  <c r="HG64" i="1"/>
  <c r="HG56" i="1"/>
  <c r="HG59" i="1"/>
  <c r="HG66" i="1" s="1"/>
  <c r="IJ64" i="1"/>
  <c r="IJ56" i="1"/>
  <c r="IJ59" i="1"/>
  <c r="IJ66" i="1" s="1"/>
  <c r="FT64" i="1"/>
  <c r="FT59" i="1"/>
  <c r="FT66" i="1" s="1"/>
  <c r="FT56" i="1"/>
  <c r="FU64" i="1"/>
  <c r="FU59" i="1"/>
  <c r="FU66" i="1" s="1"/>
  <c r="FU56" i="1"/>
  <c r="DR64" i="1"/>
  <c r="DR59" i="1"/>
  <c r="DR66" i="1" s="1"/>
  <c r="DR56" i="1"/>
  <c r="FX64" i="1"/>
  <c r="FX56" i="1"/>
  <c r="FX59" i="1"/>
  <c r="FX66" i="1" s="1"/>
  <c r="AR65" i="1"/>
  <c r="AR59" i="1"/>
  <c r="AR66" i="1" s="1"/>
  <c r="HN64" i="1"/>
  <c r="HN59" i="1"/>
  <c r="HN66" i="1" s="1"/>
  <c r="HN56" i="1"/>
  <c r="IM64" i="1"/>
  <c r="IM59" i="1"/>
  <c r="IM66" i="1" s="1"/>
  <c r="IM56" i="1"/>
  <c r="GE64" i="1"/>
  <c r="GE59" i="1"/>
  <c r="GE66" i="1" s="1"/>
  <c r="GE56" i="1"/>
  <c r="FG64" i="1"/>
  <c r="FG59" i="1"/>
  <c r="FG66" i="1" s="1"/>
  <c r="FG56" i="1"/>
  <c r="GN64" i="1"/>
  <c r="GN59" i="1"/>
  <c r="GN66" i="1" s="1"/>
  <c r="GN56" i="1"/>
  <c r="IF65" i="1"/>
  <c r="IF59" i="1"/>
  <c r="IF66" i="1" s="1"/>
  <c r="GL64" i="1"/>
  <c r="GL56" i="1"/>
  <c r="GL59" i="1"/>
  <c r="GL66" i="1" s="1"/>
  <c r="II64" i="1"/>
  <c r="II59" i="1"/>
  <c r="II66" i="1" s="1"/>
  <c r="II56" i="1"/>
  <c r="HU64" i="1"/>
  <c r="HU59" i="1"/>
  <c r="HU66" i="1" s="1"/>
  <c r="HU56" i="1"/>
  <c r="HX64" i="1"/>
  <c r="HX59" i="1"/>
  <c r="HX66" i="1" s="1"/>
  <c r="HX56" i="1"/>
  <c r="CA64" i="1"/>
  <c r="CA59" i="1"/>
  <c r="CA66" i="1" s="1"/>
  <c r="CA56" i="1"/>
  <c r="GG64" i="1"/>
  <c r="GG59" i="1"/>
  <c r="GG66" i="1" s="1"/>
  <c r="GG56" i="1"/>
  <c r="FK64" i="1"/>
  <c r="FK59" i="1"/>
  <c r="FK66" i="1" s="1"/>
  <c r="FK56" i="1"/>
  <c r="IT64" i="1"/>
  <c r="IT56" i="1"/>
  <c r="IT59" i="1"/>
  <c r="IT66" i="1" s="1"/>
  <c r="HK64" i="1"/>
  <c r="HK56" i="1"/>
  <c r="HK59" i="1"/>
  <c r="HK66" i="1" s="1"/>
  <c r="FE64" i="1"/>
  <c r="FE59" i="1"/>
  <c r="FE66" i="1" s="1"/>
  <c r="FE56" i="1"/>
  <c r="HA65" i="1"/>
  <c r="HA59" i="1"/>
  <c r="HA66" i="1" s="1"/>
  <c r="GS64" i="1"/>
  <c r="GS56" i="1"/>
  <c r="GS59" i="1"/>
  <c r="GS66" i="1" s="1"/>
  <c r="GZ64" i="1"/>
  <c r="GZ56" i="1"/>
  <c r="GZ59" i="1"/>
  <c r="GZ66" i="1" s="1"/>
  <c r="GI64" i="1"/>
  <c r="GI56" i="1"/>
  <c r="GI59" i="1"/>
  <c r="GI66" i="1" s="1"/>
  <c r="HO64" i="1"/>
  <c r="HO56" i="1"/>
  <c r="HO59" i="1"/>
  <c r="HO66" i="1" s="1"/>
  <c r="IY64" i="1"/>
  <c r="IY59" i="1"/>
  <c r="IY66" i="1" s="1"/>
  <c r="IY56" i="1"/>
  <c r="FL64" i="1"/>
  <c r="FL59" i="1"/>
  <c r="FL66" i="1" s="1"/>
  <c r="FL56" i="1"/>
  <c r="HC64" i="1"/>
  <c r="HC56" i="1"/>
  <c r="HC59" i="1"/>
  <c r="HC66" i="1" s="1"/>
  <c r="FY64" i="1"/>
  <c r="FY59" i="1"/>
  <c r="FY66" i="1" s="1"/>
  <c r="FY56" i="1"/>
  <c r="HV64" i="1"/>
  <c r="HV56" i="1"/>
  <c r="HV59" i="1"/>
  <c r="HV66" i="1" s="1"/>
  <c r="HD64" i="1"/>
  <c r="HD59" i="1"/>
  <c r="HD66" i="1" s="1"/>
  <c r="HD56" i="1"/>
  <c r="GW59" i="1"/>
  <c r="GW66" i="1" s="1"/>
  <c r="IX64" i="1"/>
  <c r="IX56" i="1"/>
  <c r="IX59" i="1"/>
  <c r="IX66" i="1" s="1"/>
  <c r="IC64" i="1"/>
  <c r="IC56" i="1"/>
  <c r="IC59" i="1"/>
  <c r="IC66" i="1" s="1"/>
  <c r="FJ64" i="1"/>
  <c r="FJ56" i="1"/>
  <c r="FJ59" i="1"/>
  <c r="FJ66" i="1" s="1"/>
  <c r="FS64" i="1"/>
  <c r="FS56" i="1"/>
  <c r="FS59" i="1"/>
  <c r="FS66" i="1" s="1"/>
  <c r="FQ64" i="1"/>
  <c r="FQ59" i="1"/>
  <c r="FQ66" i="1" s="1"/>
  <c r="FQ56" i="1"/>
  <c r="HQ64" i="1"/>
  <c r="HQ56" i="1"/>
  <c r="HQ59" i="1"/>
  <c r="HQ66" i="1" s="1"/>
  <c r="HR64" i="1"/>
  <c r="HR56" i="1"/>
  <c r="HR59" i="1"/>
  <c r="HR66" i="1" s="1"/>
  <c r="HJ64" i="1"/>
  <c r="HJ56" i="1"/>
  <c r="HJ59" i="1"/>
  <c r="HJ66" i="1" s="1"/>
  <c r="DB64" i="1"/>
  <c r="DB56" i="1"/>
  <c r="DB59" i="1"/>
  <c r="DB66" i="1" s="1"/>
  <c r="IP64" i="1"/>
  <c r="IP59" i="1"/>
  <c r="IP66" i="1" s="1"/>
  <c r="IP56" i="1"/>
  <c r="BN64" i="1"/>
  <c r="BN59" i="1"/>
  <c r="BN66" i="1" s="1"/>
  <c r="BN56" i="1"/>
  <c r="GF64" i="1"/>
  <c r="GF56" i="1"/>
  <c r="GF59" i="1"/>
  <c r="GF66" i="1" s="1"/>
  <c r="GM64" i="1"/>
  <c r="GM56" i="1"/>
  <c r="GM59" i="1"/>
  <c r="GM66" i="1" s="1"/>
  <c r="JW65" i="1"/>
  <c r="JW59" i="1"/>
  <c r="JW66" i="1" s="1"/>
  <c r="GT65" i="1"/>
  <c r="GT59" i="1"/>
  <c r="GT66" i="1" s="1"/>
  <c r="GB64" i="1"/>
  <c r="GB56" i="1"/>
  <c r="GB59" i="1"/>
  <c r="GB66" i="1" s="1"/>
  <c r="HH64" i="1"/>
  <c r="HH56" i="1"/>
  <c r="HH59" i="1"/>
  <c r="HH66" i="1" s="1"/>
  <c r="IR64" i="1"/>
  <c r="IR56" i="1"/>
  <c r="IR59" i="1"/>
  <c r="IR66" i="1" s="1"/>
  <c r="GO64" i="1"/>
  <c r="GO59" i="1"/>
  <c r="GO66" i="1" s="1"/>
  <c r="GO56" i="1"/>
  <c r="JQ64" i="1"/>
  <c r="JQ59" i="1"/>
  <c r="JQ66" i="1" s="1"/>
  <c r="JQ56" i="1"/>
  <c r="AI5" i="6"/>
  <c r="AI39" i="6" s="1"/>
  <c r="BP40" i="6"/>
  <c r="BK57" i="1"/>
  <c r="AV57" i="1"/>
  <c r="BX58" i="1"/>
  <c r="BX65" i="1" s="1"/>
  <c r="BJ58" i="1"/>
  <c r="CN57" i="1"/>
  <c r="BH58" i="1"/>
  <c r="BH65" i="1" s="1"/>
  <c r="BE57" i="1"/>
  <c r="BI58" i="1"/>
  <c r="CU58" i="1"/>
  <c r="CU65" i="1" s="1"/>
  <c r="CR57" i="1"/>
  <c r="BB57" i="1"/>
  <c r="AW57" i="1"/>
  <c r="CM57" i="1"/>
  <c r="BV58" i="1"/>
  <c r="CD57" i="1"/>
  <c r="BC58" i="1"/>
  <c r="CL57" i="1"/>
  <c r="BO58" i="1"/>
  <c r="BQ58" i="1"/>
  <c r="CJ58" i="1"/>
  <c r="BR58" i="1"/>
  <c r="BD57" i="1"/>
  <c r="CS58" i="1"/>
  <c r="BZ58" i="1"/>
  <c r="CQ57" i="1"/>
  <c r="AT57" i="1"/>
  <c r="BY57" i="1"/>
  <c r="CE57" i="1"/>
  <c r="BP57" i="1"/>
  <c r="CC56" i="1"/>
  <c r="CU56" i="1"/>
  <c r="CC59" i="1"/>
  <c r="CC66" i="1" s="1"/>
  <c r="BJ56" i="1"/>
  <c r="CF64" i="1"/>
  <c r="CF59" i="1"/>
  <c r="CF66" i="1" s="1"/>
  <c r="CF56" i="1"/>
  <c r="BH56" i="1"/>
  <c r="BS64" i="1"/>
  <c r="BS56" i="1"/>
  <c r="BS59" i="1"/>
  <c r="BS66" i="1" s="1"/>
  <c r="CK65" i="1"/>
  <c r="CK59" i="1"/>
  <c r="CK66" i="1" s="1"/>
  <c r="BL56" i="1"/>
  <c r="CG65" i="1"/>
  <c r="CG59" i="1"/>
  <c r="CG66" i="1" s="1"/>
  <c r="MW56" i="1"/>
  <c r="AP59" i="1"/>
  <c r="AP66" i="1" s="1"/>
  <c r="S56" i="1"/>
  <c r="NH58" i="1"/>
  <c r="NH65" i="1" s="1"/>
  <c r="ND58" i="1"/>
  <c r="ND65" i="1" s="1"/>
  <c r="V57" i="1"/>
  <c r="V64" i="1" s="1"/>
  <c r="NG58" i="1"/>
  <c r="NG65" i="1" s="1"/>
  <c r="NF58" i="1"/>
  <c r="NF65" i="1" s="1"/>
  <c r="AF58" i="1"/>
  <c r="AF65" i="1" s="1"/>
  <c r="AB58" i="1"/>
  <c r="AB65" i="1" s="1"/>
  <c r="U58" i="1"/>
  <c r="U65" i="1" s="1"/>
  <c r="Z58" i="1"/>
  <c r="Z65" i="1" s="1"/>
  <c r="AO58" i="1"/>
  <c r="AO65" i="1" s="1"/>
  <c r="NE58" i="1"/>
  <c r="NE65" i="1" s="1"/>
  <c r="AJ59" i="1"/>
  <c r="AJ66" i="1" s="1"/>
  <c r="AP56" i="1"/>
  <c r="AO56" i="1"/>
  <c r="MZ56" i="1"/>
  <c r="AH56" i="1"/>
  <c r="AH59" i="1"/>
  <c r="AH66" i="1" s="1"/>
  <c r="AA59" i="1"/>
  <c r="AA66" i="1" s="1"/>
  <c r="MX56" i="1"/>
  <c r="MZ59" i="1"/>
  <c r="MZ66" i="1" s="1"/>
  <c r="AN59" i="1"/>
  <c r="AN66" i="1" s="1"/>
  <c r="AA56" i="1"/>
  <c r="T59" i="1"/>
  <c r="T66" i="1" s="1"/>
  <c r="Z56" i="1"/>
  <c r="AF56" i="1"/>
  <c r="MX59" i="1"/>
  <c r="MX66" i="1" s="1"/>
  <c r="AB56" i="1"/>
  <c r="AI56" i="1"/>
  <c r="NA59" i="1"/>
  <c r="NA66" i="1" s="1"/>
  <c r="AN56" i="1"/>
  <c r="S59" i="1"/>
  <c r="S66" i="1" s="1"/>
  <c r="AJ56" i="1"/>
  <c r="R56" i="1"/>
  <c r="AC56" i="1"/>
  <c r="T56" i="1"/>
  <c r="R59" i="1"/>
  <c r="R66" i="1" s="1"/>
  <c r="MY59" i="1"/>
  <c r="MY66" i="1" s="1"/>
  <c r="MW59" i="1"/>
  <c r="MW66" i="1" s="1"/>
  <c r="NH56" i="1"/>
  <c r="AM59" i="1"/>
  <c r="AM66" i="1" s="1"/>
  <c r="AC59" i="1"/>
  <c r="AC66" i="1" s="1"/>
  <c r="NF56" i="1"/>
  <c r="MY56" i="1"/>
  <c r="NA56" i="1"/>
  <c r="U56" i="1"/>
  <c r="ND56" i="1"/>
  <c r="AI59" i="1"/>
  <c r="AI66" i="1" s="1"/>
  <c r="Y56" i="1"/>
  <c r="AG56" i="1"/>
  <c r="NE56" i="1"/>
  <c r="NG56" i="1"/>
  <c r="AQ56" i="1"/>
  <c r="Y59" i="1"/>
  <c r="Y66" i="1" s="1"/>
  <c r="AG59" i="1"/>
  <c r="AG66" i="1" s="1"/>
  <c r="AQ59" i="1"/>
  <c r="AQ66" i="1" s="1"/>
  <c r="BC54" i="1"/>
  <c r="BJ30" i="18"/>
  <c r="BK11" i="18"/>
  <c r="BJ9" i="18"/>
  <c r="BJ10" i="18"/>
  <c r="BD11" i="1"/>
  <c r="BC68" i="1"/>
  <c r="BC9" i="1"/>
  <c r="BC10" i="1"/>
  <c r="E2" i="12"/>
  <c r="D2" i="12"/>
  <c r="F2" i="12"/>
  <c r="G2" i="12"/>
  <c r="DP56" i="1" l="1"/>
  <c r="AU59" i="1"/>
  <c r="AU66" i="1" s="1"/>
  <c r="AU56" i="1"/>
  <c r="LJ59" i="1"/>
  <c r="LJ66" i="1" s="1"/>
  <c r="HM59" i="1"/>
  <c r="HM66" i="1" s="1"/>
  <c r="ML59" i="1"/>
  <c r="ML66" i="1" s="1"/>
  <c r="ME59" i="1"/>
  <c r="ME66" i="1" s="1"/>
  <c r="LX59" i="1"/>
  <c r="LX66" i="1" s="1"/>
  <c r="BH59" i="1"/>
  <c r="BH66" i="1" s="1"/>
  <c r="FC65" i="1"/>
  <c r="FC59" i="1"/>
  <c r="FC66" i="1" s="1"/>
  <c r="HF64" i="1"/>
  <c r="HF59" i="1"/>
  <c r="HF66" i="1" s="1"/>
  <c r="HF56" i="1"/>
  <c r="KC65" i="1"/>
  <c r="KC59" i="1"/>
  <c r="KC66" i="1" s="1"/>
  <c r="IO64" i="1"/>
  <c r="IO56" i="1"/>
  <c r="IO59" i="1"/>
  <c r="IO66" i="1" s="1"/>
  <c r="EE64" i="1"/>
  <c r="EE59" i="1"/>
  <c r="EE66" i="1" s="1"/>
  <c r="EE56" i="1"/>
  <c r="DE64" i="1"/>
  <c r="DE56" i="1"/>
  <c r="DE59" i="1"/>
  <c r="DE66" i="1" s="1"/>
  <c r="CV64" i="1"/>
  <c r="CV59" i="1"/>
  <c r="CV66" i="1" s="1"/>
  <c r="CV56" i="1"/>
  <c r="KJ64" i="1"/>
  <c r="KJ56" i="1"/>
  <c r="KJ59" i="1"/>
  <c r="KJ66" i="1" s="1"/>
  <c r="FB64" i="1"/>
  <c r="FB59" i="1"/>
  <c r="FB66" i="1" s="1"/>
  <c r="FB56" i="1"/>
  <c r="DT65" i="1"/>
  <c r="DT59" i="1"/>
  <c r="DT66" i="1" s="1"/>
  <c r="GY65" i="1"/>
  <c r="GY59" i="1"/>
  <c r="GY66" i="1" s="1"/>
  <c r="GV65" i="1"/>
  <c r="GV59" i="1"/>
  <c r="GV66" i="1" s="1"/>
  <c r="JF64" i="1"/>
  <c r="JF59" i="1"/>
  <c r="JF66" i="1" s="1"/>
  <c r="JF56" i="1"/>
  <c r="EY64" i="1"/>
  <c r="EY59" i="1"/>
  <c r="EY66" i="1" s="1"/>
  <c r="EY56" i="1"/>
  <c r="HZ64" i="1"/>
  <c r="HZ59" i="1"/>
  <c r="HZ66" i="1" s="1"/>
  <c r="HZ56" i="1"/>
  <c r="JZ65" i="1"/>
  <c r="JZ59" i="1"/>
  <c r="JZ66" i="1" s="1"/>
  <c r="JJ65" i="1"/>
  <c r="JJ59" i="1"/>
  <c r="JJ66" i="1" s="1"/>
  <c r="HT65" i="1"/>
  <c r="HT59" i="1"/>
  <c r="HT66" i="1" s="1"/>
  <c r="EZ64" i="1"/>
  <c r="EZ59" i="1"/>
  <c r="EZ66" i="1" s="1"/>
  <c r="EZ56" i="1"/>
  <c r="GD65" i="1"/>
  <c r="GD59" i="1"/>
  <c r="GD66" i="1" s="1"/>
  <c r="CO64" i="1"/>
  <c r="CO56" i="1"/>
  <c r="CO59" i="1"/>
  <c r="CO66" i="1" s="1"/>
  <c r="LP65" i="1"/>
  <c r="LP59" i="1"/>
  <c r="LP66" i="1" s="1"/>
  <c r="LU64" i="1"/>
  <c r="LU59" i="1"/>
  <c r="LU66" i="1" s="1"/>
  <c r="LU56" i="1"/>
  <c r="EP64" i="1"/>
  <c r="EP59" i="1"/>
  <c r="EP66" i="1" s="1"/>
  <c r="EP56" i="1"/>
  <c r="FP64" i="1"/>
  <c r="FP59" i="1"/>
  <c r="FP66" i="1" s="1"/>
  <c r="FP56" i="1"/>
  <c r="CW64" i="1"/>
  <c r="CW59" i="1"/>
  <c r="CW66" i="1" s="1"/>
  <c r="CW56" i="1"/>
  <c r="KH65" i="1"/>
  <c r="KH59" i="1"/>
  <c r="KH66" i="1" s="1"/>
  <c r="KD65" i="1"/>
  <c r="KD59" i="1"/>
  <c r="KD66" i="1" s="1"/>
  <c r="JM64" i="1"/>
  <c r="JM59" i="1"/>
  <c r="JM66" i="1" s="1"/>
  <c r="JM56" i="1"/>
  <c r="JH64" i="1"/>
  <c r="JH59" i="1"/>
  <c r="JH66" i="1" s="1"/>
  <c r="JH56" i="1"/>
  <c r="CZ64" i="1"/>
  <c r="CZ59" i="1"/>
  <c r="CZ66" i="1" s="1"/>
  <c r="CZ56" i="1"/>
  <c r="AD64" i="1"/>
  <c r="AD59" i="1"/>
  <c r="AD66" i="1" s="1"/>
  <c r="AD56" i="1"/>
  <c r="DO64" i="1"/>
  <c r="DO56" i="1"/>
  <c r="DO59" i="1"/>
  <c r="DO66" i="1" s="1"/>
  <c r="DF64" i="1"/>
  <c r="DF59" i="1"/>
  <c r="DF66" i="1" s="1"/>
  <c r="DF56" i="1"/>
  <c r="KY64" i="1"/>
  <c r="KY59" i="1"/>
  <c r="KY66" i="1" s="1"/>
  <c r="KY56" i="1"/>
  <c r="LQ59" i="1"/>
  <c r="LQ66" i="1" s="1"/>
  <c r="CY59" i="1"/>
  <c r="CY66" i="1" s="1"/>
  <c r="JC59" i="1"/>
  <c r="JC66" i="1" s="1"/>
  <c r="KP64" i="1"/>
  <c r="KP59" i="1"/>
  <c r="KP66" i="1" s="1"/>
  <c r="KP56" i="1"/>
  <c r="AK64" i="1"/>
  <c r="AK59" i="1"/>
  <c r="AK66" i="1" s="1"/>
  <c r="AK56" i="1"/>
  <c r="FA65" i="1"/>
  <c r="FA59" i="1"/>
  <c r="FA66" i="1" s="1"/>
  <c r="LD64" i="1"/>
  <c r="LD59" i="1"/>
  <c r="LD66" i="1" s="1"/>
  <c r="LD56" i="1"/>
  <c r="CX64" i="1"/>
  <c r="CX59" i="1"/>
  <c r="CX66" i="1" s="1"/>
  <c r="CX56" i="1"/>
  <c r="JS65" i="1"/>
  <c r="JS59" i="1"/>
  <c r="JS66" i="1" s="1"/>
  <c r="AE64" i="1"/>
  <c r="AE59" i="1"/>
  <c r="AE66" i="1" s="1"/>
  <c r="AE56" i="1"/>
  <c r="AY65" i="1"/>
  <c r="AY59" i="1"/>
  <c r="AY66" i="1" s="1"/>
  <c r="KO64" i="1"/>
  <c r="KO56" i="1"/>
  <c r="KO59" i="1"/>
  <c r="KO66" i="1" s="1"/>
  <c r="GJ65" i="1"/>
  <c r="GJ59" i="1"/>
  <c r="GJ66" i="1" s="1"/>
  <c r="DQ65" i="1"/>
  <c r="DQ59" i="1"/>
  <c r="DQ66" i="1" s="1"/>
  <c r="HL65" i="1"/>
  <c r="HL59" i="1"/>
  <c r="HL66" i="1" s="1"/>
  <c r="MP65" i="1"/>
  <c r="MP59" i="1"/>
  <c r="MP66" i="1" s="1"/>
  <c r="NC65" i="1"/>
  <c r="NC59" i="1"/>
  <c r="NC66" i="1" s="1"/>
  <c r="DI64" i="1"/>
  <c r="DI56" i="1"/>
  <c r="DI59" i="1"/>
  <c r="DI66" i="1" s="1"/>
  <c r="IV64" i="1"/>
  <c r="IV59" i="1"/>
  <c r="IV66" i="1" s="1"/>
  <c r="IV56" i="1"/>
  <c r="EG65" i="1"/>
  <c r="EG59" i="1"/>
  <c r="EG66" i="1" s="1"/>
  <c r="AZ64" i="1"/>
  <c r="AZ59" i="1"/>
  <c r="AZ66" i="1" s="1"/>
  <c r="AZ56" i="1"/>
  <c r="LK65" i="1"/>
  <c r="LK59" i="1"/>
  <c r="LK66" i="1" s="1"/>
  <c r="LV64" i="1"/>
  <c r="LV56" i="1"/>
  <c r="LV59" i="1"/>
  <c r="LV66" i="1" s="1"/>
  <c r="MO59" i="1"/>
  <c r="MO66" i="1" s="1"/>
  <c r="W64" i="1"/>
  <c r="W59" i="1"/>
  <c r="W66" i="1" s="1"/>
  <c r="W56" i="1"/>
  <c r="ED64" i="1"/>
  <c r="ED59" i="1"/>
  <c r="ED66" i="1" s="1"/>
  <c r="ED56" i="1"/>
  <c r="BF65" i="1"/>
  <c r="BF59" i="1"/>
  <c r="BF66" i="1" s="1"/>
  <c r="BT64" i="1"/>
  <c r="BT59" i="1"/>
  <c r="BT66" i="1" s="1"/>
  <c r="BT56" i="1"/>
  <c r="MD65" i="1"/>
  <c r="MD59" i="1"/>
  <c r="MD66" i="1" s="1"/>
  <c r="LR64" i="1"/>
  <c r="LR56" i="1"/>
  <c r="LR59" i="1"/>
  <c r="LR66" i="1" s="1"/>
  <c r="KI64" i="1"/>
  <c r="KI56" i="1"/>
  <c r="KI59" i="1"/>
  <c r="KI66" i="1" s="1"/>
  <c r="LM65" i="1"/>
  <c r="LM59" i="1"/>
  <c r="LM66" i="1" s="1"/>
  <c r="JR64" i="1"/>
  <c r="JR59" i="1"/>
  <c r="JR66" i="1" s="1"/>
  <c r="JR56" i="1"/>
  <c r="MS64" i="1"/>
  <c r="MS59" i="1"/>
  <c r="MS66" i="1" s="1"/>
  <c r="MS56" i="1"/>
  <c r="LC64" i="1"/>
  <c r="LC59" i="1"/>
  <c r="LC66" i="1" s="1"/>
  <c r="LC56" i="1"/>
  <c r="BM64" i="1"/>
  <c r="BM56" i="1"/>
  <c r="BM59" i="1"/>
  <c r="BM66" i="1" s="1"/>
  <c r="MA64" i="1"/>
  <c r="MA59" i="1"/>
  <c r="MA66" i="1" s="1"/>
  <c r="MA56" i="1"/>
  <c r="JI65" i="1"/>
  <c r="JI59" i="1"/>
  <c r="JI66" i="1" s="1"/>
  <c r="FO65" i="1"/>
  <c r="FO59" i="1"/>
  <c r="FO66" i="1" s="1"/>
  <c r="LL64" i="1"/>
  <c r="LL56" i="1"/>
  <c r="LL59" i="1"/>
  <c r="LL66" i="1" s="1"/>
  <c r="LS65" i="1"/>
  <c r="LS59" i="1"/>
  <c r="LS66" i="1" s="1"/>
  <c r="KN64" i="1"/>
  <c r="KN56" i="1"/>
  <c r="KN59" i="1"/>
  <c r="KN66" i="1" s="1"/>
  <c r="EK65" i="1"/>
  <c r="EK59" i="1"/>
  <c r="EK66" i="1" s="1"/>
  <c r="GX64" i="1"/>
  <c r="GX56" i="1"/>
  <c r="GX59" i="1"/>
  <c r="GX66" i="1" s="1"/>
  <c r="JD65" i="1"/>
  <c r="JD59" i="1"/>
  <c r="JD66" i="1" s="1"/>
  <c r="JY64" i="1"/>
  <c r="JY59" i="1"/>
  <c r="JY66" i="1" s="1"/>
  <c r="JY56" i="1"/>
  <c r="LZ65" i="1"/>
  <c r="LZ59" i="1"/>
  <c r="LZ66" i="1" s="1"/>
  <c r="IH64" i="1"/>
  <c r="IH59" i="1"/>
  <c r="IH66" i="1" s="1"/>
  <c r="IH56" i="1"/>
  <c r="KU64" i="1"/>
  <c r="KU59" i="1"/>
  <c r="KU66" i="1" s="1"/>
  <c r="KU56" i="1"/>
  <c r="DM64" i="1"/>
  <c r="DM59" i="1"/>
  <c r="DM66" i="1" s="1"/>
  <c r="DM56" i="1"/>
  <c r="EQ64" i="1"/>
  <c r="EQ59" i="1"/>
  <c r="EQ66" i="1" s="1"/>
  <c r="EQ56" i="1"/>
  <c r="IA65" i="1"/>
  <c r="IA59" i="1"/>
  <c r="IA66" i="1" s="1"/>
  <c r="JE59" i="1"/>
  <c r="JE66" i="1" s="1"/>
  <c r="MQ59" i="1"/>
  <c r="MQ66" i="1" s="1"/>
  <c r="JG64" i="1"/>
  <c r="JG56" i="1"/>
  <c r="JG59" i="1"/>
  <c r="JG66" i="1" s="1"/>
  <c r="AS65" i="1"/>
  <c r="AS59" i="1"/>
  <c r="AS66" i="1" s="1"/>
  <c r="DW64" i="1"/>
  <c r="DW59" i="1"/>
  <c r="DW66" i="1" s="1"/>
  <c r="DW56" i="1"/>
  <c r="HS65" i="1"/>
  <c r="HS59" i="1"/>
  <c r="HS66" i="1" s="1"/>
  <c r="KM64" i="1"/>
  <c r="KM56" i="1"/>
  <c r="KM59" i="1"/>
  <c r="KM66" i="1" s="1"/>
  <c r="EN65" i="1"/>
  <c r="EN59" i="1"/>
  <c r="EN66" i="1" s="1"/>
  <c r="FI64" i="1"/>
  <c r="FI56" i="1"/>
  <c r="FI59" i="1"/>
  <c r="FI66" i="1" s="1"/>
  <c r="KB65" i="1"/>
  <c r="KB59" i="1"/>
  <c r="KB66" i="1" s="1"/>
  <c r="DH65" i="1"/>
  <c r="DH59" i="1"/>
  <c r="DH66" i="1" s="1"/>
  <c r="GC59" i="1"/>
  <c r="GC66" i="1" s="1"/>
  <c r="GQ59" i="1"/>
  <c r="GQ66" i="1" s="1"/>
  <c r="GR59" i="1"/>
  <c r="GR66" i="1" s="1"/>
  <c r="JP64" i="1"/>
  <c r="JP59" i="1"/>
  <c r="JP66" i="1" s="1"/>
  <c r="JP56" i="1"/>
  <c r="KK64" i="1"/>
  <c r="KK56" i="1"/>
  <c r="KK59" i="1"/>
  <c r="KK66" i="1" s="1"/>
  <c r="DY65" i="1"/>
  <c r="DY59" i="1"/>
  <c r="DY66" i="1" s="1"/>
  <c r="EX65" i="1"/>
  <c r="EX59" i="1"/>
  <c r="EX66" i="1" s="1"/>
  <c r="BU65" i="1"/>
  <c r="BU59" i="1"/>
  <c r="BU66" i="1" s="1"/>
  <c r="LT65" i="1"/>
  <c r="LT59" i="1"/>
  <c r="LT66" i="1" s="1"/>
  <c r="JN64" i="1"/>
  <c r="JN59" i="1"/>
  <c r="JN66" i="1" s="1"/>
  <c r="JN56" i="1"/>
  <c r="LH65" i="1"/>
  <c r="LH59" i="1"/>
  <c r="LH66" i="1" s="1"/>
  <c r="KS64" i="1"/>
  <c r="KS59" i="1"/>
  <c r="KS66" i="1" s="1"/>
  <c r="KS56" i="1"/>
  <c r="EO64" i="1"/>
  <c r="EO56" i="1"/>
  <c r="EO59" i="1"/>
  <c r="EO66" i="1" s="1"/>
  <c r="MJ65" i="1"/>
  <c r="MJ59" i="1"/>
  <c r="MJ66" i="1" s="1"/>
  <c r="DX64" i="1"/>
  <c r="DX59" i="1"/>
  <c r="DX66" i="1" s="1"/>
  <c r="DX56" i="1"/>
  <c r="LI64" i="1"/>
  <c r="LI59" i="1"/>
  <c r="LI66" i="1" s="1"/>
  <c r="LI56" i="1"/>
  <c r="CI64" i="1"/>
  <c r="CI56" i="1"/>
  <c r="CI59" i="1"/>
  <c r="CI66" i="1" s="1"/>
  <c r="EB65" i="1"/>
  <c r="EB59" i="1"/>
  <c r="EB66" i="1" s="1"/>
  <c r="JK65" i="1"/>
  <c r="JK59" i="1"/>
  <c r="JK66" i="1" s="1"/>
  <c r="DJ64" i="1"/>
  <c r="DJ59" i="1"/>
  <c r="DJ66" i="1" s="1"/>
  <c r="DJ56" i="1"/>
  <c r="X64" i="1"/>
  <c r="X56" i="1"/>
  <c r="X59" i="1"/>
  <c r="X66" i="1" s="1"/>
  <c r="FD64" i="1"/>
  <c r="FD59" i="1"/>
  <c r="FD66" i="1" s="1"/>
  <c r="FD56" i="1"/>
  <c r="DK65" i="1"/>
  <c r="DK59" i="1"/>
  <c r="DK66" i="1" s="1"/>
  <c r="LA64" i="1"/>
  <c r="LA59" i="1"/>
  <c r="LA66" i="1" s="1"/>
  <c r="LA56" i="1"/>
  <c r="KG64" i="1"/>
  <c r="KG59" i="1"/>
  <c r="KG66" i="1" s="1"/>
  <c r="KG56" i="1"/>
  <c r="FV64" i="1"/>
  <c r="FV59" i="1"/>
  <c r="FV66" i="1" s="1"/>
  <c r="FV56" i="1"/>
  <c r="KQ64" i="1"/>
  <c r="KQ59" i="1"/>
  <c r="KQ66" i="1" s="1"/>
  <c r="KQ56" i="1"/>
  <c r="GK64" i="1"/>
  <c r="GK59" i="1"/>
  <c r="GK66" i="1" s="1"/>
  <c r="GK56" i="1"/>
  <c r="JT65" i="1"/>
  <c r="JT59" i="1"/>
  <c r="JT66" i="1" s="1"/>
  <c r="EC64" i="1"/>
  <c r="EC59" i="1"/>
  <c r="EC66" i="1" s="1"/>
  <c r="EC56" i="1"/>
  <c r="KZ64" i="1"/>
  <c r="KZ59" i="1"/>
  <c r="KZ66" i="1" s="1"/>
  <c r="KZ56" i="1"/>
  <c r="FW65" i="1"/>
  <c r="FW59" i="1"/>
  <c r="FW66" i="1" s="1"/>
  <c r="FH64" i="1"/>
  <c r="FH56" i="1"/>
  <c r="FH59" i="1"/>
  <c r="FH66" i="1" s="1"/>
  <c r="LO64" i="1"/>
  <c r="LO59" i="1"/>
  <c r="LO66" i="1" s="1"/>
  <c r="LO56" i="1"/>
  <c r="MF64" i="1"/>
  <c r="MF56" i="1"/>
  <c r="MF59" i="1"/>
  <c r="MF66" i="1" s="1"/>
  <c r="DC65" i="1"/>
  <c r="DC59" i="1"/>
  <c r="DC66" i="1" s="1"/>
  <c r="JV64" i="1"/>
  <c r="JV56" i="1"/>
  <c r="JV59" i="1"/>
  <c r="JV66" i="1" s="1"/>
  <c r="MI65" i="1"/>
  <c r="MI59" i="1"/>
  <c r="MI66" i="1" s="1"/>
  <c r="LN65" i="1"/>
  <c r="LN59" i="1"/>
  <c r="LN66" i="1" s="1"/>
  <c r="DA65" i="1"/>
  <c r="DA59" i="1"/>
  <c r="DA66" i="1" s="1"/>
  <c r="KV65" i="1"/>
  <c r="KV59" i="1"/>
  <c r="KV66" i="1" s="1"/>
  <c r="EW59" i="1"/>
  <c r="EW66" i="1" s="1"/>
  <c r="MG59" i="1"/>
  <c r="MG66" i="1" s="1"/>
  <c r="MN65" i="1"/>
  <c r="MN59" i="1"/>
  <c r="MN66" i="1" s="1"/>
  <c r="NB65" i="1"/>
  <c r="NB59" i="1"/>
  <c r="NB66" i="1" s="1"/>
  <c r="DG64" i="1"/>
  <c r="DG56" i="1"/>
  <c r="DG59" i="1"/>
  <c r="DG66" i="1" s="1"/>
  <c r="DS64" i="1"/>
  <c r="DS59" i="1"/>
  <c r="DS66" i="1" s="1"/>
  <c r="DS56" i="1"/>
  <c r="MB65" i="1"/>
  <c r="MB59" i="1"/>
  <c r="MB66" i="1" s="1"/>
  <c r="MU64" i="1"/>
  <c r="MU59" i="1"/>
  <c r="MU66" i="1" s="1"/>
  <c r="MU56" i="1"/>
  <c r="IN64" i="1"/>
  <c r="IN56" i="1"/>
  <c r="IN59" i="1"/>
  <c r="IN66" i="1" s="1"/>
  <c r="DN64" i="1"/>
  <c r="DN59" i="1"/>
  <c r="DN66" i="1" s="1"/>
  <c r="DN56" i="1"/>
  <c r="NJ65" i="1"/>
  <c r="NJ59" i="1"/>
  <c r="NJ66" i="1" s="1"/>
  <c r="HE64" i="1"/>
  <c r="HE56" i="1"/>
  <c r="HE59" i="1"/>
  <c r="HE66" i="1" s="1"/>
  <c r="LB64" i="1"/>
  <c r="LB56" i="1"/>
  <c r="LB59" i="1"/>
  <c r="LB66" i="1" s="1"/>
  <c r="DU65" i="1"/>
  <c r="DU59" i="1"/>
  <c r="DU66" i="1" s="1"/>
  <c r="DL65" i="1"/>
  <c r="DL59" i="1"/>
  <c r="DL66" i="1" s="1"/>
  <c r="MC65" i="1"/>
  <c r="MC59" i="1"/>
  <c r="MC66" i="1" s="1"/>
  <c r="IB64" i="1"/>
  <c r="IB59" i="1"/>
  <c r="IB66" i="1" s="1"/>
  <c r="IB56" i="1"/>
  <c r="LF65" i="1"/>
  <c r="LF59" i="1"/>
  <c r="LF66" i="1" s="1"/>
  <c r="KA64" i="1"/>
  <c r="KA56" i="1"/>
  <c r="KA59" i="1"/>
  <c r="KA66" i="1" s="1"/>
  <c r="KF65" i="1"/>
  <c r="KF59" i="1"/>
  <c r="KF66" i="1" s="1"/>
  <c r="AI40" i="6"/>
  <c r="BO65" i="1"/>
  <c r="BO59" i="1"/>
  <c r="BO66" i="1" s="1"/>
  <c r="AV64" i="1"/>
  <c r="AV59" i="1"/>
  <c r="AV66" i="1" s="1"/>
  <c r="AV56" i="1"/>
  <c r="CQ64" i="1"/>
  <c r="CQ59" i="1"/>
  <c r="CQ66" i="1" s="1"/>
  <c r="CQ56" i="1"/>
  <c r="CL64" i="1"/>
  <c r="CL59" i="1"/>
  <c r="CL66" i="1" s="1"/>
  <c r="CL56" i="1"/>
  <c r="BK64" i="1"/>
  <c r="BK59" i="1"/>
  <c r="BK66" i="1" s="1"/>
  <c r="BK56" i="1"/>
  <c r="BX59" i="1"/>
  <c r="BX66" i="1" s="1"/>
  <c r="BZ65" i="1"/>
  <c r="BZ59" i="1"/>
  <c r="BZ66" i="1" s="1"/>
  <c r="BC65" i="1"/>
  <c r="BC59" i="1"/>
  <c r="BC66" i="1" s="1"/>
  <c r="CU59" i="1"/>
  <c r="CU66" i="1" s="1"/>
  <c r="CS65" i="1"/>
  <c r="CS59" i="1"/>
  <c r="CS66" i="1" s="1"/>
  <c r="CD64" i="1"/>
  <c r="CD56" i="1"/>
  <c r="CD59" i="1"/>
  <c r="CD66" i="1" s="1"/>
  <c r="BE64" i="1"/>
  <c r="BE59" i="1"/>
  <c r="BE66" i="1" s="1"/>
  <c r="BE56" i="1"/>
  <c r="BY64" i="1"/>
  <c r="BY59" i="1"/>
  <c r="BY66" i="1" s="1"/>
  <c r="BY56" i="1"/>
  <c r="BQ65" i="1"/>
  <c r="BQ59" i="1"/>
  <c r="BQ66" i="1" s="1"/>
  <c r="BB64" i="1"/>
  <c r="BB59" i="1"/>
  <c r="BB66" i="1" s="1"/>
  <c r="BB56" i="1"/>
  <c r="AT64" i="1"/>
  <c r="AT56" i="1"/>
  <c r="AT59" i="1"/>
  <c r="AT66" i="1" s="1"/>
  <c r="CR64" i="1"/>
  <c r="CR59" i="1"/>
  <c r="CR66" i="1" s="1"/>
  <c r="CR56" i="1"/>
  <c r="BI65" i="1"/>
  <c r="BI59" i="1"/>
  <c r="BI66" i="1" s="1"/>
  <c r="BD64" i="1"/>
  <c r="BD56" i="1"/>
  <c r="BD59" i="1"/>
  <c r="BD66" i="1" s="1"/>
  <c r="BV65" i="1"/>
  <c r="BV59" i="1"/>
  <c r="BV66" i="1" s="1"/>
  <c r="BP64" i="1"/>
  <c r="BP59" i="1"/>
  <c r="BP66" i="1" s="1"/>
  <c r="BP56" i="1"/>
  <c r="BR65" i="1"/>
  <c r="BR59" i="1"/>
  <c r="BR66" i="1" s="1"/>
  <c r="CM64" i="1"/>
  <c r="CM59" i="1"/>
  <c r="CM66" i="1" s="1"/>
  <c r="CM56" i="1"/>
  <c r="CN64" i="1"/>
  <c r="CN59" i="1"/>
  <c r="CN66" i="1" s="1"/>
  <c r="CN56" i="1"/>
  <c r="CE64" i="1"/>
  <c r="CE59" i="1"/>
  <c r="CE66" i="1" s="1"/>
  <c r="CE56" i="1"/>
  <c r="CJ65" i="1"/>
  <c r="CJ59" i="1"/>
  <c r="CJ66" i="1" s="1"/>
  <c r="AW64" i="1"/>
  <c r="AW59" i="1"/>
  <c r="AW66" i="1" s="1"/>
  <c r="AW56" i="1"/>
  <c r="BJ65" i="1"/>
  <c r="BJ59" i="1"/>
  <c r="BJ66" i="1" s="1"/>
  <c r="NH59" i="1"/>
  <c r="NH66" i="1" s="1"/>
  <c r="ND59" i="1"/>
  <c r="ND66" i="1" s="1"/>
  <c r="NF59" i="1"/>
  <c r="NF66" i="1" s="1"/>
  <c r="V56" i="1"/>
  <c r="AO59" i="1"/>
  <c r="AO66" i="1" s="1"/>
  <c r="NG59" i="1"/>
  <c r="NG66" i="1" s="1"/>
  <c r="AF59" i="1"/>
  <c r="AF66" i="1" s="1"/>
  <c r="V59" i="1"/>
  <c r="V66" i="1" s="1"/>
  <c r="NE59" i="1"/>
  <c r="NE66" i="1" s="1"/>
  <c r="Z59" i="1"/>
  <c r="Z66" i="1" s="1"/>
  <c r="U59" i="1"/>
  <c r="U66" i="1" s="1"/>
  <c r="AB59" i="1"/>
  <c r="AB66" i="1" s="1"/>
  <c r="BD54" i="1"/>
  <c r="BK30" i="18"/>
  <c r="BL11" i="18"/>
  <c r="BK9" i="18"/>
  <c r="BK10" i="18"/>
  <c r="BE11" i="1"/>
  <c r="BD68" i="1"/>
  <c r="BD9" i="1"/>
  <c r="BD10" i="1"/>
  <c r="BE54" i="1" l="1"/>
  <c r="BL30" i="18"/>
  <c r="BM11" i="18"/>
  <c r="BL9" i="18"/>
  <c r="BL10" i="18"/>
  <c r="BF11" i="1"/>
  <c r="BE68" i="1"/>
  <c r="BE9" i="1"/>
  <c r="BE10" i="1"/>
  <c r="BF54" i="1" l="1"/>
  <c r="BM30" i="18"/>
  <c r="BM9" i="18"/>
  <c r="BM10" i="18"/>
  <c r="BN11" i="18"/>
  <c r="BG11" i="1"/>
  <c r="BF68" i="1"/>
  <c r="BF9" i="1"/>
  <c r="BF10" i="1"/>
  <c r="BG54" i="1" l="1"/>
  <c r="BN9" i="18"/>
  <c r="BN10" i="18"/>
  <c r="BO11" i="18"/>
  <c r="BN30" i="18"/>
  <c r="BH11" i="1"/>
  <c r="BG68" i="1"/>
  <c r="BG9" i="1"/>
  <c r="BG10" i="1"/>
  <c r="BH54" i="1" l="1"/>
  <c r="BO30" i="18"/>
  <c r="BP11" i="18"/>
  <c r="BO10" i="18"/>
  <c r="BO9" i="18"/>
  <c r="BI11" i="1"/>
  <c r="BH68" i="1"/>
  <c r="BH9" i="1"/>
  <c r="BH10" i="1"/>
  <c r="BI54" i="1" l="1"/>
  <c r="BP30" i="18"/>
  <c r="BQ11" i="18"/>
  <c r="BP10" i="18"/>
  <c r="BP9" i="18"/>
  <c r="BJ11" i="1"/>
  <c r="BI68" i="1"/>
  <c r="BI9" i="1"/>
  <c r="BI10" i="1"/>
  <c r="BJ54" i="1" l="1"/>
  <c r="BQ30" i="18"/>
  <c r="BQ10" i="18"/>
  <c r="BR11" i="18"/>
  <c r="BQ9" i="18"/>
  <c r="BK11" i="1"/>
  <c r="BJ68" i="1"/>
  <c r="BJ9" i="1"/>
  <c r="BJ10" i="1"/>
  <c r="BK54" i="1" l="1"/>
  <c r="BS11" i="18"/>
  <c r="BR30" i="18"/>
  <c r="BR9" i="18"/>
  <c r="BR10" i="18"/>
  <c r="BL11" i="1"/>
  <c r="BK68" i="1"/>
  <c r="BK9" i="1"/>
  <c r="BK10" i="1"/>
  <c r="BL54" i="1" l="1"/>
  <c r="BS30" i="18"/>
  <c r="BT11" i="18"/>
  <c r="BS9" i="18"/>
  <c r="BS10" i="18"/>
  <c r="BM11" i="1"/>
  <c r="BL68" i="1"/>
  <c r="BL9" i="1"/>
  <c r="BL10" i="1"/>
  <c r="BM54" i="1" l="1"/>
  <c r="BT30" i="18"/>
  <c r="BU11" i="18"/>
  <c r="BT9" i="18"/>
  <c r="BT10" i="18"/>
  <c r="BN11" i="1"/>
  <c r="BM68" i="1"/>
  <c r="BM9" i="1"/>
  <c r="BM10" i="1"/>
  <c r="BN54" i="1" l="1"/>
  <c r="BU30" i="18"/>
  <c r="BU9" i="18"/>
  <c r="BU10" i="18"/>
  <c r="BV11" i="18"/>
  <c r="BO11" i="1"/>
  <c r="BN68" i="1"/>
  <c r="BN9" i="1"/>
  <c r="BN10" i="1"/>
  <c r="BO54" i="1" l="1"/>
  <c r="BV30" i="18"/>
  <c r="BV9" i="18"/>
  <c r="BW11" i="18"/>
  <c r="BV10" i="18"/>
  <c r="BP11" i="1"/>
  <c r="BO68" i="1"/>
  <c r="BO9" i="1"/>
  <c r="BO10" i="1"/>
  <c r="BP54" i="1" l="1"/>
  <c r="BW30" i="18"/>
  <c r="BX11" i="18"/>
  <c r="BW10" i="18"/>
  <c r="BW9" i="18"/>
  <c r="BQ11" i="1"/>
  <c r="BP68" i="1"/>
  <c r="BP9" i="1"/>
  <c r="BP10" i="1"/>
  <c r="NR25" i="1" a="1"/>
  <c r="NR53" i="1" a="1"/>
  <c r="NS19" i="1" a="1"/>
  <c r="NS21" i="1" a="1"/>
  <c r="NR19" i="1" a="1"/>
  <c r="NS15" i="1" a="1"/>
  <c r="NR29" i="1" a="1"/>
  <c r="NS23" i="1" a="1"/>
  <c r="NS25" i="1" a="1"/>
  <c r="NS29" i="1" a="1"/>
  <c r="NS27" i="1" a="1"/>
  <c r="NR27" i="1" a="1"/>
  <c r="NR23" i="1" a="1"/>
  <c r="NR21" i="1" a="1"/>
  <c r="NS53" i="1" a="1"/>
  <c r="NR15" i="1" a="1"/>
  <c r="NS25" i="1" l="1"/>
  <c r="NS23" i="1"/>
  <c r="NR21" i="1"/>
  <c r="NS53" i="1"/>
  <c r="NS27" i="1"/>
  <c r="NS29" i="1"/>
  <c r="BV12" i="6" s="1"/>
  <c r="NR25" i="1"/>
  <c r="NS15" i="1"/>
  <c r="NS21" i="1"/>
  <c r="NR15" i="1"/>
  <c r="NR27" i="1"/>
  <c r="NR53" i="1"/>
  <c r="NR19" i="1"/>
  <c r="NR29" i="1"/>
  <c r="BU12" i="6" s="1"/>
  <c r="NS19" i="1"/>
  <c r="NR23" i="1"/>
  <c r="BQ54" i="1"/>
  <c r="BX30" i="18"/>
  <c r="BY11" i="18"/>
  <c r="BX10" i="18"/>
  <c r="BX9" i="18"/>
  <c r="AW25" i="6"/>
  <c r="AJ25" i="6"/>
  <c r="AW24" i="6"/>
  <c r="AJ24" i="6"/>
  <c r="AW27" i="6"/>
  <c r="AJ27" i="6"/>
  <c r="AV6" i="6"/>
  <c r="AJ26" i="6"/>
  <c r="AW26" i="6"/>
  <c r="BR11" i="1"/>
  <c r="BQ68" i="1"/>
  <c r="BQ9" i="1"/>
  <c r="BQ10" i="1"/>
  <c r="BV6" i="6" l="1"/>
  <c r="BU6" i="6"/>
  <c r="BR54" i="1"/>
  <c r="BY30" i="18"/>
  <c r="BZ11" i="18"/>
  <c r="BY10" i="18"/>
  <c r="BY9" i="18"/>
  <c r="AW33" i="6"/>
  <c r="AJ33" i="6"/>
  <c r="BS11" i="1"/>
  <c r="BR68" i="1"/>
  <c r="BR9" i="1"/>
  <c r="BR10" i="1"/>
  <c r="BS54" i="1" l="1"/>
  <c r="BZ30" i="18"/>
  <c r="CA11" i="18"/>
  <c r="BZ10" i="18"/>
  <c r="BZ9" i="18"/>
  <c r="BT11" i="1"/>
  <c r="BS9" i="1"/>
  <c r="BS68" i="1"/>
  <c r="BS10" i="1"/>
  <c r="BT54" i="1" l="1"/>
  <c r="CB11" i="18"/>
  <c r="CA30" i="18"/>
  <c r="CA10" i="18"/>
  <c r="CA9" i="18"/>
  <c r="BU11" i="1"/>
  <c r="BT68" i="1"/>
  <c r="BT9" i="1"/>
  <c r="BT10" i="1"/>
  <c r="BU54" i="1" l="1"/>
  <c r="CB30" i="18"/>
  <c r="CC11" i="18"/>
  <c r="CB9" i="18"/>
  <c r="CB10" i="18"/>
  <c r="BV11" i="1"/>
  <c r="BU68" i="1"/>
  <c r="BU9" i="1"/>
  <c r="BU10" i="1"/>
  <c r="BV54" i="1" l="1"/>
  <c r="CC30" i="18"/>
  <c r="CD11" i="18"/>
  <c r="CC9" i="18"/>
  <c r="CC10" i="18"/>
  <c r="BW11" i="1"/>
  <c r="BV68" i="1"/>
  <c r="BV9" i="1"/>
  <c r="BV10" i="1"/>
  <c r="BW54" i="1" l="1"/>
  <c r="CD30" i="18"/>
  <c r="CD9" i="18"/>
  <c r="CD10" i="18"/>
  <c r="CE11" i="18"/>
  <c r="BX11" i="1"/>
  <c r="BW68" i="1"/>
  <c r="BW9" i="1"/>
  <c r="BW10" i="1"/>
  <c r="BX54" i="1" l="1"/>
  <c r="CE30" i="18"/>
  <c r="CF11" i="18"/>
  <c r="CE10" i="18"/>
  <c r="CE9" i="18"/>
  <c r="BY11" i="1"/>
  <c r="BX68" i="1"/>
  <c r="BX9" i="1"/>
  <c r="BX10" i="1"/>
  <c r="BY54" i="1" l="1"/>
  <c r="CF30" i="18"/>
  <c r="CG11" i="18"/>
  <c r="CF10" i="18"/>
  <c r="CF9" i="18"/>
  <c r="BZ11" i="1"/>
  <c r="BY68" i="1"/>
  <c r="BY9" i="1"/>
  <c r="BY10" i="1"/>
  <c r="BZ54" i="1" l="1"/>
  <c r="CG30" i="18"/>
  <c r="CG10" i="18"/>
  <c r="CG9" i="18"/>
  <c r="CH11" i="18"/>
  <c r="CA11" i="1"/>
  <c r="BZ68" i="1"/>
  <c r="BZ9" i="1"/>
  <c r="BZ10" i="1"/>
  <c r="CA54" i="1" l="1"/>
  <c r="CH30" i="18"/>
  <c r="CI11" i="18"/>
  <c r="CH9" i="18"/>
  <c r="CH10" i="18"/>
  <c r="CB11" i="1"/>
  <c r="CA9" i="1"/>
  <c r="CA68" i="1"/>
  <c r="CA10" i="1"/>
  <c r="CB54" i="1" l="1"/>
  <c r="CI30" i="18"/>
  <c r="CJ11" i="18"/>
  <c r="CI10" i="18"/>
  <c r="CI9" i="18"/>
  <c r="CC11" i="1"/>
  <c r="CB68" i="1"/>
  <c r="CB9" i="1"/>
  <c r="CB10" i="1"/>
  <c r="CC54" i="1" l="1"/>
  <c r="CJ30" i="18"/>
  <c r="CK11" i="18"/>
  <c r="CJ10" i="18"/>
  <c r="CJ9" i="18"/>
  <c r="CD11" i="1"/>
  <c r="CC68" i="1"/>
  <c r="CC9" i="1"/>
  <c r="CC10" i="1"/>
  <c r="CD54" i="1" l="1"/>
  <c r="CK30" i="18"/>
  <c r="CK10" i="18"/>
  <c r="CK9" i="18"/>
  <c r="CL11" i="18"/>
  <c r="CE11" i="1"/>
  <c r="CD68" i="1"/>
  <c r="CD9" i="1"/>
  <c r="CD10" i="1"/>
  <c r="CE54" i="1" l="1"/>
  <c r="CL30" i="18"/>
  <c r="CL9" i="18"/>
  <c r="CM11" i="18"/>
  <c r="CL10" i="18"/>
  <c r="CF11" i="1"/>
  <c r="CE68" i="1"/>
  <c r="CE9" i="1"/>
  <c r="CE10" i="1"/>
  <c r="CF54" i="1" l="1"/>
  <c r="CN11" i="18"/>
  <c r="CM10" i="18"/>
  <c r="CM9" i="18"/>
  <c r="CM30" i="18"/>
  <c r="CG11" i="1"/>
  <c r="CF68" i="1"/>
  <c r="CF9" i="1"/>
  <c r="CF10" i="1"/>
  <c r="CG54" i="1" l="1"/>
  <c r="CN30" i="18"/>
  <c r="CO11" i="18"/>
  <c r="CN10" i="18"/>
  <c r="CN9" i="18"/>
  <c r="CH11" i="1"/>
  <c r="CG68" i="1"/>
  <c r="CG9" i="1"/>
  <c r="CG10" i="1"/>
  <c r="CH54" i="1" l="1"/>
  <c r="CO30" i="18"/>
  <c r="CP11" i="18"/>
  <c r="CO9" i="18"/>
  <c r="CO10" i="18"/>
  <c r="CI11" i="1"/>
  <c r="CH68" i="1"/>
  <c r="CH9" i="1"/>
  <c r="CH10" i="1"/>
  <c r="CI54" i="1" l="1"/>
  <c r="CP30" i="18"/>
  <c r="CQ11" i="18"/>
  <c r="CP9" i="18"/>
  <c r="CP10" i="18"/>
  <c r="CJ11" i="1"/>
  <c r="CI9" i="1"/>
  <c r="CI68" i="1"/>
  <c r="CI10" i="1"/>
  <c r="CJ54" i="1" l="1"/>
  <c r="CQ30" i="18"/>
  <c r="CR11" i="18"/>
  <c r="CQ10" i="18"/>
  <c r="CQ9" i="18"/>
  <c r="CK11" i="1"/>
  <c r="CJ68" i="1"/>
  <c r="CJ9" i="1"/>
  <c r="CJ10" i="1"/>
  <c r="CK54" i="1" l="1"/>
  <c r="CR30" i="18"/>
  <c r="CS11" i="18"/>
  <c r="CR9" i="18"/>
  <c r="CR10" i="18"/>
  <c r="CL11" i="1"/>
  <c r="CK68" i="1"/>
  <c r="CK9" i="1"/>
  <c r="CK10" i="1"/>
  <c r="CL54" i="1" l="1"/>
  <c r="CS30" i="18"/>
  <c r="CS9" i="18"/>
  <c r="CT11" i="18"/>
  <c r="CS10" i="18"/>
  <c r="CM11" i="1"/>
  <c r="CL9" i="1"/>
  <c r="CL68" i="1"/>
  <c r="CL10" i="1"/>
  <c r="CM54" i="1" l="1"/>
  <c r="CT30" i="18"/>
  <c r="CT9" i="18"/>
  <c r="CU11" i="18"/>
  <c r="CT10" i="18"/>
  <c r="CN11" i="1"/>
  <c r="CM68" i="1"/>
  <c r="CM9" i="1"/>
  <c r="CM10" i="1"/>
  <c r="CN54" i="1" l="1"/>
  <c r="CU30" i="18"/>
  <c r="CV11" i="18"/>
  <c r="CU10" i="18"/>
  <c r="CU9" i="18"/>
  <c r="CO11" i="1"/>
  <c r="CN68" i="1"/>
  <c r="CN9" i="1"/>
  <c r="CN10" i="1"/>
  <c r="CO54" i="1" l="1"/>
  <c r="CV30" i="18"/>
  <c r="CW11" i="18"/>
  <c r="CV10" i="18"/>
  <c r="CV9" i="18"/>
  <c r="CP11" i="1"/>
  <c r="CO68" i="1"/>
  <c r="CO9" i="1"/>
  <c r="CO10" i="1"/>
  <c r="CP54" i="1" l="1"/>
  <c r="CW30" i="18"/>
  <c r="CX11" i="18"/>
  <c r="CW10" i="18"/>
  <c r="CW9" i="18"/>
  <c r="CQ11" i="1"/>
  <c r="CP68" i="1"/>
  <c r="CP9" i="1"/>
  <c r="CP10" i="1"/>
  <c r="CQ54" i="1" l="1"/>
  <c r="CX30" i="18"/>
  <c r="CY11" i="18"/>
  <c r="CX9" i="18"/>
  <c r="CX10" i="18"/>
  <c r="CR11" i="1"/>
  <c r="CQ9" i="1"/>
  <c r="CQ68" i="1"/>
  <c r="CQ10" i="1"/>
  <c r="CR54" i="1" l="1"/>
  <c r="CY30" i="18"/>
  <c r="CZ11" i="18"/>
  <c r="CY9" i="18"/>
  <c r="CY10" i="18"/>
  <c r="CS11" i="1"/>
  <c r="CR68" i="1"/>
  <c r="CR9" i="1"/>
  <c r="CR10" i="1"/>
  <c r="CS54" i="1" l="1"/>
  <c r="CZ30" i="18"/>
  <c r="DA11" i="18"/>
  <c r="CZ9" i="18"/>
  <c r="CZ10" i="18"/>
  <c r="CT11" i="1"/>
  <c r="CS68" i="1"/>
  <c r="CS9" i="1"/>
  <c r="CS10" i="1"/>
  <c r="CT54" i="1" l="1"/>
  <c r="DA30" i="18"/>
  <c r="DA9" i="18"/>
  <c r="DA10" i="18"/>
  <c r="DB11" i="18"/>
  <c r="CU11" i="1"/>
  <c r="CT68" i="1"/>
  <c r="CT9" i="1"/>
  <c r="CT10" i="1"/>
  <c r="CU54" i="1" l="1"/>
  <c r="DB30" i="18"/>
  <c r="DB9" i="18"/>
  <c r="DB10" i="18"/>
  <c r="DC11" i="18"/>
  <c r="CV11" i="1"/>
  <c r="CU68" i="1"/>
  <c r="CU9" i="1"/>
  <c r="CU10" i="1"/>
  <c r="NU13" i="1" a="1"/>
  <c r="NU29" i="1" a="1"/>
  <c r="NT17" i="1" a="1"/>
  <c r="NT21" i="1" a="1"/>
  <c r="NU21" i="1" a="1"/>
  <c r="NT25" i="1" a="1"/>
  <c r="NT15" i="1" a="1"/>
  <c r="NT13" i="1" a="1"/>
  <c r="NT29" i="1" a="1"/>
  <c r="NT23" i="1" a="1"/>
  <c r="NT27" i="1" a="1"/>
  <c r="NT19" i="1" a="1"/>
  <c r="NU25" i="1" a="1"/>
  <c r="NU23" i="1" a="1"/>
  <c r="NU17" i="1" a="1"/>
  <c r="NU53" i="1" a="1"/>
  <c r="NU27" i="1" a="1"/>
  <c r="NU19" i="1" a="1"/>
  <c r="NT53" i="1" a="1"/>
  <c r="NU15" i="1" a="1"/>
  <c r="NU19" i="1" l="1"/>
  <c r="NU17" i="1"/>
  <c r="NT15" i="1"/>
  <c r="NT17" i="1"/>
  <c r="NT29" i="1"/>
  <c r="BZ12" i="6" s="1"/>
  <c r="NT21" i="1"/>
  <c r="NU23" i="1"/>
  <c r="NT19" i="1"/>
  <c r="NU29" i="1"/>
  <c r="CA12" i="6" s="1"/>
  <c r="NT13" i="1"/>
  <c r="NU25" i="1"/>
  <c r="NU13" i="1"/>
  <c r="NU15" i="1"/>
  <c r="NT53" i="1"/>
  <c r="NU27" i="1"/>
  <c r="NT25" i="1"/>
  <c r="NU53" i="1"/>
  <c r="NU21" i="1"/>
  <c r="NT27" i="1"/>
  <c r="NT23" i="1"/>
  <c r="BZ7" i="6" s="1"/>
  <c r="CV54" i="1"/>
  <c r="DC30" i="18"/>
  <c r="DD11" i="18"/>
  <c r="DC10" i="18"/>
  <c r="DC9" i="18"/>
  <c r="AK27" i="6"/>
  <c r="AX27" i="6"/>
  <c r="AK24" i="6"/>
  <c r="AX24" i="6"/>
  <c r="AK25" i="6"/>
  <c r="AX25" i="6"/>
  <c r="AX26" i="6"/>
  <c r="AK26" i="6"/>
  <c r="CW11" i="1"/>
  <c r="CV68" i="1"/>
  <c r="CV9" i="1"/>
  <c r="CV10" i="1"/>
  <c r="CA8" i="6" l="1"/>
  <c r="BZ6" i="6"/>
  <c r="BZ8" i="6"/>
  <c r="CA6" i="6"/>
  <c r="CA7" i="6"/>
  <c r="CW54" i="1"/>
  <c r="DD30" i="18"/>
  <c r="DE11" i="18"/>
  <c r="DD10" i="18"/>
  <c r="DD9" i="18"/>
  <c r="AX33" i="6"/>
  <c r="AK33" i="6"/>
  <c r="CX11" i="1"/>
  <c r="CW68" i="1"/>
  <c r="CW9" i="1"/>
  <c r="CW10" i="1"/>
  <c r="CX54" i="1" l="1"/>
  <c r="DE30" i="18"/>
  <c r="DE10" i="18"/>
  <c r="DF11" i="18"/>
  <c r="DE9" i="18"/>
  <c r="CY11" i="1"/>
  <c r="CX68" i="1"/>
  <c r="CX9" i="1"/>
  <c r="CX10" i="1"/>
  <c r="CY54" i="1" l="1"/>
  <c r="DF30" i="18"/>
  <c r="DG11" i="18"/>
  <c r="DF10" i="18"/>
  <c r="DF9" i="18"/>
  <c r="CZ11" i="1"/>
  <c r="CY9" i="1"/>
  <c r="CY68" i="1"/>
  <c r="CY10" i="1"/>
  <c r="CZ54" i="1" l="1"/>
  <c r="DG30" i="18"/>
  <c r="DH11" i="18"/>
  <c r="DG10" i="18"/>
  <c r="DG9" i="18"/>
  <c r="DA11" i="1"/>
  <c r="CZ68" i="1"/>
  <c r="CZ9" i="1"/>
  <c r="CZ10" i="1"/>
  <c r="DA54" i="1" l="1"/>
  <c r="DH30" i="18"/>
  <c r="DI11" i="18"/>
  <c r="DH9" i="18"/>
  <c r="DH10" i="18"/>
  <c r="DB11" i="1"/>
  <c r="DA68" i="1"/>
  <c r="DA9" i="1"/>
  <c r="DA10" i="1"/>
  <c r="DB54" i="1" l="1"/>
  <c r="DI30" i="18"/>
  <c r="DI9" i="18"/>
  <c r="DJ11" i="18"/>
  <c r="DI10" i="18"/>
  <c r="DC11" i="1"/>
  <c r="DB68" i="1"/>
  <c r="DB9" i="1"/>
  <c r="DB10" i="1"/>
  <c r="DC54" i="1" l="1"/>
  <c r="DJ30" i="18"/>
  <c r="DJ9" i="18"/>
  <c r="DK11" i="18"/>
  <c r="DJ10" i="18"/>
  <c r="DD11" i="1"/>
  <c r="DC68" i="1"/>
  <c r="DC9" i="1"/>
  <c r="DC10" i="1"/>
  <c r="DD54" i="1" l="1"/>
  <c r="DK30" i="18"/>
  <c r="DL11" i="18"/>
  <c r="DK10" i="18"/>
  <c r="DK9" i="18"/>
  <c r="DE11" i="1"/>
  <c r="DD9" i="1"/>
  <c r="DD68" i="1"/>
  <c r="DD10" i="1"/>
  <c r="DE54" i="1" l="1"/>
  <c r="DM11" i="18"/>
  <c r="DL10" i="18"/>
  <c r="DL30" i="18"/>
  <c r="DL9" i="18"/>
  <c r="DF11" i="1"/>
  <c r="DE68" i="1"/>
  <c r="DE9" i="1"/>
  <c r="DE10" i="1"/>
  <c r="DF54" i="1" l="1"/>
  <c r="DM30" i="18"/>
  <c r="DM10" i="18"/>
  <c r="DN11" i="18"/>
  <c r="DM9" i="18"/>
  <c r="DG11" i="1"/>
  <c r="DF68" i="1"/>
  <c r="DF9" i="1"/>
  <c r="DF10" i="1"/>
  <c r="DG54" i="1" l="1"/>
  <c r="DO11" i="18"/>
  <c r="DN30" i="18"/>
  <c r="DN9" i="18"/>
  <c r="DN10" i="18"/>
  <c r="DH11" i="1"/>
  <c r="DG9" i="1"/>
  <c r="DG68" i="1"/>
  <c r="DG10" i="1"/>
  <c r="DH54" i="1" l="1"/>
  <c r="DO30" i="18"/>
  <c r="DP11" i="18"/>
  <c r="DO10" i="18"/>
  <c r="DO9" i="18"/>
  <c r="DI11" i="1"/>
  <c r="DH68" i="1"/>
  <c r="DH9" i="1"/>
  <c r="DH10" i="1"/>
  <c r="DI54" i="1" l="1"/>
  <c r="DP30" i="18"/>
  <c r="DQ11" i="18"/>
  <c r="DP10" i="18"/>
  <c r="DP9" i="18"/>
  <c r="DJ11" i="1"/>
  <c r="DI68" i="1"/>
  <c r="DI9" i="1"/>
  <c r="DI10" i="1"/>
  <c r="DJ54" i="1" l="1"/>
  <c r="DQ30" i="18"/>
  <c r="DQ10" i="18"/>
  <c r="DR11" i="18"/>
  <c r="DQ9" i="18"/>
  <c r="DK11" i="1"/>
  <c r="DJ68" i="1"/>
  <c r="DJ9" i="1"/>
  <c r="DJ10" i="1"/>
  <c r="DK54" i="1" l="1"/>
  <c r="DR30" i="18"/>
  <c r="DS11" i="18"/>
  <c r="DR9" i="18"/>
  <c r="DR10" i="18"/>
  <c r="DL11" i="1"/>
  <c r="DK68" i="1"/>
  <c r="DK9" i="1"/>
  <c r="DK10" i="1"/>
  <c r="DL54" i="1" l="1"/>
  <c r="DS30" i="18"/>
  <c r="DT11" i="18"/>
  <c r="DS10" i="18"/>
  <c r="DS9" i="18"/>
  <c r="DM11" i="1"/>
  <c r="DL68" i="1"/>
  <c r="DL9" i="1"/>
  <c r="DL10" i="1"/>
  <c r="DM54" i="1" l="1"/>
  <c r="DT30" i="18"/>
  <c r="DU11" i="18"/>
  <c r="DT10" i="18"/>
  <c r="DT9" i="18"/>
  <c r="DN11" i="1"/>
  <c r="DM68" i="1"/>
  <c r="DM9" i="1"/>
  <c r="DM10" i="1"/>
  <c r="DN54" i="1" l="1"/>
  <c r="DU30" i="18"/>
  <c r="DU9" i="18"/>
  <c r="DU10" i="18"/>
  <c r="DV11" i="18"/>
  <c r="DO11" i="1"/>
  <c r="DN68" i="1"/>
  <c r="DN9" i="1"/>
  <c r="DN10" i="1"/>
  <c r="DO54" i="1" l="1"/>
  <c r="DV30" i="18"/>
  <c r="DW11" i="18"/>
  <c r="DV9" i="18"/>
  <c r="DV10" i="18"/>
  <c r="DP11" i="1"/>
  <c r="DO9" i="1"/>
  <c r="DO68" i="1"/>
  <c r="DO10" i="1"/>
  <c r="DP54" i="1" l="1"/>
  <c r="DX11" i="18"/>
  <c r="DW30" i="18"/>
  <c r="DW10" i="18"/>
  <c r="DW9" i="18"/>
  <c r="DQ11" i="1"/>
  <c r="DP68" i="1"/>
  <c r="DP9" i="1"/>
  <c r="DP10" i="1"/>
  <c r="DQ54" i="1" l="1"/>
  <c r="DX30" i="18"/>
  <c r="DY11" i="18"/>
  <c r="DX9" i="18"/>
  <c r="DX10" i="18"/>
  <c r="DR11" i="1"/>
  <c r="DQ68" i="1"/>
  <c r="DQ9" i="1"/>
  <c r="DQ10" i="1"/>
  <c r="DR54" i="1" l="1"/>
  <c r="DY30" i="18"/>
  <c r="DY9" i="18"/>
  <c r="DY10" i="18"/>
  <c r="DZ11" i="18"/>
  <c r="DS11" i="1"/>
  <c r="DR9" i="1"/>
  <c r="DR68" i="1"/>
  <c r="DR10" i="1"/>
  <c r="DS54" i="1" l="1"/>
  <c r="DZ30" i="18"/>
  <c r="DZ9" i="18"/>
  <c r="DZ10" i="18"/>
  <c r="EA11" i="18"/>
  <c r="DT11" i="1"/>
  <c r="DS68" i="1"/>
  <c r="DS9" i="1"/>
  <c r="DS10" i="1"/>
  <c r="DT54" i="1" l="1"/>
  <c r="EA30" i="18"/>
  <c r="EB11" i="18"/>
  <c r="EA10" i="18"/>
  <c r="EA9" i="18"/>
  <c r="DU11" i="1"/>
  <c r="DT68" i="1"/>
  <c r="DT9" i="1"/>
  <c r="DT10" i="1"/>
  <c r="DU54" i="1" l="1"/>
  <c r="EB30" i="18"/>
  <c r="EC11" i="18"/>
  <c r="EB10" i="18"/>
  <c r="EB9" i="18"/>
  <c r="DV11" i="1"/>
  <c r="DU68" i="1"/>
  <c r="DU9" i="1"/>
  <c r="DU10" i="1"/>
  <c r="DV54" i="1" l="1"/>
  <c r="EC30" i="18"/>
  <c r="EC10" i="18"/>
  <c r="ED11" i="18"/>
  <c r="EC9" i="18"/>
  <c r="DW11" i="1"/>
  <c r="DV68" i="1"/>
  <c r="DV9" i="1"/>
  <c r="DV10" i="1"/>
  <c r="DW54" i="1" l="1"/>
  <c r="ED30" i="18"/>
  <c r="EE11" i="18"/>
  <c r="ED9" i="18"/>
  <c r="ED10" i="18"/>
  <c r="DX11" i="1"/>
  <c r="DW9" i="1"/>
  <c r="DW68" i="1"/>
  <c r="DW10" i="1"/>
  <c r="DX54" i="1" l="1"/>
  <c r="EE30" i="18"/>
  <c r="EF11" i="18"/>
  <c r="EE9" i="18"/>
  <c r="EE10" i="18"/>
  <c r="DY11" i="1"/>
  <c r="DX68" i="1"/>
  <c r="DX9" i="1"/>
  <c r="DX10" i="1"/>
  <c r="DY54" i="1" l="1"/>
  <c r="EF30" i="18"/>
  <c r="EG11" i="18"/>
  <c r="EF9" i="18"/>
  <c r="EF10" i="18"/>
  <c r="DZ11" i="1"/>
  <c r="DY68" i="1"/>
  <c r="DY9" i="1"/>
  <c r="DY10" i="1"/>
  <c r="NV25" i="1" a="1"/>
  <c r="NV21" i="1" a="1"/>
  <c r="NW21" i="1" a="1"/>
  <c r="NW23" i="1" a="1"/>
  <c r="NW19" i="1" a="1"/>
  <c r="NW25" i="1" a="1"/>
  <c r="NV53" i="1" a="1"/>
  <c r="NW53" i="1" a="1"/>
  <c r="NV27" i="1" a="1"/>
  <c r="NV29" i="1" a="1"/>
  <c r="NW27" i="1" a="1"/>
  <c r="NW29" i="1" a="1"/>
  <c r="NW15" i="1" a="1"/>
  <c r="NV15" i="1" a="1"/>
  <c r="NV19" i="1" a="1"/>
  <c r="NV23" i="1" a="1"/>
  <c r="NV25" i="1" l="1"/>
  <c r="NW53" i="1"/>
  <c r="NV19" i="1"/>
  <c r="NW27" i="1"/>
  <c r="NV29" i="1"/>
  <c r="CE12" i="6" s="1"/>
  <c r="NW15" i="1"/>
  <c r="NW29" i="1"/>
  <c r="CF12" i="6" s="1"/>
  <c r="NW23" i="1"/>
  <c r="NV53" i="1"/>
  <c r="NV21" i="1"/>
  <c r="NV27" i="1"/>
  <c r="NW19" i="1"/>
  <c r="NW25" i="1"/>
  <c r="NV23" i="1"/>
  <c r="NV15" i="1"/>
  <c r="NW21" i="1"/>
  <c r="DZ54" i="1"/>
  <c r="EG30" i="18"/>
  <c r="EG9" i="18"/>
  <c r="EH11" i="18"/>
  <c r="EG10" i="18"/>
  <c r="AL27" i="6"/>
  <c r="AY27" i="6"/>
  <c r="AL24" i="6"/>
  <c r="AY24" i="6"/>
  <c r="AL25" i="6"/>
  <c r="AY25" i="6"/>
  <c r="AY26" i="6"/>
  <c r="AL26" i="6"/>
  <c r="EA11" i="1"/>
  <c r="DZ68" i="1"/>
  <c r="DZ9" i="1"/>
  <c r="DZ10" i="1"/>
  <c r="CF6" i="6" l="1"/>
  <c r="CE6" i="6"/>
  <c r="EA54" i="1"/>
  <c r="EH30" i="18"/>
  <c r="EH9" i="18"/>
  <c r="EI11" i="18"/>
  <c r="EH10" i="18"/>
  <c r="AY33" i="6"/>
  <c r="AL33" i="6"/>
  <c r="EB11" i="1"/>
  <c r="EA68" i="1"/>
  <c r="EA9" i="1"/>
  <c r="EA10" i="1"/>
  <c r="EB54" i="1" l="1"/>
  <c r="EJ11" i="18"/>
  <c r="EI10" i="18"/>
  <c r="EI30" i="18"/>
  <c r="EI9" i="18"/>
  <c r="EC11" i="1"/>
  <c r="EB68" i="1"/>
  <c r="EB9" i="1"/>
  <c r="EB10" i="1"/>
  <c r="EC54" i="1" l="1"/>
  <c r="EJ30" i="18"/>
  <c r="EK11" i="18"/>
  <c r="EJ10" i="18"/>
  <c r="EJ9" i="18"/>
  <c r="ED11" i="1"/>
  <c r="EC68" i="1"/>
  <c r="EC9" i="1"/>
  <c r="EC10" i="1"/>
  <c r="ED54" i="1" l="1"/>
  <c r="EK30" i="18"/>
  <c r="EL11" i="18"/>
  <c r="EK10" i="18"/>
  <c r="EK9" i="18"/>
  <c r="EE11" i="1"/>
  <c r="ED68" i="1"/>
  <c r="ED9" i="1"/>
  <c r="ED10" i="1"/>
  <c r="EE54" i="1" l="1"/>
  <c r="EL30" i="18"/>
  <c r="EM11" i="18"/>
  <c r="EL10" i="18"/>
  <c r="EL9" i="18"/>
  <c r="EF11" i="1"/>
  <c r="EE9" i="1"/>
  <c r="EE68" i="1"/>
  <c r="EE10" i="1"/>
  <c r="EF54" i="1" l="1"/>
  <c r="EN11" i="18"/>
  <c r="EM30" i="18"/>
  <c r="EM10" i="18"/>
  <c r="EM9" i="18"/>
  <c r="EG11" i="1"/>
  <c r="EF68" i="1"/>
  <c r="EF9" i="1"/>
  <c r="EF10" i="1"/>
  <c r="EG54" i="1" l="1"/>
  <c r="EN30" i="18"/>
  <c r="EO11" i="18"/>
  <c r="EN9" i="18"/>
  <c r="EN10" i="18"/>
  <c r="EH11" i="1"/>
  <c r="EG68" i="1"/>
  <c r="EG9" i="1"/>
  <c r="EG10" i="1"/>
  <c r="EH54" i="1" l="1"/>
  <c r="EO30" i="18"/>
  <c r="EP11" i="18"/>
  <c r="EO9" i="18"/>
  <c r="EO10" i="18"/>
  <c r="EI11" i="1"/>
  <c r="EH68" i="1"/>
  <c r="EH9" i="1"/>
  <c r="EH10" i="1"/>
  <c r="EI54" i="1" l="1"/>
  <c r="EP30" i="18"/>
  <c r="EP9" i="18"/>
  <c r="EP10" i="18"/>
  <c r="EQ11" i="18"/>
  <c r="EJ11" i="1"/>
  <c r="EI68" i="1"/>
  <c r="EI9" i="1"/>
  <c r="EI10" i="1"/>
  <c r="EJ54" i="1" l="1"/>
  <c r="EQ30" i="18"/>
  <c r="ER11" i="18"/>
  <c r="EQ10" i="18"/>
  <c r="EQ9" i="18"/>
  <c r="EK11" i="1"/>
  <c r="EJ68" i="1"/>
  <c r="EJ9" i="1"/>
  <c r="EJ10" i="1"/>
  <c r="EK54" i="1" l="1"/>
  <c r="ER30" i="18"/>
  <c r="ES11" i="18"/>
  <c r="ER10" i="18"/>
  <c r="ER9" i="18"/>
  <c r="EL11" i="1"/>
  <c r="EK68" i="1"/>
  <c r="EK9" i="1"/>
  <c r="EK10" i="1"/>
  <c r="EL54" i="1" l="1"/>
  <c r="ES30" i="18"/>
  <c r="ES10" i="18"/>
  <c r="ES9" i="18"/>
  <c r="ET11" i="18"/>
  <c r="EM11" i="1"/>
  <c r="EL68" i="1"/>
  <c r="EL9" i="1"/>
  <c r="EL10" i="1"/>
  <c r="EM54" i="1" l="1"/>
  <c r="ET30" i="18"/>
  <c r="EU11" i="18"/>
  <c r="ET9" i="18"/>
  <c r="ET10" i="18"/>
  <c r="EN11" i="1"/>
  <c r="EM9" i="1"/>
  <c r="EM68" i="1"/>
  <c r="EM10" i="1"/>
  <c r="EN54" i="1" l="1"/>
  <c r="EU30" i="18"/>
  <c r="EV11" i="18"/>
  <c r="EU10" i="18"/>
  <c r="EU9" i="18"/>
  <c r="EO11" i="1"/>
  <c r="EN68" i="1"/>
  <c r="EN9" i="1"/>
  <c r="EN10" i="1"/>
  <c r="EO54" i="1" l="1"/>
  <c r="EV30" i="18"/>
  <c r="EW11" i="18"/>
  <c r="EV10" i="18"/>
  <c r="EV9" i="18"/>
  <c r="EP11" i="1"/>
  <c r="EO68" i="1"/>
  <c r="EO9" i="1"/>
  <c r="EO10" i="1"/>
  <c r="EP54" i="1" l="1"/>
  <c r="EW30" i="18"/>
  <c r="EW10" i="18"/>
  <c r="EW9" i="18"/>
  <c r="EX11" i="18"/>
  <c r="EQ11" i="1"/>
  <c r="EP68" i="1"/>
  <c r="EP9" i="1"/>
  <c r="EP10" i="1"/>
  <c r="EQ54" i="1" l="1"/>
  <c r="EX30" i="18"/>
  <c r="EX9" i="18"/>
  <c r="EY11" i="18"/>
  <c r="EX10" i="18"/>
  <c r="ER11" i="1"/>
  <c r="EQ68" i="1"/>
  <c r="EQ9" i="1"/>
  <c r="EQ10" i="1"/>
  <c r="ER54" i="1" l="1"/>
  <c r="EY30" i="18"/>
  <c r="EZ11" i="18"/>
  <c r="EY10" i="18"/>
  <c r="EY9" i="18"/>
  <c r="ES11" i="1"/>
  <c r="ER68" i="1"/>
  <c r="ER9" i="1"/>
  <c r="ER10" i="1"/>
  <c r="ES54" i="1" l="1"/>
  <c r="EZ30" i="18"/>
  <c r="FA11" i="18"/>
  <c r="EZ10" i="18"/>
  <c r="EZ9" i="18"/>
  <c r="ET11" i="1"/>
  <c r="ES68" i="1"/>
  <c r="ES9" i="1"/>
  <c r="ES10" i="1"/>
  <c r="ET54" i="1" l="1"/>
  <c r="FA30" i="18"/>
  <c r="FB11" i="18"/>
  <c r="FA9" i="18"/>
  <c r="FA10" i="18"/>
  <c r="EU11" i="1"/>
  <c r="ET68" i="1"/>
  <c r="ET9" i="1"/>
  <c r="ET10" i="1"/>
  <c r="EU54" i="1" l="1"/>
  <c r="FB30" i="18"/>
  <c r="FC11" i="18"/>
  <c r="FB9" i="18"/>
  <c r="FB10" i="18"/>
  <c r="EV11" i="1"/>
  <c r="EU9" i="1"/>
  <c r="EU68" i="1"/>
  <c r="EU10" i="1"/>
  <c r="EV54" i="1" l="1"/>
  <c r="FC30" i="18"/>
  <c r="FD11" i="18"/>
  <c r="FC10" i="18"/>
  <c r="FC9" i="18"/>
  <c r="EW11" i="1"/>
  <c r="EV68" i="1"/>
  <c r="EV9" i="1"/>
  <c r="EV10" i="1"/>
  <c r="EW54" i="1" l="1"/>
  <c r="FD30" i="18"/>
  <c r="FE11" i="18"/>
  <c r="FD9" i="18"/>
  <c r="FD10" i="18"/>
  <c r="EX11" i="1"/>
  <c r="EW68" i="1"/>
  <c r="EW9" i="1"/>
  <c r="EW10" i="1"/>
  <c r="EX54" i="1" l="1"/>
  <c r="FE30" i="18"/>
  <c r="FE9" i="18"/>
  <c r="FF11" i="18"/>
  <c r="FE10" i="18"/>
  <c r="EY11" i="1"/>
  <c r="EX68" i="1"/>
  <c r="EX9" i="1"/>
  <c r="EX10" i="1"/>
  <c r="EY54" i="1" l="1"/>
  <c r="FF30" i="18"/>
  <c r="FF9" i="18"/>
  <c r="FG11" i="18"/>
  <c r="FF10" i="18"/>
  <c r="EZ11" i="1"/>
  <c r="EY68" i="1"/>
  <c r="EY9" i="1"/>
  <c r="EY10" i="1"/>
  <c r="EZ54" i="1" l="1"/>
  <c r="FG30" i="18"/>
  <c r="FH11" i="18"/>
  <c r="FG10" i="18"/>
  <c r="FG9" i="18"/>
  <c r="FA11" i="1"/>
  <c r="EZ68" i="1"/>
  <c r="EZ9" i="1"/>
  <c r="EZ10" i="1"/>
  <c r="FA54" i="1" l="1"/>
  <c r="FH30" i="18"/>
  <c r="FI11" i="18"/>
  <c r="FH10" i="18"/>
  <c r="FH9" i="18"/>
  <c r="FB11" i="1"/>
  <c r="FA68" i="1"/>
  <c r="FA9" i="1"/>
  <c r="FA10" i="1"/>
  <c r="FB54" i="1" l="1"/>
  <c r="FI30" i="18"/>
  <c r="FJ11" i="18"/>
  <c r="FI10" i="18"/>
  <c r="FI9" i="18"/>
  <c r="FC11" i="1"/>
  <c r="FB68" i="1"/>
  <c r="FB9" i="1"/>
  <c r="FB10" i="1"/>
  <c r="FC54" i="1" l="1"/>
  <c r="FJ30" i="18"/>
  <c r="FK11" i="18"/>
  <c r="FJ9" i="18"/>
  <c r="FJ10" i="18"/>
  <c r="FD11" i="1"/>
  <c r="FC9" i="1"/>
  <c r="FC68" i="1"/>
  <c r="FC10" i="1"/>
  <c r="FD54" i="1" l="1"/>
  <c r="FK30" i="18"/>
  <c r="FL11" i="18"/>
  <c r="FK9" i="18"/>
  <c r="FK10" i="18"/>
  <c r="FE11" i="1"/>
  <c r="FD68" i="1"/>
  <c r="FD9" i="1"/>
  <c r="FD10" i="1"/>
  <c r="NY29" i="1" a="1"/>
  <c r="NY53" i="1" a="1"/>
  <c r="NX19" i="1" a="1"/>
  <c r="NY19" i="1" a="1"/>
  <c r="NY21" i="1" a="1"/>
  <c r="NX53" i="1" a="1"/>
  <c r="NX25" i="1" a="1"/>
  <c r="NY25" i="1" a="1"/>
  <c r="NX29" i="1" a="1"/>
  <c r="NY23" i="1" a="1"/>
  <c r="NY15" i="1" a="1"/>
  <c r="NX21" i="1" a="1"/>
  <c r="NX23" i="1" a="1"/>
  <c r="NX27" i="1" a="1"/>
  <c r="NY27" i="1" a="1"/>
  <c r="NX15" i="1" a="1"/>
  <c r="NX27" i="1" l="1"/>
  <c r="NY23" i="1"/>
  <c r="NY53" i="1"/>
  <c r="NX19" i="1"/>
  <c r="NY27" i="1"/>
  <c r="NX29" i="1"/>
  <c r="CJ12" i="6" s="1"/>
  <c r="NY21" i="1"/>
  <c r="NX25" i="1"/>
  <c r="NY19" i="1"/>
  <c r="NX15" i="1"/>
  <c r="NX23" i="1"/>
  <c r="NY29" i="1"/>
  <c r="CK12" i="6" s="1"/>
  <c r="NX53" i="1"/>
  <c r="NX21" i="1"/>
  <c r="NY15" i="1"/>
  <c r="NY25" i="1"/>
  <c r="FE54" i="1"/>
  <c r="FL30" i="18"/>
  <c r="FM11" i="18"/>
  <c r="FL9" i="18"/>
  <c r="FL10" i="18"/>
  <c r="AZ25" i="6"/>
  <c r="AM25" i="6"/>
  <c r="AZ24" i="6"/>
  <c r="AM24" i="6"/>
  <c r="AZ27" i="6"/>
  <c r="AM27" i="6"/>
  <c r="AM26" i="6"/>
  <c r="AZ26" i="6"/>
  <c r="FF11" i="1"/>
  <c r="FE68" i="1"/>
  <c r="FE9" i="1"/>
  <c r="FE10" i="1"/>
  <c r="CK6" i="6" l="1"/>
  <c r="CJ6" i="6"/>
  <c r="FF54" i="1"/>
  <c r="FM30" i="18"/>
  <c r="FM9" i="18"/>
  <c r="FM10" i="18"/>
  <c r="FN11" i="18"/>
  <c r="AM33" i="6"/>
  <c r="AZ33" i="6"/>
  <c r="FG11" i="1"/>
  <c r="FF68" i="1"/>
  <c r="FF9" i="1"/>
  <c r="FF10" i="1"/>
  <c r="FG54" i="1" l="1"/>
  <c r="FN30" i="18"/>
  <c r="FN9" i="18"/>
  <c r="FN10" i="18"/>
  <c r="FO11" i="18"/>
  <c r="FH11" i="1"/>
  <c r="FG68" i="1"/>
  <c r="FG9" i="1"/>
  <c r="FG10" i="1"/>
  <c r="FH54" i="1" l="1"/>
  <c r="FO30" i="18"/>
  <c r="FP11" i="18"/>
  <c r="FO10" i="18"/>
  <c r="FO9" i="18"/>
  <c r="FI11" i="1"/>
  <c r="FH68" i="1"/>
  <c r="FH9" i="1"/>
  <c r="FH10" i="1"/>
  <c r="FI54" i="1" l="1"/>
  <c r="FP30" i="18"/>
  <c r="FQ11" i="18"/>
  <c r="FP10" i="18"/>
  <c r="FP9" i="18"/>
  <c r="FJ11" i="1"/>
  <c r="FI68" i="1"/>
  <c r="FI9" i="1"/>
  <c r="FI10" i="1"/>
  <c r="FJ54" i="1" l="1"/>
  <c r="FQ30" i="18"/>
  <c r="FQ10" i="18"/>
  <c r="FR11" i="18"/>
  <c r="FQ9" i="18"/>
  <c r="FK11" i="1"/>
  <c r="FJ68" i="1"/>
  <c r="FJ9" i="1"/>
  <c r="FJ10" i="1"/>
  <c r="FK54" i="1" l="1"/>
  <c r="FR30" i="18"/>
  <c r="FS11" i="18"/>
  <c r="FR10" i="18"/>
  <c r="FR9" i="18"/>
  <c r="FL11" i="1"/>
  <c r="FK9" i="1"/>
  <c r="FK68" i="1"/>
  <c r="FK10" i="1"/>
  <c r="FL54" i="1" l="1"/>
  <c r="FS30" i="18"/>
  <c r="FT11" i="18"/>
  <c r="FS10" i="18"/>
  <c r="FS9" i="18"/>
  <c r="FM11" i="1"/>
  <c r="FL68" i="1"/>
  <c r="FL9" i="1"/>
  <c r="FL10" i="1"/>
  <c r="FM54" i="1" l="1"/>
  <c r="FT30" i="18"/>
  <c r="FU11" i="18"/>
  <c r="FT9" i="18"/>
  <c r="FT10" i="18"/>
  <c r="FN11" i="1"/>
  <c r="FM68" i="1"/>
  <c r="FM9" i="1"/>
  <c r="FM10" i="1"/>
  <c r="FN54" i="1" l="1"/>
  <c r="FU30" i="18"/>
  <c r="FU9" i="18"/>
  <c r="FV11" i="18"/>
  <c r="FU10" i="18"/>
  <c r="FO11" i="1"/>
  <c r="FN68" i="1"/>
  <c r="FN9" i="1"/>
  <c r="FN10" i="1"/>
  <c r="FO54" i="1" l="1"/>
  <c r="FV30" i="18"/>
  <c r="FV9" i="18"/>
  <c r="FW11" i="18"/>
  <c r="FV10" i="18"/>
  <c r="FP11" i="1"/>
  <c r="FO68" i="1"/>
  <c r="FO9" i="1"/>
  <c r="FO10" i="1"/>
  <c r="FP54" i="1" l="1"/>
  <c r="FW30" i="18"/>
  <c r="FX11" i="18"/>
  <c r="FW10" i="18"/>
  <c r="FW9" i="18"/>
  <c r="FQ11" i="1"/>
  <c r="FP9" i="1"/>
  <c r="FP68" i="1"/>
  <c r="FP10" i="1"/>
  <c r="FQ54" i="1" l="1"/>
  <c r="FX30" i="18"/>
  <c r="FY11" i="18"/>
  <c r="FX10" i="18"/>
  <c r="FX9" i="18"/>
  <c r="FR11" i="1"/>
  <c r="FQ68" i="1"/>
  <c r="FQ9" i="1"/>
  <c r="FQ10" i="1"/>
  <c r="FR54" i="1" l="1"/>
  <c r="FY30" i="18"/>
  <c r="FZ11" i="18"/>
  <c r="FY10" i="18"/>
  <c r="FY9" i="18"/>
  <c r="FS11" i="1"/>
  <c r="FR68" i="1"/>
  <c r="FR9" i="1"/>
  <c r="FR10" i="1"/>
  <c r="FS54" i="1" l="1"/>
  <c r="GA11" i="18"/>
  <c r="FZ30" i="18"/>
  <c r="FZ10" i="18"/>
  <c r="FZ9" i="18"/>
  <c r="FT11" i="1"/>
  <c r="FS9" i="1"/>
  <c r="FS68" i="1"/>
  <c r="FS10" i="1"/>
  <c r="FT54" i="1" l="1"/>
  <c r="GA30" i="18"/>
  <c r="GB11" i="18"/>
  <c r="GA10" i="18"/>
  <c r="GA9" i="18"/>
  <c r="FU11" i="1"/>
  <c r="FT68" i="1"/>
  <c r="FT9" i="1"/>
  <c r="FT10" i="1"/>
  <c r="FU54" i="1" l="1"/>
  <c r="GB30" i="18"/>
  <c r="GC11" i="18"/>
  <c r="GB10" i="18"/>
  <c r="GB9" i="18"/>
  <c r="FV11" i="1"/>
  <c r="FU68" i="1"/>
  <c r="FU9" i="1"/>
  <c r="FU10" i="1"/>
  <c r="FV54" i="1" l="1"/>
  <c r="GC30" i="18"/>
  <c r="GD11" i="18"/>
  <c r="GC10" i="18"/>
  <c r="GC9" i="18"/>
  <c r="FW11" i="1"/>
  <c r="FV68" i="1"/>
  <c r="FV9" i="1"/>
  <c r="FV10" i="1"/>
  <c r="FW54" i="1" l="1"/>
  <c r="GD30" i="18"/>
  <c r="GD9" i="18"/>
  <c r="GE11" i="18"/>
  <c r="GD10" i="18"/>
  <c r="FX11" i="1"/>
  <c r="FW68" i="1"/>
  <c r="FW9" i="1"/>
  <c r="FW10" i="1"/>
  <c r="FX54" i="1" l="1"/>
  <c r="GE30" i="18"/>
  <c r="GE10" i="18"/>
  <c r="GF11" i="18"/>
  <c r="GE9" i="18"/>
  <c r="FY11" i="1"/>
  <c r="FX68" i="1"/>
  <c r="FX9" i="1"/>
  <c r="FX10" i="1"/>
  <c r="FY54" i="1" l="1"/>
  <c r="GF30" i="18"/>
  <c r="GF10" i="18"/>
  <c r="GG11" i="18"/>
  <c r="GF9" i="18"/>
  <c r="FZ11" i="1"/>
  <c r="FY68" i="1"/>
  <c r="FY9" i="1"/>
  <c r="FY10" i="1"/>
  <c r="FZ54" i="1" l="1"/>
  <c r="GG30" i="18"/>
  <c r="GH11" i="18"/>
  <c r="GG9" i="18"/>
  <c r="GG10" i="18"/>
  <c r="GA11" i="1"/>
  <c r="FZ68" i="1"/>
  <c r="FZ9" i="1"/>
  <c r="FZ10" i="1"/>
  <c r="GA54" i="1" l="1"/>
  <c r="GH30" i="18"/>
  <c r="GI11" i="18"/>
  <c r="GH9" i="18"/>
  <c r="GH10" i="18"/>
  <c r="GB11" i="1"/>
  <c r="GA9" i="1"/>
  <c r="GA68" i="1"/>
  <c r="GA10" i="1"/>
  <c r="GB54" i="1" l="1"/>
  <c r="GI30" i="18"/>
  <c r="GI9" i="18"/>
  <c r="GI10" i="18"/>
  <c r="GJ11" i="18"/>
  <c r="GC11" i="1"/>
  <c r="GB68" i="1"/>
  <c r="GB9" i="1"/>
  <c r="GB10" i="1"/>
  <c r="GC54" i="1" l="1"/>
  <c r="GJ30" i="18"/>
  <c r="GK11" i="18"/>
  <c r="GJ9" i="18"/>
  <c r="GJ10" i="18"/>
  <c r="GD11" i="1"/>
  <c r="GC68" i="1"/>
  <c r="GC9" i="1"/>
  <c r="GC10" i="1"/>
  <c r="GD54" i="1" l="1"/>
  <c r="GK30" i="18"/>
  <c r="GL11" i="18"/>
  <c r="GK9" i="18"/>
  <c r="GK10" i="18"/>
  <c r="GE11" i="1"/>
  <c r="GD9" i="1"/>
  <c r="GD68" i="1"/>
  <c r="GD10" i="1"/>
  <c r="GE54" i="1" l="1"/>
  <c r="GL30" i="18"/>
  <c r="GM11" i="18"/>
  <c r="GL9" i="18"/>
  <c r="GL10" i="18"/>
  <c r="GF11" i="1"/>
  <c r="GE68" i="1"/>
  <c r="GE9" i="1"/>
  <c r="GE10" i="1"/>
  <c r="D62" i="16" l="1"/>
  <c r="D49" i="16"/>
  <c r="D44" i="16"/>
  <c r="D52" i="16"/>
  <c r="D51" i="16"/>
  <c r="D64" i="16"/>
  <c r="D43" i="16"/>
  <c r="D35" i="16"/>
  <c r="D27" i="16"/>
  <c r="D60" i="16"/>
  <c r="D71" i="16"/>
  <c r="D40" i="16"/>
  <c r="D57" i="16"/>
  <c r="D66" i="16"/>
  <c r="D54" i="16"/>
  <c r="D38" i="16"/>
  <c r="D50" i="16"/>
  <c r="D53" i="16"/>
  <c r="D48" i="16"/>
  <c r="D36" i="16"/>
  <c r="D39" i="16"/>
  <c r="D46" i="16"/>
  <c r="D31" i="16"/>
  <c r="D63" i="16"/>
  <c r="D58" i="16"/>
  <c r="D55" i="16"/>
  <c r="D29" i="16"/>
  <c r="D67" i="16"/>
  <c r="D59" i="16"/>
  <c r="D47" i="16"/>
  <c r="D41" i="16"/>
  <c r="D34" i="16"/>
  <c r="D69" i="16"/>
  <c r="D26" i="16"/>
  <c r="D28" i="16"/>
  <c r="D61" i="16"/>
  <c r="D68" i="16"/>
  <c r="D33" i="16"/>
  <c r="D30" i="16"/>
  <c r="D65" i="16"/>
  <c r="D37" i="16"/>
  <c r="D32" i="16"/>
  <c r="D42" i="16"/>
  <c r="D45" i="16"/>
  <c r="D56" i="16"/>
  <c r="D70" i="16"/>
  <c r="GF54" i="1"/>
  <c r="GM30" i="18"/>
  <c r="GM10" i="18"/>
  <c r="GN11" i="18"/>
  <c r="GM9" i="18"/>
  <c r="GG11" i="1"/>
  <c r="GF68" i="1"/>
  <c r="GF9" i="1"/>
  <c r="GF10" i="1"/>
  <c r="AN65" i="16" l="1"/>
  <c r="AM65" i="16"/>
  <c r="L65" i="16"/>
  <c r="W65" i="16"/>
  <c r="AC65" i="16"/>
  <c r="P65" i="16"/>
  <c r="AI65" i="16"/>
  <c r="N65" i="16"/>
  <c r="Q65" i="16"/>
  <c r="AH65" i="16"/>
  <c r="AE65" i="16"/>
  <c r="Z65" i="16"/>
  <c r="AG65" i="16"/>
  <c r="S65" i="16"/>
  <c r="M65" i="16"/>
  <c r="AK65" i="16"/>
  <c r="X65" i="16"/>
  <c r="H65" i="16"/>
  <c r="AA65" i="16"/>
  <c r="AB65" i="16"/>
  <c r="F65" i="16"/>
  <c r="R65" i="16"/>
  <c r="V65" i="16"/>
  <c r="T65" i="16"/>
  <c r="AF65" i="16"/>
  <c r="G65" i="16"/>
  <c r="O65" i="16"/>
  <c r="U65" i="16"/>
  <c r="AJ65" i="16"/>
  <c r="AD65" i="16"/>
  <c r="Y65" i="16"/>
  <c r="AL65" i="16"/>
  <c r="K65" i="16"/>
  <c r="I65" i="16"/>
  <c r="J65" i="16"/>
  <c r="AP65" i="16"/>
  <c r="AO65" i="16"/>
  <c r="AZ65" i="16"/>
  <c r="AY65" i="16"/>
  <c r="AS65" i="16"/>
  <c r="AR65" i="16"/>
  <c r="AT65" i="16"/>
  <c r="AU65" i="16"/>
  <c r="BA65" i="16"/>
  <c r="AX65" i="16"/>
  <c r="AW65" i="16"/>
  <c r="AV65" i="16"/>
  <c r="AQ65" i="16"/>
  <c r="V35" i="16"/>
  <c r="N35" i="16"/>
  <c r="AK35" i="16"/>
  <c r="AC35" i="16"/>
  <c r="G35" i="16"/>
  <c r="M35" i="16"/>
  <c r="AE35" i="16"/>
  <c r="U35" i="16"/>
  <c r="AM35" i="16"/>
  <c r="O35" i="16"/>
  <c r="F35" i="16"/>
  <c r="AL35" i="16"/>
  <c r="T35" i="16"/>
  <c r="R35" i="16"/>
  <c r="X35" i="16"/>
  <c r="J35" i="16"/>
  <c r="P35" i="16"/>
  <c r="W35" i="16"/>
  <c r="L35" i="16"/>
  <c r="AA35" i="16"/>
  <c r="Y35" i="16"/>
  <c r="S35" i="16"/>
  <c r="Q35" i="16"/>
  <c r="I35" i="16"/>
  <c r="AJ35" i="16"/>
  <c r="AN35" i="16"/>
  <c r="AG35" i="16"/>
  <c r="AB35" i="16"/>
  <c r="AF35" i="16"/>
  <c r="AI35" i="16"/>
  <c r="H35" i="16"/>
  <c r="K35" i="16"/>
  <c r="AD35" i="16"/>
  <c r="AH35" i="16"/>
  <c r="Z35" i="16"/>
  <c r="AY35" i="16"/>
  <c r="AZ35" i="16"/>
  <c r="AQ35" i="16"/>
  <c r="AS35" i="16"/>
  <c r="AR35" i="16"/>
  <c r="AW35" i="16"/>
  <c r="AT35" i="16"/>
  <c r="AP35" i="16"/>
  <c r="AO35" i="16"/>
  <c r="AU35" i="16"/>
  <c r="AV35" i="16"/>
  <c r="BA35" i="16"/>
  <c r="AX35" i="16"/>
  <c r="T30" i="16"/>
  <c r="P30" i="16"/>
  <c r="AN30" i="16"/>
  <c r="H30" i="16"/>
  <c r="AK30" i="16"/>
  <c r="AJ30" i="16"/>
  <c r="U30" i="16"/>
  <c r="AF30" i="16"/>
  <c r="X30" i="16"/>
  <c r="R30" i="16"/>
  <c r="W30" i="16"/>
  <c r="J30" i="16"/>
  <c r="O30" i="16"/>
  <c r="F30" i="16"/>
  <c r="AI30" i="16"/>
  <c r="AG30" i="16"/>
  <c r="G30" i="16"/>
  <c r="V30" i="16"/>
  <c r="AA30" i="16"/>
  <c r="Y30" i="16"/>
  <c r="AL30" i="16"/>
  <c r="S30" i="16"/>
  <c r="Q30" i="16"/>
  <c r="AH30" i="16"/>
  <c r="AM30" i="16"/>
  <c r="Z30" i="16"/>
  <c r="AE30" i="16"/>
  <c r="I30" i="16"/>
  <c r="M30" i="16"/>
  <c r="L30" i="16"/>
  <c r="AC30" i="16"/>
  <c r="AB30" i="16"/>
  <c r="N30" i="16"/>
  <c r="K30" i="16"/>
  <c r="AD30" i="16"/>
  <c r="AP30" i="16"/>
  <c r="AS30" i="16"/>
  <c r="AW30" i="16"/>
  <c r="AU30" i="16"/>
  <c r="AO30" i="16"/>
  <c r="AZ30" i="16"/>
  <c r="AX30" i="16"/>
  <c r="AT30" i="16"/>
  <c r="AQ30" i="16"/>
  <c r="BA30" i="16"/>
  <c r="AR30" i="16"/>
  <c r="AY30" i="16"/>
  <c r="AV30" i="16"/>
  <c r="T41" i="16"/>
  <c r="AI41" i="16"/>
  <c r="AC41" i="16"/>
  <c r="L41" i="16"/>
  <c r="K41" i="16"/>
  <c r="S41" i="16"/>
  <c r="AK41" i="16"/>
  <c r="AJ41" i="16"/>
  <c r="AH41" i="16"/>
  <c r="AN41" i="16"/>
  <c r="O41" i="16"/>
  <c r="J41" i="16"/>
  <c r="P41" i="16"/>
  <c r="AD41" i="16"/>
  <c r="U41" i="16"/>
  <c r="AG41" i="16"/>
  <c r="H41" i="16"/>
  <c r="V41" i="16"/>
  <c r="Y41" i="16"/>
  <c r="AM41" i="16"/>
  <c r="N41" i="16"/>
  <c r="Q41" i="16"/>
  <c r="AE41" i="16"/>
  <c r="F41" i="16"/>
  <c r="M41" i="16"/>
  <c r="AL41" i="16"/>
  <c r="R41" i="16"/>
  <c r="Z41" i="16"/>
  <c r="I41" i="16"/>
  <c r="AB41" i="16"/>
  <c r="X41" i="16"/>
  <c r="AF41" i="16"/>
  <c r="AA41" i="16"/>
  <c r="W41" i="16"/>
  <c r="G41" i="16"/>
  <c r="AR41" i="16"/>
  <c r="AT41" i="16"/>
  <c r="AQ41" i="16"/>
  <c r="AV41" i="16"/>
  <c r="AP41" i="16"/>
  <c r="AX41" i="16"/>
  <c r="AZ41" i="16"/>
  <c r="AU41" i="16"/>
  <c r="AO41" i="16"/>
  <c r="BA41" i="16"/>
  <c r="AW41" i="16"/>
  <c r="AY41" i="16"/>
  <c r="AS41" i="16"/>
  <c r="Z31" i="16"/>
  <c r="Q31" i="16"/>
  <c r="U31" i="16"/>
  <c r="S31" i="16"/>
  <c r="AE31" i="16"/>
  <c r="F31" i="16"/>
  <c r="AF31" i="16"/>
  <c r="G31" i="16"/>
  <c r="T31" i="16"/>
  <c r="X31" i="16"/>
  <c r="AL31" i="16"/>
  <c r="L31" i="16"/>
  <c r="R31" i="16"/>
  <c r="AI31" i="16"/>
  <c r="AH31" i="16"/>
  <c r="J31" i="16"/>
  <c r="P31" i="16"/>
  <c r="AD31" i="16"/>
  <c r="I31" i="16"/>
  <c r="H31" i="16"/>
  <c r="AM31" i="16"/>
  <c r="AG31" i="16"/>
  <c r="O31" i="16"/>
  <c r="K31" i="16"/>
  <c r="M31" i="16"/>
  <c r="Y31" i="16"/>
  <c r="AK31" i="16"/>
  <c r="V31" i="16"/>
  <c r="AA31" i="16"/>
  <c r="AC31" i="16"/>
  <c r="AN31" i="16"/>
  <c r="W31" i="16"/>
  <c r="N31" i="16"/>
  <c r="AJ31" i="16"/>
  <c r="AB31" i="16"/>
  <c r="AY31" i="16"/>
  <c r="AX31" i="16"/>
  <c r="AU31" i="16"/>
  <c r="AQ31" i="16"/>
  <c r="AT31" i="16"/>
  <c r="AP31" i="16"/>
  <c r="AZ31" i="16"/>
  <c r="AS31" i="16"/>
  <c r="AR31" i="16"/>
  <c r="AV31" i="16"/>
  <c r="BA31" i="16"/>
  <c r="AW31" i="16"/>
  <c r="AO31" i="16"/>
  <c r="AE54" i="16"/>
  <c r="AD54" i="16"/>
  <c r="U54" i="16"/>
  <c r="O54" i="16"/>
  <c r="AJ54" i="16"/>
  <c r="R54" i="16"/>
  <c r="M54" i="16"/>
  <c r="F54" i="16"/>
  <c r="W54" i="16"/>
  <c r="AN54" i="16"/>
  <c r="AH54" i="16"/>
  <c r="AM54" i="16"/>
  <c r="K54" i="16"/>
  <c r="Q54" i="16"/>
  <c r="Y54" i="16"/>
  <c r="AA54" i="16"/>
  <c r="AF54" i="16"/>
  <c r="AI54" i="16"/>
  <c r="P54" i="16"/>
  <c r="N54" i="16"/>
  <c r="T54" i="16"/>
  <c r="J54" i="16"/>
  <c r="AK54" i="16"/>
  <c r="AG54" i="16"/>
  <c r="Z54" i="16"/>
  <c r="V54" i="16"/>
  <c r="AC54" i="16"/>
  <c r="X54" i="16"/>
  <c r="L54" i="16"/>
  <c r="S54" i="16"/>
  <c r="AL54" i="16"/>
  <c r="G54" i="16"/>
  <c r="I54" i="16"/>
  <c r="AB54" i="16"/>
  <c r="H54" i="16"/>
  <c r="AW54" i="16"/>
  <c r="AQ54" i="16"/>
  <c r="AS54" i="16"/>
  <c r="AT54" i="16"/>
  <c r="AP54" i="16"/>
  <c r="AV54" i="16"/>
  <c r="BA54" i="16"/>
  <c r="AZ54" i="16"/>
  <c r="AU54" i="16"/>
  <c r="AR54" i="16"/>
  <c r="AX54" i="16"/>
  <c r="AO54" i="16"/>
  <c r="AY54" i="16"/>
  <c r="P43" i="16"/>
  <c r="AC43" i="16"/>
  <c r="K43" i="16"/>
  <c r="T43" i="16"/>
  <c r="AG43" i="16"/>
  <c r="H43" i="16"/>
  <c r="U43" i="16"/>
  <c r="Z43" i="16"/>
  <c r="Y43" i="16"/>
  <c r="AM43" i="16"/>
  <c r="M43" i="16"/>
  <c r="J43" i="16"/>
  <c r="Q43" i="16"/>
  <c r="AE43" i="16"/>
  <c r="AD43" i="16"/>
  <c r="AL43" i="16"/>
  <c r="I43" i="16"/>
  <c r="W43" i="16"/>
  <c r="N43" i="16"/>
  <c r="V43" i="16"/>
  <c r="AF43" i="16"/>
  <c r="G43" i="16"/>
  <c r="L43" i="16"/>
  <c r="X43" i="16"/>
  <c r="AK43" i="16"/>
  <c r="AA43" i="16"/>
  <c r="AN43" i="16"/>
  <c r="O43" i="16"/>
  <c r="S43" i="16"/>
  <c r="AB43" i="16"/>
  <c r="F43" i="16"/>
  <c r="AH43" i="16"/>
  <c r="AJ43" i="16"/>
  <c r="AI43" i="16"/>
  <c r="R43" i="16"/>
  <c r="AR43" i="16"/>
  <c r="AO43" i="16"/>
  <c r="AP43" i="16"/>
  <c r="AX43" i="16"/>
  <c r="BA43" i="16"/>
  <c r="AT43" i="16"/>
  <c r="AZ43" i="16"/>
  <c r="AV43" i="16"/>
  <c r="AY43" i="16"/>
  <c r="AU43" i="16"/>
  <c r="AQ43" i="16"/>
  <c r="AS43" i="16"/>
  <c r="AW43" i="16"/>
  <c r="H47" i="16"/>
  <c r="AC47" i="16"/>
  <c r="AA47" i="16"/>
  <c r="R47" i="16"/>
  <c r="J47" i="16"/>
  <c r="U47" i="16"/>
  <c r="S47" i="16"/>
  <c r="AF47" i="16"/>
  <c r="M47" i="16"/>
  <c r="K47" i="16"/>
  <c r="P47" i="16"/>
  <c r="AK47" i="16"/>
  <c r="AG47" i="16"/>
  <c r="AE47" i="16"/>
  <c r="AB47" i="16"/>
  <c r="Y47" i="16"/>
  <c r="O47" i="16"/>
  <c r="AJ47" i="16"/>
  <c r="L47" i="16"/>
  <c r="I47" i="16"/>
  <c r="N47" i="16"/>
  <c r="AL47" i="16"/>
  <c r="AI47" i="16"/>
  <c r="AH47" i="16"/>
  <c r="Z47" i="16"/>
  <c r="V47" i="16"/>
  <c r="Q47" i="16"/>
  <c r="G47" i="16"/>
  <c r="AD47" i="16"/>
  <c r="W47" i="16"/>
  <c r="F47" i="16"/>
  <c r="AN47" i="16"/>
  <c r="X47" i="16"/>
  <c r="T47" i="16"/>
  <c r="AM47" i="16"/>
  <c r="AV47" i="16"/>
  <c r="AS47" i="16"/>
  <c r="AZ47" i="16"/>
  <c r="AO47" i="16"/>
  <c r="D141" i="16"/>
  <c r="AU47" i="16"/>
  <c r="AX47" i="16"/>
  <c r="D142" i="16"/>
  <c r="AW47" i="16"/>
  <c r="AP47" i="16"/>
  <c r="AT47" i="16"/>
  <c r="AY47" i="16"/>
  <c r="AR47" i="16"/>
  <c r="BA47" i="16"/>
  <c r="AQ47" i="16"/>
  <c r="AE46" i="16"/>
  <c r="F46" i="16"/>
  <c r="S46" i="16"/>
  <c r="W46" i="16"/>
  <c r="AJ46" i="16"/>
  <c r="AH46" i="16"/>
  <c r="AN46" i="16"/>
  <c r="O46" i="16"/>
  <c r="AB46" i="16"/>
  <c r="R46" i="16"/>
  <c r="I46" i="16"/>
  <c r="AF46" i="16"/>
  <c r="G46" i="16"/>
  <c r="T46" i="16"/>
  <c r="AG46" i="16"/>
  <c r="X46" i="16"/>
  <c r="AL46" i="16"/>
  <c r="L46" i="16"/>
  <c r="Q46" i="16"/>
  <c r="H46" i="16"/>
  <c r="V46" i="16"/>
  <c r="U46" i="16"/>
  <c r="M46" i="16"/>
  <c r="J46" i="16"/>
  <c r="AM46" i="16"/>
  <c r="N46" i="16"/>
  <c r="AI46" i="16"/>
  <c r="AK46" i="16"/>
  <c r="Y46" i="16"/>
  <c r="K46" i="16"/>
  <c r="P46" i="16"/>
  <c r="AD46" i="16"/>
  <c r="AA46" i="16"/>
  <c r="AC46" i="16"/>
  <c r="Z46" i="16"/>
  <c r="AV46" i="16"/>
  <c r="AQ46" i="16"/>
  <c r="AO46" i="16"/>
  <c r="AU46" i="16"/>
  <c r="AS46" i="16"/>
  <c r="AZ46" i="16"/>
  <c r="AY46" i="16"/>
  <c r="AR46" i="16"/>
  <c r="BA46" i="16"/>
  <c r="AW46" i="16"/>
  <c r="AX46" i="16"/>
  <c r="AT46" i="16"/>
  <c r="AP46" i="16"/>
  <c r="R66" i="16"/>
  <c r="X66" i="16"/>
  <c r="L66" i="16"/>
  <c r="AE66" i="16"/>
  <c r="G66" i="16"/>
  <c r="J66" i="16"/>
  <c r="P66" i="16"/>
  <c r="AJ66" i="16"/>
  <c r="N66" i="16"/>
  <c r="AG66" i="16"/>
  <c r="H66" i="16"/>
  <c r="V66" i="16"/>
  <c r="AC66" i="16"/>
  <c r="Y66" i="16"/>
  <c r="AL66" i="16"/>
  <c r="K66" i="16"/>
  <c r="F66" i="16"/>
  <c r="Q66" i="16"/>
  <c r="AA66" i="16"/>
  <c r="AM66" i="16"/>
  <c r="AD66" i="16"/>
  <c r="AH66" i="16"/>
  <c r="AN66" i="16"/>
  <c r="AK66" i="16"/>
  <c r="AI66" i="16"/>
  <c r="U66" i="16"/>
  <c r="Z66" i="16"/>
  <c r="AF66" i="16"/>
  <c r="W66" i="16"/>
  <c r="O66" i="16"/>
  <c r="T66" i="16"/>
  <c r="I66" i="16"/>
  <c r="M66" i="16"/>
  <c r="S66" i="16"/>
  <c r="AB66" i="16"/>
  <c r="X64" i="16"/>
  <c r="S64" i="16"/>
  <c r="T64" i="16"/>
  <c r="AM64" i="16"/>
  <c r="AN64" i="16"/>
  <c r="Q64" i="16"/>
  <c r="N64" i="16"/>
  <c r="O64" i="16"/>
  <c r="L64" i="16"/>
  <c r="P64" i="16"/>
  <c r="AH64" i="16"/>
  <c r="G64" i="16"/>
  <c r="AC64" i="16"/>
  <c r="AJ64" i="16"/>
  <c r="I64" i="16"/>
  <c r="AF64" i="16"/>
  <c r="R64" i="16"/>
  <c r="Y64" i="16"/>
  <c r="AG64" i="16"/>
  <c r="V64" i="16"/>
  <c r="K64" i="16"/>
  <c r="M64" i="16"/>
  <c r="AK64" i="16"/>
  <c r="U64" i="16"/>
  <c r="J64" i="16"/>
  <c r="F64" i="16"/>
  <c r="H64" i="16"/>
  <c r="AB64" i="16"/>
  <c r="AD64" i="16"/>
  <c r="AL64" i="16"/>
  <c r="AA64" i="16"/>
  <c r="AI64" i="16"/>
  <c r="Z64" i="16"/>
  <c r="AE64" i="16"/>
  <c r="W64" i="16"/>
  <c r="U33" i="16"/>
  <c r="M33" i="16"/>
  <c r="L33" i="16"/>
  <c r="AI33" i="16"/>
  <c r="AJ33" i="16"/>
  <c r="S33" i="16"/>
  <c r="AK33" i="16"/>
  <c r="T33" i="16"/>
  <c r="Z33" i="16"/>
  <c r="AF33" i="16"/>
  <c r="G33" i="16"/>
  <c r="AA33" i="16"/>
  <c r="AG33" i="16"/>
  <c r="H33" i="16"/>
  <c r="V33" i="16"/>
  <c r="Y33" i="16"/>
  <c r="AM33" i="16"/>
  <c r="N33" i="16"/>
  <c r="Q33" i="16"/>
  <c r="AE33" i="16"/>
  <c r="F33" i="16"/>
  <c r="W33" i="16"/>
  <c r="AB33" i="16"/>
  <c r="AL33" i="16"/>
  <c r="AH33" i="16"/>
  <c r="O33" i="16"/>
  <c r="R33" i="16"/>
  <c r="J33" i="16"/>
  <c r="AD33" i="16"/>
  <c r="I33" i="16"/>
  <c r="AN33" i="16"/>
  <c r="K33" i="16"/>
  <c r="AC33" i="16"/>
  <c r="X33" i="16"/>
  <c r="P33" i="16"/>
  <c r="F56" i="16"/>
  <c r="AG56" i="16"/>
  <c r="AF56" i="16"/>
  <c r="AH56" i="16"/>
  <c r="O56" i="16"/>
  <c r="R56" i="16"/>
  <c r="N56" i="16"/>
  <c r="AL56" i="16"/>
  <c r="AB56" i="16"/>
  <c r="Q56" i="16"/>
  <c r="L56" i="16"/>
  <c r="S56" i="16"/>
  <c r="AC56" i="16"/>
  <c r="Y56" i="16"/>
  <c r="AM56" i="16"/>
  <c r="J56" i="16"/>
  <c r="P56" i="16"/>
  <c r="V56" i="16"/>
  <c r="AJ56" i="16"/>
  <c r="U56" i="16"/>
  <c r="AA56" i="16"/>
  <c r="T56" i="16"/>
  <c r="AD56" i="16"/>
  <c r="AE56" i="16"/>
  <c r="AN56" i="16"/>
  <c r="Z56" i="16"/>
  <c r="AI56" i="16"/>
  <c r="X56" i="16"/>
  <c r="M56" i="16"/>
  <c r="W56" i="16"/>
  <c r="G56" i="16"/>
  <c r="K56" i="16"/>
  <c r="AK56" i="16"/>
  <c r="H56" i="16"/>
  <c r="I56" i="16"/>
  <c r="AV56" i="16"/>
  <c r="AY56" i="16"/>
  <c r="AR56" i="16"/>
  <c r="AQ56" i="16"/>
  <c r="AZ56" i="16"/>
  <c r="AO56" i="16"/>
  <c r="AW56" i="16"/>
  <c r="BA56" i="16"/>
  <c r="AU56" i="16"/>
  <c r="AX56" i="16"/>
  <c r="AP56" i="16"/>
  <c r="AT56" i="16"/>
  <c r="AS56" i="16"/>
  <c r="O68" i="16"/>
  <c r="AK68" i="16"/>
  <c r="K68" i="16"/>
  <c r="AE68" i="16"/>
  <c r="H68" i="16"/>
  <c r="T68" i="16"/>
  <c r="R68" i="16"/>
  <c r="AD68" i="16"/>
  <c r="M68" i="16"/>
  <c r="L68" i="16"/>
  <c r="J68" i="16"/>
  <c r="P68" i="16"/>
  <c r="AM68" i="16"/>
  <c r="AI68" i="16"/>
  <c r="AF68" i="16"/>
  <c r="AC68" i="16"/>
  <c r="AL68" i="16"/>
  <c r="AA68" i="16"/>
  <c r="I68" i="16"/>
  <c r="S68" i="16"/>
  <c r="Y68" i="16"/>
  <c r="Z68" i="16"/>
  <c r="V68" i="16"/>
  <c r="U68" i="16"/>
  <c r="AG68" i="16"/>
  <c r="G68" i="16"/>
  <c r="Q68" i="16"/>
  <c r="F68" i="16"/>
  <c r="X68" i="16"/>
  <c r="N68" i="16"/>
  <c r="AN68" i="16"/>
  <c r="W68" i="16"/>
  <c r="AJ68" i="16"/>
  <c r="AB68" i="16"/>
  <c r="AH68" i="16"/>
  <c r="BA68" i="16"/>
  <c r="AQ68" i="16"/>
  <c r="AP68" i="16"/>
  <c r="AS68" i="16"/>
  <c r="AT68" i="16"/>
  <c r="AR68" i="16"/>
  <c r="AX68" i="16"/>
  <c r="AV68" i="16"/>
  <c r="AU68" i="16"/>
  <c r="AY68" i="16"/>
  <c r="AW68" i="16"/>
  <c r="AZ68" i="16"/>
  <c r="AO68" i="16"/>
  <c r="O59" i="16"/>
  <c r="T59" i="16"/>
  <c r="R59" i="16"/>
  <c r="G59" i="16"/>
  <c r="AL59" i="16"/>
  <c r="AF59" i="16"/>
  <c r="I59" i="16"/>
  <c r="AM59" i="16"/>
  <c r="AD59" i="16"/>
  <c r="W59" i="16"/>
  <c r="AE59" i="16"/>
  <c r="P59" i="16"/>
  <c r="V59" i="16"/>
  <c r="M59" i="16"/>
  <c r="S59" i="16"/>
  <c r="AK59" i="16"/>
  <c r="N59" i="16"/>
  <c r="AI59" i="16"/>
  <c r="H59" i="16"/>
  <c r="L59" i="16"/>
  <c r="AG59" i="16"/>
  <c r="J59" i="16"/>
  <c r="AB59" i="16"/>
  <c r="K59" i="16"/>
  <c r="X59" i="16"/>
  <c r="AH59" i="16"/>
  <c r="Q59" i="16"/>
  <c r="AC59" i="16"/>
  <c r="AN59" i="16"/>
  <c r="AJ59" i="16"/>
  <c r="U59" i="16"/>
  <c r="AA59" i="16"/>
  <c r="Z59" i="16"/>
  <c r="Y59" i="16"/>
  <c r="F59" i="16"/>
  <c r="AU59" i="16"/>
  <c r="BA59" i="16"/>
  <c r="AP59" i="16"/>
  <c r="AR59" i="16"/>
  <c r="AX59" i="16"/>
  <c r="AV59" i="16"/>
  <c r="AY59" i="16"/>
  <c r="AT59" i="16"/>
  <c r="AO59" i="16"/>
  <c r="AZ59" i="16"/>
  <c r="AQ59" i="16"/>
  <c r="AW59" i="16"/>
  <c r="AS59" i="16"/>
  <c r="R39" i="16"/>
  <c r="AM39" i="16"/>
  <c r="N39" i="16"/>
  <c r="T39" i="16"/>
  <c r="AE39" i="16"/>
  <c r="F39" i="16"/>
  <c r="L39" i="16"/>
  <c r="W39" i="16"/>
  <c r="AK39" i="16"/>
  <c r="Q39" i="16"/>
  <c r="S39" i="16"/>
  <c r="AN39" i="16"/>
  <c r="O39" i="16"/>
  <c r="AC39" i="16"/>
  <c r="AI39" i="16"/>
  <c r="AF39" i="16"/>
  <c r="G39" i="16"/>
  <c r="U39" i="16"/>
  <c r="P39" i="16"/>
  <c r="AD39" i="16"/>
  <c r="AJ39" i="16"/>
  <c r="H39" i="16"/>
  <c r="V39" i="16"/>
  <c r="AB39" i="16"/>
  <c r="Y39" i="16"/>
  <c r="I39" i="16"/>
  <c r="X39" i="16"/>
  <c r="AL39" i="16"/>
  <c r="Z39" i="16"/>
  <c r="M39" i="16"/>
  <c r="J39" i="16"/>
  <c r="AH39" i="16"/>
  <c r="AG39" i="16"/>
  <c r="AA39" i="16"/>
  <c r="K39" i="16"/>
  <c r="AS39" i="16"/>
  <c r="AY39" i="16"/>
  <c r="BA39" i="16"/>
  <c r="AQ39" i="16"/>
  <c r="AU39" i="16"/>
  <c r="AO39" i="16"/>
  <c r="AT39" i="16"/>
  <c r="AZ39" i="16"/>
  <c r="AR39" i="16"/>
  <c r="AW39" i="16"/>
  <c r="AV39" i="16"/>
  <c r="AX39" i="16"/>
  <c r="AP39" i="16"/>
  <c r="W57" i="16"/>
  <c r="V57" i="16"/>
  <c r="U57" i="16"/>
  <c r="G57" i="16"/>
  <c r="N57" i="16"/>
  <c r="H57" i="16"/>
  <c r="AB57" i="16"/>
  <c r="AC57" i="16"/>
  <c r="F57" i="16"/>
  <c r="AI57" i="16"/>
  <c r="T57" i="16"/>
  <c r="S57" i="16"/>
  <c r="AA57" i="16"/>
  <c r="M57" i="16"/>
  <c r="L57" i="16"/>
  <c r="J57" i="16"/>
  <c r="P57" i="16"/>
  <c r="AH57" i="16"/>
  <c r="X57" i="16"/>
  <c r="AM57" i="16"/>
  <c r="AF57" i="16"/>
  <c r="AK57" i="16"/>
  <c r="I57" i="16"/>
  <c r="Q57" i="16"/>
  <c r="AN57" i="16"/>
  <c r="Y57" i="16"/>
  <c r="AJ57" i="16"/>
  <c r="AD57" i="16"/>
  <c r="O57" i="16"/>
  <c r="Z57" i="16"/>
  <c r="K57" i="16"/>
  <c r="AG57" i="16"/>
  <c r="AL57" i="16"/>
  <c r="R57" i="16"/>
  <c r="AE57" i="16"/>
  <c r="AV57" i="16"/>
  <c r="AO57" i="16"/>
  <c r="AR57" i="16"/>
  <c r="AS57" i="16"/>
  <c r="AU57" i="16"/>
  <c r="AY57" i="16"/>
  <c r="AW57" i="16"/>
  <c r="AX57" i="16"/>
  <c r="AQ57" i="16"/>
  <c r="AT57" i="16"/>
  <c r="AP57" i="16"/>
  <c r="BA57" i="16"/>
  <c r="AZ57" i="16"/>
  <c r="AM51" i="16"/>
  <c r="AL51" i="16"/>
  <c r="T51" i="16"/>
  <c r="AF51" i="16"/>
  <c r="Z51" i="16"/>
  <c r="AH51" i="16"/>
  <c r="V51" i="16"/>
  <c r="AG51" i="16"/>
  <c r="H51" i="16"/>
  <c r="W51" i="16"/>
  <c r="J51" i="16"/>
  <c r="Y51" i="16"/>
  <c r="AK51" i="16"/>
  <c r="M51" i="16"/>
  <c r="AC51" i="16"/>
  <c r="Q51" i="16"/>
  <c r="AA51" i="16"/>
  <c r="AE51" i="16"/>
  <c r="G51" i="16"/>
  <c r="I51" i="16"/>
  <c r="O51" i="16"/>
  <c r="U51" i="16"/>
  <c r="AB51" i="16"/>
  <c r="AN51" i="16"/>
  <c r="AD51" i="16"/>
  <c r="P51" i="16"/>
  <c r="X51" i="16"/>
  <c r="F51" i="16"/>
  <c r="AJ51" i="16"/>
  <c r="AI51" i="16"/>
  <c r="N51" i="16"/>
  <c r="R51" i="16"/>
  <c r="S51" i="16"/>
  <c r="K51" i="16"/>
  <c r="L51" i="16"/>
  <c r="AP51" i="16"/>
  <c r="AR51" i="16"/>
  <c r="BA51" i="16"/>
  <c r="AS51" i="16"/>
  <c r="AX51" i="16"/>
  <c r="AV51" i="16"/>
  <c r="AW51" i="16"/>
  <c r="AY51" i="16"/>
  <c r="AU51" i="16"/>
  <c r="AT51" i="16"/>
  <c r="AQ51" i="16"/>
  <c r="AO51" i="16"/>
  <c r="AZ51" i="16"/>
  <c r="X34" i="16"/>
  <c r="R34" i="16"/>
  <c r="G34" i="16"/>
  <c r="U34" i="16"/>
  <c r="S34" i="16"/>
  <c r="Z34" i="16"/>
  <c r="AL34" i="16"/>
  <c r="M34" i="16"/>
  <c r="K34" i="16"/>
  <c r="AD34" i="16"/>
  <c r="AJ34" i="16"/>
  <c r="Y34" i="16"/>
  <c r="V34" i="16"/>
  <c r="AB34" i="16"/>
  <c r="AM34" i="16"/>
  <c r="N34" i="16"/>
  <c r="T34" i="16"/>
  <c r="W34" i="16"/>
  <c r="AK34" i="16"/>
  <c r="AI34" i="16"/>
  <c r="O34" i="16"/>
  <c r="AC34" i="16"/>
  <c r="AA34" i="16"/>
  <c r="H34" i="16"/>
  <c r="F34" i="16"/>
  <c r="I34" i="16"/>
  <c r="AF34" i="16"/>
  <c r="AE34" i="16"/>
  <c r="AN34" i="16"/>
  <c r="P34" i="16"/>
  <c r="J34" i="16"/>
  <c r="L34" i="16"/>
  <c r="AG34" i="16"/>
  <c r="Q34" i="16"/>
  <c r="AH34" i="16"/>
  <c r="AD45" i="16"/>
  <c r="AC45" i="16"/>
  <c r="AA45" i="16"/>
  <c r="Y45" i="16"/>
  <c r="AN45" i="16"/>
  <c r="S45" i="16"/>
  <c r="Q45" i="16"/>
  <c r="K45" i="16"/>
  <c r="I45" i="16"/>
  <c r="Z45" i="16"/>
  <c r="AE45" i="16"/>
  <c r="J45" i="16"/>
  <c r="AG45" i="16"/>
  <c r="V45" i="16"/>
  <c r="O45" i="16"/>
  <c r="U45" i="16"/>
  <c r="G45" i="16"/>
  <c r="AJ45" i="16"/>
  <c r="AI45" i="16"/>
  <c r="X45" i="16"/>
  <c r="T45" i="16"/>
  <c r="AH45" i="16"/>
  <c r="H45" i="16"/>
  <c r="AF45" i="16"/>
  <c r="R45" i="16"/>
  <c r="AL45" i="16"/>
  <c r="P45" i="16"/>
  <c r="W45" i="16"/>
  <c r="N45" i="16"/>
  <c r="F45" i="16"/>
  <c r="M45" i="16"/>
  <c r="AK45" i="16"/>
  <c r="L45" i="16"/>
  <c r="AB45" i="16"/>
  <c r="AM45" i="16"/>
  <c r="R61" i="16"/>
  <c r="M61" i="16"/>
  <c r="T61" i="16"/>
  <c r="J61" i="16"/>
  <c r="AN61" i="16"/>
  <c r="I61" i="16"/>
  <c r="AK61" i="16"/>
  <c r="F61" i="16"/>
  <c r="AF61" i="16"/>
  <c r="AI61" i="16"/>
  <c r="W61" i="16"/>
  <c r="U61" i="16"/>
  <c r="X61" i="16"/>
  <c r="Z61" i="16"/>
  <c r="L61" i="16"/>
  <c r="S61" i="16"/>
  <c r="P61" i="16"/>
  <c r="Q61" i="16"/>
  <c r="AH61" i="16"/>
  <c r="O61" i="16"/>
  <c r="AJ61" i="16"/>
  <c r="AL61" i="16"/>
  <c r="K61" i="16"/>
  <c r="N61" i="16"/>
  <c r="V61" i="16"/>
  <c r="AG61" i="16"/>
  <c r="H61" i="16"/>
  <c r="AA61" i="16"/>
  <c r="G61" i="16"/>
  <c r="Y61" i="16"/>
  <c r="AD61" i="16"/>
  <c r="AE61" i="16"/>
  <c r="AM61" i="16"/>
  <c r="AB61" i="16"/>
  <c r="AC61" i="16"/>
  <c r="AY61" i="16"/>
  <c r="AV61" i="16"/>
  <c r="AU61" i="16"/>
  <c r="AQ61" i="16"/>
  <c r="BA61" i="16"/>
  <c r="AP61" i="16"/>
  <c r="AT61" i="16"/>
  <c r="AZ61" i="16"/>
  <c r="AS61" i="16"/>
  <c r="AR61" i="16"/>
  <c r="AW61" i="16"/>
  <c r="AO61" i="16"/>
  <c r="AX61" i="16"/>
  <c r="AM67" i="16"/>
  <c r="N67" i="16"/>
  <c r="AA67" i="16"/>
  <c r="S67" i="16"/>
  <c r="R67" i="16"/>
  <c r="J67" i="16"/>
  <c r="AE67" i="16"/>
  <c r="F67" i="16"/>
  <c r="P67" i="16"/>
  <c r="AH67" i="16"/>
  <c r="W67" i="16"/>
  <c r="AK67" i="16"/>
  <c r="AN67" i="16"/>
  <c r="K67" i="16"/>
  <c r="O67" i="16"/>
  <c r="AC67" i="16"/>
  <c r="Z67" i="16"/>
  <c r="H67" i="16"/>
  <c r="G67" i="16"/>
  <c r="U67" i="16"/>
  <c r="L67" i="16"/>
  <c r="AI67" i="16"/>
  <c r="AD67" i="16"/>
  <c r="AB67" i="16"/>
  <c r="T67" i="16"/>
  <c r="AF67" i="16"/>
  <c r="V67" i="16"/>
  <c r="Q67" i="16"/>
  <c r="AJ67" i="16"/>
  <c r="Y67" i="16"/>
  <c r="AL67" i="16"/>
  <c r="AG67" i="16"/>
  <c r="X67" i="16"/>
  <c r="I67" i="16"/>
  <c r="M67" i="16"/>
  <c r="AQ67" i="16"/>
  <c r="AW67" i="16"/>
  <c r="AP67" i="16"/>
  <c r="AZ67" i="16"/>
  <c r="AO67" i="16"/>
  <c r="AY67" i="16"/>
  <c r="BA67" i="16"/>
  <c r="AS67" i="16"/>
  <c r="AX67" i="16"/>
  <c r="AV67" i="16"/>
  <c r="AU67" i="16"/>
  <c r="AT67" i="16"/>
  <c r="AR67" i="16"/>
  <c r="AA36" i="16"/>
  <c r="AJ36" i="16"/>
  <c r="AI36" i="16"/>
  <c r="R36" i="16"/>
  <c r="L36" i="16"/>
  <c r="T36" i="16"/>
  <c r="S36" i="16"/>
  <c r="P36" i="16"/>
  <c r="AD36" i="16"/>
  <c r="AG36" i="16"/>
  <c r="H36" i="16"/>
  <c r="V36" i="16"/>
  <c r="Q36" i="16"/>
  <c r="AE36" i="16"/>
  <c r="F36" i="16"/>
  <c r="J36" i="16"/>
  <c r="AH36" i="16"/>
  <c r="I36" i="16"/>
  <c r="W36" i="16"/>
  <c r="AK36" i="16"/>
  <c r="AB36" i="16"/>
  <c r="AN36" i="16"/>
  <c r="AC36" i="16"/>
  <c r="Y36" i="16"/>
  <c r="AF36" i="16"/>
  <c r="U36" i="16"/>
  <c r="Z36" i="16"/>
  <c r="X36" i="16"/>
  <c r="M36" i="16"/>
  <c r="AM36" i="16"/>
  <c r="K36" i="16"/>
  <c r="N36" i="16"/>
  <c r="O36" i="16"/>
  <c r="G36" i="16"/>
  <c r="AL36" i="16"/>
  <c r="AY36" i="16"/>
  <c r="AR36" i="16"/>
  <c r="AP36" i="16"/>
  <c r="AW36" i="16"/>
  <c r="AO36" i="16"/>
  <c r="AX36" i="16"/>
  <c r="AU36" i="16"/>
  <c r="BA36" i="16"/>
  <c r="AS36" i="16"/>
  <c r="AV36" i="16"/>
  <c r="AQ36" i="16"/>
  <c r="AZ36" i="16"/>
  <c r="AT36" i="16"/>
  <c r="AL40" i="16"/>
  <c r="W40" i="16"/>
  <c r="F40" i="16"/>
  <c r="X40" i="16"/>
  <c r="H40" i="16"/>
  <c r="AE40" i="16"/>
  <c r="G40" i="16"/>
  <c r="AD40" i="16"/>
  <c r="AK40" i="16"/>
  <c r="AI40" i="16"/>
  <c r="N40" i="16"/>
  <c r="AC40" i="16"/>
  <c r="AF40" i="16"/>
  <c r="U40" i="16"/>
  <c r="K40" i="16"/>
  <c r="I40" i="16"/>
  <c r="M40" i="16"/>
  <c r="AH40" i="16"/>
  <c r="V40" i="16"/>
  <c r="AB40" i="16"/>
  <c r="R40" i="16"/>
  <c r="AM40" i="16"/>
  <c r="T40" i="16"/>
  <c r="J40" i="16"/>
  <c r="L40" i="16"/>
  <c r="P40" i="16"/>
  <c r="O40" i="16"/>
  <c r="AA40" i="16"/>
  <c r="S40" i="16"/>
  <c r="Z40" i="16"/>
  <c r="AG40" i="16"/>
  <c r="Y40" i="16"/>
  <c r="Q40" i="16"/>
  <c r="AJ40" i="16"/>
  <c r="AN40" i="16"/>
  <c r="AZ40" i="16"/>
  <c r="AT40" i="16"/>
  <c r="AS40" i="16"/>
  <c r="AY40" i="16"/>
  <c r="AP40" i="16"/>
  <c r="BA40" i="16"/>
  <c r="AX40" i="16"/>
  <c r="AO40" i="16"/>
  <c r="AQ40" i="16"/>
  <c r="AW40" i="16"/>
  <c r="AV40" i="16"/>
  <c r="AR40" i="16"/>
  <c r="AU40" i="16"/>
  <c r="G52" i="16"/>
  <c r="AB52" i="16"/>
  <c r="F52" i="16"/>
  <c r="AH52" i="16"/>
  <c r="H52" i="16"/>
  <c r="I52" i="16"/>
  <c r="AA52" i="16"/>
  <c r="U52" i="16"/>
  <c r="AG52" i="16"/>
  <c r="AL52" i="16"/>
  <c r="AN52" i="16"/>
  <c r="M52" i="16"/>
  <c r="T52" i="16"/>
  <c r="P52" i="16"/>
  <c r="AE52" i="16"/>
  <c r="AJ52" i="16"/>
  <c r="J52" i="16"/>
  <c r="AK52" i="16"/>
  <c r="X52" i="16"/>
  <c r="O52" i="16"/>
  <c r="L52" i="16"/>
  <c r="AF52" i="16"/>
  <c r="AI52" i="16"/>
  <c r="K52" i="16"/>
  <c r="V52" i="16"/>
  <c r="AC52" i="16"/>
  <c r="Z52" i="16"/>
  <c r="R52" i="16"/>
  <c r="S52" i="16"/>
  <c r="Q52" i="16"/>
  <c r="W52" i="16"/>
  <c r="N52" i="16"/>
  <c r="Y52" i="16"/>
  <c r="AM52" i="16"/>
  <c r="AD52" i="16"/>
  <c r="AU52" i="16"/>
  <c r="AR52" i="16"/>
  <c r="AP52" i="16"/>
  <c r="AQ52" i="16"/>
  <c r="AY52" i="16"/>
  <c r="AS52" i="16"/>
  <c r="AO52" i="16"/>
  <c r="AZ52" i="16"/>
  <c r="AW52" i="16"/>
  <c r="AV52" i="16"/>
  <c r="AX52" i="16"/>
  <c r="BA52" i="16"/>
  <c r="AT52" i="16"/>
  <c r="AM70" i="16"/>
  <c r="N70" i="16"/>
  <c r="T70" i="16"/>
  <c r="AN70" i="16"/>
  <c r="AE70" i="16"/>
  <c r="F70" i="16"/>
  <c r="L70" i="16"/>
  <c r="I70" i="16"/>
  <c r="W70" i="16"/>
  <c r="AK70" i="16"/>
  <c r="Y70" i="16"/>
  <c r="AI70" i="16"/>
  <c r="O70" i="16"/>
  <c r="AC70" i="16"/>
  <c r="X70" i="16"/>
  <c r="AG70" i="16"/>
  <c r="AH70" i="16"/>
  <c r="G70" i="16"/>
  <c r="U70" i="16"/>
  <c r="S70" i="16"/>
  <c r="AF70" i="16"/>
  <c r="R70" i="16"/>
  <c r="AD70" i="16"/>
  <c r="AJ70" i="16"/>
  <c r="Q70" i="16"/>
  <c r="J70" i="16"/>
  <c r="V70" i="16"/>
  <c r="AB70" i="16"/>
  <c r="P70" i="16"/>
  <c r="M70" i="16"/>
  <c r="Z70" i="16"/>
  <c r="AL70" i="16"/>
  <c r="AA70" i="16"/>
  <c r="K70" i="16"/>
  <c r="H70" i="16"/>
  <c r="AW70" i="16"/>
  <c r="AO70" i="16"/>
  <c r="AV70" i="16"/>
  <c r="AU70" i="16"/>
  <c r="AQ70" i="16"/>
  <c r="AP70" i="16"/>
  <c r="AT70" i="16"/>
  <c r="BA70" i="16"/>
  <c r="AS70" i="16"/>
  <c r="AZ70" i="16"/>
  <c r="AR70" i="16"/>
  <c r="AY70" i="16"/>
  <c r="AX70" i="16"/>
  <c r="R42" i="16"/>
  <c r="Q42" i="16"/>
  <c r="AI42" i="16"/>
  <c r="G42" i="16"/>
  <c r="AC42" i="16"/>
  <c r="AH42" i="16"/>
  <c r="AE42" i="16"/>
  <c r="T42" i="16"/>
  <c r="Z42" i="16"/>
  <c r="V42" i="16"/>
  <c r="L42" i="16"/>
  <c r="AN42" i="16"/>
  <c r="N42" i="16"/>
  <c r="AB42" i="16"/>
  <c r="AF42" i="16"/>
  <c r="F42" i="16"/>
  <c r="S42" i="16"/>
  <c r="Y42" i="16"/>
  <c r="W42" i="16"/>
  <c r="U42" i="16"/>
  <c r="AJ42" i="16"/>
  <c r="O42" i="16"/>
  <c r="M42" i="16"/>
  <c r="X42" i="16"/>
  <c r="AA42" i="16"/>
  <c r="AD42" i="16"/>
  <c r="K42" i="16"/>
  <c r="I42" i="16"/>
  <c r="AK42" i="16"/>
  <c r="AG42" i="16"/>
  <c r="H42" i="16"/>
  <c r="P42" i="16"/>
  <c r="J42" i="16"/>
  <c r="AM42" i="16"/>
  <c r="AL42" i="16"/>
  <c r="AS42" i="16"/>
  <c r="AZ42" i="16"/>
  <c r="AV42" i="16"/>
  <c r="AT42" i="16"/>
  <c r="AQ42" i="16"/>
  <c r="AU42" i="16"/>
  <c r="AW42" i="16"/>
  <c r="AY42" i="16"/>
  <c r="AR42" i="16"/>
  <c r="AX42" i="16"/>
  <c r="BA42" i="16"/>
  <c r="AP42" i="16"/>
  <c r="AO42" i="16"/>
  <c r="AI28" i="16"/>
  <c r="Z28" i="16"/>
  <c r="V28" i="16"/>
  <c r="N28" i="16"/>
  <c r="K28" i="16"/>
  <c r="J28" i="16"/>
  <c r="AL28" i="16"/>
  <c r="F28" i="16"/>
  <c r="AD28" i="16"/>
  <c r="AA28" i="16"/>
  <c r="AB28" i="16"/>
  <c r="L28" i="16"/>
  <c r="AH28" i="16"/>
  <c r="AG28" i="16"/>
  <c r="H28" i="16"/>
  <c r="U28" i="16"/>
  <c r="AJ28" i="16"/>
  <c r="M28" i="16"/>
  <c r="Y28" i="16"/>
  <c r="AM28" i="16"/>
  <c r="R28" i="16"/>
  <c r="I28" i="16"/>
  <c r="W28" i="16"/>
  <c r="AN28" i="16"/>
  <c r="O28" i="16"/>
  <c r="G28" i="16"/>
  <c r="AK28" i="16"/>
  <c r="AC28" i="16"/>
  <c r="Q28" i="16"/>
  <c r="AF28" i="16"/>
  <c r="X28" i="16"/>
  <c r="AE28" i="16"/>
  <c r="S28" i="16"/>
  <c r="P28" i="16"/>
  <c r="T28" i="16"/>
  <c r="AY28" i="16"/>
  <c r="AO28" i="16"/>
  <c r="BA28" i="16"/>
  <c r="AP28" i="16"/>
  <c r="AR28" i="16"/>
  <c r="AQ28" i="16"/>
  <c r="AV28" i="16"/>
  <c r="AW28" i="16"/>
  <c r="AX28" i="16"/>
  <c r="AU28" i="16"/>
  <c r="AS28" i="16"/>
  <c r="AZ28" i="16"/>
  <c r="AT28" i="16"/>
  <c r="AL29" i="16"/>
  <c r="AE29" i="16"/>
  <c r="O29" i="16"/>
  <c r="AA29" i="16"/>
  <c r="K29" i="16"/>
  <c r="Y29" i="16"/>
  <c r="I29" i="16"/>
  <c r="AN29" i="16"/>
  <c r="X29" i="16"/>
  <c r="H29" i="16"/>
  <c r="P29" i="16"/>
  <c r="AM29" i="16"/>
  <c r="W29" i="16"/>
  <c r="G29" i="16"/>
  <c r="AI29" i="16"/>
  <c r="S29" i="16"/>
  <c r="AF29" i="16"/>
  <c r="AG29" i="16"/>
  <c r="Q29" i="16"/>
  <c r="AH29" i="16"/>
  <c r="L29" i="16"/>
  <c r="F29" i="16"/>
  <c r="N29" i="16"/>
  <c r="T29" i="16"/>
  <c r="AJ29" i="16"/>
  <c r="AD29" i="16"/>
  <c r="M29" i="16"/>
  <c r="J29" i="16"/>
  <c r="AB29" i="16"/>
  <c r="R29" i="16"/>
  <c r="V29" i="16"/>
  <c r="Z29" i="16"/>
  <c r="U29" i="16"/>
  <c r="AC29" i="16"/>
  <c r="AK29" i="16"/>
  <c r="AY29" i="16"/>
  <c r="AV29" i="16"/>
  <c r="AZ29" i="16"/>
  <c r="AR29" i="16"/>
  <c r="AQ29" i="16"/>
  <c r="AU29" i="16"/>
  <c r="AO29" i="16"/>
  <c r="AW29" i="16"/>
  <c r="AS29" i="16"/>
  <c r="AT29" i="16"/>
  <c r="AX29" i="16"/>
  <c r="BA29" i="16"/>
  <c r="AP29" i="16"/>
  <c r="AN48" i="16"/>
  <c r="V48" i="16"/>
  <c r="F48" i="16"/>
  <c r="X48" i="16"/>
  <c r="W48" i="16"/>
  <c r="L48" i="16"/>
  <c r="J48" i="16"/>
  <c r="O48" i="16"/>
  <c r="Q48" i="16"/>
  <c r="I48" i="16"/>
  <c r="K48" i="16"/>
  <c r="G48" i="16"/>
  <c r="M48" i="16"/>
  <c r="AM48" i="16"/>
  <c r="AK48" i="16"/>
  <c r="AJ48" i="16"/>
  <c r="AA48" i="16"/>
  <c r="T48" i="16"/>
  <c r="AF48" i="16"/>
  <c r="AB48" i="16"/>
  <c r="N48" i="16"/>
  <c r="Y48" i="16"/>
  <c r="AI48" i="16"/>
  <c r="H48" i="16"/>
  <c r="AD48" i="16"/>
  <c r="Z48" i="16"/>
  <c r="P48" i="16"/>
  <c r="R48" i="16"/>
  <c r="AH48" i="16"/>
  <c r="AG48" i="16"/>
  <c r="AE48" i="16"/>
  <c r="U48" i="16"/>
  <c r="S48" i="16"/>
  <c r="AL48" i="16"/>
  <c r="AC48" i="16"/>
  <c r="AS48" i="16"/>
  <c r="AQ48" i="16"/>
  <c r="AV48" i="16"/>
  <c r="AW48" i="16"/>
  <c r="AU48" i="16"/>
  <c r="AP48" i="16"/>
  <c r="AY48" i="16"/>
  <c r="AT48" i="16"/>
  <c r="AZ48" i="16"/>
  <c r="BA48" i="16"/>
  <c r="AO48" i="16"/>
  <c r="AR48" i="16"/>
  <c r="AX48" i="16"/>
  <c r="AN71" i="16"/>
  <c r="AL71" i="16"/>
  <c r="T71" i="16"/>
  <c r="R71" i="16"/>
  <c r="AD71" i="16"/>
  <c r="AM71" i="16"/>
  <c r="J71" i="16"/>
  <c r="H71" i="16"/>
  <c r="L71" i="16"/>
  <c r="W71" i="16"/>
  <c r="AA71" i="16"/>
  <c r="Y71" i="16"/>
  <c r="F71" i="16"/>
  <c r="O71" i="16"/>
  <c r="S71" i="16"/>
  <c r="Q71" i="16"/>
  <c r="X71" i="16"/>
  <c r="N71" i="16"/>
  <c r="K71" i="16"/>
  <c r="V71" i="16"/>
  <c r="AK71" i="16"/>
  <c r="Z71" i="16"/>
  <c r="AH71" i="16"/>
  <c r="U71" i="16"/>
  <c r="P71" i="16"/>
  <c r="AE71" i="16"/>
  <c r="AG71" i="16"/>
  <c r="AC71" i="16"/>
  <c r="G71" i="16"/>
  <c r="I71" i="16"/>
  <c r="AJ71" i="16"/>
  <c r="AI71" i="16"/>
  <c r="AF71" i="16"/>
  <c r="AB71" i="16"/>
  <c r="M71" i="16"/>
  <c r="AZ71" i="16"/>
  <c r="AR71" i="16"/>
  <c r="AY71" i="16"/>
  <c r="AQ71" i="16"/>
  <c r="AX71" i="16"/>
  <c r="AP71" i="16"/>
  <c r="AW71" i="16"/>
  <c r="AO71" i="16"/>
  <c r="AS71" i="16"/>
  <c r="AV71" i="16"/>
  <c r="AT71" i="16"/>
  <c r="BA71" i="16"/>
  <c r="AU71" i="16"/>
  <c r="AG44" i="16"/>
  <c r="AE44" i="16"/>
  <c r="Q44" i="16"/>
  <c r="AF44" i="16"/>
  <c r="AD44" i="16"/>
  <c r="AJ44" i="16"/>
  <c r="AA44" i="16"/>
  <c r="AK44" i="16"/>
  <c r="AH44" i="16"/>
  <c r="AN44" i="16"/>
  <c r="AC44" i="16"/>
  <c r="Z44" i="16"/>
  <c r="X44" i="16"/>
  <c r="U44" i="16"/>
  <c r="Y44" i="16"/>
  <c r="M44" i="16"/>
  <c r="I44" i="16"/>
  <c r="T44" i="16"/>
  <c r="AM44" i="16"/>
  <c r="AL44" i="16"/>
  <c r="L44" i="16"/>
  <c r="W44" i="16"/>
  <c r="R44" i="16"/>
  <c r="J44" i="16"/>
  <c r="P44" i="16"/>
  <c r="K44" i="16"/>
  <c r="O44" i="16"/>
  <c r="H44" i="16"/>
  <c r="V44" i="16"/>
  <c r="G44" i="16"/>
  <c r="N44" i="16"/>
  <c r="AI44" i="16"/>
  <c r="AB44" i="16"/>
  <c r="F44" i="16"/>
  <c r="S44" i="16"/>
  <c r="AD38" i="16"/>
  <c r="AC38" i="16"/>
  <c r="L38" i="16"/>
  <c r="F38" i="16"/>
  <c r="S38" i="16"/>
  <c r="Q38" i="16"/>
  <c r="AE38" i="16"/>
  <c r="M38" i="16"/>
  <c r="K38" i="16"/>
  <c r="I38" i="16"/>
  <c r="W38" i="16"/>
  <c r="AJ38" i="16"/>
  <c r="AH38" i="16"/>
  <c r="AN38" i="16"/>
  <c r="O38" i="16"/>
  <c r="Z38" i="16"/>
  <c r="AF38" i="16"/>
  <c r="G38" i="16"/>
  <c r="R38" i="16"/>
  <c r="X38" i="16"/>
  <c r="AI38" i="16"/>
  <c r="AG38" i="16"/>
  <c r="H38" i="16"/>
  <c r="AK38" i="16"/>
  <c r="AA38" i="16"/>
  <c r="Y38" i="16"/>
  <c r="AM38" i="16"/>
  <c r="AL38" i="16"/>
  <c r="J38" i="16"/>
  <c r="P38" i="16"/>
  <c r="N38" i="16"/>
  <c r="T38" i="16"/>
  <c r="U38" i="16"/>
  <c r="AB38" i="16"/>
  <c r="V38" i="16"/>
  <c r="AY38" i="16"/>
  <c r="AR38" i="16"/>
  <c r="AT38" i="16"/>
  <c r="AW38" i="16"/>
  <c r="AQ38" i="16"/>
  <c r="AS38" i="16"/>
  <c r="AZ38" i="16"/>
  <c r="BA38" i="16"/>
  <c r="AO38" i="16"/>
  <c r="AX38" i="16"/>
  <c r="AP38" i="16"/>
  <c r="AU38" i="16"/>
  <c r="AV38" i="16"/>
  <c r="AM32" i="16"/>
  <c r="N32" i="16"/>
  <c r="J32" i="16"/>
  <c r="AH32" i="16"/>
  <c r="AE32" i="16"/>
  <c r="AD32" i="16"/>
  <c r="Z32" i="16"/>
  <c r="R32" i="16"/>
  <c r="O32" i="16"/>
  <c r="P32" i="16"/>
  <c r="AF32" i="16"/>
  <c r="F32" i="16"/>
  <c r="G32" i="16"/>
  <c r="AK32" i="16"/>
  <c r="AI32" i="16"/>
  <c r="W32" i="16"/>
  <c r="AC32" i="16"/>
  <c r="AA32" i="16"/>
  <c r="M32" i="16"/>
  <c r="K32" i="16"/>
  <c r="V32" i="16"/>
  <c r="AJ32" i="16"/>
  <c r="AG32" i="16"/>
  <c r="Y32" i="16"/>
  <c r="H32" i="16"/>
  <c r="AL32" i="16"/>
  <c r="Q32" i="16"/>
  <c r="X32" i="16"/>
  <c r="I32" i="16"/>
  <c r="AN32" i="16"/>
  <c r="U32" i="16"/>
  <c r="AB32" i="16"/>
  <c r="T32" i="16"/>
  <c r="L32" i="16"/>
  <c r="S32" i="16"/>
  <c r="AP32" i="16"/>
  <c r="AZ32" i="16"/>
  <c r="AR32" i="16"/>
  <c r="AO32" i="16"/>
  <c r="AT32" i="16"/>
  <c r="BA32" i="16"/>
  <c r="AX32" i="16"/>
  <c r="AW32" i="16"/>
  <c r="AU32" i="16"/>
  <c r="AV32" i="16"/>
  <c r="AY32" i="16"/>
  <c r="AQ32" i="16"/>
  <c r="AS32" i="16"/>
  <c r="Y26" i="16"/>
  <c r="P26" i="16"/>
  <c r="AF26" i="16"/>
  <c r="R26" i="16"/>
  <c r="AH26" i="16"/>
  <c r="Q26" i="16"/>
  <c r="AM26" i="16"/>
  <c r="N26" i="16"/>
  <c r="S26" i="16"/>
  <c r="O26" i="16"/>
  <c r="AC26" i="16"/>
  <c r="T26" i="16"/>
  <c r="G26" i="16"/>
  <c r="U26" i="16"/>
  <c r="H26" i="16"/>
  <c r="AJ26" i="16"/>
  <c r="AL26" i="16"/>
  <c r="M26" i="16"/>
  <c r="X26" i="16"/>
  <c r="AI26" i="16"/>
  <c r="AB26" i="16"/>
  <c r="AN26" i="16"/>
  <c r="AA26" i="16"/>
  <c r="W26" i="16"/>
  <c r="AG26" i="16"/>
  <c r="Z26" i="16"/>
  <c r="I26" i="16"/>
  <c r="AD26" i="16"/>
  <c r="V26" i="16"/>
  <c r="F26" i="16"/>
  <c r="AK26" i="16"/>
  <c r="K26" i="16"/>
  <c r="J26" i="16"/>
  <c r="L26" i="16"/>
  <c r="AE26" i="16"/>
  <c r="U55" i="16"/>
  <c r="T55" i="16"/>
  <c r="S55" i="16"/>
  <c r="Q55" i="16"/>
  <c r="O55" i="16"/>
  <c r="V55" i="16"/>
  <c r="AD55" i="16"/>
  <c r="Z55" i="16"/>
  <c r="Y55" i="16"/>
  <c r="N55" i="16"/>
  <c r="L55" i="16"/>
  <c r="R55" i="16"/>
  <c r="P55" i="16"/>
  <c r="AL55" i="16"/>
  <c r="AF55" i="16"/>
  <c r="J55" i="16"/>
  <c r="G55" i="16"/>
  <c r="X55" i="16"/>
  <c r="I55" i="16"/>
  <c r="AJ55" i="16"/>
  <c r="M55" i="16"/>
  <c r="K55" i="16"/>
  <c r="AA55" i="16"/>
  <c r="AG55" i="16"/>
  <c r="H55" i="16"/>
  <c r="AI55" i="16"/>
  <c r="AK55" i="16"/>
  <c r="AN55" i="16"/>
  <c r="AE55" i="16"/>
  <c r="F55" i="16"/>
  <c r="W55" i="16"/>
  <c r="AB55" i="16"/>
  <c r="AH55" i="16"/>
  <c r="AC55" i="16"/>
  <c r="AM55" i="16"/>
  <c r="R53" i="16"/>
  <c r="O53" i="16"/>
  <c r="N53" i="16"/>
  <c r="Y53" i="16"/>
  <c r="AH53" i="16"/>
  <c r="AN53" i="16"/>
  <c r="AE53" i="16"/>
  <c r="K53" i="16"/>
  <c r="I53" i="16"/>
  <c r="AF53" i="16"/>
  <c r="V53" i="16"/>
  <c r="AI53" i="16"/>
  <c r="AC53" i="16"/>
  <c r="X53" i="16"/>
  <c r="M53" i="16"/>
  <c r="P53" i="16"/>
  <c r="AK53" i="16"/>
  <c r="J53" i="16"/>
  <c r="AB53" i="16"/>
  <c r="Q53" i="16"/>
  <c r="AG53" i="16"/>
  <c r="L53" i="16"/>
  <c r="S53" i="16"/>
  <c r="T53" i="16"/>
  <c r="U53" i="16"/>
  <c r="F53" i="16"/>
  <c r="H53" i="16"/>
  <c r="AA53" i="16"/>
  <c r="AM53" i="16"/>
  <c r="W53" i="16"/>
  <c r="Z53" i="16"/>
  <c r="AL53" i="16"/>
  <c r="AJ53" i="16"/>
  <c r="AD53" i="16"/>
  <c r="G53" i="16"/>
  <c r="AO53" i="16"/>
  <c r="AU53" i="16"/>
  <c r="AP53" i="16"/>
  <c r="AZ53" i="16"/>
  <c r="AS53" i="16"/>
  <c r="AR53" i="16"/>
  <c r="AX53" i="16"/>
  <c r="BA53" i="16"/>
  <c r="AV53" i="16"/>
  <c r="AQ53" i="16"/>
  <c r="AW53" i="16"/>
  <c r="AT53" i="16"/>
  <c r="AY53" i="16"/>
  <c r="AN60" i="16"/>
  <c r="Q60" i="16"/>
  <c r="N60" i="16"/>
  <c r="AL60" i="16"/>
  <c r="AM60" i="16"/>
  <c r="AI60" i="16"/>
  <c r="AG60" i="16"/>
  <c r="V60" i="16"/>
  <c r="H60" i="16"/>
  <c r="K60" i="16"/>
  <c r="F60" i="16"/>
  <c r="U60" i="16"/>
  <c r="Z60" i="16"/>
  <c r="AH60" i="16"/>
  <c r="AK60" i="16"/>
  <c r="I60" i="16"/>
  <c r="T60" i="16"/>
  <c r="Y60" i="16"/>
  <c r="W60" i="16"/>
  <c r="AD60" i="16"/>
  <c r="P60" i="16"/>
  <c r="R60" i="16"/>
  <c r="M60" i="16"/>
  <c r="G60" i="16"/>
  <c r="AE60" i="16"/>
  <c r="O60" i="16"/>
  <c r="AB60" i="16"/>
  <c r="L60" i="16"/>
  <c r="AJ60" i="16"/>
  <c r="J60" i="16"/>
  <c r="AF60" i="16"/>
  <c r="AC60" i="16"/>
  <c r="AA60" i="16"/>
  <c r="X60" i="16"/>
  <c r="S60" i="16"/>
  <c r="BA60" i="16"/>
  <c r="AT60" i="16"/>
  <c r="AV60" i="16"/>
  <c r="AR60" i="16"/>
  <c r="AP60" i="16"/>
  <c r="AO60" i="16"/>
  <c r="AU60" i="16"/>
  <c r="AX60" i="16"/>
  <c r="AS60" i="16"/>
  <c r="AY60" i="16"/>
  <c r="AZ60" i="16"/>
  <c r="AW60" i="16"/>
  <c r="AQ60" i="16"/>
  <c r="Y49" i="16"/>
  <c r="Z49" i="16"/>
  <c r="F49" i="16"/>
  <c r="T49" i="16"/>
  <c r="AJ49" i="16"/>
  <c r="AE49" i="16"/>
  <c r="M49" i="16"/>
  <c r="AA49" i="16"/>
  <c r="P49" i="16"/>
  <c r="AL49" i="16"/>
  <c r="AF49" i="16"/>
  <c r="R49" i="16"/>
  <c r="AH49" i="16"/>
  <c r="AD49" i="16"/>
  <c r="U49" i="16"/>
  <c r="I49" i="16"/>
  <c r="O49" i="16"/>
  <c r="V49" i="16"/>
  <c r="L49" i="16"/>
  <c r="AN49" i="16"/>
  <c r="AB49" i="16"/>
  <c r="AG49" i="16"/>
  <c r="J49" i="16"/>
  <c r="W49" i="16"/>
  <c r="AC49" i="16"/>
  <c r="K49" i="16"/>
  <c r="G49" i="16"/>
  <c r="H49" i="16"/>
  <c r="AK49" i="16"/>
  <c r="S49" i="16"/>
  <c r="AI49" i="16"/>
  <c r="X49" i="16"/>
  <c r="AM49" i="16"/>
  <c r="Q49" i="16"/>
  <c r="N49" i="16"/>
  <c r="BA49" i="16"/>
  <c r="AU49" i="16"/>
  <c r="AW49" i="16"/>
  <c r="AZ49" i="16"/>
  <c r="AP49" i="16"/>
  <c r="AR49" i="16"/>
  <c r="AX49" i="16"/>
  <c r="AT49" i="16"/>
  <c r="AV49" i="16"/>
  <c r="AQ49" i="16"/>
  <c r="AY49" i="16"/>
  <c r="AO49" i="16"/>
  <c r="AS49" i="16"/>
  <c r="R63" i="16"/>
  <c r="T63" i="16"/>
  <c r="Y63" i="16"/>
  <c r="Q63" i="16"/>
  <c r="J63" i="16"/>
  <c r="K63" i="16"/>
  <c r="N63" i="16"/>
  <c r="AJ63" i="16"/>
  <c r="AM63" i="16"/>
  <c r="AB63" i="16"/>
  <c r="AI63" i="16"/>
  <c r="M63" i="16"/>
  <c r="AD63" i="16"/>
  <c r="P63" i="16"/>
  <c r="W63" i="16"/>
  <c r="U63" i="16"/>
  <c r="AN63" i="16"/>
  <c r="I63" i="16"/>
  <c r="AH63" i="16"/>
  <c r="AL63" i="16"/>
  <c r="O63" i="16"/>
  <c r="V63" i="16"/>
  <c r="Z63" i="16"/>
  <c r="AC63" i="16"/>
  <c r="AK63" i="16"/>
  <c r="S63" i="16"/>
  <c r="F63" i="16"/>
  <c r="L63" i="16"/>
  <c r="G63" i="16"/>
  <c r="H63" i="16"/>
  <c r="X63" i="16"/>
  <c r="AA63" i="16"/>
  <c r="AG63" i="16"/>
  <c r="AE63" i="16"/>
  <c r="AF63" i="16"/>
  <c r="AR63" i="16"/>
  <c r="AX63" i="16"/>
  <c r="AU63" i="16"/>
  <c r="AZ63" i="16"/>
  <c r="AP63" i="16"/>
  <c r="AS63" i="16"/>
  <c r="AW63" i="16"/>
  <c r="AV63" i="16"/>
  <c r="BA63" i="16"/>
  <c r="AT63" i="16"/>
  <c r="AY63" i="16"/>
  <c r="AQ63" i="16"/>
  <c r="AO63" i="16"/>
  <c r="AE37" i="16"/>
  <c r="W37" i="16"/>
  <c r="X37" i="16"/>
  <c r="H37" i="16"/>
  <c r="G37" i="16"/>
  <c r="Y37" i="16"/>
  <c r="AL37" i="16"/>
  <c r="M37" i="16"/>
  <c r="K37" i="16"/>
  <c r="I37" i="16"/>
  <c r="N37" i="16"/>
  <c r="T37" i="16"/>
  <c r="R37" i="16"/>
  <c r="F37" i="16"/>
  <c r="L37" i="16"/>
  <c r="J37" i="16"/>
  <c r="AK37" i="16"/>
  <c r="AI37" i="16"/>
  <c r="O37" i="16"/>
  <c r="AC37" i="16"/>
  <c r="AA37" i="16"/>
  <c r="U37" i="16"/>
  <c r="S37" i="16"/>
  <c r="Z37" i="16"/>
  <c r="AF37" i="16"/>
  <c r="AD37" i="16"/>
  <c r="AJ37" i="16"/>
  <c r="V37" i="16"/>
  <c r="AG37" i="16"/>
  <c r="Q37" i="16"/>
  <c r="AH37" i="16"/>
  <c r="P37" i="16"/>
  <c r="AN37" i="16"/>
  <c r="AB37" i="16"/>
  <c r="AM37" i="16"/>
  <c r="BA37" i="16"/>
  <c r="AW37" i="16"/>
  <c r="AZ37" i="16"/>
  <c r="AY37" i="16"/>
  <c r="AU37" i="16"/>
  <c r="AQ37" i="16"/>
  <c r="AT37" i="16"/>
  <c r="AR37" i="16"/>
  <c r="AX37" i="16"/>
  <c r="AV37" i="16"/>
  <c r="AO37" i="16"/>
  <c r="AS37" i="16"/>
  <c r="AP37" i="16"/>
  <c r="AK69" i="16"/>
  <c r="AG69" i="16"/>
  <c r="H69" i="16"/>
  <c r="AJ69" i="16"/>
  <c r="AB69" i="16"/>
  <c r="M69" i="16"/>
  <c r="I69" i="16"/>
  <c r="W69" i="16"/>
  <c r="L69" i="16"/>
  <c r="AH69" i="16"/>
  <c r="AN69" i="16"/>
  <c r="O69" i="16"/>
  <c r="AA69" i="16"/>
  <c r="Z69" i="16"/>
  <c r="AF69" i="16"/>
  <c r="G69" i="16"/>
  <c r="V69" i="16"/>
  <c r="R69" i="16"/>
  <c r="X69" i="16"/>
  <c r="AL69" i="16"/>
  <c r="T69" i="16"/>
  <c r="Y69" i="16"/>
  <c r="F69" i="16"/>
  <c r="P69" i="16"/>
  <c r="Q69" i="16"/>
  <c r="K69" i="16"/>
  <c r="AM69" i="16"/>
  <c r="S69" i="16"/>
  <c r="AE69" i="16"/>
  <c r="AC69" i="16"/>
  <c r="J69" i="16"/>
  <c r="AD69" i="16"/>
  <c r="N69" i="16"/>
  <c r="AI69" i="16"/>
  <c r="U69" i="16"/>
  <c r="AT69" i="16"/>
  <c r="AU69" i="16"/>
  <c r="BA69" i="16"/>
  <c r="AS69" i="16"/>
  <c r="AZ69" i="16"/>
  <c r="AR69" i="16"/>
  <c r="AY69" i="16"/>
  <c r="AQ69" i="16"/>
  <c r="AV69" i="16"/>
  <c r="AX69" i="16"/>
  <c r="AP69" i="16"/>
  <c r="AW69" i="16"/>
  <c r="AO69" i="16"/>
  <c r="N58" i="16"/>
  <c r="AI58" i="16"/>
  <c r="M58" i="16"/>
  <c r="AF58" i="16"/>
  <c r="O58" i="16"/>
  <c r="AG58" i="16"/>
  <c r="AM58" i="16"/>
  <c r="S58" i="16"/>
  <c r="AB58" i="16"/>
  <c r="AJ58" i="16"/>
  <c r="Y58" i="16"/>
  <c r="AD58" i="16"/>
  <c r="G58" i="16"/>
  <c r="Z58" i="16"/>
  <c r="Q58" i="16"/>
  <c r="U58" i="16"/>
  <c r="AC58" i="16"/>
  <c r="X58" i="16"/>
  <c r="I58" i="16"/>
  <c r="L58" i="16"/>
  <c r="R58" i="16"/>
  <c r="W58" i="16"/>
  <c r="AE58" i="16"/>
  <c r="T58" i="16"/>
  <c r="AL58" i="16"/>
  <c r="V58" i="16"/>
  <c r="H58" i="16"/>
  <c r="AA58" i="16"/>
  <c r="AK58" i="16"/>
  <c r="AN58" i="16"/>
  <c r="AH58" i="16"/>
  <c r="F58" i="16"/>
  <c r="P58" i="16"/>
  <c r="J58" i="16"/>
  <c r="K58" i="16"/>
  <c r="AY58" i="16"/>
  <c r="AR58" i="16"/>
  <c r="AO58" i="16"/>
  <c r="AS58" i="16"/>
  <c r="AQ58" i="16"/>
  <c r="AU58" i="16"/>
  <c r="AT58" i="16"/>
  <c r="AP58" i="16"/>
  <c r="AW58" i="16"/>
  <c r="BA58" i="16"/>
  <c r="AX58" i="16"/>
  <c r="AZ58" i="16"/>
  <c r="AV58" i="16"/>
  <c r="L50" i="16"/>
  <c r="H50" i="16"/>
  <c r="F50" i="16"/>
  <c r="AK50" i="16"/>
  <c r="AI50" i="16"/>
  <c r="AM50" i="16"/>
  <c r="AH50" i="16"/>
  <c r="O50" i="16"/>
  <c r="J50" i="16"/>
  <c r="AA50" i="16"/>
  <c r="AC50" i="16"/>
  <c r="X50" i="16"/>
  <c r="S50" i="16"/>
  <c r="Q50" i="16"/>
  <c r="N50" i="16"/>
  <c r="K50" i="16"/>
  <c r="G50" i="16"/>
  <c r="Y50" i="16"/>
  <c r="I50" i="16"/>
  <c r="AB50" i="16"/>
  <c r="AD50" i="16"/>
  <c r="Z50" i="16"/>
  <c r="V50" i="16"/>
  <c r="T50" i="16"/>
  <c r="R50" i="16"/>
  <c r="P50" i="16"/>
  <c r="U50" i="16"/>
  <c r="AN50" i="16"/>
  <c r="AE50" i="16"/>
  <c r="AL50" i="16"/>
  <c r="W50" i="16"/>
  <c r="M50" i="16"/>
  <c r="AJ50" i="16"/>
  <c r="AG50" i="16"/>
  <c r="AF50" i="16"/>
  <c r="AW50" i="16"/>
  <c r="AW78" i="16" s="1"/>
  <c r="AZ50" i="16"/>
  <c r="AZ74" i="16" s="1"/>
  <c r="AQ50" i="16"/>
  <c r="AQ78" i="16" s="1"/>
  <c r="AO50" i="16"/>
  <c r="AO78" i="16" s="1"/>
  <c r="AR50" i="16"/>
  <c r="AR74" i="16" s="1"/>
  <c r="AY50" i="16"/>
  <c r="AY78" i="16" s="1"/>
  <c r="AU50" i="16"/>
  <c r="AU74" i="16" s="1"/>
  <c r="BA50" i="16"/>
  <c r="BA74" i="16" s="1"/>
  <c r="AX50" i="16"/>
  <c r="AX78" i="16" s="1"/>
  <c r="AS50" i="16"/>
  <c r="AS74" i="16" s="1"/>
  <c r="AT50" i="16"/>
  <c r="AT74" i="16" s="1"/>
  <c r="AP50" i="16"/>
  <c r="AP74" i="16" s="1"/>
  <c r="AV50" i="16"/>
  <c r="AV74" i="16" s="1"/>
  <c r="N27" i="16"/>
  <c r="K27" i="16"/>
  <c r="P27" i="16"/>
  <c r="M27" i="16"/>
  <c r="AJ27" i="16"/>
  <c r="AH27" i="16"/>
  <c r="H27" i="16"/>
  <c r="AB27" i="16"/>
  <c r="Z27" i="16"/>
  <c r="T27" i="16"/>
  <c r="R27" i="16"/>
  <c r="L27" i="16"/>
  <c r="J27" i="16"/>
  <c r="AE27" i="16"/>
  <c r="AA27" i="16"/>
  <c r="AF27" i="16"/>
  <c r="S27" i="16"/>
  <c r="X27" i="16"/>
  <c r="U27" i="16"/>
  <c r="V27" i="16"/>
  <c r="AD27" i="16"/>
  <c r="O27" i="16"/>
  <c r="AI27" i="16"/>
  <c r="AN27" i="16"/>
  <c r="AG27" i="16"/>
  <c r="AK27" i="16"/>
  <c r="I27" i="16"/>
  <c r="AC27" i="16"/>
  <c r="F27" i="16"/>
  <c r="Q27" i="16"/>
  <c r="G27" i="16"/>
  <c r="W27" i="16"/>
  <c r="AL27" i="16"/>
  <c r="AM27" i="16"/>
  <c r="Y27" i="16"/>
  <c r="Q62" i="16"/>
  <c r="P62" i="16"/>
  <c r="J62" i="16"/>
  <c r="AM62" i="16"/>
  <c r="H62" i="16"/>
  <c r="W62" i="16"/>
  <c r="AK62" i="16"/>
  <c r="AJ62" i="16"/>
  <c r="Y62" i="16"/>
  <c r="AH62" i="16"/>
  <c r="AC62" i="16"/>
  <c r="AA62" i="16"/>
  <c r="N62" i="16"/>
  <c r="K62" i="16"/>
  <c r="U62" i="16"/>
  <c r="R62" i="16"/>
  <c r="AI62" i="16"/>
  <c r="AF62" i="16"/>
  <c r="T62" i="16"/>
  <c r="M62" i="16"/>
  <c r="I62" i="16"/>
  <c r="X62" i="16"/>
  <c r="G62" i="16"/>
  <c r="AB62" i="16"/>
  <c r="Z62" i="16"/>
  <c r="AG62" i="16"/>
  <c r="F62" i="16"/>
  <c r="S62" i="16"/>
  <c r="O62" i="16"/>
  <c r="V62" i="16"/>
  <c r="AD62" i="16"/>
  <c r="AN62" i="16"/>
  <c r="AL62" i="16"/>
  <c r="L62" i="16"/>
  <c r="AE62" i="16"/>
  <c r="AY62" i="16"/>
  <c r="AY76" i="16" s="1"/>
  <c r="AR62" i="16"/>
  <c r="AR76" i="16" s="1"/>
  <c r="AV62" i="16"/>
  <c r="AV76" i="16" s="1"/>
  <c r="AQ62" i="16"/>
  <c r="AQ76" i="16" s="1"/>
  <c r="AS62" i="16"/>
  <c r="AS76" i="16" s="1"/>
  <c r="BA62" i="16"/>
  <c r="BA76" i="16" s="1"/>
  <c r="AU62" i="16"/>
  <c r="AU76" i="16" s="1"/>
  <c r="AW62" i="16"/>
  <c r="AW76" i="16" s="1"/>
  <c r="AT62" i="16"/>
  <c r="AT76" i="16" s="1"/>
  <c r="AP62" i="16"/>
  <c r="AP76" i="16" s="1"/>
  <c r="AZ62" i="16"/>
  <c r="AZ76" i="16" s="1"/>
  <c r="AO62" i="16"/>
  <c r="AO76" i="16" s="1"/>
  <c r="AX62" i="16"/>
  <c r="AX76" i="16" s="1"/>
  <c r="GG54" i="1"/>
  <c r="GN30" i="18"/>
  <c r="GN10" i="18"/>
  <c r="GO11" i="18"/>
  <c r="GN9" i="18"/>
  <c r="GH11" i="1"/>
  <c r="GG68" i="1"/>
  <c r="GG9" i="1"/>
  <c r="GG10" i="1"/>
  <c r="BD38" i="16" l="1"/>
  <c r="BD27" i="16"/>
  <c r="BD29" i="16"/>
  <c r="BD70" i="16"/>
  <c r="BD51" i="16"/>
  <c r="BD68" i="16"/>
  <c r="BD64" i="16"/>
  <c r="BD47" i="16"/>
  <c r="BD43" i="16"/>
  <c r="BD62" i="16"/>
  <c r="BD71" i="16"/>
  <c r="BD59" i="16"/>
  <c r="BD31" i="16"/>
  <c r="BD30" i="16"/>
  <c r="BD50" i="16"/>
  <c r="BD63" i="16"/>
  <c r="BD49" i="16"/>
  <c r="BD60" i="16"/>
  <c r="BD55" i="16"/>
  <c r="BD33" i="16"/>
  <c r="BD65" i="16"/>
  <c r="BD32" i="16"/>
  <c r="BD54" i="16"/>
  <c r="BD53" i="16"/>
  <c r="BD48" i="16"/>
  <c r="BD52" i="16"/>
  <c r="BD40" i="16"/>
  <c r="BD45" i="16"/>
  <c r="BD34" i="16"/>
  <c r="BD57" i="16"/>
  <c r="BD56" i="16"/>
  <c r="BD46" i="16"/>
  <c r="BD44" i="16"/>
  <c r="BD66" i="16"/>
  <c r="BD35" i="16"/>
  <c r="BD37" i="16"/>
  <c r="BD58" i="16"/>
  <c r="BD36" i="16"/>
  <c r="BD41" i="16"/>
  <c r="BD69" i="16"/>
  <c r="BD28" i="16"/>
  <c r="BD42" i="16"/>
  <c r="BD67" i="16"/>
  <c r="BD61" i="16"/>
  <c r="BD39" i="16"/>
  <c r="GH54" i="1"/>
  <c r="GO30" i="18"/>
  <c r="GP11" i="18"/>
  <c r="GO10" i="18"/>
  <c r="GO9" i="18"/>
  <c r="GI11" i="1"/>
  <c r="GH68" i="1"/>
  <c r="GH9" i="1"/>
  <c r="GH10" i="1"/>
  <c r="OA13" i="1" a="1"/>
  <c r="OA19" i="1" a="1"/>
  <c r="NZ29" i="1" a="1"/>
  <c r="NZ27" i="1" a="1"/>
  <c r="NZ53" i="1" a="1"/>
  <c r="NZ19" i="1" a="1"/>
  <c r="OA15" i="1" a="1"/>
  <c r="OA17" i="1" a="1"/>
  <c r="NZ15" i="1" a="1"/>
  <c r="NZ21" i="1" a="1"/>
  <c r="OA25" i="1" a="1"/>
  <c r="NZ25" i="1" a="1"/>
  <c r="OA21" i="1" a="1"/>
  <c r="NZ23" i="1" a="1"/>
  <c r="NZ17" i="1" a="1"/>
  <c r="NZ13" i="1" a="1"/>
  <c r="OA29" i="1" a="1"/>
  <c r="OA53" i="1" a="1"/>
  <c r="OA27" i="1" a="1"/>
  <c r="OA23" i="1" a="1"/>
  <c r="NZ25" i="1" l="1"/>
  <c r="NZ53" i="1"/>
  <c r="OA25" i="1"/>
  <c r="OA19" i="1"/>
  <c r="OA53" i="1"/>
  <c r="NZ27" i="1"/>
  <c r="NZ23" i="1"/>
  <c r="NZ19" i="1"/>
  <c r="NZ17" i="1"/>
  <c r="OA17" i="1"/>
  <c r="OA15" i="1"/>
  <c r="OA13" i="1"/>
  <c r="NZ13" i="1"/>
  <c r="OA21" i="1"/>
  <c r="OA27" i="1"/>
  <c r="OA29" i="1"/>
  <c r="CP12" i="6" s="1"/>
  <c r="NZ15" i="1"/>
  <c r="NZ29" i="1"/>
  <c r="CO12" i="6" s="1"/>
  <c r="OA23" i="1"/>
  <c r="NZ21" i="1"/>
  <c r="GI54" i="1"/>
  <c r="GP30" i="18"/>
  <c r="GQ11" i="18"/>
  <c r="GP9" i="18"/>
  <c r="GP10" i="18"/>
  <c r="BA25" i="6"/>
  <c r="AN25" i="6"/>
  <c r="BA24" i="6"/>
  <c r="AN24" i="6"/>
  <c r="BA27" i="6"/>
  <c r="AN27" i="6"/>
  <c r="BA26" i="6"/>
  <c r="AN26" i="6"/>
  <c r="GJ11" i="1"/>
  <c r="GI9" i="1"/>
  <c r="GI68" i="1"/>
  <c r="GI10" i="1"/>
  <c r="CO8" i="6" l="1"/>
  <c r="CP8" i="6"/>
  <c r="CP7" i="6"/>
  <c r="CP6" i="6"/>
  <c r="CO6" i="6"/>
  <c r="CO7" i="6"/>
  <c r="GJ54" i="1"/>
  <c r="GQ30" i="18"/>
  <c r="GR11" i="18"/>
  <c r="GQ9" i="18"/>
  <c r="GQ10" i="18"/>
  <c r="BA33" i="6"/>
  <c r="AN33" i="6"/>
  <c r="GK11" i="1"/>
  <c r="GJ68" i="1"/>
  <c r="GJ9" i="1"/>
  <c r="GJ10" i="1"/>
  <c r="GK54" i="1" l="1"/>
  <c r="GR30" i="18"/>
  <c r="GR9" i="18"/>
  <c r="GS11" i="18"/>
  <c r="GR10" i="18"/>
  <c r="GL11" i="1"/>
  <c r="GK68" i="1"/>
  <c r="GK9" i="1"/>
  <c r="GK10" i="1"/>
  <c r="GL54" i="1" l="1"/>
  <c r="GT11" i="18"/>
  <c r="GS30" i="18"/>
  <c r="GS9" i="18"/>
  <c r="GS10" i="18"/>
  <c r="GM11" i="1"/>
  <c r="GL9" i="1"/>
  <c r="GL68" i="1"/>
  <c r="GL10" i="1"/>
  <c r="GM54" i="1" l="1"/>
  <c r="GT30" i="18"/>
  <c r="GU11" i="18"/>
  <c r="GT9" i="18"/>
  <c r="GT10" i="18"/>
  <c r="GN11" i="1"/>
  <c r="GM68" i="1"/>
  <c r="GM9" i="1"/>
  <c r="GM10" i="1"/>
  <c r="GN54" i="1" l="1"/>
  <c r="GU30" i="18"/>
  <c r="GV11" i="18"/>
  <c r="GU10" i="18"/>
  <c r="GU9" i="18"/>
  <c r="GO11" i="1"/>
  <c r="GN68" i="1"/>
  <c r="GN9" i="1"/>
  <c r="GN10" i="1"/>
  <c r="GO54" i="1" l="1"/>
  <c r="GV30" i="18"/>
  <c r="GV10" i="18"/>
  <c r="GW11" i="18"/>
  <c r="GV9" i="18"/>
  <c r="GP11" i="1"/>
  <c r="GO68" i="1"/>
  <c r="GO9" i="1"/>
  <c r="GO10" i="1"/>
  <c r="GP54" i="1" l="1"/>
  <c r="GW30" i="18"/>
  <c r="GX11" i="18"/>
  <c r="GW10" i="18"/>
  <c r="GW9" i="18"/>
  <c r="GQ11" i="1"/>
  <c r="GP9" i="1"/>
  <c r="GP68" i="1"/>
  <c r="GP10" i="1"/>
  <c r="GQ54" i="1" l="1"/>
  <c r="GX30" i="18"/>
  <c r="GY11" i="18"/>
  <c r="GX10" i="18"/>
  <c r="GX9" i="18"/>
  <c r="GR11" i="1"/>
  <c r="GQ9" i="1"/>
  <c r="GQ68" i="1"/>
  <c r="GQ10" i="1"/>
  <c r="GR54" i="1" l="1"/>
  <c r="GY30" i="18"/>
  <c r="GZ11" i="18"/>
  <c r="GY10" i="18"/>
  <c r="GY9" i="18"/>
  <c r="GS11" i="1"/>
  <c r="GR68" i="1"/>
  <c r="GR9" i="1"/>
  <c r="GR10" i="1"/>
  <c r="GS54" i="1" l="1"/>
  <c r="GZ30" i="18"/>
  <c r="HA11" i="18"/>
  <c r="GZ10" i="18"/>
  <c r="GZ9" i="18"/>
  <c r="GT11" i="1"/>
  <c r="GS10" i="1"/>
  <c r="GS68" i="1"/>
  <c r="GS9" i="1"/>
  <c r="GT54" i="1" l="1"/>
  <c r="HA30" i="18"/>
  <c r="HB11" i="18"/>
  <c r="HA9" i="18"/>
  <c r="HA10" i="18"/>
  <c r="GU11" i="1"/>
  <c r="GT10" i="1"/>
  <c r="GT68" i="1"/>
  <c r="GT9" i="1"/>
  <c r="GU54" i="1" l="1"/>
  <c r="HC11" i="18"/>
  <c r="HB30" i="18"/>
  <c r="HB9" i="18"/>
  <c r="HB10" i="18"/>
  <c r="GV11" i="1"/>
  <c r="GU68" i="1"/>
  <c r="GU9" i="1"/>
  <c r="GU10" i="1"/>
  <c r="GV54" i="1" l="1"/>
  <c r="HC30" i="18"/>
  <c r="HD11" i="18"/>
  <c r="HC10" i="18"/>
  <c r="HC9" i="18"/>
  <c r="GW11" i="1"/>
  <c r="GV9" i="1"/>
  <c r="GV10" i="1"/>
  <c r="GV68" i="1"/>
  <c r="GW54" i="1" l="1"/>
  <c r="HD30" i="18"/>
  <c r="HE11" i="18"/>
  <c r="HD10" i="18"/>
  <c r="HD9" i="18"/>
  <c r="GX11" i="1"/>
  <c r="GW68" i="1"/>
  <c r="GW9" i="1"/>
  <c r="GW10" i="1"/>
  <c r="GX54" i="1" l="1"/>
  <c r="HE30" i="18"/>
  <c r="HF11" i="18"/>
  <c r="HE10" i="18"/>
  <c r="HE9" i="18"/>
  <c r="GY11" i="1"/>
  <c r="GX9" i="1"/>
  <c r="GX68" i="1"/>
  <c r="GX10" i="1"/>
  <c r="GY54" i="1" l="1"/>
  <c r="HF30" i="18"/>
  <c r="HG11" i="18"/>
  <c r="HF9" i="18"/>
  <c r="HF10" i="18"/>
  <c r="GZ11" i="1"/>
  <c r="GY68" i="1"/>
  <c r="GY9" i="1"/>
  <c r="GY10" i="1"/>
  <c r="GZ54" i="1" l="1"/>
  <c r="HG30" i="18"/>
  <c r="HG10" i="18"/>
  <c r="HG9" i="18"/>
  <c r="HH11" i="18"/>
  <c r="HA11" i="1"/>
  <c r="GZ68" i="1"/>
  <c r="GZ9" i="1"/>
  <c r="GZ10" i="1"/>
  <c r="HA54" i="1" l="1"/>
  <c r="HH30" i="18"/>
  <c r="HI11" i="18"/>
  <c r="HH10" i="18"/>
  <c r="HH9" i="18"/>
  <c r="HB11" i="1"/>
  <c r="HA9" i="1"/>
  <c r="HA68" i="1"/>
  <c r="HA10" i="1"/>
  <c r="HB54" i="1" l="1"/>
  <c r="HI30" i="18"/>
  <c r="HJ11" i="18"/>
  <c r="HI10" i="18"/>
  <c r="HI9" i="18"/>
  <c r="HC11" i="1"/>
  <c r="HB68" i="1"/>
  <c r="HB9" i="1"/>
  <c r="HB10" i="1"/>
  <c r="HC54" i="1" l="1"/>
  <c r="HJ30" i="18"/>
  <c r="HJ9" i="18"/>
  <c r="HK11" i="18"/>
  <c r="HJ10" i="18"/>
  <c r="HD11" i="1"/>
  <c r="HC68" i="1"/>
  <c r="HC9" i="1"/>
  <c r="HC10" i="1"/>
  <c r="HD54" i="1" l="1"/>
  <c r="HK30" i="18"/>
  <c r="HL11" i="18"/>
  <c r="HK10" i="18"/>
  <c r="HK9" i="18"/>
  <c r="HE11" i="1"/>
  <c r="HD68" i="1"/>
  <c r="HD9" i="1"/>
  <c r="HD10" i="1"/>
  <c r="HE54" i="1" l="1"/>
  <c r="HL30" i="18"/>
  <c r="HM11" i="18"/>
  <c r="HL10" i="18"/>
  <c r="HL9" i="18"/>
  <c r="HF11" i="1"/>
  <c r="HE9" i="1"/>
  <c r="HE68" i="1"/>
  <c r="HE10" i="1"/>
  <c r="HF54" i="1" l="1"/>
  <c r="HM30" i="18"/>
  <c r="HN11" i="18"/>
  <c r="HM9" i="18"/>
  <c r="HM10" i="18"/>
  <c r="HG11" i="1"/>
  <c r="HF68" i="1"/>
  <c r="HF9" i="1"/>
  <c r="HF10" i="1"/>
  <c r="HG54" i="1" l="1"/>
  <c r="HN30" i="18"/>
  <c r="HO11" i="18"/>
  <c r="HN9" i="18"/>
  <c r="HN10" i="18"/>
  <c r="HH11" i="1"/>
  <c r="HG68" i="1"/>
  <c r="HG9" i="1"/>
  <c r="HG10" i="1"/>
  <c r="HH54" i="1" l="1"/>
  <c r="HO30" i="18"/>
  <c r="HO10" i="18"/>
  <c r="HO9" i="18"/>
  <c r="HP11" i="18"/>
  <c r="HI11" i="1"/>
  <c r="HH68" i="1"/>
  <c r="HH9" i="1"/>
  <c r="HH10" i="1"/>
  <c r="HI54" i="1" l="1"/>
  <c r="HP30" i="18"/>
  <c r="HQ11" i="18"/>
  <c r="HP9" i="18"/>
  <c r="HP10" i="18"/>
  <c r="HJ11" i="1"/>
  <c r="HI68" i="1"/>
  <c r="HI9" i="1"/>
  <c r="HI10" i="1"/>
  <c r="HJ54" i="1" l="1"/>
  <c r="HQ30" i="18"/>
  <c r="HR11" i="18"/>
  <c r="HQ9" i="18"/>
  <c r="HQ10" i="18"/>
  <c r="HK11" i="1"/>
  <c r="HJ68" i="1"/>
  <c r="HJ9" i="1"/>
  <c r="HJ10" i="1"/>
  <c r="HK54" i="1" l="1"/>
  <c r="HR30" i="18"/>
  <c r="HS11" i="18"/>
  <c r="HR9" i="18"/>
  <c r="HR10" i="18"/>
  <c r="HL11" i="1"/>
  <c r="HK68" i="1"/>
  <c r="HK9" i="1"/>
  <c r="HK10" i="1"/>
  <c r="HL54" i="1" l="1"/>
  <c r="HS30" i="18"/>
  <c r="HS10" i="18"/>
  <c r="HS9" i="18"/>
  <c r="HT11" i="18"/>
  <c r="HM11" i="1"/>
  <c r="HL68" i="1"/>
  <c r="HL9" i="1"/>
  <c r="HL10" i="1"/>
  <c r="HM54" i="1" l="1"/>
  <c r="HT30" i="18"/>
  <c r="HU11" i="18"/>
  <c r="HT10" i="18"/>
  <c r="HT9" i="18"/>
  <c r="HN11" i="1"/>
  <c r="HM68" i="1"/>
  <c r="HM9" i="1"/>
  <c r="HM10" i="1"/>
  <c r="OB23" i="1" a="1"/>
  <c r="OC21" i="1" a="1"/>
  <c r="OC19" i="1" a="1"/>
  <c r="OC27" i="1" a="1"/>
  <c r="OC53" i="1" a="1"/>
  <c r="OB25" i="1" a="1"/>
  <c r="OB19" i="1" a="1"/>
  <c r="OB27" i="1" a="1"/>
  <c r="OB29" i="1" a="1"/>
  <c r="OB53" i="1" a="1"/>
  <c r="OC23" i="1" a="1"/>
  <c r="OC15" i="1" a="1"/>
  <c r="OB15" i="1" a="1"/>
  <c r="OC29" i="1" a="1"/>
  <c r="OC25" i="1" a="1"/>
  <c r="OB21" i="1" a="1"/>
  <c r="OB29" i="1" l="1"/>
  <c r="CT12" i="6" s="1"/>
  <c r="OB53" i="1"/>
  <c r="OC53" i="1"/>
  <c r="OB21" i="1"/>
  <c r="OC15" i="1"/>
  <c r="OB15" i="1"/>
  <c r="OB23" i="1"/>
  <c r="OC25" i="1"/>
  <c r="OC23" i="1"/>
  <c r="OC29" i="1"/>
  <c r="CU12" i="6" s="1"/>
  <c r="OC19" i="1"/>
  <c r="OB25" i="1"/>
  <c r="OC27" i="1"/>
  <c r="OC21" i="1"/>
  <c r="OB27" i="1"/>
  <c r="OB19" i="1"/>
  <c r="HN54" i="1"/>
  <c r="HU30" i="18"/>
  <c r="HV11" i="18"/>
  <c r="HU10" i="18"/>
  <c r="HU9" i="18"/>
  <c r="AO27" i="6"/>
  <c r="BB27" i="6"/>
  <c r="AO24" i="6"/>
  <c r="BB24" i="6"/>
  <c r="AO25" i="6"/>
  <c r="BB25" i="6"/>
  <c r="AO26" i="6"/>
  <c r="BB26" i="6"/>
  <c r="HO11" i="1"/>
  <c r="HN68" i="1"/>
  <c r="HN9" i="1"/>
  <c r="HN10" i="1"/>
  <c r="CT6" i="6" l="1"/>
  <c r="CU6" i="6"/>
  <c r="HO54" i="1"/>
  <c r="HV30" i="18"/>
  <c r="HW11" i="18"/>
  <c r="HV9" i="18"/>
  <c r="HV10" i="18"/>
  <c r="BB33" i="6"/>
  <c r="AO33" i="6"/>
  <c r="HP11" i="1"/>
  <c r="HO68" i="1"/>
  <c r="HO9" i="1"/>
  <c r="HO10" i="1"/>
  <c r="HP54" i="1" l="1"/>
  <c r="HW30" i="18"/>
  <c r="HX11" i="18"/>
  <c r="HW9" i="18"/>
  <c r="HW10" i="18"/>
  <c r="HQ11" i="1"/>
  <c r="HP68" i="1"/>
  <c r="HP9" i="1"/>
  <c r="HP10" i="1"/>
  <c r="HQ54" i="1" l="1"/>
  <c r="HX30" i="18"/>
  <c r="HY11" i="18"/>
  <c r="HX9" i="18"/>
  <c r="HX10" i="18"/>
  <c r="HR11" i="1"/>
  <c r="HQ68" i="1"/>
  <c r="HQ9" i="1"/>
  <c r="HQ10" i="1"/>
  <c r="HR54" i="1" l="1"/>
  <c r="HY30" i="18"/>
  <c r="HZ11" i="18"/>
  <c r="HY9" i="18"/>
  <c r="HY10" i="18"/>
  <c r="HS11" i="1"/>
  <c r="HR68" i="1"/>
  <c r="HR9" i="1"/>
  <c r="HR10" i="1"/>
  <c r="HS54" i="1" l="1"/>
  <c r="HZ30" i="18"/>
  <c r="IA11" i="18"/>
  <c r="HZ9" i="18"/>
  <c r="HZ10" i="18"/>
  <c r="HT11" i="1"/>
  <c r="HS68" i="1"/>
  <c r="HS9" i="1"/>
  <c r="HS10" i="1"/>
  <c r="HT54" i="1" l="1"/>
  <c r="IA30" i="18"/>
  <c r="IB11" i="18"/>
  <c r="IA10" i="18"/>
  <c r="IA9" i="18"/>
  <c r="HU11" i="1"/>
  <c r="HT68" i="1"/>
  <c r="HT9" i="1"/>
  <c r="HT10" i="1"/>
  <c r="HU54" i="1" l="1"/>
  <c r="IB30" i="18"/>
  <c r="IB10" i="18"/>
  <c r="IC11" i="18"/>
  <c r="IB9" i="18"/>
  <c r="HV11" i="1"/>
  <c r="HU68" i="1"/>
  <c r="HU9" i="1"/>
  <c r="HU10" i="1"/>
  <c r="HV54" i="1" l="1"/>
  <c r="IC30" i="18"/>
  <c r="ID11" i="18"/>
  <c r="IC10" i="18"/>
  <c r="IC9" i="18"/>
  <c r="HW11" i="1"/>
  <c r="HV68" i="1"/>
  <c r="HV9" i="1"/>
  <c r="HV10" i="1"/>
  <c r="HW54" i="1" l="1"/>
  <c r="ID30" i="18"/>
  <c r="IE11" i="18"/>
  <c r="ID10" i="18"/>
  <c r="ID9" i="18"/>
  <c r="HX11" i="1"/>
  <c r="HW68" i="1"/>
  <c r="HW9" i="1"/>
  <c r="HW10" i="1"/>
  <c r="HX54" i="1" l="1"/>
  <c r="IE30" i="18"/>
  <c r="IF11" i="18"/>
  <c r="IE10" i="18"/>
  <c r="IE9" i="18"/>
  <c r="HY11" i="1"/>
  <c r="HX68" i="1"/>
  <c r="HX9" i="1"/>
  <c r="HX10" i="1"/>
  <c r="HY54" i="1" l="1"/>
  <c r="IF30" i="18"/>
  <c r="IG11" i="18"/>
  <c r="IF9" i="18"/>
  <c r="IF10" i="18"/>
  <c r="HZ11" i="1"/>
  <c r="HY68" i="1"/>
  <c r="HY9" i="1"/>
  <c r="HY10" i="1"/>
  <c r="HZ54" i="1" l="1"/>
  <c r="IG30" i="18"/>
  <c r="IG9" i="18"/>
  <c r="IG10" i="18"/>
  <c r="IH11" i="18"/>
  <c r="IA11" i="1"/>
  <c r="HZ68" i="1"/>
  <c r="HZ9" i="1"/>
  <c r="HZ10" i="1"/>
  <c r="IA54" i="1" l="1"/>
  <c r="IH30" i="18"/>
  <c r="IH9" i="18"/>
  <c r="IH10" i="18"/>
  <c r="II11" i="18"/>
  <c r="IB11" i="1"/>
  <c r="IA68" i="1"/>
  <c r="IA9" i="1"/>
  <c r="IA10" i="1"/>
  <c r="IB54" i="1" l="1"/>
  <c r="II30" i="18"/>
  <c r="IJ11" i="18"/>
  <c r="II10" i="18"/>
  <c r="II9" i="18"/>
  <c r="IC11" i="1"/>
  <c r="IB68" i="1"/>
  <c r="IB9" i="1"/>
  <c r="IB10" i="1"/>
  <c r="IC54" i="1" l="1"/>
  <c r="IJ30" i="18"/>
  <c r="IK11" i="18"/>
  <c r="IJ10" i="18"/>
  <c r="IJ9" i="18"/>
  <c r="ID11" i="1"/>
  <c r="IC68" i="1"/>
  <c r="IC9" i="1"/>
  <c r="IC10" i="1"/>
  <c r="ID54" i="1" l="1"/>
  <c r="IK30" i="18"/>
  <c r="IK10" i="18"/>
  <c r="IL11" i="18"/>
  <c r="IK9" i="18"/>
  <c r="IE11" i="1"/>
  <c r="ID68" i="1"/>
  <c r="ID9" i="1"/>
  <c r="ID10" i="1"/>
  <c r="IE54" i="1" l="1"/>
  <c r="IM11" i="18"/>
  <c r="IL30" i="18"/>
  <c r="IL10" i="18"/>
  <c r="IL9" i="18"/>
  <c r="IF11" i="1"/>
  <c r="IE68" i="1"/>
  <c r="IE9" i="1"/>
  <c r="IE10" i="1"/>
  <c r="IF54" i="1" l="1"/>
  <c r="IM30" i="18"/>
  <c r="IN11" i="18"/>
  <c r="IM10" i="18"/>
  <c r="IM9" i="18"/>
  <c r="IG11" i="1"/>
  <c r="IF68" i="1"/>
  <c r="IF9" i="1"/>
  <c r="IF10" i="1"/>
  <c r="IG54" i="1" l="1"/>
  <c r="IN30" i="18"/>
  <c r="IO11" i="18"/>
  <c r="IN10" i="18"/>
  <c r="IN9" i="18"/>
  <c r="IH11" i="1"/>
  <c r="IG68" i="1"/>
  <c r="IG9" i="1"/>
  <c r="IG10" i="1"/>
  <c r="IH54" i="1" l="1"/>
  <c r="IO30" i="18"/>
  <c r="IP11" i="18"/>
  <c r="IO10" i="18"/>
  <c r="IO9" i="18"/>
  <c r="II11" i="1"/>
  <c r="IH68" i="1"/>
  <c r="IH9" i="1"/>
  <c r="IH10" i="1"/>
  <c r="II54" i="1" l="1"/>
  <c r="IP30" i="18"/>
  <c r="IP9" i="18"/>
  <c r="IQ11" i="18"/>
  <c r="IP10" i="18"/>
  <c r="IJ11" i="1"/>
  <c r="II68" i="1"/>
  <c r="II9" i="1"/>
  <c r="II10" i="1"/>
  <c r="IJ54" i="1" l="1"/>
  <c r="IQ30" i="18"/>
  <c r="IQ10" i="18"/>
  <c r="IR11" i="18"/>
  <c r="IQ9" i="18"/>
  <c r="IK11" i="1"/>
  <c r="IJ68" i="1"/>
  <c r="IJ9" i="1"/>
  <c r="IJ10" i="1"/>
  <c r="IK54" i="1" l="1"/>
  <c r="IR30" i="18"/>
  <c r="IR10" i="18"/>
  <c r="IS11" i="18"/>
  <c r="IR9" i="18"/>
  <c r="IL11" i="1"/>
  <c r="IK9" i="1"/>
  <c r="IK68" i="1"/>
  <c r="IK10" i="1"/>
  <c r="IL54" i="1" l="1"/>
  <c r="IS30" i="18"/>
  <c r="IT11" i="18"/>
  <c r="IS9" i="18"/>
  <c r="IS10" i="18"/>
  <c r="IM11" i="1"/>
  <c r="IL68" i="1"/>
  <c r="IL9" i="1"/>
  <c r="IL10" i="1"/>
  <c r="IM54" i="1" l="1"/>
  <c r="IT30" i="18"/>
  <c r="IU11" i="18"/>
  <c r="IT9" i="18"/>
  <c r="IT10" i="18"/>
  <c r="IN11" i="1"/>
  <c r="IM68" i="1"/>
  <c r="IM9" i="1"/>
  <c r="IM10" i="1"/>
  <c r="IN54" i="1" l="1"/>
  <c r="IU10" i="18"/>
  <c r="IU30" i="18"/>
  <c r="IV11" i="18"/>
  <c r="IU9" i="18"/>
  <c r="IO11" i="1"/>
  <c r="IN68" i="1"/>
  <c r="IN9" i="1"/>
  <c r="IN10" i="1"/>
  <c r="IO54" i="1" l="1"/>
  <c r="IV30" i="18"/>
  <c r="IW11" i="18"/>
  <c r="IV9" i="18"/>
  <c r="IV10" i="18"/>
  <c r="IP11" i="1"/>
  <c r="IO68" i="1"/>
  <c r="IO9" i="1"/>
  <c r="IO10" i="1"/>
  <c r="IP54" i="1" l="1"/>
  <c r="IX11" i="18"/>
  <c r="IW30" i="18"/>
  <c r="IW9" i="18"/>
  <c r="IW10" i="18"/>
  <c r="IQ11" i="1"/>
  <c r="IP68" i="1"/>
  <c r="IP9" i="1"/>
  <c r="IP10" i="1"/>
  <c r="IQ54" i="1" l="1"/>
  <c r="IX30" i="18"/>
  <c r="IY11" i="18"/>
  <c r="IX9" i="18"/>
  <c r="IX10" i="18"/>
  <c r="IR11" i="1"/>
  <c r="IQ68" i="1"/>
  <c r="IQ9" i="1"/>
  <c r="IQ10" i="1"/>
  <c r="IR54" i="1" l="1"/>
  <c r="IY30" i="18"/>
  <c r="IZ11" i="18"/>
  <c r="IY10" i="18"/>
  <c r="IY9" i="18"/>
  <c r="IS11" i="1"/>
  <c r="IR68" i="1"/>
  <c r="IR9" i="1"/>
  <c r="IR10" i="1"/>
  <c r="OD25" i="1" a="1"/>
  <c r="OD29" i="1" a="1"/>
  <c r="OE21" i="1" a="1"/>
  <c r="OE53" i="1" a="1"/>
  <c r="OE15" i="1" a="1"/>
  <c r="OE23" i="1" a="1"/>
  <c r="OD21" i="1" a="1"/>
  <c r="OD27" i="1" a="1"/>
  <c r="OD15" i="1" a="1"/>
  <c r="OD23" i="1" a="1"/>
  <c r="OD53" i="1" a="1"/>
  <c r="OE29" i="1" a="1"/>
  <c r="OE19" i="1" a="1"/>
  <c r="OD19" i="1" a="1"/>
  <c r="OE27" i="1" a="1"/>
  <c r="OE25" i="1" a="1"/>
  <c r="OD25" i="1" l="1"/>
  <c r="OE21" i="1"/>
  <c r="OE25" i="1"/>
  <c r="OD23" i="1"/>
  <c r="OE29" i="1"/>
  <c r="CZ12" i="6" s="1"/>
  <c r="OD21" i="1"/>
  <c r="OD53" i="1"/>
  <c r="OD15" i="1"/>
  <c r="OD19" i="1"/>
  <c r="OD27" i="1"/>
  <c r="OE15" i="1"/>
  <c r="OD29" i="1"/>
  <c r="CY12" i="6" s="1"/>
  <c r="OE19" i="1"/>
  <c r="CZ6" i="6" s="1"/>
  <c r="OE53" i="1"/>
  <c r="OE27" i="1"/>
  <c r="OE23" i="1"/>
  <c r="IS54" i="1"/>
  <c r="IZ30" i="18"/>
  <c r="IZ10" i="18"/>
  <c r="JA11" i="18"/>
  <c r="IZ9" i="18"/>
  <c r="BC25" i="6"/>
  <c r="AP25" i="6"/>
  <c r="BC24" i="6"/>
  <c r="AP24" i="6"/>
  <c r="BC27" i="6"/>
  <c r="AP27" i="6"/>
  <c r="AP26" i="6"/>
  <c r="BC26" i="6"/>
  <c r="IT11" i="1"/>
  <c r="IS68" i="1"/>
  <c r="IS9" i="1"/>
  <c r="IS10" i="1"/>
  <c r="CY6" i="6" l="1"/>
  <c r="IT54" i="1"/>
  <c r="JA30" i="18"/>
  <c r="JB11" i="18"/>
  <c r="JA10" i="18"/>
  <c r="JA9" i="18"/>
  <c r="AP33" i="6"/>
  <c r="BC33" i="6"/>
  <c r="IU11" i="1"/>
  <c r="IT68" i="1"/>
  <c r="IT9" i="1"/>
  <c r="IT10" i="1"/>
  <c r="IU54" i="1" l="1"/>
  <c r="JB30" i="18"/>
  <c r="JC11" i="18"/>
  <c r="JB9" i="18"/>
  <c r="JB10" i="18"/>
  <c r="IV11" i="1"/>
  <c r="IU68" i="1"/>
  <c r="IU9" i="1"/>
  <c r="IU10" i="1"/>
  <c r="IV54" i="1" l="1"/>
  <c r="JC30" i="18"/>
  <c r="JD11" i="18"/>
  <c r="JC9" i="18"/>
  <c r="JC10" i="18"/>
  <c r="IW11" i="1"/>
  <c r="IV68" i="1"/>
  <c r="IV9" i="1"/>
  <c r="IV10" i="1"/>
  <c r="IW54" i="1" l="1"/>
  <c r="JD30" i="18"/>
  <c r="JE11" i="18"/>
  <c r="JD9" i="18"/>
  <c r="JD10" i="18"/>
  <c r="IX11" i="1"/>
  <c r="IW9" i="1"/>
  <c r="IW68" i="1"/>
  <c r="IW10" i="1"/>
  <c r="IX54" i="1" l="1"/>
  <c r="JF11" i="18"/>
  <c r="JE30" i="18"/>
  <c r="JE9" i="18"/>
  <c r="JE10" i="18"/>
  <c r="IY11" i="1"/>
  <c r="IX68" i="1"/>
  <c r="IX9" i="1"/>
  <c r="IX10" i="1"/>
  <c r="IY54" i="1" l="1"/>
  <c r="JF30" i="18"/>
  <c r="JF9" i="18"/>
  <c r="JG11" i="18"/>
  <c r="JF10" i="18"/>
  <c r="IZ11" i="1"/>
  <c r="IY68" i="1"/>
  <c r="IY9" i="1"/>
  <c r="IY10" i="1"/>
  <c r="IZ54" i="1" l="1"/>
  <c r="JG30" i="18"/>
  <c r="JH11" i="18"/>
  <c r="JG10" i="18"/>
  <c r="JG9" i="18"/>
  <c r="JA11" i="1"/>
  <c r="IZ68" i="1"/>
  <c r="IZ9" i="1"/>
  <c r="IZ10" i="1"/>
  <c r="JA54" i="1" l="1"/>
  <c r="JH30" i="18"/>
  <c r="JI11" i="18"/>
  <c r="JH10" i="18"/>
  <c r="JH9" i="18"/>
  <c r="JB11" i="1"/>
  <c r="JA68" i="1"/>
  <c r="JA9" i="1"/>
  <c r="JA10" i="1"/>
  <c r="JB54" i="1" l="1"/>
  <c r="JI30" i="18"/>
  <c r="JJ11" i="18"/>
  <c r="JI10" i="18"/>
  <c r="JI9" i="18"/>
  <c r="JC11" i="1"/>
  <c r="JB68" i="1"/>
  <c r="JB9" i="1"/>
  <c r="JB10" i="1"/>
  <c r="JC54" i="1" l="1"/>
  <c r="JJ30" i="18"/>
  <c r="JK11" i="18"/>
  <c r="JJ10" i="18"/>
  <c r="JJ9" i="18"/>
  <c r="JD11" i="1"/>
  <c r="JC68" i="1"/>
  <c r="JC9" i="1"/>
  <c r="JC10" i="1"/>
  <c r="JD54" i="1" l="1"/>
  <c r="JK30" i="18"/>
  <c r="JK10" i="18"/>
  <c r="JK9" i="18"/>
  <c r="JL11" i="18"/>
  <c r="JE11" i="1"/>
  <c r="JD68" i="1"/>
  <c r="JD9" i="1"/>
  <c r="JD10" i="1"/>
  <c r="JE54" i="1" l="1"/>
  <c r="JL30" i="18"/>
  <c r="JL10" i="18"/>
  <c r="JL9" i="18"/>
  <c r="JM11" i="18"/>
  <c r="JF11" i="1"/>
  <c r="JE68" i="1"/>
  <c r="JE9" i="1"/>
  <c r="JE10" i="1"/>
  <c r="JF54" i="1" l="1"/>
  <c r="JM30" i="18"/>
  <c r="JN11" i="18"/>
  <c r="JM9" i="18"/>
  <c r="JM10" i="18"/>
  <c r="JG11" i="1"/>
  <c r="JF68" i="1"/>
  <c r="JF9" i="1"/>
  <c r="JF10" i="1"/>
  <c r="JG54" i="1" l="1"/>
  <c r="JN30" i="18"/>
  <c r="JO11" i="18"/>
  <c r="JN9" i="18"/>
  <c r="JN10" i="18"/>
  <c r="JH11" i="1"/>
  <c r="JG68" i="1"/>
  <c r="JG9" i="1"/>
  <c r="JG10" i="1"/>
  <c r="JH54" i="1" l="1"/>
  <c r="JO30" i="18"/>
  <c r="JP11" i="18"/>
  <c r="JO10" i="18"/>
  <c r="JO9" i="18"/>
  <c r="JI11" i="1"/>
  <c r="JH68" i="1"/>
  <c r="JH9" i="1"/>
  <c r="JH10" i="1"/>
  <c r="JI54" i="1" l="1"/>
  <c r="JP30" i="18"/>
  <c r="JP10" i="18"/>
  <c r="JP9" i="18"/>
  <c r="JQ11" i="18"/>
  <c r="JJ11" i="1"/>
  <c r="JI68" i="1"/>
  <c r="JI9" i="1"/>
  <c r="JI10" i="1"/>
  <c r="JJ54" i="1" l="1"/>
  <c r="JQ30" i="18"/>
  <c r="JR11" i="18"/>
  <c r="JQ10" i="18"/>
  <c r="JQ9" i="18"/>
  <c r="JK11" i="1"/>
  <c r="JJ68" i="1"/>
  <c r="JJ9" i="1"/>
  <c r="JJ10" i="1"/>
  <c r="JK54" i="1" l="1"/>
  <c r="JR30" i="18"/>
  <c r="JS11" i="18"/>
  <c r="JR10" i="18"/>
  <c r="JR9" i="18"/>
  <c r="JL11" i="1"/>
  <c r="JK68" i="1"/>
  <c r="JK9" i="1"/>
  <c r="JK10" i="1"/>
  <c r="JL54" i="1" l="1"/>
  <c r="JS30" i="18"/>
  <c r="JT11" i="18"/>
  <c r="JS10" i="18"/>
  <c r="JS9" i="18"/>
  <c r="JM11" i="1"/>
  <c r="JL68" i="1"/>
  <c r="JL9" i="1"/>
  <c r="JL10" i="1"/>
  <c r="JM54" i="1" l="1"/>
  <c r="JT30" i="18"/>
  <c r="JU11" i="18"/>
  <c r="JT9" i="18"/>
  <c r="JT10" i="18"/>
  <c r="JN11" i="1"/>
  <c r="JM68" i="1"/>
  <c r="JM9" i="1"/>
  <c r="JM10" i="1"/>
  <c r="JN54" i="1" l="1"/>
  <c r="JU30" i="18"/>
  <c r="JV11" i="18"/>
  <c r="JU9" i="18"/>
  <c r="JU10" i="18"/>
  <c r="JO11" i="1"/>
  <c r="JN68" i="1"/>
  <c r="JN9" i="1"/>
  <c r="JN10" i="1"/>
  <c r="JO54" i="1" l="1"/>
  <c r="JV30" i="18"/>
  <c r="JV9" i="18"/>
  <c r="JW11" i="18"/>
  <c r="JV10" i="18"/>
  <c r="JP11" i="1"/>
  <c r="JO68" i="1"/>
  <c r="JO9" i="1"/>
  <c r="JO10" i="1"/>
  <c r="JP54" i="1" l="1"/>
  <c r="JW30" i="18"/>
  <c r="JW10" i="18"/>
  <c r="JX11" i="18"/>
  <c r="JW9" i="18"/>
  <c r="JQ11" i="1"/>
  <c r="JP68" i="1"/>
  <c r="JP9" i="1"/>
  <c r="JP10" i="1"/>
  <c r="JQ54" i="1" l="1"/>
  <c r="JX30" i="18"/>
  <c r="JX10" i="18"/>
  <c r="JY11" i="18"/>
  <c r="JX9" i="18"/>
  <c r="JR11" i="1"/>
  <c r="JQ9" i="1"/>
  <c r="JQ68" i="1"/>
  <c r="JQ10" i="1"/>
  <c r="JR54" i="1" l="1"/>
  <c r="JY30" i="18"/>
  <c r="JZ11" i="18"/>
  <c r="JY9" i="18"/>
  <c r="JY10" i="18"/>
  <c r="JS11" i="1"/>
  <c r="JR68" i="1"/>
  <c r="JR9" i="1"/>
  <c r="JR10" i="1"/>
  <c r="JS54" i="1" l="1"/>
  <c r="JZ30" i="18"/>
  <c r="KA11" i="18"/>
  <c r="JZ10" i="18"/>
  <c r="JZ9" i="18"/>
  <c r="JT11" i="1"/>
  <c r="JS68" i="1"/>
  <c r="JS9" i="1"/>
  <c r="JS10" i="1"/>
  <c r="JT54" i="1" l="1"/>
  <c r="KA30" i="18"/>
  <c r="KA10" i="18"/>
  <c r="KB11" i="18"/>
  <c r="KA9" i="18"/>
  <c r="JU11" i="1"/>
  <c r="JT68" i="1"/>
  <c r="JT9" i="1"/>
  <c r="JT10" i="1"/>
  <c r="JU54" i="1" l="1"/>
  <c r="KB30" i="18"/>
  <c r="KC11" i="18"/>
  <c r="KB10" i="18"/>
  <c r="KB9" i="18"/>
  <c r="JV11" i="1"/>
  <c r="JU9" i="1"/>
  <c r="JU68" i="1"/>
  <c r="JU10" i="1"/>
  <c r="JV54" i="1" l="1"/>
  <c r="KC30" i="18"/>
  <c r="KD11" i="18"/>
  <c r="KC9" i="18"/>
  <c r="KC10" i="18"/>
  <c r="JW11" i="1"/>
  <c r="JV68" i="1"/>
  <c r="JV9" i="1"/>
  <c r="JV10" i="1"/>
  <c r="OG29" i="1" a="1"/>
  <c r="OG23" i="1" a="1"/>
  <c r="OG25" i="1" a="1"/>
  <c r="OG19" i="1" a="1"/>
  <c r="OF29" i="1" a="1"/>
  <c r="OF25" i="1" a="1"/>
  <c r="OG27" i="1" a="1"/>
  <c r="OG15" i="1" a="1"/>
  <c r="OF53" i="1" a="1"/>
  <c r="OG21" i="1" a="1"/>
  <c r="OG53" i="1" a="1"/>
  <c r="OF19" i="1" a="1"/>
  <c r="OF21" i="1" a="1"/>
  <c r="OF15" i="1" a="1"/>
  <c r="OF27" i="1" a="1"/>
  <c r="OF23" i="1" a="1"/>
  <c r="OF15" i="1" l="1"/>
  <c r="OG21" i="1"/>
  <c r="OF29" i="1"/>
  <c r="DD12" i="6" s="1"/>
  <c r="OG27" i="1"/>
  <c r="OF25" i="1"/>
  <c r="OF27" i="1"/>
  <c r="OF23" i="1"/>
  <c r="OF19" i="1"/>
  <c r="OF53" i="1"/>
  <c r="OG23" i="1"/>
  <c r="OG53" i="1"/>
  <c r="OG15" i="1"/>
  <c r="OG19" i="1"/>
  <c r="OF21" i="1"/>
  <c r="OG29" i="1"/>
  <c r="DE12" i="6" s="1"/>
  <c r="OG25" i="1"/>
  <c r="JW54" i="1"/>
  <c r="KD30" i="18"/>
  <c r="KE11" i="18"/>
  <c r="KD9" i="18"/>
  <c r="KD10" i="18"/>
  <c r="BD25" i="6"/>
  <c r="AQ25" i="6"/>
  <c r="BD24" i="6"/>
  <c r="AQ24" i="6"/>
  <c r="BD27" i="6"/>
  <c r="AQ27" i="6"/>
  <c r="AQ26" i="6"/>
  <c r="BD26" i="6"/>
  <c r="JX11" i="1"/>
  <c r="JW68" i="1"/>
  <c r="JW9" i="1"/>
  <c r="JW10" i="1"/>
  <c r="DE6" i="6" l="1"/>
  <c r="DD6" i="6"/>
  <c r="JX54" i="1"/>
  <c r="KE30" i="18"/>
  <c r="KF11" i="18"/>
  <c r="KE10" i="18"/>
  <c r="KE9" i="18"/>
  <c r="AQ33" i="6"/>
  <c r="BD33" i="6"/>
  <c r="JY11" i="1"/>
  <c r="JX68" i="1"/>
  <c r="JX9" i="1"/>
  <c r="JX10" i="1"/>
  <c r="JY54" i="1" l="1"/>
  <c r="KF30" i="18"/>
  <c r="KF10" i="18"/>
  <c r="KG11" i="18"/>
  <c r="KF9" i="18"/>
  <c r="JZ11" i="1"/>
  <c r="JY68" i="1"/>
  <c r="JY9" i="1"/>
  <c r="JY10" i="1"/>
  <c r="JZ54" i="1" l="1"/>
  <c r="KG30" i="18"/>
  <c r="KG9" i="18"/>
  <c r="KG10" i="18"/>
  <c r="KH11" i="18"/>
  <c r="KA11" i="1"/>
  <c r="JZ68" i="1"/>
  <c r="JZ9" i="1"/>
  <c r="JZ10" i="1"/>
  <c r="KA54" i="1" l="1"/>
  <c r="KH30" i="18"/>
  <c r="KI11" i="18"/>
  <c r="KH10" i="18"/>
  <c r="KH9" i="18"/>
  <c r="KB11" i="1"/>
  <c r="KA68" i="1"/>
  <c r="KA9" i="1"/>
  <c r="KA10" i="1"/>
  <c r="KB54" i="1" l="1"/>
  <c r="KI30" i="18"/>
  <c r="KI10" i="18"/>
  <c r="KJ11" i="18"/>
  <c r="KI9" i="18"/>
  <c r="KC11" i="1"/>
  <c r="KB68" i="1"/>
  <c r="KB9" i="1"/>
  <c r="KB10" i="1"/>
  <c r="KC54" i="1" l="1"/>
  <c r="KJ30" i="18"/>
  <c r="KK11" i="18"/>
  <c r="KJ10" i="18"/>
  <c r="KJ9" i="18"/>
  <c r="KD11" i="1"/>
  <c r="KC68" i="1"/>
  <c r="KC9" i="1"/>
  <c r="KC10" i="1"/>
  <c r="KD54" i="1" l="1"/>
  <c r="KK30" i="18"/>
  <c r="KL11" i="18"/>
  <c r="KK9" i="18"/>
  <c r="KK10" i="18"/>
  <c r="KE11" i="1"/>
  <c r="KD68" i="1"/>
  <c r="KD9" i="1"/>
  <c r="KD10" i="1"/>
  <c r="KE54" i="1" l="1"/>
  <c r="KL30" i="18"/>
  <c r="KL9" i="18"/>
  <c r="KL10" i="18"/>
  <c r="KM11" i="18"/>
  <c r="KF11" i="1"/>
  <c r="KE68" i="1"/>
  <c r="KE9" i="1"/>
  <c r="KE10" i="1"/>
  <c r="KF54" i="1" l="1"/>
  <c r="KM30" i="18"/>
  <c r="KN11" i="18"/>
  <c r="KM10" i="18"/>
  <c r="KM9" i="18"/>
  <c r="KG11" i="1"/>
  <c r="KF68" i="1"/>
  <c r="KF9" i="1"/>
  <c r="KF10" i="1"/>
  <c r="KG54" i="1" l="1"/>
  <c r="KN30" i="18"/>
  <c r="KO11" i="18"/>
  <c r="KN10" i="18"/>
  <c r="KN9" i="18"/>
  <c r="KH11" i="1"/>
  <c r="KG68" i="1"/>
  <c r="KG9" i="1"/>
  <c r="KG10" i="1"/>
  <c r="KH54" i="1" l="1"/>
  <c r="KP11" i="18"/>
  <c r="KO30" i="18"/>
  <c r="KO10" i="18"/>
  <c r="KO9" i="18"/>
  <c r="KI11" i="1"/>
  <c r="KH68" i="1"/>
  <c r="KH9" i="1"/>
  <c r="KH10" i="1"/>
  <c r="KI54" i="1" l="1"/>
  <c r="KP30" i="18"/>
  <c r="KQ11" i="18"/>
  <c r="KP10" i="18"/>
  <c r="KP9" i="18"/>
  <c r="KJ11" i="1"/>
  <c r="KI68" i="1"/>
  <c r="KI9" i="1"/>
  <c r="KI10" i="1"/>
  <c r="KJ54" i="1" l="1"/>
  <c r="KQ30" i="18"/>
  <c r="KQ10" i="18"/>
  <c r="KQ9" i="18"/>
  <c r="KR11" i="18"/>
  <c r="KK11" i="1"/>
  <c r="KJ68" i="1"/>
  <c r="KJ9" i="1"/>
  <c r="KJ10" i="1"/>
  <c r="KK54" i="1" l="1"/>
  <c r="KR30" i="18"/>
  <c r="KR10" i="18"/>
  <c r="KR9" i="18"/>
  <c r="KS11" i="18"/>
  <c r="KL11" i="1"/>
  <c r="KK68" i="1"/>
  <c r="KK9" i="1"/>
  <c r="KK10" i="1"/>
  <c r="KL54" i="1" l="1"/>
  <c r="KT11" i="18"/>
  <c r="KS30" i="18"/>
  <c r="KS9" i="18"/>
  <c r="KS10" i="18"/>
  <c r="KM11" i="1"/>
  <c r="KL68" i="1"/>
  <c r="KL9" i="1"/>
  <c r="KL10" i="1"/>
  <c r="KM54" i="1" l="1"/>
  <c r="KT30" i="18"/>
  <c r="KT9" i="18"/>
  <c r="KU11" i="18"/>
  <c r="KT10" i="18"/>
  <c r="KN11" i="1"/>
  <c r="KM68" i="1"/>
  <c r="KM9" i="1"/>
  <c r="KM10" i="1"/>
  <c r="KN54" i="1" l="1"/>
  <c r="KU30" i="18"/>
  <c r="KV11" i="18"/>
  <c r="KU10" i="18"/>
  <c r="KU9" i="18"/>
  <c r="KO11" i="1"/>
  <c r="KN68" i="1"/>
  <c r="KN9" i="1"/>
  <c r="KN10" i="1"/>
  <c r="KO54" i="1" l="1"/>
  <c r="KV30" i="18"/>
  <c r="KV10" i="18"/>
  <c r="KW11" i="18"/>
  <c r="KV9" i="18"/>
  <c r="KP11" i="1"/>
  <c r="KO68" i="1"/>
  <c r="KO9" i="1"/>
  <c r="KO10" i="1"/>
  <c r="KP54" i="1" l="1"/>
  <c r="KW30" i="18"/>
  <c r="KX11" i="18"/>
  <c r="KW10" i="18"/>
  <c r="KW9" i="18"/>
  <c r="KQ11" i="1"/>
  <c r="KP68" i="1"/>
  <c r="KP9" i="1"/>
  <c r="KP10" i="1"/>
  <c r="KQ54" i="1" l="1"/>
  <c r="KY11" i="18"/>
  <c r="KX30" i="18"/>
  <c r="KX10" i="18"/>
  <c r="KX9" i="18"/>
  <c r="KR11" i="1"/>
  <c r="KQ68" i="1"/>
  <c r="KQ9" i="1"/>
  <c r="KQ10" i="1"/>
  <c r="KR54" i="1" l="1"/>
  <c r="KY30" i="18"/>
  <c r="KZ11" i="18"/>
  <c r="KY10" i="18"/>
  <c r="KY9" i="18"/>
  <c r="KS11" i="1"/>
  <c r="KR68" i="1"/>
  <c r="KR9" i="1"/>
  <c r="KR10" i="1"/>
  <c r="KS54" i="1" l="1"/>
  <c r="KZ30" i="18"/>
  <c r="LA11" i="18"/>
  <c r="KZ9" i="18"/>
  <c r="KZ10" i="18"/>
  <c r="KT11" i="1"/>
  <c r="KS68" i="1"/>
  <c r="KS9" i="1"/>
  <c r="KS10" i="1"/>
  <c r="KT54" i="1" l="1"/>
  <c r="LB11" i="18"/>
  <c r="LA30" i="18"/>
  <c r="LA9" i="18"/>
  <c r="LA10" i="18"/>
  <c r="KU11" i="1"/>
  <c r="KT68" i="1"/>
  <c r="KT9" i="1"/>
  <c r="KT10" i="1"/>
  <c r="KU54" i="1" l="1"/>
  <c r="LB30" i="18"/>
  <c r="LB9" i="18"/>
  <c r="LC11" i="18"/>
  <c r="LB10" i="18"/>
  <c r="KV11" i="1"/>
  <c r="KU68" i="1"/>
  <c r="KU9" i="1"/>
  <c r="KU10" i="1"/>
  <c r="KV54" i="1" l="1"/>
  <c r="LC30" i="18"/>
  <c r="LC10" i="18"/>
  <c r="LD11" i="18"/>
  <c r="LC9" i="18"/>
  <c r="KW11" i="1"/>
  <c r="KV68" i="1"/>
  <c r="KV9" i="1"/>
  <c r="KV10" i="1"/>
  <c r="KW54" i="1" l="1"/>
  <c r="LD30" i="18"/>
  <c r="LD10" i="18"/>
  <c r="LE11" i="18"/>
  <c r="LD9" i="18"/>
  <c r="KX11" i="1"/>
  <c r="KW9" i="1"/>
  <c r="KW68" i="1"/>
  <c r="KW10" i="1"/>
  <c r="KX54" i="1" l="1"/>
  <c r="LE30" i="18"/>
  <c r="LF11" i="18"/>
  <c r="LE9" i="18"/>
  <c r="LE10" i="18"/>
  <c r="KY11" i="1"/>
  <c r="KX68" i="1"/>
  <c r="KX9" i="1"/>
  <c r="KX10" i="1"/>
  <c r="KY54" i="1" l="1"/>
  <c r="LF30" i="18"/>
  <c r="LG11" i="18"/>
  <c r="LF10" i="18"/>
  <c r="LF9" i="18"/>
  <c r="KZ11" i="1"/>
  <c r="KY68" i="1"/>
  <c r="KY9" i="1"/>
  <c r="KY10" i="1"/>
  <c r="KZ54" i="1" l="1"/>
  <c r="LG30" i="18"/>
  <c r="LG10" i="18"/>
  <c r="LH11" i="18"/>
  <c r="LG9" i="18"/>
  <c r="LA11" i="1"/>
  <c r="KZ68" i="1"/>
  <c r="KZ9" i="1"/>
  <c r="KZ10" i="1"/>
  <c r="LA54" i="1" l="1"/>
  <c r="LH30" i="18"/>
  <c r="LI11" i="18"/>
  <c r="LH10" i="18"/>
  <c r="LH9" i="18"/>
  <c r="LB11" i="1"/>
  <c r="LA68" i="1"/>
  <c r="LA9" i="1"/>
  <c r="LA10" i="1"/>
  <c r="OH25" i="1" a="1"/>
  <c r="OI17" i="1" a="1"/>
  <c r="OH17" i="1" a="1"/>
  <c r="OI23" i="1" a="1"/>
  <c r="OI25" i="1" a="1"/>
  <c r="OI15" i="1" a="1"/>
  <c r="OH27" i="1" a="1"/>
  <c r="OH53" i="1" a="1"/>
  <c r="OH21" i="1" a="1"/>
  <c r="OH19" i="1" a="1"/>
  <c r="OH23" i="1" a="1"/>
  <c r="OI21" i="1" a="1"/>
  <c r="OH29" i="1" a="1"/>
  <c r="OI53" i="1" a="1"/>
  <c r="OH15" i="1" a="1"/>
  <c r="OI27" i="1" a="1"/>
  <c r="OI29" i="1" a="1"/>
  <c r="OI13" i="1" a="1"/>
  <c r="OI19" i="1" a="1"/>
  <c r="OH13" i="1" a="1"/>
  <c r="OH29" i="1" l="1"/>
  <c r="DI12" i="6" s="1"/>
  <c r="OH27" i="1"/>
  <c r="OI21" i="1"/>
  <c r="OH53" i="1"/>
  <c r="OI27" i="1"/>
  <c r="OI53" i="1"/>
  <c r="OI17" i="1"/>
  <c r="OI29" i="1"/>
  <c r="DJ12" i="6" s="1"/>
  <c r="OH19" i="1"/>
  <c r="OH13" i="1"/>
  <c r="OH17" i="1"/>
  <c r="OI13" i="1"/>
  <c r="OI23" i="1"/>
  <c r="OI15" i="1"/>
  <c r="OI19" i="1"/>
  <c r="OH23" i="1"/>
  <c r="OI25" i="1"/>
  <c r="OH25" i="1"/>
  <c r="OH15" i="1"/>
  <c r="OH21" i="1"/>
  <c r="LB54" i="1"/>
  <c r="LJ11" i="18"/>
  <c r="LI30" i="18"/>
  <c r="LI9" i="18"/>
  <c r="LI10" i="18"/>
  <c r="AR27" i="6"/>
  <c r="BE27" i="6"/>
  <c r="AR24" i="6"/>
  <c r="BE24" i="6"/>
  <c r="AR25" i="6"/>
  <c r="BE25" i="6"/>
  <c r="BE26" i="6"/>
  <c r="AR26" i="6"/>
  <c r="LC11" i="1"/>
  <c r="LB68" i="1"/>
  <c r="LB9" i="1"/>
  <c r="LB10" i="1"/>
  <c r="DI6" i="6" l="1"/>
  <c r="DI7" i="6"/>
  <c r="DJ7" i="6"/>
  <c r="DI8" i="6"/>
  <c r="DJ6" i="6"/>
  <c r="DJ8" i="6"/>
  <c r="LC54" i="1"/>
  <c r="LJ30" i="18"/>
  <c r="LK11" i="18"/>
  <c r="LJ9" i="18"/>
  <c r="LJ10" i="18"/>
  <c r="AR33" i="6"/>
  <c r="BE33" i="6"/>
  <c r="LD11" i="1"/>
  <c r="LC68" i="1"/>
  <c r="LC9" i="1"/>
  <c r="LC10" i="1"/>
  <c r="LD54" i="1" l="1"/>
  <c r="LK30" i="18"/>
  <c r="LL11" i="18"/>
  <c r="LK10" i="18"/>
  <c r="LK9" i="18"/>
  <c r="LE11" i="1"/>
  <c r="LD68" i="1"/>
  <c r="LD9" i="1"/>
  <c r="LD10" i="1"/>
  <c r="LE54" i="1" l="1"/>
  <c r="LL30" i="18"/>
  <c r="LL10" i="18"/>
  <c r="LL9" i="18"/>
  <c r="LM11" i="18"/>
  <c r="LF11" i="1"/>
  <c r="LE68" i="1"/>
  <c r="LE9" i="1"/>
  <c r="LE10" i="1"/>
  <c r="LF54" i="1" l="1"/>
  <c r="LM30" i="18"/>
  <c r="LM9" i="18"/>
  <c r="LN11" i="18"/>
  <c r="LM10" i="18"/>
  <c r="LG11" i="1"/>
  <c r="LF68" i="1"/>
  <c r="LF9" i="1"/>
  <c r="LF10" i="1"/>
  <c r="LG54" i="1" l="1"/>
  <c r="LN30" i="18"/>
  <c r="LO11" i="18"/>
  <c r="LN10" i="18"/>
  <c r="LN9" i="18"/>
  <c r="LH11" i="1"/>
  <c r="LG68" i="1"/>
  <c r="LG9" i="1"/>
  <c r="LG10" i="1"/>
  <c r="LH54" i="1" l="1"/>
  <c r="LO30" i="18"/>
  <c r="LO10" i="18"/>
  <c r="LP11" i="18"/>
  <c r="LO9" i="18"/>
  <c r="LI11" i="1"/>
  <c r="LH68" i="1"/>
  <c r="LH9" i="1"/>
  <c r="LH10" i="1"/>
  <c r="LI54" i="1" l="1"/>
  <c r="LP30" i="18"/>
  <c r="LQ11" i="18"/>
  <c r="LP10" i="18"/>
  <c r="LP9" i="18"/>
  <c r="LJ11" i="1"/>
  <c r="LI9" i="1"/>
  <c r="LI68" i="1"/>
  <c r="LI10" i="1"/>
  <c r="LJ54" i="1" l="1"/>
  <c r="LR11" i="18"/>
  <c r="LQ9" i="18"/>
  <c r="LQ30" i="18"/>
  <c r="LQ10" i="18"/>
  <c r="LK11" i="1"/>
  <c r="LJ68" i="1"/>
  <c r="LJ9" i="1"/>
  <c r="LJ10" i="1"/>
  <c r="LK54" i="1" l="1"/>
  <c r="LR30" i="18"/>
  <c r="LR9" i="18"/>
  <c r="LR10" i="18"/>
  <c r="LS11" i="18"/>
  <c r="LL11" i="1"/>
  <c r="LK68" i="1"/>
  <c r="LK9" i="1"/>
  <c r="LK10" i="1"/>
  <c r="LL54" i="1" l="1"/>
  <c r="LS30" i="18"/>
  <c r="LT11" i="18"/>
  <c r="LS10" i="18"/>
  <c r="LS9" i="18"/>
  <c r="LM11" i="1"/>
  <c r="LL68" i="1"/>
  <c r="LL9" i="1"/>
  <c r="LL10" i="1"/>
  <c r="LM54" i="1" l="1"/>
  <c r="LT30" i="18"/>
  <c r="LU11" i="18"/>
  <c r="LT10" i="18"/>
  <c r="LT9" i="18"/>
  <c r="LN11" i="1"/>
  <c r="LM68" i="1"/>
  <c r="LM9" i="1"/>
  <c r="LM10" i="1"/>
  <c r="LN54" i="1" l="1"/>
  <c r="LU30" i="18"/>
  <c r="LV11" i="18"/>
  <c r="LU9" i="18"/>
  <c r="LU10" i="18"/>
  <c r="LO11" i="1"/>
  <c r="LN68" i="1"/>
  <c r="LN9" i="1"/>
  <c r="LN10" i="1"/>
  <c r="LO54" i="1" l="1"/>
  <c r="LV30" i="18"/>
  <c r="LW11" i="18"/>
  <c r="LV10" i="18"/>
  <c r="LV9" i="18"/>
  <c r="LP11" i="1"/>
  <c r="LO68" i="1"/>
  <c r="LO9" i="1"/>
  <c r="LO10" i="1"/>
  <c r="LP54" i="1" l="1"/>
  <c r="LW30" i="18"/>
  <c r="LW10" i="18"/>
  <c r="LW9" i="18"/>
  <c r="LX11" i="18"/>
  <c r="LQ11" i="1"/>
  <c r="LP68" i="1"/>
  <c r="LP9" i="1"/>
  <c r="LP10" i="1"/>
  <c r="LQ54" i="1" l="1"/>
  <c r="LX30" i="18"/>
  <c r="LX10" i="18"/>
  <c r="LX9" i="18"/>
  <c r="LY11" i="18"/>
  <c r="LR11" i="1"/>
  <c r="LQ68" i="1"/>
  <c r="LQ9" i="1"/>
  <c r="LQ10" i="1"/>
  <c r="LR54" i="1" l="1"/>
  <c r="LY30" i="18"/>
  <c r="LZ11" i="18"/>
  <c r="LY9" i="18"/>
  <c r="LY10" i="18"/>
  <c r="LS11" i="1"/>
  <c r="LR68" i="1"/>
  <c r="LR9" i="1"/>
  <c r="LR10" i="1"/>
  <c r="LS54" i="1" l="1"/>
  <c r="LZ9" i="18"/>
  <c r="LZ30" i="18"/>
  <c r="MA11" i="18"/>
  <c r="LZ10" i="18"/>
  <c r="LT11" i="1"/>
  <c r="LS68" i="1"/>
  <c r="LS9" i="1"/>
  <c r="LS10" i="1"/>
  <c r="LT54" i="1" l="1"/>
  <c r="MA30" i="18"/>
  <c r="MB11" i="18"/>
  <c r="MA10" i="18"/>
  <c r="MA9" i="18"/>
  <c r="LU11" i="1"/>
  <c r="LT68" i="1"/>
  <c r="LT9" i="1"/>
  <c r="LT10" i="1"/>
  <c r="LU54" i="1" l="1"/>
  <c r="MB30" i="18"/>
  <c r="MB10" i="18"/>
  <c r="MC11" i="18"/>
  <c r="MB9" i="18"/>
  <c r="LV11" i="1"/>
  <c r="LU68" i="1"/>
  <c r="LU9" i="1"/>
  <c r="LU10" i="1"/>
  <c r="LV54" i="1" l="1"/>
  <c r="MC30" i="18"/>
  <c r="MD11" i="18"/>
  <c r="MC10" i="18"/>
  <c r="MC9" i="18"/>
  <c r="LW11" i="1"/>
  <c r="LV68" i="1"/>
  <c r="LV9" i="1"/>
  <c r="LV10" i="1"/>
  <c r="LW54" i="1" l="1"/>
  <c r="MD30" i="18"/>
  <c r="ME11" i="18"/>
  <c r="MD10" i="18"/>
  <c r="MD9" i="18"/>
  <c r="LX11" i="1"/>
  <c r="LW68" i="1"/>
  <c r="LW9" i="1"/>
  <c r="LW10" i="1"/>
  <c r="LX54" i="1" l="1"/>
  <c r="ME30" i="18"/>
  <c r="MF11" i="18"/>
  <c r="ME10" i="18"/>
  <c r="ME9" i="18"/>
  <c r="LY11" i="1"/>
  <c r="LX68" i="1"/>
  <c r="LX9" i="1"/>
  <c r="LX10" i="1"/>
  <c r="LY54" i="1" l="1"/>
  <c r="MF30" i="18"/>
  <c r="MG11" i="18"/>
  <c r="MF9" i="18"/>
  <c r="MF10" i="18"/>
  <c r="LZ11" i="1"/>
  <c r="LY9" i="1"/>
  <c r="LY68" i="1"/>
  <c r="LY10" i="1"/>
  <c r="LZ54" i="1" l="1"/>
  <c r="MG30" i="18"/>
  <c r="MH11" i="18"/>
  <c r="MG9" i="18"/>
  <c r="MG10" i="18"/>
  <c r="MA11" i="1"/>
  <c r="LZ68" i="1"/>
  <c r="LZ9" i="1"/>
  <c r="LZ10" i="1"/>
  <c r="MA54" i="1" l="1"/>
  <c r="MH30" i="18"/>
  <c r="MH9" i="18"/>
  <c r="MI11" i="18"/>
  <c r="MH10" i="18"/>
  <c r="MB11" i="1"/>
  <c r="MA68" i="1"/>
  <c r="MA9" i="1"/>
  <c r="MA10" i="1"/>
  <c r="MB54" i="1" l="1"/>
  <c r="MI30" i="18"/>
  <c r="MI10" i="18"/>
  <c r="MJ11" i="18"/>
  <c r="MI9" i="18"/>
  <c r="MC11" i="1"/>
  <c r="MB68" i="1"/>
  <c r="MB9" i="1"/>
  <c r="MB10" i="1"/>
  <c r="MC54" i="1" l="1"/>
  <c r="MJ30" i="18"/>
  <c r="MJ10" i="18"/>
  <c r="MK11" i="18"/>
  <c r="MJ9" i="18"/>
  <c r="MD11" i="1"/>
  <c r="MC9" i="1"/>
  <c r="MC68" i="1"/>
  <c r="MC10" i="1"/>
  <c r="MD54" i="1" l="1"/>
  <c r="MK30" i="18"/>
  <c r="ML11" i="18"/>
  <c r="MK9" i="18"/>
  <c r="MK10" i="18"/>
  <c r="ME11" i="1"/>
  <c r="MD68" i="1"/>
  <c r="MD9" i="1"/>
  <c r="MD10" i="1"/>
  <c r="ME54" i="1" l="1"/>
  <c r="ML30" i="18"/>
  <c r="MM11" i="18"/>
  <c r="ML10" i="18"/>
  <c r="ML9" i="18"/>
  <c r="MF11" i="1"/>
  <c r="ME68" i="1"/>
  <c r="ME9" i="1"/>
  <c r="ME10" i="1"/>
  <c r="OK23" i="1" a="1"/>
  <c r="OJ29" i="1" a="1"/>
  <c r="OJ25" i="1" a="1"/>
  <c r="OJ53" i="1" a="1"/>
  <c r="OK25" i="1" a="1"/>
  <c r="OK21" i="1" a="1"/>
  <c r="OJ23" i="1" a="1"/>
  <c r="OK19" i="1" a="1"/>
  <c r="OJ19" i="1" a="1"/>
  <c r="OJ13" i="1" a="1"/>
  <c r="OJ15" i="1" a="1"/>
  <c r="OK15" i="1" a="1"/>
  <c r="OJ21" i="1" a="1"/>
  <c r="OK27" i="1" a="1"/>
  <c r="OK29" i="1" a="1"/>
  <c r="OJ17" i="1" a="1"/>
  <c r="OK13" i="1" a="1"/>
  <c r="OK17" i="1" a="1"/>
  <c r="OK53" i="1" a="1"/>
  <c r="OJ27" i="1" a="1"/>
  <c r="OK19" i="1" l="1"/>
  <c r="OJ19" i="1"/>
  <c r="OK25" i="1"/>
  <c r="OK17" i="1"/>
  <c r="OJ13" i="1"/>
  <c r="OK27" i="1"/>
  <c r="OK15" i="1"/>
  <c r="OJ23" i="1"/>
  <c r="OJ21" i="1"/>
  <c r="OJ15" i="1"/>
  <c r="OJ25" i="1"/>
  <c r="OJ29" i="1"/>
  <c r="DN12" i="6" s="1"/>
  <c r="OJ17" i="1"/>
  <c r="OJ53" i="1"/>
  <c r="OK13" i="1"/>
  <c r="OK21" i="1"/>
  <c r="OK53" i="1"/>
  <c r="OK23" i="1"/>
  <c r="OJ27" i="1"/>
  <c r="OK29" i="1"/>
  <c r="DO12" i="6" s="1"/>
  <c r="MF54" i="1"/>
  <c r="MM30" i="18"/>
  <c r="MM10" i="18"/>
  <c r="MM9" i="18"/>
  <c r="MN11" i="18"/>
  <c r="AS27" i="6"/>
  <c r="BF27" i="6"/>
  <c r="AS24" i="6"/>
  <c r="BF24" i="6"/>
  <c r="AS25" i="6"/>
  <c r="BF25" i="6"/>
  <c r="BF26" i="6"/>
  <c r="AS26" i="6"/>
  <c r="MG11" i="1"/>
  <c r="MG54" i="1" s="1"/>
  <c r="MF68" i="1"/>
  <c r="MF9" i="1"/>
  <c r="MF10" i="1"/>
  <c r="DN8" i="6" l="1"/>
  <c r="DO8" i="6"/>
  <c r="DO7" i="6"/>
  <c r="DO6" i="6"/>
  <c r="DN6" i="6"/>
  <c r="DN7" i="6"/>
  <c r="MN30" i="18"/>
  <c r="MO11" i="18"/>
  <c r="MN10" i="18"/>
  <c r="MN9" i="18"/>
  <c r="AS33" i="6"/>
  <c r="BF33" i="6"/>
  <c r="MH11" i="1"/>
  <c r="MH54" i="1" s="1"/>
  <c r="MG9" i="1"/>
  <c r="MG68" i="1"/>
  <c r="MG10" i="1"/>
  <c r="MO30" i="18" l="1"/>
  <c r="MP11" i="18"/>
  <c r="MO9" i="18"/>
  <c r="MO10" i="18"/>
  <c r="MI11" i="1"/>
  <c r="MI54" i="1" s="1"/>
  <c r="MH68" i="1"/>
  <c r="MH9" i="1"/>
  <c r="MH10" i="1"/>
  <c r="MP30" i="18" l="1"/>
  <c r="MQ11" i="18"/>
  <c r="MP9" i="18"/>
  <c r="MP10" i="18"/>
  <c r="MJ11" i="1"/>
  <c r="MJ54" i="1" s="1"/>
  <c r="MI68" i="1"/>
  <c r="MI9" i="1"/>
  <c r="MI10" i="1"/>
  <c r="MQ30" i="18" l="1"/>
  <c r="MR11" i="18"/>
  <c r="MQ10" i="18"/>
  <c r="MQ9" i="18"/>
  <c r="MK11" i="1"/>
  <c r="MK54" i="1" s="1"/>
  <c r="MJ68" i="1"/>
  <c r="MJ9" i="1"/>
  <c r="MJ10" i="1"/>
  <c r="MR30" i="18" l="1"/>
  <c r="MR10" i="18"/>
  <c r="MR9" i="18"/>
  <c r="MS11" i="18"/>
  <c r="ML11" i="1"/>
  <c r="ML54" i="1" s="1"/>
  <c r="MK68" i="1"/>
  <c r="MK9" i="1"/>
  <c r="MK10" i="1"/>
  <c r="MS30" i="18" l="1"/>
  <c r="MS9" i="18"/>
  <c r="MT11" i="18"/>
  <c r="MS10" i="18"/>
  <c r="MM11" i="1"/>
  <c r="MM54" i="1" s="1"/>
  <c r="ML68" i="1"/>
  <c r="ML9" i="1"/>
  <c r="ML10" i="1"/>
  <c r="MT30" i="18" l="1"/>
  <c r="MU11" i="18"/>
  <c r="MT10" i="18"/>
  <c r="MT9" i="18"/>
  <c r="MN11" i="1"/>
  <c r="MN54" i="1" s="1"/>
  <c r="MM68" i="1"/>
  <c r="MM9" i="1"/>
  <c r="MM10" i="1"/>
  <c r="MU30" i="18" l="1"/>
  <c r="MU10" i="18"/>
  <c r="MV11" i="18"/>
  <c r="MU9" i="18"/>
  <c r="MO11" i="1"/>
  <c r="MO54" i="1" s="1"/>
  <c r="MN68" i="1"/>
  <c r="MN9" i="1"/>
  <c r="MN10" i="1"/>
  <c r="MV30" i="18" l="1"/>
  <c r="MW11" i="18"/>
  <c r="MV10" i="18"/>
  <c r="MV9" i="18"/>
  <c r="MP11" i="1"/>
  <c r="MP54" i="1" s="1"/>
  <c r="MO9" i="1"/>
  <c r="MO68" i="1"/>
  <c r="MO10" i="1"/>
  <c r="MW30" i="18" l="1"/>
  <c r="MX11" i="18"/>
  <c r="MW9" i="18"/>
  <c r="MW10" i="18"/>
  <c r="MQ11" i="1"/>
  <c r="MQ54" i="1" s="1"/>
  <c r="MP68" i="1"/>
  <c r="MP9" i="1"/>
  <c r="MP10" i="1"/>
  <c r="MX30" i="18" l="1"/>
  <c r="MX9" i="18"/>
  <c r="MY11" i="18"/>
  <c r="MX10" i="18"/>
  <c r="MR11" i="1"/>
  <c r="MR54" i="1" s="1"/>
  <c r="MQ68" i="1"/>
  <c r="MQ9" i="1"/>
  <c r="MQ10" i="1"/>
  <c r="MY30" i="18" l="1"/>
  <c r="MZ11" i="18"/>
  <c r="MY10" i="18"/>
  <c r="MY9" i="18"/>
  <c r="MS11" i="1"/>
  <c r="MS54" i="1" s="1"/>
  <c r="MR68" i="1"/>
  <c r="MR9" i="1"/>
  <c r="MR10" i="1"/>
  <c r="MZ30" i="18" l="1"/>
  <c r="NA11" i="18"/>
  <c r="MZ10" i="18"/>
  <c r="MZ9" i="18"/>
  <c r="MT11" i="1"/>
  <c r="MT54" i="1" s="1"/>
  <c r="MS9" i="1"/>
  <c r="MS68" i="1"/>
  <c r="MS10" i="1"/>
  <c r="NB11" i="18" l="1"/>
  <c r="NA30" i="18"/>
  <c r="NA9" i="18"/>
  <c r="NA10" i="18"/>
  <c r="MU11" i="1"/>
  <c r="MU54" i="1" s="1"/>
  <c r="MT68" i="1"/>
  <c r="MT9" i="1"/>
  <c r="MT10" i="1"/>
  <c r="NB30" i="18" l="1"/>
  <c r="NC11" i="18"/>
  <c r="NB10" i="18"/>
  <c r="NB9" i="18"/>
  <c r="MV11" i="1"/>
  <c r="MV54" i="1" s="1"/>
  <c r="MU68" i="1"/>
  <c r="MU9" i="1"/>
  <c r="MU10" i="1"/>
  <c r="NC30" i="18" l="1"/>
  <c r="NC10" i="18"/>
  <c r="NC9" i="18"/>
  <c r="ND11" i="18"/>
  <c r="MW11" i="1"/>
  <c r="MW54" i="1" s="1"/>
  <c r="MV68" i="1"/>
  <c r="MV9" i="1"/>
  <c r="MV10" i="1"/>
  <c r="ND30" i="18" l="1"/>
  <c r="ND10" i="18"/>
  <c r="ND9" i="18"/>
  <c r="NE11" i="18"/>
  <c r="MX11" i="1"/>
  <c r="MX54" i="1" s="1"/>
  <c r="MW9" i="1"/>
  <c r="MW68" i="1"/>
  <c r="MW10" i="1"/>
  <c r="NF11" i="18" l="1"/>
  <c r="NE30" i="18"/>
  <c r="NE9" i="18"/>
  <c r="NE10" i="18"/>
  <c r="MY11" i="1"/>
  <c r="MY54" i="1" s="1"/>
  <c r="MX9" i="1"/>
  <c r="MX68" i="1"/>
  <c r="MX10" i="1"/>
  <c r="NF30" i="18" l="1"/>
  <c r="NF9" i="18"/>
  <c r="NG11" i="18"/>
  <c r="NF10" i="18"/>
  <c r="MZ11" i="1"/>
  <c r="MZ54" i="1" s="1"/>
  <c r="MY68" i="1"/>
  <c r="MY9" i="1"/>
  <c r="MY10" i="1"/>
  <c r="NG30" i="18" l="1"/>
  <c r="NH11" i="18"/>
  <c r="NG10" i="18"/>
  <c r="NG9" i="18"/>
  <c r="NA11" i="1"/>
  <c r="NA54" i="1" s="1"/>
  <c r="MZ68" i="1"/>
  <c r="MZ9" i="1"/>
  <c r="MZ10" i="1"/>
  <c r="NH30" i="18" l="1"/>
  <c r="NH10" i="18"/>
  <c r="NI11" i="18"/>
  <c r="NH9" i="18"/>
  <c r="NB11" i="1"/>
  <c r="NB54" i="1" s="1"/>
  <c r="NA68" i="1"/>
  <c r="NA9" i="1"/>
  <c r="NA10" i="1"/>
  <c r="NI30" i="18" l="1"/>
  <c r="NJ11" i="18"/>
  <c r="NI10" i="18"/>
  <c r="NI9" i="18"/>
  <c r="NC11" i="1"/>
  <c r="NC54" i="1" s="1"/>
  <c r="NB68" i="1"/>
  <c r="NB9" i="1"/>
  <c r="NB10" i="1"/>
  <c r="NJ30" i="18" l="1"/>
  <c r="NJ10" i="18"/>
  <c r="NJ9" i="18"/>
  <c r="ND11" i="1"/>
  <c r="ND54" i="1" s="1"/>
  <c r="NC68" i="1"/>
  <c r="NC9" i="1"/>
  <c r="NC10" i="1"/>
  <c r="NU28" i="18"/>
  <c r="NZ21" i="18" a="1"/>
  <c r="OJ25" i="18" a="1"/>
  <c r="OA16" i="18"/>
  <c r="NX29" i="18" a="1"/>
  <c r="NY21" i="18" a="1"/>
  <c r="NU19" i="18" a="1"/>
  <c r="OE22" i="18"/>
  <c r="OD23" i="18" a="1"/>
  <c r="NU29" i="18" a="1"/>
  <c r="NV23" i="18" a="1"/>
  <c r="OE18" i="18"/>
  <c r="NX23" i="18" a="1"/>
  <c r="OG25" i="18" a="1"/>
  <c r="OJ17" i="18" a="1"/>
  <c r="NW21" i="18" a="1"/>
  <c r="OC23" i="18" a="1"/>
  <c r="OG22" i="18"/>
  <c r="NZ19" i="18" a="1"/>
  <c r="OB15" i="18" a="1"/>
  <c r="NQ22" i="18"/>
  <c r="OC14" i="18"/>
  <c r="NP13" i="18" a="1"/>
  <c r="OG29" i="18" a="1"/>
  <c r="NT29" i="18" a="1"/>
  <c r="NZ29" i="18" a="1"/>
  <c r="NU15" i="18" a="1"/>
  <c r="NQ27" i="18" a="1"/>
  <c r="NR27" i="18" a="1"/>
  <c r="OA29" i="18" a="1"/>
  <c r="OC21" i="18" a="1"/>
  <c r="NX17" i="18" a="1"/>
  <c r="NW18" i="18"/>
  <c r="OF15" i="18" a="1"/>
  <c r="OA21" i="18" a="1"/>
  <c r="OA28" i="18"/>
  <c r="NU14" i="18"/>
  <c r="NP21" i="18" a="1"/>
  <c r="NT21" i="18" a="1"/>
  <c r="OG21" i="18" a="1"/>
  <c r="OA26" i="18"/>
  <c r="NU23" i="18" a="1"/>
  <c r="OG14" i="18"/>
  <c r="OA18" i="18"/>
  <c r="OG28" i="18"/>
  <c r="NS25" i="18" a="1"/>
  <c r="OE14" i="18"/>
  <c r="NW15" i="18" a="1"/>
  <c r="OC18" i="18"/>
  <c r="OI23" i="18" a="1"/>
  <c r="NY19" i="18" a="1"/>
  <c r="NQ29" i="18" a="1"/>
  <c r="NS12" i="18"/>
  <c r="NY28" i="18"/>
  <c r="OH19" i="18" a="1"/>
  <c r="NS20" i="18"/>
  <c r="OE25" i="18" a="1"/>
  <c r="OK23" i="18" a="1"/>
  <c r="NR21" i="18" a="1"/>
  <c r="OE19" i="18" a="1"/>
  <c r="NS24" i="18"/>
  <c r="OA24" i="18"/>
  <c r="OI29" i="18" a="1"/>
  <c r="NS22" i="18"/>
  <c r="OK13" i="18" a="1"/>
  <c r="OB23" i="18" a="1"/>
  <c r="OB19" i="18" a="1"/>
  <c r="OD25" i="18" a="1"/>
  <c r="OD13" i="18" a="1"/>
  <c r="NS26" i="18"/>
  <c r="OC16" i="18"/>
  <c r="OE21" i="18" a="1"/>
  <c r="NT23" i="18" a="1"/>
  <c r="OI13" i="18" a="1"/>
  <c r="NU17" i="18" a="1"/>
  <c r="NQ23" i="18" a="1"/>
  <c r="NQ15" i="18" a="1"/>
  <c r="OK21" i="18" a="1"/>
  <c r="OC13" i="18" a="1"/>
  <c r="NU13" i="18" a="1"/>
  <c r="OB21" i="18" a="1"/>
  <c r="NP19" i="18" a="1"/>
  <c r="OC27" i="18" a="1"/>
  <c r="OG26" i="18"/>
  <c r="OB25" i="18" a="1"/>
  <c r="NY23" i="18" a="1"/>
  <c r="NV21" i="18" a="1"/>
  <c r="OE15" i="18" a="1"/>
  <c r="NY27" i="18" a="1"/>
  <c r="OF21" i="18" a="1"/>
  <c r="NZ27" i="18" a="1"/>
  <c r="OH23" i="18" a="1"/>
  <c r="NY29" i="18" a="1"/>
  <c r="NU16" i="18"/>
  <c r="NZ17" i="18" a="1"/>
  <c r="OJ19" i="18" a="1"/>
  <c r="OD27" i="18" a="1"/>
  <c r="NU21" i="18" a="1"/>
  <c r="NV29" i="18" a="1"/>
  <c r="OC22" i="18"/>
  <c r="OF23" i="18" a="1"/>
  <c r="NZ25" i="18" a="1"/>
  <c r="NX27" i="18" a="1"/>
  <c r="OI14" i="18"/>
  <c r="NQ21" i="18" a="1"/>
  <c r="OD15" i="18" a="1"/>
  <c r="OI19" i="18" a="1"/>
  <c r="OI15" i="18" a="1"/>
  <c r="OI18" i="18"/>
  <c r="OK17" i="18" a="1"/>
  <c r="OF29" i="18" a="1"/>
  <c r="OA20" i="18"/>
  <c r="NR23" i="18" a="1"/>
  <c r="NQ17" i="18" a="1"/>
  <c r="OK25" i="18" a="1"/>
  <c r="OC20" i="18"/>
  <c r="NZ13" i="18" a="1"/>
  <c r="NW29" i="18" a="1"/>
  <c r="NY16" i="18"/>
  <c r="OJ29" i="18" a="1"/>
  <c r="NQ20" i="18"/>
  <c r="OC26" i="18"/>
  <c r="NR29" i="18" a="1"/>
  <c r="OE23" i="18" a="1"/>
  <c r="NT19" i="18" a="1"/>
  <c r="NV27" i="18" a="1"/>
  <c r="OB13" i="18" a="1"/>
  <c r="NX25" i="18" a="1"/>
  <c r="NR13" i="18" a="1"/>
  <c r="OG24" i="18"/>
  <c r="OC15" i="18" a="1"/>
  <c r="NS23" i="18" a="1"/>
  <c r="OI27" i="18" a="1"/>
  <c r="NQ16" i="18"/>
  <c r="NV19" i="18" a="1"/>
  <c r="NW23" i="18" a="1"/>
  <c r="OC12" i="18"/>
  <c r="OG18" i="18"/>
  <c r="NX15" i="18" a="1"/>
  <c r="OH27" i="18" a="1"/>
  <c r="OH15" i="18" a="1"/>
  <c r="OE13" i="18" a="1"/>
  <c r="NR15" i="18" a="1"/>
  <c r="OK27" i="18" a="1"/>
  <c r="NS13" i="18" a="1"/>
  <c r="OK26" i="18"/>
  <c r="NQ13" i="18" a="1"/>
  <c r="NW22" i="18"/>
  <c r="OH29" i="18" a="1"/>
  <c r="NU20" i="18"/>
  <c r="OE20" i="18"/>
  <c r="OI26" i="18"/>
  <c r="NV15" i="18" a="1"/>
  <c r="OA19" i="18" a="1"/>
  <c r="NW16" i="18"/>
  <c r="OK15" i="18" a="1"/>
  <c r="OC19" i="18" a="1"/>
  <c r="OA25" i="18" a="1"/>
  <c r="NV25" i="18" a="1"/>
  <c r="OD21" i="18" a="1"/>
  <c r="OE12" i="18"/>
  <c r="OF17" i="18" a="1"/>
  <c r="OI12" i="18"/>
  <c r="NU12" i="18"/>
  <c r="NV17" i="18" a="1"/>
  <c r="NT27" i="18" a="1"/>
  <c r="NY12" i="18"/>
  <c r="OD19" i="18" a="1"/>
  <c r="OA12" i="18"/>
  <c r="OJ27" i="18" a="1"/>
  <c r="NQ26" i="18"/>
  <c r="NR17" i="18" a="1"/>
  <c r="NY17" i="18" a="1"/>
  <c r="NU25" i="18" a="1"/>
  <c r="OK16" i="18"/>
  <c r="NP29" i="18" a="1"/>
  <c r="OE26" i="18"/>
  <c r="NR19" i="18" a="1"/>
  <c r="NW19" i="18" a="1"/>
  <c r="OC28" i="18"/>
  <c r="NS29" i="18" a="1"/>
  <c r="NW26" i="18"/>
  <c r="NQ19" i="18" a="1"/>
  <c r="OI16" i="18"/>
  <c r="OG19" i="18" a="1"/>
  <c r="NS21" i="18" a="1"/>
  <c r="OI17" i="18" a="1"/>
  <c r="OK20" i="18"/>
  <c r="OG27" i="18" a="1"/>
  <c r="OA27" i="18" a="1"/>
  <c r="NT17" i="18" a="1"/>
  <c r="NY26" i="18"/>
  <c r="OE24" i="18"/>
  <c r="NY24" i="18"/>
  <c r="OA22" i="18"/>
  <c r="NX13" i="18" a="1"/>
  <c r="OI28" i="18"/>
  <c r="OK24" i="18"/>
  <c r="NS17" i="18" a="1"/>
  <c r="NW20" i="18"/>
  <c r="NU26" i="18"/>
  <c r="NW12" i="18"/>
  <c r="NZ23" i="18" a="1"/>
  <c r="NW28" i="18"/>
  <c r="OH21" i="18" a="1"/>
  <c r="NU22" i="18"/>
  <c r="OK19" i="18" a="1"/>
  <c r="OG12" i="18"/>
  <c r="NS28" i="18"/>
  <c r="NW14" i="18"/>
  <c r="OB17" i="18" a="1"/>
  <c r="OJ13" i="18" a="1"/>
  <c r="OI20" i="18"/>
  <c r="NU27" i="18" a="1"/>
  <c r="OJ23" i="18" a="1"/>
  <c r="NY18" i="18"/>
  <c r="NP25" i="18" a="1"/>
  <c r="OB27" i="18" a="1"/>
  <c r="OA13" i="18" a="1"/>
  <c r="OH13" i="18" a="1"/>
  <c r="OJ21" i="18" a="1"/>
  <c r="OE16" i="18"/>
  <c r="OK18" i="18"/>
  <c r="NS18" i="18"/>
  <c r="NU24" i="18"/>
  <c r="OI22" i="18"/>
  <c r="OC17" i="18" a="1"/>
  <c r="NY14" i="18"/>
  <c r="NQ12" i="18"/>
  <c r="OI25" i="18" a="1"/>
  <c r="NQ18" i="18"/>
  <c r="NW24" i="18"/>
  <c r="NS19" i="18" a="1"/>
  <c r="NW25" i="18" a="1"/>
  <c r="OG20" i="18"/>
  <c r="OF25" i="18" a="1"/>
  <c r="OF19" i="18" a="1"/>
  <c r="NS16" i="18"/>
  <c r="NS15" i="18" a="1"/>
  <c r="NS14" i="18"/>
  <c r="OC29" i="18" a="1"/>
  <c r="OC24" i="18"/>
  <c r="NT15" i="18" a="1"/>
  <c r="OG15" i="18" a="1"/>
  <c r="NY22" i="18"/>
  <c r="OG16" i="18"/>
  <c r="OK14" i="18"/>
  <c r="NX21" i="18" a="1"/>
  <c r="NP27" i="18" a="1"/>
  <c r="NP15" i="18" a="1"/>
  <c r="OH25" i="18" a="1"/>
  <c r="NZ15" i="18" a="1"/>
  <c r="OK22" i="18"/>
  <c r="NR25" i="18" a="1"/>
  <c r="OG17" i="18" a="1"/>
  <c r="NT13" i="18" a="1"/>
  <c r="OG13" i="18" a="1"/>
  <c r="NP23" i="18" a="1"/>
  <c r="OG23" i="18" a="1"/>
  <c r="OB29" i="18" a="1"/>
  <c r="NV13" i="18" a="1"/>
  <c r="OD17" i="18" a="1"/>
  <c r="OA15" i="18" a="1"/>
  <c r="OD29" i="18" a="1"/>
  <c r="OK12" i="18"/>
  <c r="OE27" i="18" a="1"/>
  <c r="OF13" i="18" a="1"/>
  <c r="NP17" i="18" a="1"/>
  <c r="OI24" i="18"/>
  <c r="NY13" i="18" a="1"/>
  <c r="NY25" i="18" a="1"/>
  <c r="NX19" i="18" a="1"/>
  <c r="NQ28" i="18"/>
  <c r="NW27" i="18" a="1"/>
  <c r="OA23" i="18" a="1"/>
  <c r="NQ24" i="18"/>
  <c r="NT25" i="18" a="1"/>
  <c r="OC25" i="18" a="1"/>
  <c r="OE28" i="18"/>
  <c r="NW17" i="18" a="1"/>
  <c r="NU18" i="18"/>
  <c r="OK28" i="18"/>
  <c r="OK29" i="18" a="1"/>
  <c r="NS27" i="18" a="1"/>
  <c r="OI21" i="18" a="1"/>
  <c r="OF27" i="18" a="1"/>
  <c r="OE17" i="18" a="1"/>
  <c r="NY20" i="18"/>
  <c r="NQ14" i="18"/>
  <c r="OA17" i="18" a="1"/>
  <c r="NQ25" i="18" a="1"/>
  <c r="NW13" i="18" a="1"/>
  <c r="OH17" i="18" a="1"/>
  <c r="OJ15" i="18" a="1"/>
  <c r="OA14" i="18"/>
  <c r="NY15" i="18" a="1"/>
  <c r="OE29" i="18" a="1"/>
  <c r="OK15" i="18" l="1"/>
  <c r="OK17" i="18"/>
  <c r="OI13" i="18"/>
  <c r="OG27" i="18"/>
  <c r="OI25" i="18"/>
  <c r="OG29" i="18"/>
  <c r="OF27" i="18"/>
  <c r="OD27" i="18"/>
  <c r="OE25" i="18"/>
  <c r="OB23" i="18"/>
  <c r="OC19" i="18"/>
  <c r="OB27" i="18"/>
  <c r="NY27" i="18"/>
  <c r="ON22" i="18"/>
  <c r="NZ15" i="18"/>
  <c r="NY15" i="18"/>
  <c r="NV17" i="18"/>
  <c r="NV19" i="18"/>
  <c r="ON18" i="18"/>
  <c r="NS25" i="18"/>
  <c r="ON24" i="18"/>
  <c r="NP25" i="18"/>
  <c r="NQ29" i="18"/>
  <c r="OK13" i="18"/>
  <c r="OK21" i="18"/>
  <c r="OH21" i="18"/>
  <c r="OH25" i="18"/>
  <c r="OF19" i="18"/>
  <c r="OG13" i="18"/>
  <c r="OE17" i="18"/>
  <c r="OE23" i="18"/>
  <c r="OD19" i="18"/>
  <c r="OC25" i="18"/>
  <c r="OH13" i="18"/>
  <c r="OA17" i="18"/>
  <c r="OC23" i="18"/>
  <c r="OC27" i="18"/>
  <c r="OC29" i="18"/>
  <c r="NW15" i="18"/>
  <c r="NU25" i="18"/>
  <c r="NZ25" i="18"/>
  <c r="NZ23" i="18"/>
  <c r="NR21" i="18"/>
  <c r="NT25" i="18"/>
  <c r="NW27" i="18"/>
  <c r="NP19" i="18"/>
  <c r="NQ17" i="18"/>
  <c r="OH29" i="18"/>
  <c r="OI29" i="18"/>
  <c r="OG23" i="18"/>
  <c r="OF13" i="18"/>
  <c r="OH23" i="18"/>
  <c r="OD15" i="18"/>
  <c r="OE29" i="18"/>
  <c r="OD25" i="18"/>
  <c r="NX29" i="18"/>
  <c r="NZ17" i="18"/>
  <c r="NY19" i="18"/>
  <c r="NY29" i="18"/>
  <c r="NY17" i="18"/>
  <c r="OA25" i="18"/>
  <c r="NR25" i="18"/>
  <c r="OA29" i="18"/>
  <c r="NU21" i="18"/>
  <c r="ON20" i="18"/>
  <c r="NQ13" i="18"/>
  <c r="NP29" i="18"/>
  <c r="NW19" i="18"/>
  <c r="NR13" i="18"/>
  <c r="NS27" i="18"/>
  <c r="ON26" i="18"/>
  <c r="OJ13" i="18"/>
  <c r="OJ23" i="18"/>
  <c r="OK29" i="18"/>
  <c r="OH17" i="18"/>
  <c r="OG19" i="18"/>
  <c r="OF21" i="18"/>
  <c r="OF17" i="18"/>
  <c r="OF29" i="18"/>
  <c r="OD21" i="18"/>
  <c r="OC17" i="18"/>
  <c r="NX13" i="18"/>
  <c r="OC15" i="18"/>
  <c r="NV15" i="18"/>
  <c r="NW23" i="18"/>
  <c r="OA19" i="18"/>
  <c r="NX25" i="18"/>
  <c r="NT21" i="18"/>
  <c r="NX23" i="18"/>
  <c r="NZ19" i="18"/>
  <c r="NV27" i="18"/>
  <c r="NW25" i="18"/>
  <c r="NV21" i="18"/>
  <c r="NT29" i="18"/>
  <c r="NT15" i="18"/>
  <c r="NQ19" i="18"/>
  <c r="NR27" i="18"/>
  <c r="NP27" i="18"/>
  <c r="NR23" i="18"/>
  <c r="OK25" i="18"/>
  <c r="OJ29" i="18"/>
  <c r="OJ25" i="18"/>
  <c r="OG21" i="18"/>
  <c r="OF15" i="18"/>
  <c r="OI21" i="18"/>
  <c r="OH15" i="18"/>
  <c r="OE21" i="18"/>
  <c r="OE13" i="18"/>
  <c r="OI27" i="18"/>
  <c r="OC21" i="18"/>
  <c r="NX17" i="18"/>
  <c r="OB19" i="18"/>
  <c r="NY21" i="18"/>
  <c r="OA15" i="18"/>
  <c r="NZ21" i="18"/>
  <c r="NZ13" i="18"/>
  <c r="OB21" i="18"/>
  <c r="NU15" i="18"/>
  <c r="NW13" i="18"/>
  <c r="NW17" i="18"/>
  <c r="NQ23" i="18"/>
  <c r="NP23" i="18"/>
  <c r="NS21" i="18"/>
  <c r="NP21" i="18"/>
  <c r="OJ19" i="18"/>
  <c r="OJ17" i="18"/>
  <c r="OI23" i="18"/>
  <c r="OH27" i="18"/>
  <c r="OI15" i="18"/>
  <c r="OI19" i="18"/>
  <c r="OD17" i="18"/>
  <c r="OC13" i="18"/>
  <c r="NX27" i="18"/>
  <c r="OB17" i="18"/>
  <c r="NY23" i="18"/>
  <c r="NZ29" i="18"/>
  <c r="NU29" i="18"/>
  <c r="NS29" i="18"/>
  <c r="NU13" i="18"/>
  <c r="NT17" i="18"/>
  <c r="ON14" i="18"/>
  <c r="NZ27" i="18"/>
  <c r="NQ25" i="18"/>
  <c r="NW21" i="18"/>
  <c r="NP17" i="18"/>
  <c r="NT19" i="18"/>
  <c r="NS17" i="18"/>
  <c r="NS15" i="18"/>
  <c r="OK19" i="18"/>
  <c r="OJ15" i="18"/>
  <c r="OJ21" i="18"/>
  <c r="OJ27" i="18"/>
  <c r="OI17" i="18"/>
  <c r="OH19" i="18"/>
  <c r="OG17" i="18"/>
  <c r="OG25" i="18"/>
  <c r="OE27" i="18"/>
  <c r="OD13" i="18"/>
  <c r="OE19" i="18"/>
  <c r="OD29" i="18"/>
  <c r="OA23" i="18"/>
  <c r="OB25" i="18"/>
  <c r="NY13" i="18"/>
  <c r="NX15" i="18"/>
  <c r="NY25" i="18"/>
  <c r="NR29" i="18"/>
  <c r="NT13" i="18"/>
  <c r="NT27" i="18"/>
  <c r="NU19" i="18"/>
  <c r="NS19" i="18"/>
  <c r="NV13" i="18"/>
  <c r="NV29" i="18"/>
  <c r="ON12" i="18"/>
  <c r="NT23" i="18"/>
  <c r="ON16" i="18"/>
  <c r="ON28" i="18"/>
  <c r="NV25" i="18"/>
  <c r="NP13" i="18"/>
  <c r="NS13" i="18"/>
  <c r="NR17" i="18"/>
  <c r="OK27" i="18"/>
  <c r="OK23" i="18"/>
  <c r="OF25" i="18"/>
  <c r="OF23" i="18"/>
  <c r="OG15" i="18"/>
  <c r="OE15" i="18"/>
  <c r="OD23" i="18"/>
  <c r="OB15" i="18"/>
  <c r="NX19" i="18"/>
  <c r="OB13" i="18"/>
  <c r="NX21" i="18"/>
  <c r="OB29" i="18"/>
  <c r="OA13" i="18"/>
  <c r="NV23" i="18"/>
  <c r="OA27" i="18"/>
  <c r="NU27" i="18"/>
  <c r="NU23" i="18"/>
  <c r="NU17" i="18"/>
  <c r="NP15" i="18"/>
  <c r="NW29" i="18"/>
  <c r="NR15" i="18"/>
  <c r="NR19" i="18"/>
  <c r="NQ27" i="18"/>
  <c r="OA21" i="18"/>
  <c r="NQ21" i="18"/>
  <c r="NS23" i="18"/>
  <c r="NQ15" i="18"/>
  <c r="NE11" i="1"/>
  <c r="NE54" i="1" s="1"/>
  <c r="ND9" i="1"/>
  <c r="ND68" i="1"/>
  <c r="ND10" i="1"/>
  <c r="OJ26" i="18"/>
  <c r="NR14" i="18"/>
  <c r="OF26" i="18"/>
  <c r="NT16" i="18"/>
  <c r="OJ22" i="18"/>
  <c r="OD22" i="18"/>
  <c r="OH18" i="18"/>
  <c r="OH16" i="18"/>
  <c r="OH14" i="18"/>
  <c r="OB20" i="18"/>
  <c r="NT14" i="18"/>
  <c r="OD18" i="18"/>
  <c r="NX26" i="18"/>
  <c r="NZ24" i="18"/>
  <c r="OB16" i="18"/>
  <c r="NR22" i="18"/>
  <c r="NX16" i="18"/>
  <c r="OF16" i="18"/>
  <c r="NP22" i="18"/>
  <c r="NZ28" i="18"/>
  <c r="NV18" i="18"/>
  <c r="NT18" i="18"/>
  <c r="OB24" i="18"/>
  <c r="OJ28" i="18"/>
  <c r="OJ20" i="18"/>
  <c r="OJ12" i="18"/>
  <c r="NX12" i="18"/>
  <c r="NV16" i="18"/>
  <c r="NR26" i="18"/>
  <c r="OF22" i="18"/>
  <c r="OJ18" i="18"/>
  <c r="NT22" i="18"/>
  <c r="NX22" i="18"/>
  <c r="NX28" i="18"/>
  <c r="NT28" i="18"/>
  <c r="NZ16" i="18"/>
  <c r="NV20" i="18"/>
  <c r="OF14" i="18"/>
  <c r="NX20" i="18"/>
  <c r="NZ20" i="18"/>
  <c r="NR28" i="18"/>
  <c r="NZ14" i="18"/>
  <c r="NT20" i="18"/>
  <c r="NR16" i="18"/>
  <c r="NP12" i="18"/>
  <c r="NV22" i="18"/>
  <c r="NP20" i="18"/>
  <c r="NR24" i="18"/>
  <c r="NT26" i="18"/>
  <c r="NR20" i="18"/>
  <c r="NV24" i="18"/>
  <c r="OF28" i="18"/>
  <c r="OD24" i="18"/>
  <c r="OD26" i="18"/>
  <c r="OH20" i="18"/>
  <c r="OJ14" i="18"/>
  <c r="NZ18" i="18"/>
  <c r="NX24" i="18"/>
  <c r="OH28" i="18"/>
  <c r="NP18" i="18"/>
  <c r="OH24" i="18"/>
  <c r="OJ24" i="18"/>
  <c r="NP14" i="18"/>
  <c r="OH26" i="18"/>
  <c r="NP26" i="18"/>
  <c r="OF18" i="18"/>
  <c r="NP24" i="18"/>
  <c r="OJ16" i="18"/>
  <c r="NV28" i="18"/>
  <c r="OF20" i="18"/>
  <c r="OD14" i="18"/>
  <c r="OB28" i="18"/>
  <c r="OD16" i="18"/>
  <c r="NZ22" i="18"/>
  <c r="OH22" i="18"/>
  <c r="NT24" i="18"/>
  <c r="NP28" i="18"/>
  <c r="NR18" i="18"/>
  <c r="OF24" i="18"/>
  <c r="NV12" i="18"/>
  <c r="OD20" i="18"/>
  <c r="OD12" i="18"/>
  <c r="NP16" i="18"/>
  <c r="NZ26" i="18"/>
  <c r="OH12" i="18"/>
  <c r="NX18" i="18"/>
  <c r="OF12" i="18"/>
  <c r="OB14" i="18"/>
  <c r="OB26" i="18"/>
  <c r="OD28" i="18"/>
  <c r="NX14" i="18"/>
  <c r="OB22" i="18"/>
  <c r="NR12" i="18"/>
  <c r="NV26" i="18"/>
  <c r="OB12" i="18"/>
  <c r="NZ12" i="18"/>
  <c r="NT12" i="18"/>
  <c r="NV14" i="18"/>
  <c r="OB18" i="18"/>
  <c r="OM28" i="18" l="1"/>
  <c r="OM14" i="18"/>
  <c r="OM24" i="18"/>
  <c r="OM22" i="18"/>
  <c r="OM16" i="18"/>
  <c r="OM12" i="18"/>
  <c r="OM26" i="18"/>
  <c r="OM20" i="18"/>
  <c r="OM18" i="18"/>
  <c r="NF11" i="1"/>
  <c r="NF54" i="1" s="1"/>
  <c r="NE9" i="1"/>
  <c r="NE68" i="1"/>
  <c r="NE10" i="1"/>
  <c r="NG11" i="1" l="1"/>
  <c r="NG54" i="1" s="1"/>
  <c r="NF68" i="1"/>
  <c r="NF9" i="1"/>
  <c r="NF10" i="1"/>
  <c r="NH11" i="1" l="1"/>
  <c r="NH54" i="1" s="1"/>
  <c r="NG68" i="1"/>
  <c r="NG9" i="1"/>
  <c r="NG10" i="1"/>
  <c r="NI11" i="1" l="1"/>
  <c r="NI54" i="1" s="1"/>
  <c r="NH68" i="1"/>
  <c r="NH9" i="1"/>
  <c r="NH10" i="1"/>
  <c r="NJ11" i="1" l="1"/>
  <c r="NI68" i="1"/>
  <c r="NI9" i="1"/>
  <c r="NI10" i="1"/>
  <c r="NO52" i="1"/>
  <c r="OE52" i="1"/>
  <c r="OC52" i="1"/>
  <c r="NO16" i="1"/>
  <c r="NY52" i="1"/>
  <c r="NU16" i="1"/>
  <c r="OG52" i="1"/>
  <c r="OC16" i="1"/>
  <c r="OE16" i="1"/>
  <c r="OA16" i="1"/>
  <c r="OK16" i="1"/>
  <c r="NW16" i="1"/>
  <c r="NW52" i="1"/>
  <c r="NQ16" i="1"/>
  <c r="NS52" i="1"/>
  <c r="OK52" i="1"/>
  <c r="NS16" i="1"/>
  <c r="NY16" i="1"/>
  <c r="NQ52" i="1"/>
  <c r="OI16" i="1"/>
  <c r="OG16" i="1"/>
  <c r="NU52" i="1"/>
  <c r="OA52" i="1"/>
  <c r="OI52" i="1"/>
  <c r="BI7" i="6" l="1"/>
  <c r="H7" i="6" s="1"/>
  <c r="BN7" i="6"/>
  <c r="I7" i="6" s="1"/>
  <c r="NJ54" i="1"/>
  <c r="D5" i="16"/>
  <c r="D17" i="16"/>
  <c r="D9" i="16"/>
  <c r="D20" i="16"/>
  <c r="D24" i="16"/>
  <c r="D6" i="16"/>
  <c r="D18" i="16"/>
  <c r="D19" i="16"/>
  <c r="D8" i="16"/>
  <c r="D11" i="16"/>
  <c r="D25" i="16"/>
  <c r="D4" i="16"/>
  <c r="D7" i="16"/>
  <c r="D13" i="16"/>
  <c r="D23" i="16"/>
  <c r="D3" i="16"/>
  <c r="D10" i="16"/>
  <c r="D14" i="16"/>
  <c r="D16" i="16"/>
  <c r="D12" i="16"/>
  <c r="D15" i="16"/>
  <c r="D21" i="16"/>
  <c r="D22" i="16"/>
  <c r="ON52" i="1"/>
  <c r="ON16" i="1"/>
  <c r="D11" i="4"/>
  <c r="B11" i="4" s="1"/>
  <c r="D5" i="4"/>
  <c r="B5" i="4" s="1"/>
  <c r="D10" i="4"/>
  <c r="B10" i="4" s="1"/>
  <c r="D6" i="4"/>
  <c r="B6" i="4" s="1"/>
  <c r="D13" i="4"/>
  <c r="B13" i="4" s="1"/>
  <c r="D4" i="4"/>
  <c r="B4" i="4" s="1"/>
  <c r="D12" i="4"/>
  <c r="B12" i="4" s="1"/>
  <c r="D7" i="4"/>
  <c r="B7" i="4" s="1"/>
  <c r="D8" i="4"/>
  <c r="B8" i="4" s="1"/>
  <c r="D3" i="4"/>
  <c r="B3" i="4" s="1"/>
  <c r="D14" i="4"/>
  <c r="B14" i="4" s="1"/>
  <c r="D9" i="4"/>
  <c r="B9" i="4" s="1"/>
  <c r="NJ68" i="1"/>
  <c r="NJ9" i="1"/>
  <c r="NJ10" i="1"/>
  <c r="OE49" i="1" a="1"/>
  <c r="OG44" i="1"/>
  <c r="NS45" i="1" a="1"/>
  <c r="OD37" i="1" a="1"/>
  <c r="NV16" i="1"/>
  <c r="NW31" i="1" a="1"/>
  <c r="OE50" i="1"/>
  <c r="OE47" i="1" a="1"/>
  <c r="NX47" i="1" a="1"/>
  <c r="NX39" i="1" a="1"/>
  <c r="NW37" i="1" a="1"/>
  <c r="OG31" i="1" a="1"/>
  <c r="NU31" i="1" a="1"/>
  <c r="OG51" i="1" a="1"/>
  <c r="NU43" i="1" a="1"/>
  <c r="OC46" i="1"/>
  <c r="OG38" i="1"/>
  <c r="NW33" i="1" a="1"/>
  <c r="NW20" i="1"/>
  <c r="NR51" i="1" a="1"/>
  <c r="NS40" i="1"/>
  <c r="NW46" i="1"/>
  <c r="OB39" i="1" a="1"/>
  <c r="OE35" i="1" a="1"/>
  <c r="OE24" i="1"/>
  <c r="OC20" i="1"/>
  <c r="OG20" i="1"/>
  <c r="NW49" i="1" a="1"/>
  <c r="OK45" i="1" a="1"/>
  <c r="OH41" i="1" a="1"/>
  <c r="NS36" i="1"/>
  <c r="OA28" i="1"/>
  <c r="NN16" i="1"/>
  <c r="NW26" i="1"/>
  <c r="OD49" i="1" a="1"/>
  <c r="OE40" i="1"/>
  <c r="NU46" i="1"/>
  <c r="OE36" i="1"/>
  <c r="NX16" i="1"/>
  <c r="OJ16" i="1"/>
  <c r="NZ51" i="1" a="1"/>
  <c r="NW47" i="1" a="1"/>
  <c r="OG46" i="1"/>
  <c r="NT39" i="1" a="1"/>
  <c r="OE34" i="1"/>
  <c r="NU28" i="1"/>
  <c r="OK12" i="1"/>
  <c r="OK51" i="1" a="1"/>
  <c r="NW42" i="1"/>
  <c r="OB43" i="1" a="1"/>
  <c r="OI35" i="1" a="1"/>
  <c r="NZ33" i="1" a="1"/>
  <c r="NN52" i="1"/>
  <c r="OI44" i="1"/>
  <c r="OJ49" i="1" a="1"/>
  <c r="OD41" i="1" a="1"/>
  <c r="NU39" i="1" a="1"/>
  <c r="NX35" i="1" a="1"/>
  <c r="OG26" i="1"/>
  <c r="NY26" i="1"/>
  <c r="NU50" i="1"/>
  <c r="NU47" i="1" a="1"/>
  <c r="NR45" i="1" a="1"/>
  <c r="OE38" i="1"/>
  <c r="NY32" i="1"/>
  <c r="OH52" i="1"/>
  <c r="OC22" i="1"/>
  <c r="NW51" i="1" a="1"/>
  <c r="OG40" i="1"/>
  <c r="OA42" i="1"/>
  <c r="OH35" i="1" a="1"/>
  <c r="NV33" i="1" a="1"/>
  <c r="OE26" i="1"/>
  <c r="NU51" i="1" a="1"/>
  <c r="NU44" i="1"/>
  <c r="OA41" i="1" a="1"/>
  <c r="OD39" i="1" a="1"/>
  <c r="NS33" i="1" a="1"/>
  <c r="OE22" i="1"/>
  <c r="NY22" i="1"/>
  <c r="OJ52" i="1"/>
  <c r="OC49" i="1" a="1"/>
  <c r="OD43" i="1" a="1"/>
  <c r="OF39" i="1" a="1"/>
  <c r="NY37" i="1" a="1"/>
  <c r="NZ16" i="1"/>
  <c r="OE28" i="1"/>
  <c r="OA12" i="1"/>
  <c r="NY48" i="1"/>
  <c r="OG42" i="1"/>
  <c r="OH39" i="1" a="1"/>
  <c r="NV37" i="1" a="1"/>
  <c r="NS31" i="1" a="1"/>
  <c r="OK20" i="1"/>
  <c r="OA50" i="1"/>
  <c r="NV47" i="1" a="1"/>
  <c r="OA40" i="1"/>
  <c r="OI36" i="1"/>
  <c r="OI33" i="1" a="1"/>
  <c r="NR52" i="1"/>
  <c r="OK30" i="1"/>
  <c r="OA49" i="1" a="1"/>
  <c r="NX41" i="1" a="1"/>
  <c r="OF47" i="1" a="1"/>
  <c r="NS37" i="1" a="1"/>
  <c r="OC33" i="1" a="1"/>
  <c r="NZ52" i="1"/>
  <c r="OC44" i="1"/>
  <c r="OG43" i="1" a="1"/>
  <c r="NS38" i="1"/>
  <c r="NR35" i="1" a="1"/>
  <c r="OG22" i="1"/>
  <c r="OF52" i="1"/>
  <c r="OC51" i="1" a="1"/>
  <c r="NY40" i="1"/>
  <c r="NV45" i="1" a="1"/>
  <c r="OA36" i="1"/>
  <c r="NX33" i="1" a="1"/>
  <c r="NZ31" i="1" a="1"/>
  <c r="OA30" i="1"/>
  <c r="NZ49" i="1" a="1"/>
  <c r="NW43" i="1" a="1"/>
  <c r="OG47" i="1" a="1"/>
  <c r="OC34" i="1"/>
  <c r="OF33" i="1" a="1"/>
  <c r="NY20" i="1"/>
  <c r="OA51" i="1" a="1"/>
  <c r="OJ47" i="1" a="1"/>
  <c r="OA44" i="1"/>
  <c r="OK37" i="1" a="1"/>
  <c r="NU33" i="1" a="1"/>
  <c r="OK26" i="1"/>
  <c r="OE30" i="1"/>
  <c r="OG50" i="1"/>
  <c r="NY45" i="1" a="1"/>
  <c r="NV41" i="1" a="1"/>
  <c r="OI38" i="1"/>
  <c r="OK34" i="1"/>
  <c r="OC30" i="1"/>
  <c r="OJ31" i="1" a="1"/>
  <c r="NW50" i="1"/>
  <c r="OC45" i="1" a="1"/>
  <c r="OC40" i="1"/>
  <c r="OE39" i="1" a="1"/>
  <c r="OA37" i="1" a="1"/>
  <c r="OI18" i="1"/>
  <c r="OI28" i="1"/>
  <c r="OB51" i="1" a="1"/>
  <c r="NS47" i="1" a="1"/>
  <c r="OK44" i="1"/>
  <c r="OG34" i="1"/>
  <c r="NW32" i="1"/>
  <c r="NU12" i="1"/>
  <c r="NS18" i="1"/>
  <c r="OI48" i="1"/>
  <c r="OB45" i="1" a="1"/>
  <c r="OH37" i="1" a="1"/>
  <c r="OI51" i="1" a="1"/>
  <c r="OK43" i="1" a="1"/>
  <c r="OF45" i="1" a="1"/>
  <c r="NY38" i="1"/>
  <c r="NY35" i="1" a="1"/>
  <c r="NR31" i="1" a="1"/>
  <c r="OI20" i="1"/>
  <c r="OI49" i="1" a="1"/>
  <c r="NT45" i="1" a="1"/>
  <c r="OH45" i="1" a="1"/>
  <c r="NZ35" i="1" a="1"/>
  <c r="NY33" i="1" a="1"/>
  <c r="NU14" i="1"/>
  <c r="NW30" i="1"/>
  <c r="OA48" i="1"/>
  <c r="NY43" i="1" a="1"/>
  <c r="NV43" i="1" a="1"/>
  <c r="NY34" i="1"/>
  <c r="OD33" i="1" a="1"/>
  <c r="OI31" i="1" a="1"/>
  <c r="OH49" i="1" a="1"/>
  <c r="OI42" i="1"/>
  <c r="OE42" i="1"/>
  <c r="NS34" i="1"/>
  <c r="OA33" i="1" a="1"/>
  <c r="NU30" i="1"/>
  <c r="NW22" i="1"/>
  <c r="NV51" i="1" a="1"/>
  <c r="OK47" i="1" a="1"/>
  <c r="NR43" i="1" a="1"/>
  <c r="OC38" i="1"/>
  <c r="NT37" i="1" a="1"/>
  <c r="OD16" i="1"/>
  <c r="OG18" i="1"/>
  <c r="OH51" i="1" a="1"/>
  <c r="OC43" i="1" a="1"/>
  <c r="NZ47" i="1" a="1"/>
  <c r="OG39" i="1" a="1"/>
  <c r="OK36" i="1"/>
  <c r="OB16" i="1"/>
  <c r="OH16" i="1"/>
  <c r="OG48" i="1"/>
  <c r="NW41" i="1" a="1"/>
  <c r="OA45" i="1" a="1"/>
  <c r="NX37" i="1" a="1"/>
  <c r="OE32" i="1"/>
  <c r="NU20" i="1"/>
  <c r="NS20" i="1"/>
  <c r="NT49" i="1" a="1"/>
  <c r="OB41" i="1" a="1"/>
  <c r="OC39" i="1" a="1"/>
  <c r="OA35" i="1" a="1"/>
  <c r="OI30" i="1"/>
  <c r="NT51" i="1" a="1"/>
  <c r="NT47" i="1" a="1"/>
  <c r="OA47" i="1" a="1"/>
  <c r="OJ39" i="1" a="1"/>
  <c r="OC36" i="1"/>
  <c r="NS26" i="1"/>
  <c r="OI22" i="1"/>
  <c r="OG49" i="1" a="1"/>
  <c r="OK40" i="1"/>
  <c r="OD47" i="1" a="1"/>
  <c r="OB35" i="1" a="1"/>
  <c r="OK32" i="1"/>
  <c r="NY24" i="1"/>
  <c r="NY31" i="1" a="1"/>
  <c r="OF49" i="1" a="1"/>
  <c r="NT43" i="1" a="1"/>
  <c r="NS41" i="1" a="1"/>
  <c r="OG35" i="1" a="1"/>
  <c r="NY18" i="1"/>
  <c r="OK18" i="1"/>
  <c r="OC48" i="1"/>
  <c r="OE46" i="1"/>
  <c r="NY47" i="1" a="1"/>
  <c r="NU34" i="1"/>
  <c r="NS32" i="1"/>
  <c r="NU18" i="1"/>
  <c r="OA22" i="1"/>
  <c r="OI50" i="1"/>
  <c r="OC42" i="1"/>
  <c r="NU41" i="1" a="1"/>
  <c r="NW39" i="1" a="1"/>
  <c r="NU32" i="1"/>
  <c r="NW28" i="1"/>
  <c r="OA18" i="1"/>
  <c r="OD51" i="1" a="1"/>
  <c r="NS43" i="1" a="1"/>
  <c r="OF41" i="1" a="1"/>
  <c r="NU37" i="1" a="1"/>
  <c r="OK33" i="1" a="1"/>
  <c r="OK24" i="1"/>
  <c r="NT31" i="1" a="1"/>
  <c r="NS48" i="1"/>
  <c r="NZ45" i="1" a="1"/>
  <c r="OB47" i="1" a="1"/>
  <c r="OJ37" i="1" a="1"/>
  <c r="OJ33" i="1" a="1"/>
  <c r="OK31" i="1" a="1"/>
  <c r="OE31" i="1" a="1"/>
  <c r="OH47" i="1" a="1"/>
  <c r="NU42" i="1"/>
  <c r="OA38" i="1"/>
  <c r="NU35" i="1" a="1"/>
  <c r="OH31" i="1" a="1"/>
  <c r="NS51" i="1" a="1"/>
  <c r="OJ41" i="1" a="1"/>
  <c r="OG41" i="1" a="1"/>
  <c r="NS35" i="1" a="1"/>
  <c r="OA32" i="1"/>
  <c r="OK14" i="1"/>
  <c r="OG28" i="1"/>
  <c r="NW48" i="1"/>
  <c r="OI46" i="1"/>
  <c r="OK41" i="1" a="1"/>
  <c r="NW35" i="1" a="1"/>
  <c r="OK22" i="1"/>
  <c r="OF16" i="1"/>
  <c r="OC26" i="1"/>
  <c r="OK48" i="1"/>
  <c r="NX45" i="1" a="1"/>
  <c r="OI39" i="1" a="1"/>
  <c r="NW34" i="1"/>
  <c r="NS24" i="1"/>
  <c r="NY30" i="1"/>
  <c r="NU48" i="1"/>
  <c r="NY46" i="1"/>
  <c r="OE41" i="1" a="1"/>
  <c r="OB37" i="1" a="1"/>
  <c r="NT52" i="1"/>
  <c r="OA31" i="1" a="1"/>
  <c r="NU22" i="1"/>
  <c r="OC50" i="1"/>
  <c r="NZ43" i="1" a="1"/>
  <c r="OC47" i="1" a="1"/>
  <c r="OF37" i="1" a="1"/>
  <c r="OI32" i="1"/>
  <c r="OI12" i="1"/>
  <c r="NS30" i="1"/>
  <c r="NX51" i="1" a="1"/>
  <c r="OI47" i="1" a="1"/>
  <c r="OI45" i="1" a="1"/>
  <c r="OG36" i="1"/>
  <c r="OC32" i="1"/>
  <c r="OA26" i="1"/>
  <c r="NS28" i="1"/>
  <c r="OB49" i="1" a="1"/>
  <c r="OI40" i="1"/>
  <c r="NZ41" i="1" a="1"/>
  <c r="OE37" i="1" a="1"/>
  <c r="NW18" i="1"/>
  <c r="NT16" i="1"/>
  <c r="OE51" i="1" a="1"/>
  <c r="NU45" i="1" a="1"/>
  <c r="NT41" i="1" a="1"/>
  <c r="NV39" i="1" a="1"/>
  <c r="NR37" i="1" a="1"/>
  <c r="NV52" i="1"/>
  <c r="OK50" i="1"/>
  <c r="OH43" i="1" a="1"/>
  <c r="NW44" i="1"/>
  <c r="NV35" i="1" a="1"/>
  <c r="NT33" i="1" a="1"/>
  <c r="OG30" i="1"/>
  <c r="NP16" i="1"/>
  <c r="NU49" i="1" a="1"/>
  <c r="OE45" i="1" a="1"/>
  <c r="NR39" i="1" a="1"/>
  <c r="OD35" i="1" a="1"/>
  <c r="OD52" i="1"/>
  <c r="OA24" i="1"/>
  <c r="OG24" i="1"/>
  <c r="OJ45" i="1" a="1"/>
  <c r="OK42" i="1"/>
  <c r="NW38" i="1"/>
  <c r="OI37" i="1" a="1"/>
  <c r="NX52" i="1"/>
  <c r="OK28" i="1"/>
  <c r="NR49" i="1" a="1"/>
  <c r="NS46" i="1"/>
  <c r="NS39" i="1" a="1"/>
  <c r="NT35" i="1" a="1"/>
  <c r="NU26" i="1"/>
  <c r="NU24" i="1"/>
  <c r="OI24" i="1"/>
  <c r="NY49" i="1" a="1"/>
  <c r="OK46" i="1"/>
  <c r="NW40" i="1"/>
  <c r="OA34" i="1"/>
  <c r="OB33" i="1" a="1"/>
  <c r="NX31" i="1" a="1"/>
  <c r="OC28" i="1"/>
  <c r="OE48" i="1"/>
  <c r="NY42" i="1"/>
  <c r="NU40" i="1"/>
  <c r="NW36" i="1"/>
  <c r="OE33" i="1" a="1"/>
  <c r="NR16" i="1"/>
  <c r="OC18" i="1"/>
  <c r="NX49" i="1" a="1"/>
  <c r="NY44" i="1"/>
  <c r="OK39" i="1" a="1"/>
  <c r="OG37" i="1" a="1"/>
  <c r="OE18" i="1"/>
  <c r="OE20" i="1"/>
  <c r="OJ51" i="1" a="1"/>
  <c r="OI43" i="1" a="1"/>
  <c r="NW45" i="1" a="1"/>
  <c r="NY39" i="1" a="1"/>
  <c r="OJ35" i="1" a="1"/>
  <c r="OA14" i="1"/>
  <c r="NS49" i="1" a="1"/>
  <c r="OI41" i="1" a="1"/>
  <c r="OA46" i="1"/>
  <c r="OC37" i="1" a="1"/>
  <c r="OG33" i="1" a="1"/>
  <c r="OD31" i="1" a="1"/>
  <c r="OF31" i="1" a="1"/>
  <c r="OF43" i="1" a="1"/>
  <c r="OD45" i="1" a="1"/>
  <c r="NZ39" i="1" a="1"/>
  <c r="OC35" i="1" a="1"/>
  <c r="NV31" i="1" a="1"/>
  <c r="OI14" i="1"/>
  <c r="NS50" i="1"/>
  <c r="NY41" i="1" a="1"/>
  <c r="NS42" i="1"/>
  <c r="OA39" i="1" a="1"/>
  <c r="NU36" i="1"/>
  <c r="NY28" i="1"/>
  <c r="NY50" i="1"/>
  <c r="OG45" i="1" a="1"/>
  <c r="NS44" i="1"/>
  <c r="NU38" i="1"/>
  <c r="NY36" i="1"/>
  <c r="OB31" i="1" a="1"/>
  <c r="OA20" i="1"/>
  <c r="OI26" i="1"/>
  <c r="OK49" i="1" a="1"/>
  <c r="OE44" i="1"/>
  <c r="NR47" i="1" a="1"/>
  <c r="OI34" i="1"/>
  <c r="NR33" i="1" a="1"/>
  <c r="NP52" i="1"/>
  <c r="NW24" i="1"/>
  <c r="NV49" i="1" a="1"/>
  <c r="OE43" i="1" a="1"/>
  <c r="OA43" i="1" a="1"/>
  <c r="OK35" i="1" a="1"/>
  <c r="OG32" i="1"/>
  <c r="NS22" i="1"/>
  <c r="OF51" i="1" a="1"/>
  <c r="OJ43" i="1" a="1"/>
  <c r="OC41" i="1" a="1"/>
  <c r="OK38" i="1"/>
  <c r="OF35" i="1" a="1"/>
  <c r="OC31" i="1" a="1"/>
  <c r="OC24" i="1"/>
  <c r="NY51" i="1" a="1"/>
  <c r="NX43" i="1" a="1"/>
  <c r="NR41" i="1" a="1"/>
  <c r="NZ37" i="1" a="1"/>
  <c r="OH33" i="1" a="1"/>
  <c r="OB52" i="1"/>
  <c r="BO7" i="6" l="1"/>
  <c r="V7" i="6" s="1"/>
  <c r="BJ7" i="6"/>
  <c r="OK51" i="1"/>
  <c r="DO23" i="6" s="1"/>
  <c r="BF23" i="6" s="1"/>
  <c r="OB51" i="1"/>
  <c r="CT23" i="6" s="1"/>
  <c r="AO23" i="6" s="1"/>
  <c r="NX51" i="1"/>
  <c r="CJ23" i="6" s="1"/>
  <c r="AM23" i="6" s="1"/>
  <c r="OA51" i="1"/>
  <c r="CP23" i="6" s="1"/>
  <c r="BA23" i="6" s="1"/>
  <c r="NW51" i="1"/>
  <c r="CF23" i="6" s="1"/>
  <c r="AY23" i="6" s="1"/>
  <c r="OC51" i="1"/>
  <c r="CU23" i="6" s="1"/>
  <c r="BB23" i="6" s="1"/>
  <c r="NS51" i="1"/>
  <c r="BV23" i="6" s="1"/>
  <c r="AW23" i="6" s="1"/>
  <c r="NY51" i="1"/>
  <c r="CK23" i="6" s="1"/>
  <c r="AZ23" i="6" s="1"/>
  <c r="OD51" i="1"/>
  <c r="CY23" i="6" s="1"/>
  <c r="AP23" i="6" s="1"/>
  <c r="NU51" i="1"/>
  <c r="CA23" i="6" s="1"/>
  <c r="AX23" i="6" s="1"/>
  <c r="OG51" i="1"/>
  <c r="DE23" i="6" s="1"/>
  <c r="BD23" i="6" s="1"/>
  <c r="NT51" i="1"/>
  <c r="BZ23" i="6" s="1"/>
  <c r="AK23" i="6" s="1"/>
  <c r="OJ51" i="1"/>
  <c r="DN23" i="6" s="1"/>
  <c r="AS23" i="6" s="1"/>
  <c r="NZ51" i="1"/>
  <c r="CO23" i="6" s="1"/>
  <c r="AN23" i="6" s="1"/>
  <c r="OH51" i="1"/>
  <c r="DI23" i="6" s="1"/>
  <c r="AR23" i="6" s="1"/>
  <c r="NV51" i="1"/>
  <c r="CE23" i="6" s="1"/>
  <c r="AL23" i="6" s="1"/>
  <c r="NR51" i="1"/>
  <c r="BU23" i="6" s="1"/>
  <c r="AJ23" i="6" s="1"/>
  <c r="ON50" i="1"/>
  <c r="OI51" i="1"/>
  <c r="DJ23" i="6" s="1"/>
  <c r="BE23" i="6" s="1"/>
  <c r="OE51" i="1"/>
  <c r="CZ23" i="6" s="1"/>
  <c r="BC23" i="6" s="1"/>
  <c r="OF51" i="1"/>
  <c r="DD23" i="6" s="1"/>
  <c r="AQ23" i="6" s="1"/>
  <c r="NX49" i="1"/>
  <c r="CJ22" i="6" s="1"/>
  <c r="AM22" i="6" s="1"/>
  <c r="OC49" i="1"/>
  <c r="CU22" i="6" s="1"/>
  <c r="BB22" i="6" s="1"/>
  <c r="NR49" i="1"/>
  <c r="BU22" i="6" s="1"/>
  <c r="AJ22" i="6" s="1"/>
  <c r="NU49" i="1"/>
  <c r="CA22" i="6" s="1"/>
  <c r="AX22" i="6" s="1"/>
  <c r="OJ49" i="1"/>
  <c r="DN22" i="6" s="1"/>
  <c r="AS22" i="6" s="1"/>
  <c r="NT49" i="1"/>
  <c r="BZ22" i="6" s="1"/>
  <c r="AK22" i="6" s="1"/>
  <c r="OB49" i="1"/>
  <c r="CT22" i="6" s="1"/>
  <c r="AO22" i="6" s="1"/>
  <c r="OD49" i="1"/>
  <c r="CY22" i="6" s="1"/>
  <c r="AP22" i="6" s="1"/>
  <c r="NW49" i="1"/>
  <c r="CF22" i="6" s="1"/>
  <c r="AY22" i="6" s="1"/>
  <c r="OF49" i="1"/>
  <c r="DD22" i="6" s="1"/>
  <c r="AQ22" i="6" s="1"/>
  <c r="OE49" i="1"/>
  <c r="CZ22" i="6" s="1"/>
  <c r="BC22" i="6" s="1"/>
  <c r="ON48" i="1"/>
  <c r="NV49" i="1"/>
  <c r="CE22" i="6" s="1"/>
  <c r="AL22" i="6" s="1"/>
  <c r="OK49" i="1"/>
  <c r="DO22" i="6" s="1"/>
  <c r="BF22" i="6" s="1"/>
  <c r="OG49" i="1"/>
  <c r="DE22" i="6" s="1"/>
  <c r="BD22" i="6" s="1"/>
  <c r="NS49" i="1"/>
  <c r="BV22" i="6" s="1"/>
  <c r="AW22" i="6" s="1"/>
  <c r="OA49" i="1"/>
  <c r="CP22" i="6" s="1"/>
  <c r="BA22" i="6" s="1"/>
  <c r="NY49" i="1"/>
  <c r="CK22" i="6" s="1"/>
  <c r="AZ22" i="6" s="1"/>
  <c r="OH49" i="1"/>
  <c r="DI22" i="6" s="1"/>
  <c r="AR22" i="6" s="1"/>
  <c r="NZ49" i="1"/>
  <c r="CO22" i="6" s="1"/>
  <c r="AN22" i="6" s="1"/>
  <c r="OI49" i="1"/>
  <c r="DJ22" i="6" s="1"/>
  <c r="BE22" i="6" s="1"/>
  <c r="NZ41" i="1"/>
  <c r="OH41" i="1"/>
  <c r="OE41" i="1"/>
  <c r="NS41" i="1"/>
  <c r="OK41" i="1"/>
  <c r="NS45" i="1"/>
  <c r="OB47" i="1"/>
  <c r="CT21" i="6" s="1"/>
  <c r="AO21" i="6" s="1"/>
  <c r="OA43" i="1"/>
  <c r="NR47" i="1"/>
  <c r="BU21" i="6" s="1"/>
  <c r="AJ21" i="6" s="1"/>
  <c r="NY47" i="1"/>
  <c r="CK21" i="6" s="1"/>
  <c r="AZ21" i="6" s="1"/>
  <c r="NV43" i="1"/>
  <c r="OD47" i="1"/>
  <c r="CY21" i="6" s="1"/>
  <c r="AP21" i="6" s="1"/>
  <c r="OF47" i="1"/>
  <c r="DD21" i="6" s="1"/>
  <c r="AQ21" i="6" s="1"/>
  <c r="OA45" i="1"/>
  <c r="OG47" i="1"/>
  <c r="DE21" i="6" s="1"/>
  <c r="BD21" i="6" s="1"/>
  <c r="OH45" i="1"/>
  <c r="OB43" i="1"/>
  <c r="OI45" i="1"/>
  <c r="OC47" i="1"/>
  <c r="CU21" i="6" s="1"/>
  <c r="BB21" i="6" s="1"/>
  <c r="NV45" i="1"/>
  <c r="OG41" i="1"/>
  <c r="NR41" i="1"/>
  <c r="OF41" i="1"/>
  <c r="NU41" i="1"/>
  <c r="OA41" i="1"/>
  <c r="NR45" i="1"/>
  <c r="OA47" i="1"/>
  <c r="CP21" i="6" s="1"/>
  <c r="BA21" i="6" s="1"/>
  <c r="NW45" i="1"/>
  <c r="NZ47" i="1"/>
  <c r="CO21" i="6" s="1"/>
  <c r="AN21" i="6" s="1"/>
  <c r="NR43" i="1"/>
  <c r="ON42" i="1"/>
  <c r="NX47" i="1"/>
  <c r="CJ21" i="6" s="1"/>
  <c r="AM21" i="6" s="1"/>
  <c r="OF45" i="1"/>
  <c r="NT41" i="1"/>
  <c r="OC41" i="1"/>
  <c r="NV41" i="1"/>
  <c r="ON44" i="1"/>
  <c r="OD45" i="1"/>
  <c r="OG43" i="1"/>
  <c r="OD43" i="1"/>
  <c r="ON46" i="1"/>
  <c r="NX45" i="1"/>
  <c r="OE45" i="1"/>
  <c r="OD41" i="1"/>
  <c r="OB41" i="1"/>
  <c r="OK45" i="1"/>
  <c r="NT43" i="1"/>
  <c r="OB45" i="1"/>
  <c r="NZ45" i="1"/>
  <c r="OE43" i="1"/>
  <c r="NY43" i="1"/>
  <c r="OI41" i="1"/>
  <c r="NX41" i="1"/>
  <c r="NW41" i="1"/>
  <c r="NW43" i="1"/>
  <c r="NT45" i="1"/>
  <c r="OH43" i="1"/>
  <c r="NS47" i="1"/>
  <c r="BV21" i="6" s="1"/>
  <c r="AW21" i="6" s="1"/>
  <c r="OI47" i="1"/>
  <c r="DJ21" i="6" s="1"/>
  <c r="BE21" i="6" s="1"/>
  <c r="NZ43" i="1"/>
  <c r="OJ47" i="1"/>
  <c r="DN21" i="6" s="1"/>
  <c r="AS21" i="6" s="1"/>
  <c r="OJ41" i="1"/>
  <c r="NX43" i="1"/>
  <c r="NV47" i="1"/>
  <c r="CE21" i="6" s="1"/>
  <c r="AL21" i="6" s="1"/>
  <c r="NS43" i="1"/>
  <c r="NU43" i="1"/>
  <c r="NU47" i="1"/>
  <c r="CA21" i="6" s="1"/>
  <c r="AX21" i="6" s="1"/>
  <c r="NT47" i="1"/>
  <c r="BZ21" i="6" s="1"/>
  <c r="AK21" i="6" s="1"/>
  <c r="OI43" i="1"/>
  <c r="NW47" i="1"/>
  <c r="CF21" i="6" s="1"/>
  <c r="AY21" i="6" s="1"/>
  <c r="OC43" i="1"/>
  <c r="OK47" i="1"/>
  <c r="DO21" i="6" s="1"/>
  <c r="BF21" i="6" s="1"/>
  <c r="NY41" i="1"/>
  <c r="OE47" i="1"/>
  <c r="CZ21" i="6" s="1"/>
  <c r="BC21" i="6" s="1"/>
  <c r="OK43" i="1"/>
  <c r="NU45" i="1"/>
  <c r="OJ43" i="1"/>
  <c r="OC45" i="1"/>
  <c r="NY45" i="1"/>
  <c r="OG45" i="1"/>
  <c r="OJ45" i="1"/>
  <c r="OF43" i="1"/>
  <c r="OH47" i="1"/>
  <c r="DI21" i="6" s="1"/>
  <c r="AR21" i="6" s="1"/>
  <c r="ON40" i="1"/>
  <c r="NW39" i="1"/>
  <c r="CF17" i="6" s="1"/>
  <c r="AY17" i="6" s="1"/>
  <c r="OD39" i="1"/>
  <c r="CY17" i="6" s="1"/>
  <c r="AP17" i="6" s="1"/>
  <c r="OJ39" i="1"/>
  <c r="DN17" i="6" s="1"/>
  <c r="AS17" i="6" s="1"/>
  <c r="NY39" i="1"/>
  <c r="CK17" i="6" s="1"/>
  <c r="AZ17" i="6" s="1"/>
  <c r="NT39" i="1"/>
  <c r="BZ17" i="6" s="1"/>
  <c r="AK17" i="6" s="1"/>
  <c r="OG39" i="1"/>
  <c r="DE17" i="6" s="1"/>
  <c r="BD17" i="6" s="1"/>
  <c r="OB39" i="1"/>
  <c r="CT17" i="6" s="1"/>
  <c r="AO17" i="6" s="1"/>
  <c r="OA39" i="1"/>
  <c r="CP17" i="6" s="1"/>
  <c r="BA17" i="6" s="1"/>
  <c r="NX39" i="1"/>
  <c r="CJ17" i="6" s="1"/>
  <c r="AM17" i="6" s="1"/>
  <c r="NV39" i="1"/>
  <c r="CE17" i="6" s="1"/>
  <c r="AL17" i="6" s="1"/>
  <c r="OE39" i="1"/>
  <c r="CZ17" i="6" s="1"/>
  <c r="BC17" i="6" s="1"/>
  <c r="NZ39" i="1"/>
  <c r="CO17" i="6" s="1"/>
  <c r="AN17" i="6" s="1"/>
  <c r="ON38" i="1"/>
  <c r="OK39" i="1"/>
  <c r="DO17" i="6" s="1"/>
  <c r="BF17" i="6" s="1"/>
  <c r="OH39" i="1"/>
  <c r="DI17" i="6" s="1"/>
  <c r="AR17" i="6" s="1"/>
  <c r="OF39" i="1"/>
  <c r="DD17" i="6" s="1"/>
  <c r="AQ17" i="6" s="1"/>
  <c r="NS39" i="1"/>
  <c r="BV17" i="6" s="1"/>
  <c r="AW17" i="6" s="1"/>
  <c r="OI39" i="1"/>
  <c r="DJ17" i="6" s="1"/>
  <c r="BE17" i="6" s="1"/>
  <c r="NR39" i="1"/>
  <c r="BU17" i="6" s="1"/>
  <c r="AJ17" i="6" s="1"/>
  <c r="NU39" i="1"/>
  <c r="CA17" i="6" s="1"/>
  <c r="AX17" i="6" s="1"/>
  <c r="OC39" i="1"/>
  <c r="CU17" i="6" s="1"/>
  <c r="BB17" i="6" s="1"/>
  <c r="OJ35" i="1"/>
  <c r="DN15" i="6" s="1"/>
  <c r="AS15" i="6" s="1"/>
  <c r="NT37" i="1"/>
  <c r="BZ16" i="6" s="1"/>
  <c r="AK16" i="6" s="1"/>
  <c r="OE35" i="1"/>
  <c r="CZ15" i="6" s="1"/>
  <c r="BC15" i="6" s="1"/>
  <c r="NW37" i="1"/>
  <c r="CF16" i="6" s="1"/>
  <c r="AY16" i="6" s="1"/>
  <c r="NY35" i="1"/>
  <c r="CK15" i="6" s="1"/>
  <c r="AZ15" i="6" s="1"/>
  <c r="NR37" i="1"/>
  <c r="BU16" i="6" s="1"/>
  <c r="AJ16" i="6" s="1"/>
  <c r="OF35" i="1"/>
  <c r="DD15" i="6" s="1"/>
  <c r="AQ15" i="6" s="1"/>
  <c r="OA37" i="1"/>
  <c r="CP16" i="6" s="1"/>
  <c r="BA16" i="6" s="1"/>
  <c r="OI37" i="1"/>
  <c r="DJ16" i="6" s="1"/>
  <c r="BE16" i="6" s="1"/>
  <c r="OC35" i="1"/>
  <c r="CU15" i="6" s="1"/>
  <c r="BB15" i="6" s="1"/>
  <c r="NR35" i="1"/>
  <c r="BU15" i="6" s="1"/>
  <c r="AJ15" i="6" s="1"/>
  <c r="NU35" i="1"/>
  <c r="CA15" i="6" s="1"/>
  <c r="AX15" i="6" s="1"/>
  <c r="OG37" i="1"/>
  <c r="DE16" i="6" s="1"/>
  <c r="BD16" i="6" s="1"/>
  <c r="NV37" i="1"/>
  <c r="CE16" i="6" s="1"/>
  <c r="AL16" i="6" s="1"/>
  <c r="NY37" i="1"/>
  <c r="CK16" i="6" s="1"/>
  <c r="AZ16" i="6" s="1"/>
  <c r="NT35" i="1"/>
  <c r="BZ15" i="6" s="1"/>
  <c r="AK15" i="6" s="1"/>
  <c r="OD35" i="1"/>
  <c r="CY15" i="6" s="1"/>
  <c r="AP15" i="6" s="1"/>
  <c r="NX35" i="1"/>
  <c r="CJ15" i="6" s="1"/>
  <c r="AM15" i="6" s="1"/>
  <c r="OA35" i="1"/>
  <c r="CP15" i="6" s="1"/>
  <c r="BA15" i="6" s="1"/>
  <c r="OE37" i="1"/>
  <c r="CZ16" i="6" s="1"/>
  <c r="BC16" i="6" s="1"/>
  <c r="ON36" i="1"/>
  <c r="OB37" i="1"/>
  <c r="CT16" i="6" s="1"/>
  <c r="AO16" i="6" s="1"/>
  <c r="OG35" i="1"/>
  <c r="DE15" i="6" s="1"/>
  <c r="BD15" i="6" s="1"/>
  <c r="NW35" i="1"/>
  <c r="CF15" i="6" s="1"/>
  <c r="AY15" i="6" s="1"/>
  <c r="OD37" i="1"/>
  <c r="CY16" i="6" s="1"/>
  <c r="AP16" i="6" s="1"/>
  <c r="OH37" i="1"/>
  <c r="DI16" i="6" s="1"/>
  <c r="AR16" i="6" s="1"/>
  <c r="OJ37" i="1"/>
  <c r="DN16" i="6" s="1"/>
  <c r="AS16" i="6" s="1"/>
  <c r="OK35" i="1"/>
  <c r="DO15" i="6" s="1"/>
  <c r="BF15" i="6" s="1"/>
  <c r="OB35" i="1"/>
  <c r="CT15" i="6" s="1"/>
  <c r="AO15" i="6" s="1"/>
  <c r="OC37" i="1"/>
  <c r="CU16" i="6" s="1"/>
  <c r="BB16" i="6" s="1"/>
  <c r="NS37" i="1"/>
  <c r="BV16" i="6" s="1"/>
  <c r="AW16" i="6" s="1"/>
  <c r="NX37" i="1"/>
  <c r="CJ16" i="6" s="1"/>
  <c r="AM16" i="6" s="1"/>
  <c r="ON34" i="1"/>
  <c r="NZ35" i="1"/>
  <c r="CO15" i="6" s="1"/>
  <c r="AN15" i="6" s="1"/>
  <c r="NV35" i="1"/>
  <c r="CE15" i="6" s="1"/>
  <c r="AL15" i="6" s="1"/>
  <c r="OI35" i="1"/>
  <c r="DJ15" i="6" s="1"/>
  <c r="BE15" i="6" s="1"/>
  <c r="OF37" i="1"/>
  <c r="DD16" i="6" s="1"/>
  <c r="AQ16" i="6" s="1"/>
  <c r="OK37" i="1"/>
  <c r="DO16" i="6" s="1"/>
  <c r="BF16" i="6" s="1"/>
  <c r="OH35" i="1"/>
  <c r="DI15" i="6" s="1"/>
  <c r="AR15" i="6" s="1"/>
  <c r="NS35" i="1"/>
  <c r="BV15" i="6" s="1"/>
  <c r="AW15" i="6" s="1"/>
  <c r="NZ37" i="1"/>
  <c r="CO16" i="6" s="1"/>
  <c r="AN16" i="6" s="1"/>
  <c r="NU37" i="1"/>
  <c r="CA16" i="6" s="1"/>
  <c r="AX16" i="6" s="1"/>
  <c r="OJ33" i="1"/>
  <c r="DN14" i="6" s="1"/>
  <c r="AS14" i="6" s="1"/>
  <c r="NR33" i="1"/>
  <c r="BU14" i="6" s="1"/>
  <c r="AJ14" i="6" s="1"/>
  <c r="ON32" i="1"/>
  <c r="OD33" i="1"/>
  <c r="CY14" i="6" s="1"/>
  <c r="AP14" i="6" s="1"/>
  <c r="OG33" i="1"/>
  <c r="DE14" i="6" s="1"/>
  <c r="BD14" i="6" s="1"/>
  <c r="OC33" i="1"/>
  <c r="CU14" i="6" s="1"/>
  <c r="BB14" i="6" s="1"/>
  <c r="OE33" i="1"/>
  <c r="CZ14" i="6" s="1"/>
  <c r="BC14" i="6" s="1"/>
  <c r="OB33" i="1"/>
  <c r="CT14" i="6" s="1"/>
  <c r="AO14" i="6" s="1"/>
  <c r="OA33" i="1"/>
  <c r="CP14" i="6" s="1"/>
  <c r="BA14" i="6" s="1"/>
  <c r="OF33" i="1"/>
  <c r="DD14" i="6" s="1"/>
  <c r="AQ14" i="6" s="1"/>
  <c r="NY33" i="1"/>
  <c r="CK14" i="6" s="1"/>
  <c r="AZ14" i="6" s="1"/>
  <c r="NT33" i="1"/>
  <c r="BZ14" i="6" s="1"/>
  <c r="AK14" i="6" s="1"/>
  <c r="NZ33" i="1"/>
  <c r="CO14" i="6" s="1"/>
  <c r="AN14" i="6" s="1"/>
  <c r="NU33" i="1"/>
  <c r="CA14" i="6" s="1"/>
  <c r="AX14" i="6" s="1"/>
  <c r="NV33" i="1"/>
  <c r="CE14" i="6" s="1"/>
  <c r="AL14" i="6" s="1"/>
  <c r="NX33" i="1"/>
  <c r="CJ14" i="6" s="1"/>
  <c r="AM14" i="6" s="1"/>
  <c r="OH33" i="1"/>
  <c r="DI14" i="6" s="1"/>
  <c r="AR14" i="6" s="1"/>
  <c r="OI33" i="1"/>
  <c r="DJ14" i="6" s="1"/>
  <c r="BE14" i="6" s="1"/>
  <c r="OK33" i="1"/>
  <c r="DO14" i="6" s="1"/>
  <c r="BF14" i="6" s="1"/>
  <c r="NS33" i="1"/>
  <c r="BV14" i="6" s="1"/>
  <c r="AW14" i="6" s="1"/>
  <c r="NW33" i="1"/>
  <c r="CF14" i="6" s="1"/>
  <c r="AY14" i="6" s="1"/>
  <c r="DB9" i="6"/>
  <c r="Q9" i="6" s="1"/>
  <c r="BS9" i="6"/>
  <c r="J9" i="6" s="1"/>
  <c r="CC9" i="6"/>
  <c r="L9" i="6" s="1"/>
  <c r="DL10" i="6"/>
  <c r="S10" i="6" s="1"/>
  <c r="CM10" i="6"/>
  <c r="N10" i="6" s="1"/>
  <c r="CW7" i="6"/>
  <c r="P7" i="6" s="1"/>
  <c r="CC10" i="6"/>
  <c r="L10" i="6" s="1"/>
  <c r="CH7" i="6"/>
  <c r="M7" i="6" s="1"/>
  <c r="BX8" i="6"/>
  <c r="K8" i="6" s="1"/>
  <c r="BX10" i="6"/>
  <c r="K10" i="6" s="1"/>
  <c r="DG11" i="6"/>
  <c r="R11" i="6" s="1"/>
  <c r="DG7" i="6"/>
  <c r="R7" i="6" s="1"/>
  <c r="BS7" i="6"/>
  <c r="J7" i="6" s="1"/>
  <c r="DB10" i="6"/>
  <c r="Q10" i="6" s="1"/>
  <c r="CR10" i="6"/>
  <c r="O10" i="6" s="1"/>
  <c r="CW24" i="6"/>
  <c r="P24" i="6" s="1"/>
  <c r="CW23" i="6"/>
  <c r="P23" i="6" s="1"/>
  <c r="CW22" i="6"/>
  <c r="P22" i="6" s="1"/>
  <c r="CW21" i="6"/>
  <c r="P21" i="6" s="1"/>
  <c r="CW20" i="6"/>
  <c r="P20" i="6" s="1"/>
  <c r="CW19" i="6"/>
  <c r="P19" i="6" s="1"/>
  <c r="CW18" i="6"/>
  <c r="P18" i="6" s="1"/>
  <c r="CW17" i="6"/>
  <c r="P17" i="6" s="1"/>
  <c r="CW16" i="6"/>
  <c r="P16" i="6" s="1"/>
  <c r="CW15" i="6"/>
  <c r="P15" i="6" s="1"/>
  <c r="CW14" i="6"/>
  <c r="P14" i="6" s="1"/>
  <c r="CW13" i="6"/>
  <c r="P13" i="6" s="1"/>
  <c r="CW12" i="6"/>
  <c r="P12" i="6" s="1"/>
  <c r="CW38" i="6"/>
  <c r="P38" i="6" s="1"/>
  <c r="CW34" i="6"/>
  <c r="P34" i="6" s="1"/>
  <c r="CW30" i="6"/>
  <c r="P30" i="6" s="1"/>
  <c r="CW26" i="6"/>
  <c r="P26" i="6" s="1"/>
  <c r="CW25" i="6"/>
  <c r="P25" i="6" s="1"/>
  <c r="CW35" i="6"/>
  <c r="P35" i="6" s="1"/>
  <c r="CW31" i="6"/>
  <c r="P31" i="6" s="1"/>
  <c r="CW27" i="6"/>
  <c r="P27" i="6" s="1"/>
  <c r="CW36" i="6"/>
  <c r="P36" i="6" s="1"/>
  <c r="CW32" i="6"/>
  <c r="P32" i="6" s="1"/>
  <c r="CW28" i="6"/>
  <c r="P28" i="6" s="1"/>
  <c r="CW37" i="6"/>
  <c r="P37" i="6" s="1"/>
  <c r="CW29" i="6"/>
  <c r="P29" i="6" s="1"/>
  <c r="CW33" i="6"/>
  <c r="P33" i="6" s="1"/>
  <c r="BX38" i="6"/>
  <c r="K38" i="6" s="1"/>
  <c r="BX37" i="6"/>
  <c r="K37" i="6" s="1"/>
  <c r="BX36" i="6"/>
  <c r="K36" i="6" s="1"/>
  <c r="BX35" i="6"/>
  <c r="K35" i="6" s="1"/>
  <c r="BX34" i="6"/>
  <c r="K34" i="6" s="1"/>
  <c r="BX33" i="6"/>
  <c r="K33" i="6" s="1"/>
  <c r="BX32" i="6"/>
  <c r="K32" i="6" s="1"/>
  <c r="BX31" i="6"/>
  <c r="K31" i="6" s="1"/>
  <c r="BX30" i="6"/>
  <c r="K30" i="6" s="1"/>
  <c r="BX29" i="6"/>
  <c r="K29" i="6" s="1"/>
  <c r="BX28" i="6"/>
  <c r="K28" i="6" s="1"/>
  <c r="BX27" i="6"/>
  <c r="K27" i="6" s="1"/>
  <c r="BX26" i="6"/>
  <c r="K26" i="6" s="1"/>
  <c r="BX25" i="6"/>
  <c r="K25" i="6" s="1"/>
  <c r="BX24" i="6"/>
  <c r="K24" i="6" s="1"/>
  <c r="BX23" i="6"/>
  <c r="K23" i="6" s="1"/>
  <c r="BX22" i="6"/>
  <c r="K22" i="6" s="1"/>
  <c r="BX21" i="6"/>
  <c r="K21" i="6" s="1"/>
  <c r="BX20" i="6"/>
  <c r="K20" i="6" s="1"/>
  <c r="BX19" i="6"/>
  <c r="K19" i="6" s="1"/>
  <c r="BX18" i="6"/>
  <c r="K18" i="6" s="1"/>
  <c r="BX17" i="6"/>
  <c r="K17" i="6" s="1"/>
  <c r="BX16" i="6"/>
  <c r="K16" i="6" s="1"/>
  <c r="BX15" i="6"/>
  <c r="K15" i="6" s="1"/>
  <c r="BX14" i="6"/>
  <c r="K14" i="6" s="1"/>
  <c r="BX13" i="6"/>
  <c r="K13" i="6" s="1"/>
  <c r="BX12" i="6"/>
  <c r="K12" i="6" s="1"/>
  <c r="CH11" i="6"/>
  <c r="M11" i="6" s="1"/>
  <c r="CM9" i="6"/>
  <c r="N9" i="6" s="1"/>
  <c r="BX7" i="6"/>
  <c r="K7" i="6" s="1"/>
  <c r="DG8" i="6"/>
  <c r="R8" i="6" s="1"/>
  <c r="CW10" i="6"/>
  <c r="P10" i="6" s="1"/>
  <c r="DL8" i="6"/>
  <c r="S8" i="6" s="1"/>
  <c r="CM7" i="6"/>
  <c r="N7" i="6" s="1"/>
  <c r="CM6" i="6"/>
  <c r="N6" i="6" s="1"/>
  <c r="DB38" i="6"/>
  <c r="Q38" i="6" s="1"/>
  <c r="DB37" i="6"/>
  <c r="Q37" i="6" s="1"/>
  <c r="DB36" i="6"/>
  <c r="Q36" i="6" s="1"/>
  <c r="DB35" i="6"/>
  <c r="Q35" i="6" s="1"/>
  <c r="DB34" i="6"/>
  <c r="Q34" i="6" s="1"/>
  <c r="DB33" i="6"/>
  <c r="Q33" i="6" s="1"/>
  <c r="DB32" i="6"/>
  <c r="Q32" i="6" s="1"/>
  <c r="DB31" i="6"/>
  <c r="Q31" i="6" s="1"/>
  <c r="DB30" i="6"/>
  <c r="Q30" i="6" s="1"/>
  <c r="DB29" i="6"/>
  <c r="Q29" i="6" s="1"/>
  <c r="DB28" i="6"/>
  <c r="Q28" i="6" s="1"/>
  <c r="DB27" i="6"/>
  <c r="Q27" i="6" s="1"/>
  <c r="DB26" i="6"/>
  <c r="Q26" i="6" s="1"/>
  <c r="DB25" i="6"/>
  <c r="Q25" i="6" s="1"/>
  <c r="DB24" i="6"/>
  <c r="Q24" i="6" s="1"/>
  <c r="DB23" i="6"/>
  <c r="Q23" i="6" s="1"/>
  <c r="DB22" i="6"/>
  <c r="Q22" i="6" s="1"/>
  <c r="DB21" i="6"/>
  <c r="Q21" i="6" s="1"/>
  <c r="DB20" i="6"/>
  <c r="Q20" i="6" s="1"/>
  <c r="DB19" i="6"/>
  <c r="Q19" i="6" s="1"/>
  <c r="DB18" i="6"/>
  <c r="Q18" i="6" s="1"/>
  <c r="DB17" i="6"/>
  <c r="Q17" i="6" s="1"/>
  <c r="DB16" i="6"/>
  <c r="Q16" i="6" s="1"/>
  <c r="DB15" i="6"/>
  <c r="Q15" i="6" s="1"/>
  <c r="DB14" i="6"/>
  <c r="Q14" i="6" s="1"/>
  <c r="DB13" i="6"/>
  <c r="Q13" i="6" s="1"/>
  <c r="DB12" i="6"/>
  <c r="Q12" i="6" s="1"/>
  <c r="DG36" i="6"/>
  <c r="R36" i="6" s="1"/>
  <c r="DG32" i="6"/>
  <c r="R32" i="6" s="1"/>
  <c r="DG28" i="6"/>
  <c r="R28" i="6" s="1"/>
  <c r="DG24" i="6"/>
  <c r="R24" i="6" s="1"/>
  <c r="DG23" i="6"/>
  <c r="R23" i="6" s="1"/>
  <c r="DG22" i="6"/>
  <c r="R22" i="6" s="1"/>
  <c r="DG21" i="6"/>
  <c r="R21" i="6" s="1"/>
  <c r="DG20" i="6"/>
  <c r="R20" i="6" s="1"/>
  <c r="DG19" i="6"/>
  <c r="R19" i="6" s="1"/>
  <c r="DG18" i="6"/>
  <c r="R18" i="6" s="1"/>
  <c r="DG17" i="6"/>
  <c r="R17" i="6" s="1"/>
  <c r="DG16" i="6"/>
  <c r="R16" i="6" s="1"/>
  <c r="DG15" i="6"/>
  <c r="R15" i="6" s="1"/>
  <c r="DG14" i="6"/>
  <c r="R14" i="6" s="1"/>
  <c r="DG13" i="6"/>
  <c r="R13" i="6" s="1"/>
  <c r="DG12" i="6"/>
  <c r="R12" i="6" s="1"/>
  <c r="DG37" i="6"/>
  <c r="R37" i="6" s="1"/>
  <c r="DG33" i="6"/>
  <c r="R33" i="6" s="1"/>
  <c r="DG29" i="6"/>
  <c r="R29" i="6" s="1"/>
  <c r="DG38" i="6"/>
  <c r="R38" i="6" s="1"/>
  <c r="DG34" i="6"/>
  <c r="R34" i="6" s="1"/>
  <c r="DG30" i="6"/>
  <c r="R30" i="6" s="1"/>
  <c r="DG26" i="6"/>
  <c r="R26" i="6" s="1"/>
  <c r="DG25" i="6"/>
  <c r="R25" i="6" s="1"/>
  <c r="DG35" i="6"/>
  <c r="R35" i="6" s="1"/>
  <c r="DG27" i="6"/>
  <c r="R27" i="6" s="1"/>
  <c r="DG31" i="6"/>
  <c r="R31" i="6" s="1"/>
  <c r="CH38" i="6"/>
  <c r="M38" i="6" s="1"/>
  <c r="CH37" i="6"/>
  <c r="M37" i="6" s="1"/>
  <c r="CH36" i="6"/>
  <c r="M36" i="6" s="1"/>
  <c r="CH35" i="6"/>
  <c r="M35" i="6" s="1"/>
  <c r="CH34" i="6"/>
  <c r="M34" i="6" s="1"/>
  <c r="CH33" i="6"/>
  <c r="M33" i="6" s="1"/>
  <c r="CH32" i="6"/>
  <c r="M32" i="6" s="1"/>
  <c r="CH31" i="6"/>
  <c r="M31" i="6" s="1"/>
  <c r="CH30" i="6"/>
  <c r="M30" i="6" s="1"/>
  <c r="CH29" i="6"/>
  <c r="M29" i="6" s="1"/>
  <c r="CH28" i="6"/>
  <c r="M28" i="6" s="1"/>
  <c r="CH27" i="6"/>
  <c r="M27" i="6" s="1"/>
  <c r="CH26" i="6"/>
  <c r="M26" i="6" s="1"/>
  <c r="CH25" i="6"/>
  <c r="M25" i="6" s="1"/>
  <c r="CH24" i="6"/>
  <c r="M24" i="6" s="1"/>
  <c r="CH23" i="6"/>
  <c r="M23" i="6" s="1"/>
  <c r="CH22" i="6"/>
  <c r="M22" i="6" s="1"/>
  <c r="CH21" i="6"/>
  <c r="M21" i="6" s="1"/>
  <c r="CH20" i="6"/>
  <c r="M20" i="6" s="1"/>
  <c r="CH19" i="6"/>
  <c r="M19" i="6" s="1"/>
  <c r="CH18" i="6"/>
  <c r="M18" i="6" s="1"/>
  <c r="CH17" i="6"/>
  <c r="M17" i="6" s="1"/>
  <c r="CH16" i="6"/>
  <c r="M16" i="6" s="1"/>
  <c r="CH15" i="6"/>
  <c r="M15" i="6" s="1"/>
  <c r="CH14" i="6"/>
  <c r="M14" i="6" s="1"/>
  <c r="CH13" i="6"/>
  <c r="M13" i="6" s="1"/>
  <c r="CH12" i="6"/>
  <c r="M12" i="6" s="1"/>
  <c r="CW11" i="6"/>
  <c r="P11" i="6" s="1"/>
  <c r="CR7" i="6"/>
  <c r="O7" i="6" s="1"/>
  <c r="DG9" i="6"/>
  <c r="R9" i="6" s="1"/>
  <c r="DL9" i="6"/>
  <c r="S9" i="6" s="1"/>
  <c r="CR9" i="6"/>
  <c r="O9" i="6" s="1"/>
  <c r="BS10" i="6"/>
  <c r="J10" i="6" s="1"/>
  <c r="CW9" i="6"/>
  <c r="P9" i="6" s="1"/>
  <c r="CH9" i="6"/>
  <c r="M9" i="6" s="1"/>
  <c r="BX6" i="6"/>
  <c r="K6" i="6" s="1"/>
  <c r="CM35" i="6"/>
  <c r="N35" i="6" s="1"/>
  <c r="CM31" i="6"/>
  <c r="N31" i="6" s="1"/>
  <c r="CM27" i="6"/>
  <c r="N27" i="6" s="1"/>
  <c r="CM25" i="6"/>
  <c r="N25" i="6" s="1"/>
  <c r="CM24" i="6"/>
  <c r="N24" i="6" s="1"/>
  <c r="CM23" i="6"/>
  <c r="N23" i="6" s="1"/>
  <c r="CM22" i="6"/>
  <c r="N22" i="6" s="1"/>
  <c r="CM21" i="6"/>
  <c r="N21" i="6" s="1"/>
  <c r="CM20" i="6"/>
  <c r="N20" i="6" s="1"/>
  <c r="CM19" i="6"/>
  <c r="N19" i="6" s="1"/>
  <c r="CM18" i="6"/>
  <c r="N18" i="6" s="1"/>
  <c r="CM17" i="6"/>
  <c r="N17" i="6" s="1"/>
  <c r="CM16" i="6"/>
  <c r="N16" i="6" s="1"/>
  <c r="CM15" i="6"/>
  <c r="N15" i="6" s="1"/>
  <c r="CM14" i="6"/>
  <c r="N14" i="6" s="1"/>
  <c r="CM13" i="6"/>
  <c r="N13" i="6" s="1"/>
  <c r="CM36" i="6"/>
  <c r="N36" i="6" s="1"/>
  <c r="CM32" i="6"/>
  <c r="N32" i="6" s="1"/>
  <c r="CM28" i="6"/>
  <c r="N28" i="6" s="1"/>
  <c r="CM37" i="6"/>
  <c r="N37" i="6" s="1"/>
  <c r="CM33" i="6"/>
  <c r="N33" i="6" s="1"/>
  <c r="CM29" i="6"/>
  <c r="N29" i="6" s="1"/>
  <c r="CM30" i="6"/>
  <c r="N30" i="6" s="1"/>
  <c r="CM12" i="6"/>
  <c r="N12" i="6" s="1"/>
  <c r="CM34" i="6"/>
  <c r="N34" i="6" s="1"/>
  <c r="CM38" i="6"/>
  <c r="N38" i="6" s="1"/>
  <c r="CM26" i="6"/>
  <c r="N26" i="6" s="1"/>
  <c r="DL38" i="6"/>
  <c r="S38" i="6" s="1"/>
  <c r="DL37" i="6"/>
  <c r="S37" i="6" s="1"/>
  <c r="DL36" i="6"/>
  <c r="S36" i="6" s="1"/>
  <c r="DL35" i="6"/>
  <c r="S35" i="6" s="1"/>
  <c r="DL34" i="6"/>
  <c r="S34" i="6" s="1"/>
  <c r="DL33" i="6"/>
  <c r="S33" i="6" s="1"/>
  <c r="DL32" i="6"/>
  <c r="S32" i="6" s="1"/>
  <c r="DL31" i="6"/>
  <c r="S31" i="6" s="1"/>
  <c r="DL30" i="6"/>
  <c r="S30" i="6" s="1"/>
  <c r="DL29" i="6"/>
  <c r="S29" i="6" s="1"/>
  <c r="DL28" i="6"/>
  <c r="S28" i="6" s="1"/>
  <c r="DL27" i="6"/>
  <c r="S27" i="6" s="1"/>
  <c r="DL26" i="6"/>
  <c r="S26" i="6" s="1"/>
  <c r="DL25" i="6"/>
  <c r="S25" i="6" s="1"/>
  <c r="DL24" i="6"/>
  <c r="S24" i="6" s="1"/>
  <c r="DL23" i="6"/>
  <c r="S23" i="6" s="1"/>
  <c r="DL22" i="6"/>
  <c r="S22" i="6" s="1"/>
  <c r="DL21" i="6"/>
  <c r="S21" i="6" s="1"/>
  <c r="DL20" i="6"/>
  <c r="S20" i="6" s="1"/>
  <c r="DL19" i="6"/>
  <c r="S19" i="6" s="1"/>
  <c r="DL18" i="6"/>
  <c r="S18" i="6" s="1"/>
  <c r="DL17" i="6"/>
  <c r="S17" i="6" s="1"/>
  <c r="DL16" i="6"/>
  <c r="S16" i="6" s="1"/>
  <c r="DL15" i="6"/>
  <c r="S15" i="6" s="1"/>
  <c r="DL14" i="6"/>
  <c r="S14" i="6" s="1"/>
  <c r="DL13" i="6"/>
  <c r="S13" i="6" s="1"/>
  <c r="DL12" i="6"/>
  <c r="S12" i="6" s="1"/>
  <c r="DL7" i="6"/>
  <c r="S7" i="6" s="1"/>
  <c r="CR11" i="6"/>
  <c r="O11" i="6" s="1"/>
  <c r="DG6" i="6"/>
  <c r="R6" i="6" s="1"/>
  <c r="BX11" i="6"/>
  <c r="K11" i="6" s="1"/>
  <c r="CC11" i="6"/>
  <c r="L11" i="6" s="1"/>
  <c r="DL6" i="6"/>
  <c r="S6" i="6" s="1"/>
  <c r="CM8" i="6"/>
  <c r="N8" i="6" s="1"/>
  <c r="CC7" i="6"/>
  <c r="L7" i="6" s="1"/>
  <c r="BS11" i="6"/>
  <c r="J11" i="6" s="1"/>
  <c r="CH10" i="6"/>
  <c r="M10" i="6" s="1"/>
  <c r="DL11" i="6"/>
  <c r="S11" i="6" s="1"/>
  <c r="CR38" i="6"/>
  <c r="O38" i="6" s="1"/>
  <c r="CR37" i="6"/>
  <c r="O37" i="6" s="1"/>
  <c r="CR36" i="6"/>
  <c r="O36" i="6" s="1"/>
  <c r="CR35" i="6"/>
  <c r="O35" i="6" s="1"/>
  <c r="CR34" i="6"/>
  <c r="O34" i="6" s="1"/>
  <c r="CR33" i="6"/>
  <c r="O33" i="6" s="1"/>
  <c r="CR32" i="6"/>
  <c r="O32" i="6" s="1"/>
  <c r="CR31" i="6"/>
  <c r="O31" i="6" s="1"/>
  <c r="CR30" i="6"/>
  <c r="O30" i="6" s="1"/>
  <c r="CR29" i="6"/>
  <c r="O29" i="6" s="1"/>
  <c r="CR28" i="6"/>
  <c r="O28" i="6" s="1"/>
  <c r="CR27" i="6"/>
  <c r="O27" i="6" s="1"/>
  <c r="CR26" i="6"/>
  <c r="O26" i="6" s="1"/>
  <c r="CR25" i="6"/>
  <c r="O25" i="6" s="1"/>
  <c r="CR24" i="6"/>
  <c r="O24" i="6" s="1"/>
  <c r="CR23" i="6"/>
  <c r="O23" i="6" s="1"/>
  <c r="CR22" i="6"/>
  <c r="O22" i="6" s="1"/>
  <c r="CR21" i="6"/>
  <c r="O21" i="6" s="1"/>
  <c r="CR20" i="6"/>
  <c r="O20" i="6" s="1"/>
  <c r="CR19" i="6"/>
  <c r="O19" i="6" s="1"/>
  <c r="CR18" i="6"/>
  <c r="O18" i="6" s="1"/>
  <c r="CR17" i="6"/>
  <c r="O17" i="6" s="1"/>
  <c r="CR16" i="6"/>
  <c r="O16" i="6" s="1"/>
  <c r="CR15" i="6"/>
  <c r="O15" i="6" s="1"/>
  <c r="CR14" i="6"/>
  <c r="O14" i="6" s="1"/>
  <c r="CR13" i="6"/>
  <c r="O13" i="6" s="1"/>
  <c r="CR12" i="6"/>
  <c r="O12" i="6" s="1"/>
  <c r="CC24" i="6"/>
  <c r="L24" i="6" s="1"/>
  <c r="CC23" i="6"/>
  <c r="L23" i="6" s="1"/>
  <c r="CC22" i="6"/>
  <c r="L22" i="6" s="1"/>
  <c r="CC21" i="6"/>
  <c r="L21" i="6" s="1"/>
  <c r="CC20" i="6"/>
  <c r="L20" i="6" s="1"/>
  <c r="CC19" i="6"/>
  <c r="L19" i="6" s="1"/>
  <c r="CC18" i="6"/>
  <c r="L18" i="6" s="1"/>
  <c r="CC17" i="6"/>
  <c r="L17" i="6" s="1"/>
  <c r="CC16" i="6"/>
  <c r="L16" i="6" s="1"/>
  <c r="CC15" i="6"/>
  <c r="L15" i="6" s="1"/>
  <c r="CC14" i="6"/>
  <c r="L14" i="6" s="1"/>
  <c r="CC13" i="6"/>
  <c r="L13" i="6" s="1"/>
  <c r="CC37" i="6"/>
  <c r="L37" i="6" s="1"/>
  <c r="CC33" i="6"/>
  <c r="L33" i="6" s="1"/>
  <c r="CC29" i="6"/>
  <c r="L29" i="6" s="1"/>
  <c r="CC38" i="6"/>
  <c r="L38" i="6" s="1"/>
  <c r="CC34" i="6"/>
  <c r="L34" i="6" s="1"/>
  <c r="CC30" i="6"/>
  <c r="L30" i="6" s="1"/>
  <c r="CC26" i="6"/>
  <c r="L26" i="6" s="1"/>
  <c r="CC35" i="6"/>
  <c r="L35" i="6" s="1"/>
  <c r="CC31" i="6"/>
  <c r="L31" i="6" s="1"/>
  <c r="CC27" i="6"/>
  <c r="L27" i="6" s="1"/>
  <c r="CC12" i="6"/>
  <c r="L12" i="6" s="1"/>
  <c r="CC32" i="6"/>
  <c r="L32" i="6" s="1"/>
  <c r="CC25" i="6"/>
  <c r="L25" i="6" s="1"/>
  <c r="CC36" i="6"/>
  <c r="L36" i="6" s="1"/>
  <c r="CC28" i="6"/>
  <c r="L28" i="6" s="1"/>
  <c r="DG10" i="6"/>
  <c r="R10" i="6" s="1"/>
  <c r="BX9" i="6"/>
  <c r="K9" i="6" s="1"/>
  <c r="DB7" i="6"/>
  <c r="Q7" i="6" s="1"/>
  <c r="CM11" i="6"/>
  <c r="N11" i="6" s="1"/>
  <c r="DB11" i="6"/>
  <c r="Q11" i="6" s="1"/>
  <c r="BS38" i="6"/>
  <c r="J38" i="6" s="1"/>
  <c r="BS34" i="6"/>
  <c r="J34" i="6" s="1"/>
  <c r="BS30" i="6"/>
  <c r="J30" i="6" s="1"/>
  <c r="BS26" i="6"/>
  <c r="J26" i="6" s="1"/>
  <c r="BS24" i="6"/>
  <c r="J24" i="6" s="1"/>
  <c r="BS23" i="6"/>
  <c r="J23" i="6" s="1"/>
  <c r="BS22" i="6"/>
  <c r="J22" i="6" s="1"/>
  <c r="BS21" i="6"/>
  <c r="J21" i="6" s="1"/>
  <c r="BS20" i="6"/>
  <c r="J20" i="6" s="1"/>
  <c r="BS19" i="6"/>
  <c r="J19" i="6" s="1"/>
  <c r="BS18" i="6"/>
  <c r="J18" i="6" s="1"/>
  <c r="BS17" i="6"/>
  <c r="J17" i="6" s="1"/>
  <c r="BS16" i="6"/>
  <c r="J16" i="6" s="1"/>
  <c r="BS15" i="6"/>
  <c r="J15" i="6" s="1"/>
  <c r="BS14" i="6"/>
  <c r="J14" i="6" s="1"/>
  <c r="BS13" i="6"/>
  <c r="J13" i="6" s="1"/>
  <c r="BS35" i="6"/>
  <c r="J35" i="6" s="1"/>
  <c r="BS31" i="6"/>
  <c r="J31" i="6" s="1"/>
  <c r="BS27" i="6"/>
  <c r="J27" i="6" s="1"/>
  <c r="BS36" i="6"/>
  <c r="J36" i="6" s="1"/>
  <c r="BS32" i="6"/>
  <c r="J32" i="6" s="1"/>
  <c r="BS28" i="6"/>
  <c r="J28" i="6" s="1"/>
  <c r="BS25" i="6"/>
  <c r="J25" i="6" s="1"/>
  <c r="BS12" i="6"/>
  <c r="J12" i="6" s="1"/>
  <c r="BS29" i="6"/>
  <c r="J29" i="6" s="1"/>
  <c r="BS33" i="6"/>
  <c r="J33" i="6" s="1"/>
  <c r="BS37" i="6"/>
  <c r="J37" i="6" s="1"/>
  <c r="AJ16" i="16"/>
  <c r="AB16" i="16"/>
  <c r="T16" i="16"/>
  <c r="L16" i="16"/>
  <c r="AI16" i="16"/>
  <c r="AA16" i="16"/>
  <c r="S16" i="16"/>
  <c r="K16" i="16"/>
  <c r="AH16" i="16"/>
  <c r="Z16" i="16"/>
  <c r="R16" i="16"/>
  <c r="J16" i="16"/>
  <c r="AN16" i="16"/>
  <c r="AF16" i="16"/>
  <c r="X16" i="16"/>
  <c r="P16" i="16"/>
  <c r="H16" i="16"/>
  <c r="AM16" i="16"/>
  <c r="AE16" i="16"/>
  <c r="W16" i="16"/>
  <c r="O16" i="16"/>
  <c r="G16" i="16"/>
  <c r="AK16" i="16"/>
  <c r="N16" i="16"/>
  <c r="Q16" i="16"/>
  <c r="AG16" i="16"/>
  <c r="M16" i="16"/>
  <c r="F16" i="16"/>
  <c r="AD16" i="16"/>
  <c r="I16" i="16"/>
  <c r="AC16" i="16"/>
  <c r="Y16" i="16"/>
  <c r="U16" i="16"/>
  <c r="V16" i="16"/>
  <c r="AL16" i="16"/>
  <c r="AG25" i="16"/>
  <c r="Y25" i="16"/>
  <c r="Q25" i="16"/>
  <c r="I25" i="16"/>
  <c r="AN25" i="16"/>
  <c r="AF25" i="16"/>
  <c r="X25" i="16"/>
  <c r="P25" i="16"/>
  <c r="H25" i="16"/>
  <c r="AM25" i="16"/>
  <c r="AE25" i="16"/>
  <c r="W25" i="16"/>
  <c r="O25" i="16"/>
  <c r="G25" i="16"/>
  <c r="AK25" i="16"/>
  <c r="AC25" i="16"/>
  <c r="U25" i="16"/>
  <c r="M25" i="16"/>
  <c r="AJ25" i="16"/>
  <c r="AB25" i="16"/>
  <c r="T25" i="16"/>
  <c r="L25" i="16"/>
  <c r="V25" i="16"/>
  <c r="S25" i="16"/>
  <c r="K25" i="16"/>
  <c r="AL25" i="16"/>
  <c r="R25" i="16"/>
  <c r="AH25" i="16"/>
  <c r="AI25" i="16"/>
  <c r="N25" i="16"/>
  <c r="AD25" i="16"/>
  <c r="J25" i="16"/>
  <c r="AA25" i="16"/>
  <c r="F25" i="16"/>
  <c r="Z25" i="16"/>
  <c r="AG9" i="16"/>
  <c r="Y9" i="16"/>
  <c r="Q9" i="16"/>
  <c r="I9" i="16"/>
  <c r="AN9" i="16"/>
  <c r="AF9" i="16"/>
  <c r="X9" i="16"/>
  <c r="P9" i="16"/>
  <c r="H9" i="16"/>
  <c r="AM9" i="16"/>
  <c r="AE9" i="16"/>
  <c r="W9" i="16"/>
  <c r="O9" i="16"/>
  <c r="G9" i="16"/>
  <c r="AK9" i="16"/>
  <c r="AC9" i="16"/>
  <c r="U9" i="16"/>
  <c r="M9" i="16"/>
  <c r="AJ9" i="16"/>
  <c r="AB9" i="16"/>
  <c r="T9" i="16"/>
  <c r="L9" i="16"/>
  <c r="Z9" i="16"/>
  <c r="R9" i="16"/>
  <c r="AA9" i="16"/>
  <c r="V9" i="16"/>
  <c r="S9" i="16"/>
  <c r="AL9" i="16"/>
  <c r="AI9" i="16"/>
  <c r="N9" i="16"/>
  <c r="AD9" i="16"/>
  <c r="AH9" i="16"/>
  <c r="K9" i="16"/>
  <c r="J9" i="16"/>
  <c r="F9" i="16"/>
  <c r="AH14" i="16"/>
  <c r="Z14" i="16"/>
  <c r="R14" i="16"/>
  <c r="J14" i="16"/>
  <c r="AG14" i="16"/>
  <c r="Y14" i="16"/>
  <c r="Q14" i="16"/>
  <c r="I14" i="16"/>
  <c r="AN14" i="16"/>
  <c r="AF14" i="16"/>
  <c r="X14" i="16"/>
  <c r="P14" i="16"/>
  <c r="H14" i="16"/>
  <c r="AL14" i="16"/>
  <c r="AD14" i="16"/>
  <c r="V14" i="16"/>
  <c r="N14" i="16"/>
  <c r="F14" i="16"/>
  <c r="AK14" i="16"/>
  <c r="AC14" i="16"/>
  <c r="U14" i="16"/>
  <c r="M14" i="16"/>
  <c r="T14" i="16"/>
  <c r="AI14" i="16"/>
  <c r="AM14" i="16"/>
  <c r="S14" i="16"/>
  <c r="L14" i="16"/>
  <c r="W14" i="16"/>
  <c r="AJ14" i="16"/>
  <c r="O14" i="16"/>
  <c r="AE14" i="16"/>
  <c r="K14" i="16"/>
  <c r="AA14" i="16"/>
  <c r="AB14" i="16"/>
  <c r="G14" i="16"/>
  <c r="AI11" i="16"/>
  <c r="AA11" i="16"/>
  <c r="S11" i="16"/>
  <c r="K11" i="16"/>
  <c r="AH11" i="16"/>
  <c r="Z11" i="16"/>
  <c r="R11" i="16"/>
  <c r="J11" i="16"/>
  <c r="AG11" i="16"/>
  <c r="Y11" i="16"/>
  <c r="Q11" i="16"/>
  <c r="I11" i="16"/>
  <c r="AM11" i="16"/>
  <c r="AE11" i="16"/>
  <c r="W11" i="16"/>
  <c r="O11" i="16"/>
  <c r="G11" i="16"/>
  <c r="AL11" i="16"/>
  <c r="AD11" i="16"/>
  <c r="V11" i="16"/>
  <c r="N11" i="16"/>
  <c r="F11" i="16"/>
  <c r="AN11" i="16"/>
  <c r="T11" i="16"/>
  <c r="L11" i="16"/>
  <c r="AK11" i="16"/>
  <c r="P11" i="16"/>
  <c r="AJ11" i="16"/>
  <c r="M11" i="16"/>
  <c r="AF11" i="16"/>
  <c r="AC11" i="16"/>
  <c r="H11" i="16"/>
  <c r="AB11" i="16"/>
  <c r="X11" i="16"/>
  <c r="U11" i="16"/>
  <c r="AG17" i="16"/>
  <c r="Y17" i="16"/>
  <c r="Q17" i="16"/>
  <c r="I17" i="16"/>
  <c r="AN17" i="16"/>
  <c r="AF17" i="16"/>
  <c r="X17" i="16"/>
  <c r="P17" i="16"/>
  <c r="H17" i="16"/>
  <c r="AM17" i="16"/>
  <c r="AE17" i="16"/>
  <c r="W17" i="16"/>
  <c r="O17" i="16"/>
  <c r="G17" i="16"/>
  <c r="AK17" i="16"/>
  <c r="AC17" i="16"/>
  <c r="U17" i="16"/>
  <c r="M17" i="16"/>
  <c r="AJ17" i="16"/>
  <c r="AB17" i="16"/>
  <c r="T17" i="16"/>
  <c r="L17" i="16"/>
  <c r="V17" i="16"/>
  <c r="N17" i="16"/>
  <c r="S17" i="16"/>
  <c r="AL17" i="16"/>
  <c r="R17" i="16"/>
  <c r="AI17" i="16"/>
  <c r="Z17" i="16"/>
  <c r="AH17" i="16"/>
  <c r="K17" i="16"/>
  <c r="AA17" i="16"/>
  <c r="AD17" i="16"/>
  <c r="J17" i="16"/>
  <c r="F17" i="16"/>
  <c r="AN12" i="16"/>
  <c r="AF12" i="16"/>
  <c r="X12" i="16"/>
  <c r="P12" i="16"/>
  <c r="H12" i="16"/>
  <c r="AM12" i="16"/>
  <c r="AE12" i="16"/>
  <c r="W12" i="16"/>
  <c r="O12" i="16"/>
  <c r="G12" i="16"/>
  <c r="AL12" i="16"/>
  <c r="AD12" i="16"/>
  <c r="V12" i="16"/>
  <c r="N12" i="16"/>
  <c r="F12" i="16"/>
  <c r="AJ12" i="16"/>
  <c r="AB12" i="16"/>
  <c r="T12" i="16"/>
  <c r="L12" i="16"/>
  <c r="AI12" i="16"/>
  <c r="AA12" i="16"/>
  <c r="S12" i="16"/>
  <c r="K12" i="16"/>
  <c r="Z12" i="16"/>
  <c r="AC12" i="16"/>
  <c r="Y12" i="16"/>
  <c r="R12" i="16"/>
  <c r="U12" i="16"/>
  <c r="I12" i="16"/>
  <c r="AK12" i="16"/>
  <c r="Q12" i="16"/>
  <c r="J12" i="16"/>
  <c r="AH12" i="16"/>
  <c r="M12" i="16"/>
  <c r="AG12" i="16"/>
  <c r="AL10" i="16"/>
  <c r="AD10" i="16"/>
  <c r="V10" i="16"/>
  <c r="N10" i="16"/>
  <c r="F10" i="16"/>
  <c r="AK10" i="16"/>
  <c r="AC10" i="16"/>
  <c r="U10" i="16"/>
  <c r="M10" i="16"/>
  <c r="AJ10" i="16"/>
  <c r="AB10" i="16"/>
  <c r="T10" i="16"/>
  <c r="L10" i="16"/>
  <c r="AH10" i="16"/>
  <c r="Z10" i="16"/>
  <c r="R10" i="16"/>
  <c r="J10" i="16"/>
  <c r="AG10" i="16"/>
  <c r="Y10" i="16"/>
  <c r="Q10" i="16"/>
  <c r="I10" i="16"/>
  <c r="AF10" i="16"/>
  <c r="K10" i="16"/>
  <c r="AE10" i="16"/>
  <c r="H10" i="16"/>
  <c r="X10" i="16"/>
  <c r="AI10" i="16"/>
  <c r="AA10" i="16"/>
  <c r="G10" i="16"/>
  <c r="W10" i="16"/>
  <c r="AM10" i="16"/>
  <c r="O10" i="16"/>
  <c r="AN10" i="16"/>
  <c r="S10" i="16"/>
  <c r="P10" i="16"/>
  <c r="AJ8" i="16"/>
  <c r="AB8" i="16"/>
  <c r="T8" i="16"/>
  <c r="L8" i="16"/>
  <c r="AI8" i="16"/>
  <c r="AA8" i="16"/>
  <c r="S8" i="16"/>
  <c r="K8" i="16"/>
  <c r="AH8" i="16"/>
  <c r="Z8" i="16"/>
  <c r="R8" i="16"/>
  <c r="J8" i="16"/>
  <c r="AN8" i="16"/>
  <c r="AF8" i="16"/>
  <c r="X8" i="16"/>
  <c r="P8" i="16"/>
  <c r="H8" i="16"/>
  <c r="AM8" i="16"/>
  <c r="AE8" i="16"/>
  <c r="W8" i="16"/>
  <c r="O8" i="16"/>
  <c r="G8" i="16"/>
  <c r="AL8" i="16"/>
  <c r="Q8" i="16"/>
  <c r="AK8" i="16"/>
  <c r="N8" i="16"/>
  <c r="AD8" i="16"/>
  <c r="AG8" i="16"/>
  <c r="M8" i="16"/>
  <c r="I8" i="16"/>
  <c r="U8" i="16"/>
  <c r="AC8" i="16"/>
  <c r="F8" i="16"/>
  <c r="V8" i="16"/>
  <c r="Y8" i="16"/>
  <c r="AM5" i="16"/>
  <c r="AE5" i="16"/>
  <c r="W5" i="16"/>
  <c r="O5" i="16"/>
  <c r="G5" i="16"/>
  <c r="AB5" i="16"/>
  <c r="AF5" i="16"/>
  <c r="AL5" i="16"/>
  <c r="AD5" i="16"/>
  <c r="V5" i="16"/>
  <c r="N5" i="16"/>
  <c r="F5" i="16"/>
  <c r="AJ5" i="16"/>
  <c r="L5" i="16"/>
  <c r="X5" i="16"/>
  <c r="AK5" i="16"/>
  <c r="AC5" i="16"/>
  <c r="U5" i="16"/>
  <c r="M5" i="16"/>
  <c r="T5" i="16"/>
  <c r="AI5" i="16"/>
  <c r="AA5" i="16"/>
  <c r="S5" i="16"/>
  <c r="K5" i="16"/>
  <c r="Y5" i="16"/>
  <c r="I5" i="16"/>
  <c r="AN5" i="16"/>
  <c r="H5" i="16"/>
  <c r="AH5" i="16"/>
  <c r="Z5" i="16"/>
  <c r="R5" i="16"/>
  <c r="J5" i="16"/>
  <c r="AG5" i="16"/>
  <c r="Q5" i="16"/>
  <c r="P5" i="16"/>
  <c r="S4" i="16"/>
  <c r="AH4" i="16"/>
  <c r="Z4" i="16"/>
  <c r="R4" i="16"/>
  <c r="J4" i="16"/>
  <c r="Q4" i="16"/>
  <c r="AM4" i="16"/>
  <c r="O4" i="16"/>
  <c r="AI4" i="16"/>
  <c r="AG4" i="16"/>
  <c r="Y4" i="16"/>
  <c r="I4" i="16"/>
  <c r="W4" i="16"/>
  <c r="K4" i="16"/>
  <c r="AN4" i="16"/>
  <c r="AF4" i="16"/>
  <c r="X4" i="16"/>
  <c r="P4" i="16"/>
  <c r="H4" i="16"/>
  <c r="AE4" i="16"/>
  <c r="G4" i="16"/>
  <c r="AA4" i="16"/>
  <c r="AL4" i="16"/>
  <c r="AD4" i="16"/>
  <c r="V4" i="16"/>
  <c r="N4" i="16"/>
  <c r="F4" i="16"/>
  <c r="AB4" i="16"/>
  <c r="L4" i="16"/>
  <c r="AK4" i="16"/>
  <c r="AC4" i="16"/>
  <c r="U4" i="16"/>
  <c r="M4" i="16"/>
  <c r="AJ4" i="16"/>
  <c r="T4" i="16"/>
  <c r="AI19" i="16"/>
  <c r="AA19" i="16"/>
  <c r="S19" i="16"/>
  <c r="K19" i="16"/>
  <c r="AH19" i="16"/>
  <c r="Z19" i="16"/>
  <c r="R19" i="16"/>
  <c r="J19" i="16"/>
  <c r="AG19" i="16"/>
  <c r="Y19" i="16"/>
  <c r="Q19" i="16"/>
  <c r="I19" i="16"/>
  <c r="AM19" i="16"/>
  <c r="AE19" i="16"/>
  <c r="W19" i="16"/>
  <c r="O19" i="16"/>
  <c r="G19" i="16"/>
  <c r="AL19" i="16"/>
  <c r="AD19" i="16"/>
  <c r="V19" i="16"/>
  <c r="N19" i="16"/>
  <c r="F19" i="16"/>
  <c r="AK19" i="16"/>
  <c r="P19" i="16"/>
  <c r="T19" i="16"/>
  <c r="AJ19" i="16"/>
  <c r="M19" i="16"/>
  <c r="AC19" i="16"/>
  <c r="AF19" i="16"/>
  <c r="L19" i="16"/>
  <c r="H19" i="16"/>
  <c r="AB19" i="16"/>
  <c r="X19" i="16"/>
  <c r="U19" i="16"/>
  <c r="AN19" i="16"/>
  <c r="AN20" i="16"/>
  <c r="AF20" i="16"/>
  <c r="X20" i="16"/>
  <c r="P20" i="16"/>
  <c r="H20" i="16"/>
  <c r="AM20" i="16"/>
  <c r="AE20" i="16"/>
  <c r="W20" i="16"/>
  <c r="O20" i="16"/>
  <c r="G20" i="16"/>
  <c r="AL20" i="16"/>
  <c r="AD20" i="16"/>
  <c r="V20" i="16"/>
  <c r="N20" i="16"/>
  <c r="F20" i="16"/>
  <c r="AJ20" i="16"/>
  <c r="AB20" i="16"/>
  <c r="T20" i="16"/>
  <c r="L20" i="16"/>
  <c r="AI20" i="16"/>
  <c r="AA20" i="16"/>
  <c r="S20" i="16"/>
  <c r="K20" i="16"/>
  <c r="Y20" i="16"/>
  <c r="Q20" i="16"/>
  <c r="U20" i="16"/>
  <c r="R20" i="16"/>
  <c r="AK20" i="16"/>
  <c r="Z20" i="16"/>
  <c r="AH20" i="16"/>
  <c r="M20" i="16"/>
  <c r="I20" i="16"/>
  <c r="AG20" i="16"/>
  <c r="J20" i="16"/>
  <c r="AC20" i="16"/>
  <c r="AH22" i="16"/>
  <c r="Z22" i="16"/>
  <c r="R22" i="16"/>
  <c r="J22" i="16"/>
  <c r="AG22" i="16"/>
  <c r="Y22" i="16"/>
  <c r="Q22" i="16"/>
  <c r="I22" i="16"/>
  <c r="AN22" i="16"/>
  <c r="AF22" i="16"/>
  <c r="X22" i="16"/>
  <c r="P22" i="16"/>
  <c r="H22" i="16"/>
  <c r="AL22" i="16"/>
  <c r="AD22" i="16"/>
  <c r="V22" i="16"/>
  <c r="N22" i="16"/>
  <c r="F22" i="16"/>
  <c r="AK22" i="16"/>
  <c r="AC22" i="16"/>
  <c r="U22" i="16"/>
  <c r="M22" i="16"/>
  <c r="AM22" i="16"/>
  <c r="S22" i="16"/>
  <c r="AE22" i="16"/>
  <c r="T22" i="16"/>
  <c r="AJ22" i="16"/>
  <c r="O22" i="16"/>
  <c r="AI22" i="16"/>
  <c r="L22" i="16"/>
  <c r="K22" i="16"/>
  <c r="AB22" i="16"/>
  <c r="G22" i="16"/>
  <c r="W22" i="16"/>
  <c r="AA22" i="16"/>
  <c r="AM23" i="16"/>
  <c r="AE23" i="16"/>
  <c r="W23" i="16"/>
  <c r="O23" i="16"/>
  <c r="G23" i="16"/>
  <c r="AL23" i="16"/>
  <c r="AD23" i="16"/>
  <c r="V23" i="16"/>
  <c r="N23" i="16"/>
  <c r="F23" i="16"/>
  <c r="AK23" i="16"/>
  <c r="AC23" i="16"/>
  <c r="U23" i="16"/>
  <c r="M23" i="16"/>
  <c r="AI23" i="16"/>
  <c r="AA23" i="16"/>
  <c r="S23" i="16"/>
  <c r="K23" i="16"/>
  <c r="AH23" i="16"/>
  <c r="Z23" i="16"/>
  <c r="R23" i="16"/>
  <c r="J23" i="16"/>
  <c r="Y23" i="16"/>
  <c r="AN23" i="16"/>
  <c r="X23" i="16"/>
  <c r="H23" i="16"/>
  <c r="T23" i="16"/>
  <c r="Q23" i="16"/>
  <c r="AJ23" i="16"/>
  <c r="P23" i="16"/>
  <c r="AF23" i="16"/>
  <c r="AG23" i="16"/>
  <c r="L23" i="16"/>
  <c r="I23" i="16"/>
  <c r="AB23" i="16"/>
  <c r="AL18" i="16"/>
  <c r="AD18" i="16"/>
  <c r="V18" i="16"/>
  <c r="N18" i="16"/>
  <c r="F18" i="16"/>
  <c r="AK18" i="16"/>
  <c r="AC18" i="16"/>
  <c r="U18" i="16"/>
  <c r="M18" i="16"/>
  <c r="AJ18" i="16"/>
  <c r="AB18" i="16"/>
  <c r="T18" i="16"/>
  <c r="L18" i="16"/>
  <c r="AH18" i="16"/>
  <c r="Z18" i="16"/>
  <c r="R18" i="16"/>
  <c r="J18" i="16"/>
  <c r="AG18" i="16"/>
  <c r="Y18" i="16"/>
  <c r="Q18" i="16"/>
  <c r="I18" i="16"/>
  <c r="AE18" i="16"/>
  <c r="H18" i="16"/>
  <c r="W18" i="16"/>
  <c r="AA18" i="16"/>
  <c r="G18" i="16"/>
  <c r="AF18" i="16"/>
  <c r="X18" i="16"/>
  <c r="AN18" i="16"/>
  <c r="S18" i="16"/>
  <c r="AI18" i="16"/>
  <c r="K18" i="16"/>
  <c r="AM18" i="16"/>
  <c r="P18" i="16"/>
  <c r="O18" i="16"/>
  <c r="AK21" i="16"/>
  <c r="AC21" i="16"/>
  <c r="U21" i="16"/>
  <c r="M21" i="16"/>
  <c r="AJ21" i="16"/>
  <c r="AB21" i="16"/>
  <c r="T21" i="16"/>
  <c r="L21" i="16"/>
  <c r="AI21" i="16"/>
  <c r="AA21" i="16"/>
  <c r="S21" i="16"/>
  <c r="K21" i="16"/>
  <c r="AG21" i="16"/>
  <c r="Y21" i="16"/>
  <c r="Q21" i="16"/>
  <c r="I21" i="16"/>
  <c r="AN21" i="16"/>
  <c r="AF21" i="16"/>
  <c r="X21" i="16"/>
  <c r="P21" i="16"/>
  <c r="H21" i="16"/>
  <c r="AE21" i="16"/>
  <c r="J21" i="16"/>
  <c r="W21" i="16"/>
  <c r="AH21" i="16"/>
  <c r="AD21" i="16"/>
  <c r="G21" i="16"/>
  <c r="Z21" i="16"/>
  <c r="F21" i="16"/>
  <c r="V21" i="16"/>
  <c r="O21" i="16"/>
  <c r="N21" i="16"/>
  <c r="AM21" i="16"/>
  <c r="R21" i="16"/>
  <c r="AL21" i="16"/>
  <c r="AK13" i="16"/>
  <c r="AC13" i="16"/>
  <c r="U13" i="16"/>
  <c r="M13" i="16"/>
  <c r="AJ13" i="16"/>
  <c r="AB13" i="16"/>
  <c r="T13" i="16"/>
  <c r="L13" i="16"/>
  <c r="AI13" i="16"/>
  <c r="AA13" i="16"/>
  <c r="S13" i="16"/>
  <c r="K13" i="16"/>
  <c r="AG13" i="16"/>
  <c r="Y13" i="16"/>
  <c r="Q13" i="16"/>
  <c r="I13" i="16"/>
  <c r="AN13" i="16"/>
  <c r="AF13" i="16"/>
  <c r="X13" i="16"/>
  <c r="P13" i="16"/>
  <c r="H13" i="16"/>
  <c r="AH13" i="16"/>
  <c r="N13" i="16"/>
  <c r="F13" i="16"/>
  <c r="AE13" i="16"/>
  <c r="J13" i="16"/>
  <c r="AD13" i="16"/>
  <c r="G13" i="16"/>
  <c r="Z13" i="16"/>
  <c r="W13" i="16"/>
  <c r="R13" i="16"/>
  <c r="O13" i="16"/>
  <c r="V13" i="16"/>
  <c r="AM13" i="16"/>
  <c r="AL13" i="16"/>
  <c r="AH6" i="16"/>
  <c r="Z6" i="16"/>
  <c r="AG6" i="16"/>
  <c r="AN6" i="16"/>
  <c r="AF6" i="16"/>
  <c r="AK6" i="16"/>
  <c r="AC6" i="16"/>
  <c r="T6" i="16"/>
  <c r="L6" i="16"/>
  <c r="Q6" i="16"/>
  <c r="AD6" i="16"/>
  <c r="AB6" i="16"/>
  <c r="S6" i="16"/>
  <c r="K6" i="16"/>
  <c r="AL6" i="16"/>
  <c r="I6" i="16"/>
  <c r="AM6" i="16"/>
  <c r="AA6" i="16"/>
  <c r="R6" i="16"/>
  <c r="J6" i="16"/>
  <c r="Y6" i="16"/>
  <c r="M6" i="16"/>
  <c r="AJ6" i="16"/>
  <c r="X6" i="16"/>
  <c r="P6" i="16"/>
  <c r="H6" i="16"/>
  <c r="V6" i="16"/>
  <c r="F6" i="16"/>
  <c r="AI6" i="16"/>
  <c r="W6" i="16"/>
  <c r="O6" i="16"/>
  <c r="G6" i="16"/>
  <c r="AE6" i="16"/>
  <c r="N6" i="16"/>
  <c r="U6" i="16"/>
  <c r="AM15" i="16"/>
  <c r="AE15" i="16"/>
  <c r="W15" i="16"/>
  <c r="O15" i="16"/>
  <c r="G15" i="16"/>
  <c r="AL15" i="16"/>
  <c r="AD15" i="16"/>
  <c r="V15" i="16"/>
  <c r="N15" i="16"/>
  <c r="F15" i="16"/>
  <c r="AK15" i="16"/>
  <c r="AC15" i="16"/>
  <c r="U15" i="16"/>
  <c r="M15" i="16"/>
  <c r="AI15" i="16"/>
  <c r="AA15" i="16"/>
  <c r="S15" i="16"/>
  <c r="K15" i="16"/>
  <c r="AH15" i="16"/>
  <c r="Z15" i="16"/>
  <c r="R15" i="16"/>
  <c r="J15" i="16"/>
  <c r="AB15" i="16"/>
  <c r="H15" i="16"/>
  <c r="Y15" i="16"/>
  <c r="X15" i="16"/>
  <c r="T15" i="16"/>
  <c r="I15" i="16"/>
  <c r="AN15" i="16"/>
  <c r="Q15" i="16"/>
  <c r="AG15" i="16"/>
  <c r="AF15" i="16"/>
  <c r="AJ15" i="16"/>
  <c r="P15" i="16"/>
  <c r="L15" i="16"/>
  <c r="AM7" i="16"/>
  <c r="AE7" i="16"/>
  <c r="W7" i="16"/>
  <c r="O7" i="16"/>
  <c r="G7" i="16"/>
  <c r="AL7" i="16"/>
  <c r="AD7" i="16"/>
  <c r="V7" i="16"/>
  <c r="N7" i="16"/>
  <c r="F7" i="16"/>
  <c r="AK7" i="16"/>
  <c r="AC7" i="16"/>
  <c r="U7" i="16"/>
  <c r="M7" i="16"/>
  <c r="AI7" i="16"/>
  <c r="AA7" i="16"/>
  <c r="S7" i="16"/>
  <c r="K7" i="16"/>
  <c r="AH7" i="16"/>
  <c r="Z7" i="16"/>
  <c r="R7" i="16"/>
  <c r="J7" i="16"/>
  <c r="AF7" i="16"/>
  <c r="I7" i="16"/>
  <c r="X7" i="16"/>
  <c r="AB7" i="16"/>
  <c r="H7" i="16"/>
  <c r="AG7" i="16"/>
  <c r="Y7" i="16"/>
  <c r="T7" i="16"/>
  <c r="P7" i="16"/>
  <c r="L7" i="16"/>
  <c r="AN7" i="16"/>
  <c r="Q7" i="16"/>
  <c r="AJ7" i="16"/>
  <c r="AJ24" i="16"/>
  <c r="AB24" i="16"/>
  <c r="T24" i="16"/>
  <c r="L24" i="16"/>
  <c r="AI24" i="16"/>
  <c r="AA24" i="16"/>
  <c r="S24" i="16"/>
  <c r="K24" i="16"/>
  <c r="AH24" i="16"/>
  <c r="Z24" i="16"/>
  <c r="R24" i="16"/>
  <c r="J24" i="16"/>
  <c r="AN24" i="16"/>
  <c r="AF24" i="16"/>
  <c r="X24" i="16"/>
  <c r="P24" i="16"/>
  <c r="H24" i="16"/>
  <c r="AM24" i="16"/>
  <c r="AE24" i="16"/>
  <c r="W24" i="16"/>
  <c r="O24" i="16"/>
  <c r="G24" i="16"/>
  <c r="AG24" i="16"/>
  <c r="M24" i="16"/>
  <c r="AD24" i="16"/>
  <c r="I24" i="16"/>
  <c r="AC24" i="16"/>
  <c r="F24" i="16"/>
  <c r="Y24" i="16"/>
  <c r="N24" i="16"/>
  <c r="V24" i="16"/>
  <c r="AL24" i="16"/>
  <c r="AK24" i="16"/>
  <c r="U24" i="16"/>
  <c r="Q24" i="16"/>
  <c r="NU31" i="1"/>
  <c r="CA13" i="6" s="1"/>
  <c r="AX13" i="6" s="1"/>
  <c r="OB31" i="1"/>
  <c r="CT13" i="6" s="1"/>
  <c r="AO13" i="6" s="1"/>
  <c r="OD31" i="1"/>
  <c r="CY13" i="6" s="1"/>
  <c r="AP13" i="6" s="1"/>
  <c r="NR31" i="1"/>
  <c r="BU13" i="6" s="1"/>
  <c r="AJ13" i="6" s="1"/>
  <c r="NV31" i="1"/>
  <c r="CE13" i="6" s="1"/>
  <c r="AL13" i="6" s="1"/>
  <c r="ON30" i="1"/>
  <c r="NZ31" i="1"/>
  <c r="CO13" i="6" s="1"/>
  <c r="AN13" i="6" s="1"/>
  <c r="OF31" i="1"/>
  <c r="DD13" i="6" s="1"/>
  <c r="AQ13" i="6" s="1"/>
  <c r="OG31" i="1"/>
  <c r="DE13" i="6" s="1"/>
  <c r="BD13" i="6" s="1"/>
  <c r="OK31" i="1"/>
  <c r="DO13" i="6" s="1"/>
  <c r="BF13" i="6" s="1"/>
  <c r="NY31" i="1"/>
  <c r="CK13" i="6" s="1"/>
  <c r="AZ13" i="6" s="1"/>
  <c r="OI31" i="1"/>
  <c r="DJ13" i="6" s="1"/>
  <c r="BE13" i="6" s="1"/>
  <c r="OE31" i="1"/>
  <c r="CZ13" i="6" s="1"/>
  <c r="BC13" i="6" s="1"/>
  <c r="NX31" i="1"/>
  <c r="CJ13" i="6" s="1"/>
  <c r="AM13" i="6" s="1"/>
  <c r="OH31" i="1"/>
  <c r="DI13" i="6" s="1"/>
  <c r="AR13" i="6" s="1"/>
  <c r="NW31" i="1"/>
  <c r="CF13" i="6" s="1"/>
  <c r="AY13" i="6" s="1"/>
  <c r="NT31" i="1"/>
  <c r="BZ13" i="6" s="1"/>
  <c r="AK13" i="6" s="1"/>
  <c r="OJ31" i="1"/>
  <c r="DN13" i="6" s="1"/>
  <c r="AS13" i="6" s="1"/>
  <c r="OA31" i="1"/>
  <c r="CP13" i="6" s="1"/>
  <c r="BA13" i="6" s="1"/>
  <c r="OC31" i="1"/>
  <c r="CU13" i="6" s="1"/>
  <c r="BB13" i="6" s="1"/>
  <c r="NS31" i="1"/>
  <c r="BV13" i="6" s="1"/>
  <c r="AW13" i="6" s="1"/>
  <c r="ON28" i="1"/>
  <c r="BQ5" i="6"/>
  <c r="AV8" i="6"/>
  <c r="ON26" i="1"/>
  <c r="AV7" i="6"/>
  <c r="ON24" i="1"/>
  <c r="ON22" i="1"/>
  <c r="AV9" i="6"/>
  <c r="ON20" i="1"/>
  <c r="AV11" i="6"/>
  <c r="ON18" i="1"/>
  <c r="AV10" i="6"/>
  <c r="V33" i="6"/>
  <c r="V30" i="6"/>
  <c r="V32" i="6"/>
  <c r="V28" i="6"/>
  <c r="V35" i="6"/>
  <c r="V31" i="6"/>
  <c r="V37" i="6"/>
  <c r="V29" i="6"/>
  <c r="V10" i="6"/>
  <c r="V23" i="6"/>
  <c r="OM16" i="1"/>
  <c r="V13" i="6"/>
  <c r="V8" i="6"/>
  <c r="V25" i="6"/>
  <c r="V12" i="6"/>
  <c r="V20" i="6"/>
  <c r="V19" i="6"/>
  <c r="OM52" i="1"/>
  <c r="V14" i="6"/>
  <c r="BO5" i="6"/>
  <c r="V5" i="6" s="1"/>
  <c r="V26" i="6"/>
  <c r="V16" i="6"/>
  <c r="V11" i="6"/>
  <c r="V21" i="6"/>
  <c r="V6" i="6"/>
  <c r="V9" i="6"/>
  <c r="U7" i="6"/>
  <c r="V24" i="6"/>
  <c r="V18" i="6"/>
  <c r="U11" i="6"/>
  <c r="V17" i="6"/>
  <c r="V27" i="6"/>
  <c r="V15" i="6"/>
  <c r="V22" i="6"/>
  <c r="U9" i="6"/>
  <c r="U10" i="6"/>
  <c r="AV22" i="16"/>
  <c r="AX22" i="16"/>
  <c r="AU22" i="16"/>
  <c r="AZ22" i="16"/>
  <c r="AW22" i="16"/>
  <c r="AR22" i="16"/>
  <c r="AT22" i="16"/>
  <c r="AP22" i="16"/>
  <c r="AS22" i="16"/>
  <c r="BA22" i="16"/>
  <c r="AQ22" i="16"/>
  <c r="AY22" i="16"/>
  <c r="AO22" i="16"/>
  <c r="AV18" i="16"/>
  <c r="AW18" i="16"/>
  <c r="AS18" i="16"/>
  <c r="AX18" i="16"/>
  <c r="AZ18" i="16"/>
  <c r="AQ18" i="16"/>
  <c r="AT18" i="16"/>
  <c r="BA18" i="16"/>
  <c r="AP18" i="16"/>
  <c r="AR18" i="16"/>
  <c r="AY18" i="16"/>
  <c r="AO18" i="16"/>
  <c r="AU18" i="16"/>
  <c r="AR21" i="16"/>
  <c r="AQ21" i="16"/>
  <c r="AZ21" i="16"/>
  <c r="BA21" i="16"/>
  <c r="AY21" i="16"/>
  <c r="AT21" i="16"/>
  <c r="AP21" i="16"/>
  <c r="AU21" i="16"/>
  <c r="AW21" i="16"/>
  <c r="AO21" i="16"/>
  <c r="AV21" i="16"/>
  <c r="AX21" i="16"/>
  <c r="AS21" i="16"/>
  <c r="AO13" i="16"/>
  <c r="AQ13" i="16"/>
  <c r="AY13" i="16"/>
  <c r="AR13" i="16"/>
  <c r="AZ13" i="16"/>
  <c r="AP13" i="16"/>
  <c r="AS13" i="16"/>
  <c r="AX13" i="16"/>
  <c r="AT13" i="16"/>
  <c r="AV13" i="16"/>
  <c r="AW13" i="16"/>
  <c r="BA13" i="16"/>
  <c r="AU13" i="16"/>
  <c r="AX6" i="16"/>
  <c r="AR6" i="16"/>
  <c r="AP6" i="16"/>
  <c r="AZ6" i="16"/>
  <c r="AY6" i="16"/>
  <c r="AV6" i="16"/>
  <c r="AU6" i="16"/>
  <c r="AT6" i="16"/>
  <c r="AO6" i="16"/>
  <c r="AQ6" i="16"/>
  <c r="AW6" i="16"/>
  <c r="BA6" i="16"/>
  <c r="AS6" i="16"/>
  <c r="AT15" i="16"/>
  <c r="AS15" i="16"/>
  <c r="AQ15" i="16"/>
  <c r="AV15" i="16"/>
  <c r="AU15" i="16"/>
  <c r="AP15" i="16"/>
  <c r="AR15" i="16"/>
  <c r="AZ15" i="16"/>
  <c r="AX15" i="16"/>
  <c r="AW15" i="16"/>
  <c r="AO15" i="16"/>
  <c r="BA15" i="16"/>
  <c r="AY15" i="16"/>
  <c r="AX12" i="16"/>
  <c r="AZ12" i="16"/>
  <c r="AP12" i="16"/>
  <c r="AT12" i="16"/>
  <c r="AV12" i="16"/>
  <c r="BA12" i="16"/>
  <c r="AS12" i="16"/>
  <c r="AQ12" i="16"/>
  <c r="AW12" i="16"/>
  <c r="AY12" i="16"/>
  <c r="AO12" i="16"/>
  <c r="AU12" i="16"/>
  <c r="AR12" i="16"/>
  <c r="AU4" i="16"/>
  <c r="AY4" i="16"/>
  <c r="AX4" i="16"/>
  <c r="AS4" i="16"/>
  <c r="AO4" i="16"/>
  <c r="AT4" i="16"/>
  <c r="AR4" i="16"/>
  <c r="AQ4" i="16"/>
  <c r="AZ4" i="16"/>
  <c r="AP4" i="16"/>
  <c r="AW4" i="16"/>
  <c r="AV4" i="16"/>
  <c r="BA4" i="16"/>
  <c r="AT20" i="16"/>
  <c r="AQ20" i="16"/>
  <c r="AR20" i="16"/>
  <c r="BA20" i="16"/>
  <c r="AZ20" i="16"/>
  <c r="AV20" i="16"/>
  <c r="AY20" i="16"/>
  <c r="AU20" i="16"/>
  <c r="AW20" i="16"/>
  <c r="AP20" i="16"/>
  <c r="AO20" i="16"/>
  <c r="AS20" i="16"/>
  <c r="AX20" i="16"/>
  <c r="AZ9" i="16"/>
  <c r="AV9" i="16"/>
  <c r="AR9" i="16"/>
  <c r="AQ9" i="16"/>
  <c r="AP9" i="16"/>
  <c r="AS9" i="16"/>
  <c r="AY9" i="16"/>
  <c r="AO9" i="16"/>
  <c r="AU9" i="16"/>
  <c r="AX9" i="16"/>
  <c r="AW9" i="16"/>
  <c r="BA9" i="16"/>
  <c r="AT9" i="16"/>
  <c r="BA14" i="16"/>
  <c r="AR14" i="16"/>
  <c r="AX14" i="16"/>
  <c r="AO14" i="16"/>
  <c r="AU14" i="16"/>
  <c r="AW14" i="16"/>
  <c r="AP14" i="16"/>
  <c r="AS14" i="16"/>
  <c r="AQ14" i="16"/>
  <c r="AT14" i="16"/>
  <c r="AY14" i="16"/>
  <c r="AZ14" i="16"/>
  <c r="AV14" i="16"/>
  <c r="BA11" i="16"/>
  <c r="AS11" i="16"/>
  <c r="AT11" i="16"/>
  <c r="AV11" i="16"/>
  <c r="AW11" i="16"/>
  <c r="AQ11" i="16"/>
  <c r="AX11" i="16"/>
  <c r="AU11" i="16"/>
  <c r="AZ11" i="16"/>
  <c r="AR11" i="16"/>
  <c r="AY11" i="16"/>
  <c r="AP11" i="16"/>
  <c r="AO11" i="16"/>
  <c r="AT17" i="16"/>
  <c r="AY17" i="16"/>
  <c r="AP17" i="16"/>
  <c r="AR17" i="16"/>
  <c r="AS17" i="16"/>
  <c r="AV17" i="16"/>
  <c r="AU17" i="16"/>
  <c r="BA17" i="16"/>
  <c r="AQ17" i="16"/>
  <c r="AX17" i="16"/>
  <c r="AW17" i="16"/>
  <c r="AO17" i="16"/>
  <c r="AZ17" i="16"/>
  <c r="X79" i="16"/>
  <c r="BA10" i="16"/>
  <c r="BA79" i="16" s="1"/>
  <c r="AS10" i="16"/>
  <c r="AS79" i="16" s="1"/>
  <c r="AO10" i="16"/>
  <c r="AO79" i="16" s="1"/>
  <c r="AV10" i="16"/>
  <c r="N79" i="16"/>
  <c r="AE79" i="16"/>
  <c r="AZ10" i="16"/>
  <c r="AZ79" i="16" s="1"/>
  <c r="AU10" i="16"/>
  <c r="AX10" i="16"/>
  <c r="AY10" i="16"/>
  <c r="AY79" i="16" s="1"/>
  <c r="Q79" i="16"/>
  <c r="AT10" i="16"/>
  <c r="AT79" i="16" s="1"/>
  <c r="AB79" i="16"/>
  <c r="M79" i="16"/>
  <c r="AP10" i="16"/>
  <c r="AP79" i="16" s="1"/>
  <c r="AH79" i="16"/>
  <c r="AR10" i="16"/>
  <c r="AR79" i="16" s="1"/>
  <c r="AW10" i="16"/>
  <c r="AL79" i="16"/>
  <c r="I79" i="16"/>
  <c r="AQ10" i="16"/>
  <c r="AQ79" i="16" s="1"/>
  <c r="AK79" i="16"/>
  <c r="Y79" i="16"/>
  <c r="BA8" i="16"/>
  <c r="AP8" i="16"/>
  <c r="AZ8" i="16"/>
  <c r="AT8" i="16"/>
  <c r="AW8" i="16"/>
  <c r="AS8" i="16"/>
  <c r="AO8" i="16"/>
  <c r="AV8" i="16"/>
  <c r="AR8" i="16"/>
  <c r="AX8" i="16"/>
  <c r="AU8" i="16"/>
  <c r="AQ8" i="16"/>
  <c r="AY8" i="16"/>
  <c r="AM3" i="16"/>
  <c r="AT3" i="16"/>
  <c r="AG3" i="16"/>
  <c r="AA3" i="16"/>
  <c r="AR3" i="16"/>
  <c r="AK3" i="16"/>
  <c r="K3" i="16"/>
  <c r="AY3" i="16"/>
  <c r="F3" i="16"/>
  <c r="AS3" i="16"/>
  <c r="R3" i="16"/>
  <c r="AU3" i="16"/>
  <c r="M3" i="16"/>
  <c r="Q3" i="16"/>
  <c r="AZ3" i="16"/>
  <c r="W3" i="16"/>
  <c r="H3" i="16"/>
  <c r="I3" i="16"/>
  <c r="G3" i="16"/>
  <c r="N3" i="16"/>
  <c r="AP3" i="16"/>
  <c r="X3" i="16"/>
  <c r="Y3" i="16"/>
  <c r="AB3" i="16"/>
  <c r="V3" i="16"/>
  <c r="S3" i="16"/>
  <c r="P3" i="16"/>
  <c r="AO3" i="16"/>
  <c r="BA3" i="16"/>
  <c r="Z3" i="16"/>
  <c r="T3" i="16"/>
  <c r="AC3" i="16"/>
  <c r="L3" i="16"/>
  <c r="U3" i="16"/>
  <c r="AE3" i="16"/>
  <c r="AN3" i="16"/>
  <c r="AJ3" i="16"/>
  <c r="O3" i="16"/>
  <c r="J3" i="16"/>
  <c r="AX3" i="16"/>
  <c r="AV3" i="16"/>
  <c r="AQ3" i="16"/>
  <c r="AH3" i="16"/>
  <c r="AL3" i="16"/>
  <c r="AD3" i="16"/>
  <c r="AF3" i="16"/>
  <c r="AW3" i="16"/>
  <c r="AI3" i="16"/>
  <c r="AS19" i="16"/>
  <c r="AY19" i="16"/>
  <c r="AX19" i="16"/>
  <c r="BA19" i="16"/>
  <c r="AU19" i="16"/>
  <c r="AW19" i="16"/>
  <c r="AP19" i="16"/>
  <c r="AR19" i="16"/>
  <c r="AO19" i="16"/>
  <c r="AT19" i="16"/>
  <c r="AV19" i="16"/>
  <c r="AQ19" i="16"/>
  <c r="AZ19" i="16"/>
  <c r="AZ26" i="16"/>
  <c r="AY26" i="16"/>
  <c r="AP26" i="16"/>
  <c r="AS26" i="16"/>
  <c r="AX26" i="16"/>
  <c r="AR26" i="16"/>
  <c r="AT26" i="16"/>
  <c r="AQ26" i="16"/>
  <c r="AU26" i="16"/>
  <c r="AO26" i="16"/>
  <c r="BA26" i="16"/>
  <c r="AV26" i="16"/>
  <c r="AW26" i="16"/>
  <c r="NX46" i="1"/>
  <c r="OB20" i="1"/>
  <c r="OJ22" i="1"/>
  <c r="NT42" i="1"/>
  <c r="OF42" i="1"/>
  <c r="OF20" i="1"/>
  <c r="NV24" i="1"/>
  <c r="OD48" i="1"/>
  <c r="OB40" i="1"/>
  <c r="NT32" i="1"/>
  <c r="NT20" i="1"/>
  <c r="NV50" i="1"/>
  <c r="NZ42" i="1"/>
  <c r="OF28" i="1"/>
  <c r="NZ44" i="1"/>
  <c r="OB46" i="1"/>
  <c r="OH20" i="1"/>
  <c r="OB22" i="1"/>
  <c r="OB18" i="1"/>
  <c r="NT38" i="1"/>
  <c r="NT26" i="1"/>
  <c r="OJ14" i="1"/>
  <c r="NZ38" i="1"/>
  <c r="NR46" i="1"/>
  <c r="NT18" i="1"/>
  <c r="OD30" i="1"/>
  <c r="NT36" i="1"/>
  <c r="OH40" i="1"/>
  <c r="OF30" i="1"/>
  <c r="OH24" i="1"/>
  <c r="OH38" i="1"/>
  <c r="OJ46" i="1"/>
  <c r="OF26" i="1"/>
  <c r="OB32" i="1"/>
  <c r="OB42" i="1"/>
  <c r="NZ28" i="1"/>
  <c r="OB50" i="1"/>
  <c r="NR38" i="1"/>
  <c r="OD20" i="1"/>
  <c r="OD24" i="1"/>
  <c r="OF50" i="1"/>
  <c r="OB36" i="1"/>
  <c r="NR24" i="1"/>
  <c r="NR26" i="1"/>
  <c r="NR18" i="1"/>
  <c r="OD46" i="1"/>
  <c r="OH12" i="1"/>
  <c r="OJ20" i="1"/>
  <c r="NV28" i="1"/>
  <c r="OD44" i="1"/>
  <c r="OH14" i="1"/>
  <c r="NZ26" i="1"/>
  <c r="OD22" i="1"/>
  <c r="NT44" i="1"/>
  <c r="NX18" i="1"/>
  <c r="NZ22" i="1"/>
  <c r="OH44" i="1"/>
  <c r="NZ14" i="1"/>
  <c r="NX48" i="1"/>
  <c r="OD36" i="1"/>
  <c r="NX28" i="1"/>
  <c r="NZ40" i="1"/>
  <c r="OD40" i="1"/>
  <c r="OB26" i="1"/>
  <c r="NT48" i="1"/>
  <c r="NV36" i="1"/>
  <c r="NV18" i="1"/>
  <c r="NZ20" i="1"/>
  <c r="NR30" i="1"/>
  <c r="OF38" i="1"/>
  <c r="NR20" i="1"/>
  <c r="NX22" i="1"/>
  <c r="OH30" i="1"/>
  <c r="OH42" i="1"/>
  <c r="NX20" i="1"/>
  <c r="NR22" i="1"/>
  <c r="OD50" i="1"/>
  <c r="OD38" i="1"/>
  <c r="NT14" i="1"/>
  <c r="NZ50" i="1"/>
  <c r="NX38" i="1"/>
  <c r="OH50" i="1"/>
  <c r="OH48" i="1"/>
  <c r="NZ34" i="1"/>
  <c r="OH28" i="1"/>
  <c r="NR36" i="1"/>
  <c r="OD18" i="1"/>
  <c r="OD32" i="1"/>
  <c r="NT30" i="1"/>
  <c r="NV26" i="1"/>
  <c r="OF46" i="1"/>
  <c r="NV34" i="1"/>
  <c r="NZ30" i="1"/>
  <c r="OJ12" i="1"/>
  <c r="NR50" i="1"/>
  <c r="OB34" i="1"/>
  <c r="NV30" i="1"/>
  <c r="NT28" i="1"/>
  <c r="OJ50" i="1"/>
  <c r="NV38" i="1"/>
  <c r="OF24" i="1"/>
  <c r="NZ12" i="1"/>
  <c r="NT50" i="1"/>
  <c r="OD34" i="1"/>
  <c r="NX26" i="1"/>
  <c r="NR48" i="1"/>
  <c r="OJ36" i="1"/>
  <c r="OF36" i="1"/>
  <c r="NT46" i="1"/>
  <c r="OF18" i="1"/>
  <c r="OF40" i="1"/>
  <c r="OF44" i="1"/>
  <c r="NR32" i="1"/>
  <c r="OH22" i="1"/>
  <c r="NR44" i="1"/>
  <c r="OJ48" i="1"/>
  <c r="OF34" i="1"/>
  <c r="NX24" i="1"/>
  <c r="NT40" i="1"/>
  <c r="NX50" i="1"/>
  <c r="NZ36" i="1"/>
  <c r="NZ18" i="1"/>
  <c r="NV44" i="1"/>
  <c r="NV48" i="1"/>
  <c r="NX36" i="1"/>
  <c r="OF22" i="1"/>
  <c r="NZ48" i="1"/>
  <c r="OH34" i="1"/>
  <c r="NR28" i="1"/>
  <c r="NR40" i="1"/>
  <c r="NZ32" i="1"/>
  <c r="OJ30" i="1"/>
  <c r="NV46" i="1"/>
  <c r="NV22" i="1"/>
  <c r="NV20" i="1"/>
  <c r="OB38" i="1"/>
  <c r="OH46" i="1"/>
  <c r="NT34" i="1"/>
  <c r="NT22" i="1"/>
  <c r="OJ38" i="1"/>
  <c r="OB48" i="1"/>
  <c r="OH36" i="1"/>
  <c r="NZ24" i="1"/>
  <c r="OJ34" i="1"/>
  <c r="NX40" i="1"/>
  <c r="NX34" i="1"/>
  <c r="OD42" i="1"/>
  <c r="OB44" i="1"/>
  <c r="OF32" i="1"/>
  <c r="OD26" i="1"/>
  <c r="NR42" i="1"/>
  <c r="OJ18" i="1"/>
  <c r="NX30" i="1"/>
  <c r="OF48" i="1"/>
  <c r="NV32" i="1"/>
  <c r="OJ28" i="1"/>
  <c r="NX42" i="1"/>
  <c r="NT24" i="1"/>
  <c r="OB24" i="1"/>
  <c r="OJ26" i="1"/>
  <c r="NV40" i="1"/>
  <c r="OH32" i="1"/>
  <c r="OD28" i="1"/>
  <c r="OJ24" i="1"/>
  <c r="OJ40" i="1"/>
  <c r="NR34" i="1"/>
  <c r="OH26" i="1"/>
  <c r="OB28" i="1"/>
  <c r="NX44" i="1"/>
  <c r="OJ32" i="1"/>
  <c r="OH18" i="1"/>
  <c r="NV42" i="1"/>
  <c r="NX32" i="1"/>
  <c r="OJ42" i="1"/>
  <c r="NZ46" i="1"/>
  <c r="OB30" i="1"/>
  <c r="OJ44" i="1"/>
  <c r="NT12" i="1"/>
  <c r="E18" i="6" l="1"/>
  <c r="DO10" i="6"/>
  <c r="DO19" i="6"/>
  <c r="BF19" i="6" s="1"/>
  <c r="DD10" i="6"/>
  <c r="AQ10" i="6" s="1"/>
  <c r="DD19" i="6"/>
  <c r="AQ19" i="6" s="1"/>
  <c r="CA10" i="6"/>
  <c r="CA19" i="6"/>
  <c r="AX19" i="6" s="1"/>
  <c r="CZ10" i="6"/>
  <c r="BC10" i="6" s="1"/>
  <c r="CZ19" i="6"/>
  <c r="BC19" i="6" s="1"/>
  <c r="CJ11" i="6"/>
  <c r="CJ20" i="6"/>
  <c r="AM20" i="6" s="1"/>
  <c r="BZ9" i="6"/>
  <c r="BZ18" i="6"/>
  <c r="AK18" i="6" s="1"/>
  <c r="BU11" i="6"/>
  <c r="AJ11" i="6" s="1"/>
  <c r="BU20" i="6"/>
  <c r="AJ20" i="6" s="1"/>
  <c r="DJ11" i="6"/>
  <c r="BE11" i="6" s="1"/>
  <c r="DJ20" i="6"/>
  <c r="BE20" i="6" s="1"/>
  <c r="DI9" i="6"/>
  <c r="AR9" i="6" s="1"/>
  <c r="DI18" i="6"/>
  <c r="AR18" i="6" s="1"/>
  <c r="BV9" i="6"/>
  <c r="AW9" i="6" s="1"/>
  <c r="BV18" i="6"/>
  <c r="AW18" i="6" s="1"/>
  <c r="CZ11" i="6"/>
  <c r="BC11" i="6" s="1"/>
  <c r="CZ20" i="6"/>
  <c r="BC20" i="6" s="1"/>
  <c r="CU9" i="6"/>
  <c r="BB9" i="6" s="1"/>
  <c r="CU18" i="6"/>
  <c r="BB18" i="6" s="1"/>
  <c r="E13" i="6"/>
  <c r="E21" i="6"/>
  <c r="DN11" i="6"/>
  <c r="DN20" i="6"/>
  <c r="AS20" i="6" s="1"/>
  <c r="CK9" i="6"/>
  <c r="AZ9" i="6" s="1"/>
  <c r="CK18" i="6"/>
  <c r="AZ18" i="6" s="1"/>
  <c r="BV10" i="6"/>
  <c r="AW10" i="6" s="1"/>
  <c r="BV19" i="6"/>
  <c r="AW19" i="6" s="1"/>
  <c r="DI10" i="6"/>
  <c r="AR10" i="6" s="1"/>
  <c r="DI19" i="6"/>
  <c r="AR19" i="6" s="1"/>
  <c r="CO11" i="6"/>
  <c r="AN11" i="6" s="1"/>
  <c r="CO20" i="6"/>
  <c r="AN20" i="6" s="1"/>
  <c r="DD11" i="6"/>
  <c r="AQ11" i="6" s="1"/>
  <c r="DD20" i="6"/>
  <c r="AQ20" i="6" s="1"/>
  <c r="CP9" i="6"/>
  <c r="BA9" i="6" s="1"/>
  <c r="CP18" i="6"/>
  <c r="BA18" i="6" s="1"/>
  <c r="CT10" i="6"/>
  <c r="AO10" i="6" s="1"/>
  <c r="CT19" i="6"/>
  <c r="AO19" i="6" s="1"/>
  <c r="CO9" i="6"/>
  <c r="AN9" i="6" s="1"/>
  <c r="CO18" i="6"/>
  <c r="AN18" i="6" s="1"/>
  <c r="E19" i="6"/>
  <c r="DE11" i="6"/>
  <c r="BD11" i="6" s="1"/>
  <c r="DE20" i="6"/>
  <c r="BD20" i="6" s="1"/>
  <c r="BZ11" i="6"/>
  <c r="AK11" i="6" s="1"/>
  <c r="BZ20" i="6"/>
  <c r="AK20" i="6" s="1"/>
  <c r="CT11" i="6"/>
  <c r="CT20" i="6"/>
  <c r="AO20" i="6" s="1"/>
  <c r="CY10" i="6"/>
  <c r="AP10" i="6" s="1"/>
  <c r="CY19" i="6"/>
  <c r="AP19" i="6" s="1"/>
  <c r="CA9" i="6"/>
  <c r="AX9" i="6" s="1"/>
  <c r="CA18" i="6"/>
  <c r="AX18" i="6" s="1"/>
  <c r="DI11" i="6"/>
  <c r="AR11" i="6" s="1"/>
  <c r="DI20" i="6"/>
  <c r="AR20" i="6" s="1"/>
  <c r="CP10" i="6"/>
  <c r="BA10" i="6" s="1"/>
  <c r="CP19" i="6"/>
  <c r="BA19" i="6" s="1"/>
  <c r="CO10" i="6"/>
  <c r="AN10" i="6" s="1"/>
  <c r="CO19" i="6"/>
  <c r="AN19" i="6" s="1"/>
  <c r="DJ9" i="6"/>
  <c r="BE9" i="6" s="1"/>
  <c r="DJ18" i="6"/>
  <c r="BE18" i="6" s="1"/>
  <c r="CY9" i="6"/>
  <c r="AP9" i="6" s="1"/>
  <c r="CY18" i="6"/>
  <c r="AP18" i="6" s="1"/>
  <c r="CE9" i="6"/>
  <c r="AL9" i="6" s="1"/>
  <c r="CE18" i="6"/>
  <c r="AL18" i="6" s="1"/>
  <c r="CF11" i="6"/>
  <c r="AY11" i="6" s="1"/>
  <c r="CF20" i="6"/>
  <c r="AY20" i="6" s="1"/>
  <c r="CE11" i="6"/>
  <c r="AL11" i="6" s="1"/>
  <c r="CE20" i="6"/>
  <c r="AL20" i="6" s="1"/>
  <c r="CE10" i="6"/>
  <c r="AL10" i="6" s="1"/>
  <c r="CE19" i="6"/>
  <c r="AL19" i="6" s="1"/>
  <c r="CZ9" i="6"/>
  <c r="BC9" i="6" s="1"/>
  <c r="CZ18" i="6"/>
  <c r="BC18" i="6" s="1"/>
  <c r="E14" i="6"/>
  <c r="E15" i="6"/>
  <c r="E23" i="6"/>
  <c r="CK11" i="6"/>
  <c r="AZ11" i="6" s="1"/>
  <c r="CK20" i="6"/>
  <c r="AZ20" i="6" s="1"/>
  <c r="CU10" i="6"/>
  <c r="BB10" i="6" s="1"/>
  <c r="CU19" i="6"/>
  <c r="BB19" i="6" s="1"/>
  <c r="CJ10" i="6"/>
  <c r="AM10" i="6" s="1"/>
  <c r="CJ19" i="6"/>
  <c r="AM19" i="6" s="1"/>
  <c r="CF10" i="6"/>
  <c r="AY10" i="6" s="1"/>
  <c r="CF19" i="6"/>
  <c r="AY19" i="6" s="1"/>
  <c r="BZ10" i="6"/>
  <c r="AK10" i="6" s="1"/>
  <c r="BZ19" i="6"/>
  <c r="AK19" i="6" s="1"/>
  <c r="DE10" i="6"/>
  <c r="BD10" i="6" s="1"/>
  <c r="DE19" i="6"/>
  <c r="BD19" i="6" s="1"/>
  <c r="DD9" i="6"/>
  <c r="AQ9" i="6" s="1"/>
  <c r="DD18" i="6"/>
  <c r="AQ18" i="6" s="1"/>
  <c r="CA11" i="6"/>
  <c r="AX11" i="6" s="1"/>
  <c r="CA20" i="6"/>
  <c r="AX20" i="6" s="1"/>
  <c r="CK10" i="6"/>
  <c r="AZ10" i="6" s="1"/>
  <c r="CK19" i="6"/>
  <c r="AZ19" i="6" s="1"/>
  <c r="E22" i="6"/>
  <c r="E16" i="6"/>
  <c r="CU11" i="6"/>
  <c r="BB11" i="6" s="1"/>
  <c r="CU20" i="6"/>
  <c r="BB20" i="6" s="1"/>
  <c r="DN9" i="6"/>
  <c r="AS9" i="6" s="1"/>
  <c r="DN18" i="6"/>
  <c r="AS18" i="6" s="1"/>
  <c r="CF9" i="6"/>
  <c r="AY9" i="6" s="1"/>
  <c r="CF18" i="6"/>
  <c r="AY18" i="6" s="1"/>
  <c r="DO11" i="6"/>
  <c r="BF11" i="6" s="1"/>
  <c r="DO20" i="6"/>
  <c r="BF20" i="6" s="1"/>
  <c r="CY11" i="6"/>
  <c r="AP11" i="6" s="1"/>
  <c r="CY20" i="6"/>
  <c r="AP20" i="6" s="1"/>
  <c r="BU10" i="6"/>
  <c r="AJ10" i="6" s="1"/>
  <c r="BU19" i="6"/>
  <c r="AJ19" i="6" s="1"/>
  <c r="BU9" i="6"/>
  <c r="AJ9" i="6" s="1"/>
  <c r="BU18" i="6"/>
  <c r="AJ18" i="6" s="1"/>
  <c r="CP11" i="6"/>
  <c r="BA11" i="6" s="1"/>
  <c r="CP20" i="6"/>
  <c r="BA20" i="6" s="1"/>
  <c r="BV11" i="6"/>
  <c r="AW11" i="6" s="1"/>
  <c r="BV20" i="6"/>
  <c r="AW20" i="6" s="1"/>
  <c r="E17" i="6"/>
  <c r="DN10" i="6"/>
  <c r="AS10" i="6" s="1"/>
  <c r="DN19" i="6"/>
  <c r="AS19" i="6" s="1"/>
  <c r="DJ10" i="6"/>
  <c r="BE10" i="6" s="1"/>
  <c r="DJ19" i="6"/>
  <c r="BE19" i="6" s="1"/>
  <c r="CJ9" i="6"/>
  <c r="AM9" i="6" s="1"/>
  <c r="CJ18" i="6"/>
  <c r="AM18" i="6" s="1"/>
  <c r="CT9" i="6"/>
  <c r="AO9" i="6" s="1"/>
  <c r="CT18" i="6"/>
  <c r="AO18" i="6" s="1"/>
  <c r="DE9" i="6"/>
  <c r="BD9" i="6" s="1"/>
  <c r="DE18" i="6"/>
  <c r="BD18" i="6" s="1"/>
  <c r="DO9" i="6"/>
  <c r="BF9" i="6" s="1"/>
  <c r="DO18" i="6"/>
  <c r="BF18" i="6" s="1"/>
  <c r="OM50" i="1"/>
  <c r="OM48" i="1"/>
  <c r="OM46" i="1"/>
  <c r="OM44" i="1"/>
  <c r="OM42" i="1"/>
  <c r="OM40" i="1"/>
  <c r="OM38" i="1"/>
  <c r="OM34" i="1"/>
  <c r="OM36" i="1"/>
  <c r="OM32" i="1"/>
  <c r="AW83" i="16"/>
  <c r="AV83" i="16"/>
  <c r="AS83" i="16"/>
  <c r="AR83" i="16"/>
  <c r="AX83" i="16"/>
  <c r="BA83" i="16"/>
  <c r="AY83" i="16"/>
  <c r="AU83" i="16"/>
  <c r="CN6" i="6"/>
  <c r="AA6" i="6" s="1"/>
  <c r="DM6" i="6"/>
  <c r="AF6" i="6" s="1"/>
  <c r="CX10" i="6"/>
  <c r="AC10" i="6" s="1"/>
  <c r="CS38" i="6"/>
  <c r="CS37" i="6"/>
  <c r="CS36" i="6"/>
  <c r="CS35" i="6"/>
  <c r="CS34" i="6"/>
  <c r="CS33" i="6"/>
  <c r="CS32" i="6"/>
  <c r="CS31" i="6"/>
  <c r="CS30" i="6"/>
  <c r="CS29" i="6"/>
  <c r="CS28" i="6"/>
  <c r="CS27" i="6"/>
  <c r="CS26" i="6"/>
  <c r="CS25" i="6"/>
  <c r="CS24" i="6"/>
  <c r="CS23" i="6"/>
  <c r="CS22" i="6"/>
  <c r="CS21" i="6"/>
  <c r="CS20" i="6"/>
  <c r="CS19" i="6"/>
  <c r="CS18" i="6"/>
  <c r="CS17" i="6"/>
  <c r="CS16" i="6"/>
  <c r="CS15" i="6"/>
  <c r="CS14" i="6"/>
  <c r="CS13" i="6"/>
  <c r="CS12" i="6"/>
  <c r="BY38" i="6"/>
  <c r="X38" i="6" s="1"/>
  <c r="BY37" i="6"/>
  <c r="BY36" i="6"/>
  <c r="X36" i="6" s="1"/>
  <c r="BY35" i="6"/>
  <c r="X35" i="6" s="1"/>
  <c r="BY34" i="6"/>
  <c r="X34" i="6" s="1"/>
  <c r="BY33" i="6"/>
  <c r="X33" i="6" s="1"/>
  <c r="BY32" i="6"/>
  <c r="X32" i="6" s="1"/>
  <c r="BY31" i="6"/>
  <c r="X31" i="6" s="1"/>
  <c r="BY30" i="6"/>
  <c r="X30" i="6" s="1"/>
  <c r="BY29" i="6"/>
  <c r="X29" i="6" s="1"/>
  <c r="BY28" i="6"/>
  <c r="BY27" i="6"/>
  <c r="X27" i="6" s="1"/>
  <c r="BY26" i="6"/>
  <c r="X26" i="6" s="1"/>
  <c r="BY25" i="6"/>
  <c r="X25" i="6" s="1"/>
  <c r="BY24" i="6"/>
  <c r="X24" i="6" s="1"/>
  <c r="BY23" i="6"/>
  <c r="X23" i="6" s="1"/>
  <c r="BY22" i="6"/>
  <c r="X22" i="6" s="1"/>
  <c r="BY21" i="6"/>
  <c r="X21" i="6" s="1"/>
  <c r="BY20" i="6"/>
  <c r="X20" i="6" s="1"/>
  <c r="BY19" i="6"/>
  <c r="X19" i="6" s="1"/>
  <c r="BY18" i="6"/>
  <c r="X18" i="6" s="1"/>
  <c r="BY17" i="6"/>
  <c r="X17" i="6" s="1"/>
  <c r="BY16" i="6"/>
  <c r="X16" i="6" s="1"/>
  <c r="BY15" i="6"/>
  <c r="X15" i="6" s="1"/>
  <c r="BY14" i="6"/>
  <c r="X14" i="6" s="1"/>
  <c r="BY13" i="6"/>
  <c r="X13" i="6" s="1"/>
  <c r="BY12" i="6"/>
  <c r="X12" i="6" s="1"/>
  <c r="BT10" i="6"/>
  <c r="W10" i="6" s="1"/>
  <c r="BY6" i="6"/>
  <c r="X6" i="6" s="1"/>
  <c r="CI9" i="6"/>
  <c r="Z9" i="6" s="1"/>
  <c r="CD10" i="6"/>
  <c r="Y10" i="6" s="1"/>
  <c r="CN9" i="6"/>
  <c r="AA9" i="6" s="1"/>
  <c r="CI10" i="6"/>
  <c r="Z10" i="6" s="1"/>
  <c r="DH7" i="6"/>
  <c r="AE7" i="6" s="1"/>
  <c r="BT38" i="6"/>
  <c r="BT37" i="6"/>
  <c r="BT36" i="6"/>
  <c r="BT35" i="6"/>
  <c r="BT34" i="6"/>
  <c r="BT33" i="6"/>
  <c r="BT32" i="6"/>
  <c r="BT31" i="6"/>
  <c r="BT30" i="6"/>
  <c r="BT29" i="6"/>
  <c r="BT28" i="6"/>
  <c r="BT27" i="6"/>
  <c r="BT26" i="6"/>
  <c r="BT25" i="6"/>
  <c r="BT21" i="6"/>
  <c r="BT17" i="6"/>
  <c r="BT13" i="6"/>
  <c r="BT22" i="6"/>
  <c r="BT18" i="6"/>
  <c r="BT14" i="6"/>
  <c r="BT23" i="6"/>
  <c r="BT19" i="6"/>
  <c r="BT24" i="6"/>
  <c r="BT20" i="6"/>
  <c r="BT16" i="6"/>
  <c r="BT12" i="6"/>
  <c r="BT15" i="6"/>
  <c r="CX38" i="6"/>
  <c r="CX37" i="6"/>
  <c r="CX36" i="6"/>
  <c r="CX35" i="6"/>
  <c r="CX34" i="6"/>
  <c r="CX33" i="6"/>
  <c r="CX32" i="6"/>
  <c r="CX31" i="6"/>
  <c r="CX30" i="6"/>
  <c r="CX29" i="6"/>
  <c r="CX28" i="6"/>
  <c r="CX27" i="6"/>
  <c r="CX26" i="6"/>
  <c r="CX25" i="6"/>
  <c r="CX12" i="6"/>
  <c r="CX21" i="6"/>
  <c r="CX17" i="6"/>
  <c r="CX13" i="6"/>
  <c r="CX22" i="6"/>
  <c r="CX18" i="6"/>
  <c r="CX14" i="6"/>
  <c r="CX19" i="6"/>
  <c r="CX15" i="6"/>
  <c r="CX24" i="6"/>
  <c r="CX20" i="6"/>
  <c r="CX16" i="6"/>
  <c r="CX23" i="6"/>
  <c r="DH11" i="6"/>
  <c r="AE11" i="6" s="1"/>
  <c r="CS7" i="6"/>
  <c r="AB7" i="6" s="1"/>
  <c r="DM7" i="6"/>
  <c r="AF7" i="6" s="1"/>
  <c r="CN8" i="6"/>
  <c r="AA8" i="6" s="1"/>
  <c r="CS10" i="6"/>
  <c r="AB10" i="6" s="1"/>
  <c r="DM10" i="6"/>
  <c r="AF10" i="6" s="1"/>
  <c r="BY9" i="6"/>
  <c r="X9" i="6" s="1"/>
  <c r="DC7" i="6"/>
  <c r="AD7" i="6" s="1"/>
  <c r="DM38" i="6"/>
  <c r="AF38" i="6" s="1"/>
  <c r="DM37" i="6"/>
  <c r="AF37" i="6" s="1"/>
  <c r="DM36" i="6"/>
  <c r="AF36" i="6" s="1"/>
  <c r="DM35" i="6"/>
  <c r="AF35" i="6" s="1"/>
  <c r="DM34" i="6"/>
  <c r="AF34" i="6" s="1"/>
  <c r="DM33" i="6"/>
  <c r="AF33" i="6" s="1"/>
  <c r="DM32" i="6"/>
  <c r="AF32" i="6" s="1"/>
  <c r="DM31" i="6"/>
  <c r="AF31" i="6" s="1"/>
  <c r="DM30" i="6"/>
  <c r="AF30" i="6" s="1"/>
  <c r="DM29" i="6"/>
  <c r="AF29" i="6" s="1"/>
  <c r="DM28" i="6"/>
  <c r="AF28" i="6" s="1"/>
  <c r="DM27" i="6"/>
  <c r="AF27" i="6" s="1"/>
  <c r="DM26" i="6"/>
  <c r="AF26" i="6" s="1"/>
  <c r="DM25" i="6"/>
  <c r="AF25" i="6" s="1"/>
  <c r="DM24" i="6"/>
  <c r="AF24" i="6" s="1"/>
  <c r="DM23" i="6"/>
  <c r="AF23" i="6" s="1"/>
  <c r="DM22" i="6"/>
  <c r="AF22" i="6" s="1"/>
  <c r="DM21" i="6"/>
  <c r="AF21" i="6" s="1"/>
  <c r="DM20" i="6"/>
  <c r="AF20" i="6" s="1"/>
  <c r="DM19" i="6"/>
  <c r="AF19" i="6" s="1"/>
  <c r="DM18" i="6"/>
  <c r="AF18" i="6" s="1"/>
  <c r="DM17" i="6"/>
  <c r="AF17" i="6" s="1"/>
  <c r="DM16" i="6"/>
  <c r="AF16" i="6" s="1"/>
  <c r="DM15" i="6"/>
  <c r="AF15" i="6" s="1"/>
  <c r="DM14" i="6"/>
  <c r="AF14" i="6" s="1"/>
  <c r="DM13" i="6"/>
  <c r="AF13" i="6" s="1"/>
  <c r="DM12" i="6"/>
  <c r="AF12" i="6" s="1"/>
  <c r="DH8" i="6"/>
  <c r="AE8" i="6" s="1"/>
  <c r="CX11" i="6"/>
  <c r="AC11" i="6" s="1"/>
  <c r="CI11" i="6"/>
  <c r="Z11" i="6" s="1"/>
  <c r="CN7" i="6"/>
  <c r="AA7" i="6" s="1"/>
  <c r="DM8" i="6"/>
  <c r="AF8" i="6" s="1"/>
  <c r="DH6" i="6"/>
  <c r="AE6" i="6" s="1"/>
  <c r="DH38" i="6"/>
  <c r="AE38" i="6" s="1"/>
  <c r="DH37" i="6"/>
  <c r="AE37" i="6" s="1"/>
  <c r="DH36" i="6"/>
  <c r="AE36" i="6" s="1"/>
  <c r="DH35" i="6"/>
  <c r="AE35" i="6" s="1"/>
  <c r="DH34" i="6"/>
  <c r="AE34" i="6" s="1"/>
  <c r="DH33" i="6"/>
  <c r="AE33" i="6" s="1"/>
  <c r="DH32" i="6"/>
  <c r="AE32" i="6" s="1"/>
  <c r="DH31" i="6"/>
  <c r="AE31" i="6" s="1"/>
  <c r="DH30" i="6"/>
  <c r="AE30" i="6" s="1"/>
  <c r="DH29" i="6"/>
  <c r="AE29" i="6" s="1"/>
  <c r="DH28" i="6"/>
  <c r="AE28" i="6" s="1"/>
  <c r="DH27" i="6"/>
  <c r="AE27" i="6" s="1"/>
  <c r="DH26" i="6"/>
  <c r="AE26" i="6" s="1"/>
  <c r="DH25" i="6"/>
  <c r="AE25" i="6" s="1"/>
  <c r="DH23" i="6"/>
  <c r="AE23" i="6" s="1"/>
  <c r="DH19" i="6"/>
  <c r="AE19" i="6" s="1"/>
  <c r="DH15" i="6"/>
  <c r="AE15" i="6" s="1"/>
  <c r="DH21" i="6"/>
  <c r="AE21" i="6" s="1"/>
  <c r="DH13" i="6"/>
  <c r="AE13" i="6" s="1"/>
  <c r="DH24" i="6"/>
  <c r="AE24" i="6" s="1"/>
  <c r="DH20" i="6"/>
  <c r="AE20" i="6" s="1"/>
  <c r="DH16" i="6"/>
  <c r="AE16" i="6" s="1"/>
  <c r="DH12" i="6"/>
  <c r="AE12" i="6" s="1"/>
  <c r="DH17" i="6"/>
  <c r="AE17" i="6" s="1"/>
  <c r="DH22" i="6"/>
  <c r="AE22" i="6" s="1"/>
  <c r="DH18" i="6"/>
  <c r="AE18" i="6" s="1"/>
  <c r="DH14" i="6"/>
  <c r="AE14" i="6" s="1"/>
  <c r="CX7" i="6"/>
  <c r="AC7" i="6" s="1"/>
  <c r="CD7" i="6"/>
  <c r="Y7" i="6" s="1"/>
  <c r="BY8" i="6"/>
  <c r="X8" i="6" s="1"/>
  <c r="BT7" i="6"/>
  <c r="W7" i="6" s="1"/>
  <c r="CX9" i="6"/>
  <c r="AC9" i="6" s="1"/>
  <c r="CD9" i="6"/>
  <c r="Y9" i="6" s="1"/>
  <c r="DH10" i="6"/>
  <c r="AE10" i="6" s="1"/>
  <c r="DC11" i="6"/>
  <c r="AD11" i="6" s="1"/>
  <c r="BY10" i="6"/>
  <c r="X10" i="6" s="1"/>
  <c r="DC38" i="6"/>
  <c r="DC37" i="6"/>
  <c r="DC36" i="6"/>
  <c r="DC35" i="6"/>
  <c r="DC34" i="6"/>
  <c r="DC33" i="6"/>
  <c r="DC32" i="6"/>
  <c r="DC31" i="6"/>
  <c r="DC30" i="6"/>
  <c r="DC29" i="6"/>
  <c r="DC28" i="6"/>
  <c r="DC27" i="6"/>
  <c r="DC26" i="6"/>
  <c r="DC25" i="6"/>
  <c r="DC24" i="6"/>
  <c r="DC23" i="6"/>
  <c r="DC22" i="6"/>
  <c r="DC21" i="6"/>
  <c r="DC20" i="6"/>
  <c r="DC19" i="6"/>
  <c r="DC18" i="6"/>
  <c r="DC17" i="6"/>
  <c r="DC16" i="6"/>
  <c r="DC15" i="6"/>
  <c r="DC14" i="6"/>
  <c r="DC13" i="6"/>
  <c r="DC12" i="6"/>
  <c r="BT9" i="6"/>
  <c r="W9" i="6" s="1"/>
  <c r="DC9" i="6"/>
  <c r="AD9" i="6" s="1"/>
  <c r="DM9" i="6"/>
  <c r="AF9" i="6" s="1"/>
  <c r="CN38" i="6"/>
  <c r="AA38" i="6" s="1"/>
  <c r="CN37" i="6"/>
  <c r="AA37" i="6" s="1"/>
  <c r="CN36" i="6"/>
  <c r="AA36" i="6" s="1"/>
  <c r="CN35" i="6"/>
  <c r="AA35" i="6" s="1"/>
  <c r="CN34" i="6"/>
  <c r="AA34" i="6" s="1"/>
  <c r="CN33" i="6"/>
  <c r="AA33" i="6" s="1"/>
  <c r="CN32" i="6"/>
  <c r="AA32" i="6" s="1"/>
  <c r="CN31" i="6"/>
  <c r="AA31" i="6" s="1"/>
  <c r="CN30" i="6"/>
  <c r="AA30" i="6" s="1"/>
  <c r="CN29" i="6"/>
  <c r="AA29" i="6" s="1"/>
  <c r="CN28" i="6"/>
  <c r="AA28" i="6" s="1"/>
  <c r="CN27" i="6"/>
  <c r="AA27" i="6" s="1"/>
  <c r="CN26" i="6"/>
  <c r="AA26" i="6" s="1"/>
  <c r="CN25" i="6"/>
  <c r="AA25" i="6" s="1"/>
  <c r="CN22" i="6"/>
  <c r="AA22" i="6" s="1"/>
  <c r="CN18" i="6"/>
  <c r="AA18" i="6" s="1"/>
  <c r="CN14" i="6"/>
  <c r="AA14" i="6" s="1"/>
  <c r="CN24" i="6"/>
  <c r="AA24" i="6" s="1"/>
  <c r="CN20" i="6"/>
  <c r="AA20" i="6" s="1"/>
  <c r="CN23" i="6"/>
  <c r="AA23" i="6" s="1"/>
  <c r="CN19" i="6"/>
  <c r="AA19" i="6" s="1"/>
  <c r="CN15" i="6"/>
  <c r="AA15" i="6" s="1"/>
  <c r="CN16" i="6"/>
  <c r="AA16" i="6" s="1"/>
  <c r="CN21" i="6"/>
  <c r="AA21" i="6" s="1"/>
  <c r="CN17" i="6"/>
  <c r="AA17" i="6" s="1"/>
  <c r="CN13" i="6"/>
  <c r="AA13" i="6" s="1"/>
  <c r="CN12" i="6"/>
  <c r="AA12" i="6" s="1"/>
  <c r="CS9" i="6"/>
  <c r="AB9" i="6" s="1"/>
  <c r="DM11" i="6"/>
  <c r="AF11" i="6" s="1"/>
  <c r="BY7" i="6"/>
  <c r="X7" i="6" s="1"/>
  <c r="BT11" i="6"/>
  <c r="W11" i="6" s="1"/>
  <c r="BY11" i="6"/>
  <c r="X11" i="6" s="1"/>
  <c r="CD11" i="6"/>
  <c r="Y11" i="6" s="1"/>
  <c r="CD38" i="6"/>
  <c r="CD37" i="6"/>
  <c r="CD36" i="6"/>
  <c r="CD35" i="6"/>
  <c r="CD34" i="6"/>
  <c r="CD33" i="6"/>
  <c r="CD32" i="6"/>
  <c r="CD31" i="6"/>
  <c r="CD30" i="6"/>
  <c r="CD29" i="6"/>
  <c r="CD28" i="6"/>
  <c r="CD27" i="6"/>
  <c r="CD26" i="6"/>
  <c r="CD25" i="6"/>
  <c r="CD24" i="6"/>
  <c r="CD20" i="6"/>
  <c r="CD16" i="6"/>
  <c r="CD22" i="6"/>
  <c r="CD21" i="6"/>
  <c r="CD17" i="6"/>
  <c r="CD13" i="6"/>
  <c r="CD18" i="6"/>
  <c r="CD23" i="6"/>
  <c r="CD19" i="6"/>
  <c r="CD15" i="6"/>
  <c r="CD12" i="6"/>
  <c r="CD14" i="6"/>
  <c r="DC10" i="6"/>
  <c r="AD10" i="6" s="1"/>
  <c r="CS11" i="6"/>
  <c r="AB11" i="6" s="1"/>
  <c r="DH9" i="6"/>
  <c r="AE9" i="6" s="1"/>
  <c r="CI7" i="6"/>
  <c r="Z7" i="6" s="1"/>
  <c r="CN10" i="6"/>
  <c r="AA10" i="6" s="1"/>
  <c r="CN11" i="6"/>
  <c r="AA11" i="6" s="1"/>
  <c r="CI38" i="6"/>
  <c r="CI37" i="6"/>
  <c r="CI36" i="6"/>
  <c r="CI35" i="6"/>
  <c r="CI34" i="6"/>
  <c r="CI33" i="6"/>
  <c r="CI32" i="6"/>
  <c r="CI31" i="6"/>
  <c r="CI30" i="6"/>
  <c r="CI29" i="6"/>
  <c r="CI28" i="6"/>
  <c r="CI27" i="6"/>
  <c r="CI26" i="6"/>
  <c r="CI25" i="6"/>
  <c r="CI24" i="6"/>
  <c r="CI23" i="6"/>
  <c r="CI22" i="6"/>
  <c r="CI21" i="6"/>
  <c r="CI20" i="6"/>
  <c r="CI19" i="6"/>
  <c r="CI18" i="6"/>
  <c r="CI17" i="6"/>
  <c r="CI16" i="6"/>
  <c r="CI15" i="6"/>
  <c r="CI14" i="6"/>
  <c r="CI13" i="6"/>
  <c r="CI12" i="6"/>
  <c r="AT83" i="16"/>
  <c r="AZ83" i="16"/>
  <c r="O83" i="16"/>
  <c r="O73" i="16"/>
  <c r="H83" i="16"/>
  <c r="H73" i="16"/>
  <c r="T73" i="16"/>
  <c r="T83" i="16"/>
  <c r="K73" i="16"/>
  <c r="K83" i="16"/>
  <c r="F73" i="16"/>
  <c r="F83" i="16"/>
  <c r="N73" i="16"/>
  <c r="N83" i="16"/>
  <c r="R83" i="16"/>
  <c r="R73" i="16"/>
  <c r="G73" i="16"/>
  <c r="G83" i="16"/>
  <c r="I73" i="16"/>
  <c r="I83" i="16"/>
  <c r="M73" i="16"/>
  <c r="M83" i="16"/>
  <c r="L73" i="16"/>
  <c r="L83" i="16"/>
  <c r="Q73" i="16"/>
  <c r="Q83" i="16"/>
  <c r="P73" i="16"/>
  <c r="P83" i="16"/>
  <c r="J83" i="16"/>
  <c r="J73" i="16"/>
  <c r="S83" i="16"/>
  <c r="S73" i="16"/>
  <c r="OM30" i="1"/>
  <c r="DL5" i="6"/>
  <c r="S5" i="6" s="1"/>
  <c r="DG5" i="6"/>
  <c r="R5" i="6" s="1"/>
  <c r="CM5" i="6"/>
  <c r="N5" i="6" s="1"/>
  <c r="BX5" i="6"/>
  <c r="K5" i="6" s="1"/>
  <c r="BN5" i="6"/>
  <c r="AV5" i="6"/>
  <c r="BQ39" i="6"/>
  <c r="BQ40" i="6"/>
  <c r="OM28" i="1"/>
  <c r="AS6" i="6"/>
  <c r="BA8" i="6"/>
  <c r="AY6" i="6"/>
  <c r="AJ6" i="6"/>
  <c r="AQ6" i="6"/>
  <c r="AX6" i="6"/>
  <c r="BC6" i="6"/>
  <c r="AN6" i="6"/>
  <c r="AZ6" i="6"/>
  <c r="AL6" i="6"/>
  <c r="AR6" i="6"/>
  <c r="AK6" i="6"/>
  <c r="BA6" i="6"/>
  <c r="AW6" i="6"/>
  <c r="BB6" i="6"/>
  <c r="AO6" i="6"/>
  <c r="BF6" i="6"/>
  <c r="BE6" i="6"/>
  <c r="AP6" i="6"/>
  <c r="BD6" i="6"/>
  <c r="AM6" i="6"/>
  <c r="AS8" i="6"/>
  <c r="AS7" i="6"/>
  <c r="AR8" i="6"/>
  <c r="AK9" i="6"/>
  <c r="AN7" i="6"/>
  <c r="AK7" i="6"/>
  <c r="BA7" i="6"/>
  <c r="BF7" i="6"/>
  <c r="AX7" i="6"/>
  <c r="BF8" i="6"/>
  <c r="AX8" i="6"/>
  <c r="AK8" i="6"/>
  <c r="BE7" i="6"/>
  <c r="BE8" i="6"/>
  <c r="AR7" i="6"/>
  <c r="AN8" i="6"/>
  <c r="AX10" i="6"/>
  <c r="BF10" i="6"/>
  <c r="CP5" i="6"/>
  <c r="BA5" i="6" s="1"/>
  <c r="CO5" i="6"/>
  <c r="AN5" i="6" s="1"/>
  <c r="DO5" i="6"/>
  <c r="BF5" i="6" s="1"/>
  <c r="AS11" i="6"/>
  <c r="DN5" i="6"/>
  <c r="AS5" i="6" s="1"/>
  <c r="CA5" i="6"/>
  <c r="AX5" i="6" s="1"/>
  <c r="DJ5" i="6"/>
  <c r="BE5" i="6" s="1"/>
  <c r="AM11" i="6"/>
  <c r="AO11" i="6"/>
  <c r="BZ5" i="6"/>
  <c r="AK5" i="6" s="1"/>
  <c r="DI5" i="6"/>
  <c r="AR5" i="6" s="1"/>
  <c r="E12" i="6"/>
  <c r="DM5" i="6"/>
  <c r="AF5" i="6" s="1"/>
  <c r="CN5" i="6"/>
  <c r="AA5" i="6" s="1"/>
  <c r="DH5" i="6"/>
  <c r="AE5" i="6" s="1"/>
  <c r="BY5" i="6"/>
  <c r="X5" i="6" s="1"/>
  <c r="E20" i="6"/>
  <c r="E28" i="6"/>
  <c r="AJ28" i="6"/>
  <c r="BB28" i="6"/>
  <c r="AO28" i="6"/>
  <c r="BF28" i="6"/>
  <c r="BE28" i="6"/>
  <c r="AW28" i="6"/>
  <c r="AS28" i="6"/>
  <c r="AZ28" i="6"/>
  <c r="AP28" i="6"/>
  <c r="AL28" i="6"/>
  <c r="BD28" i="6"/>
  <c r="AQ28" i="6"/>
  <c r="BC28" i="6"/>
  <c r="AR28" i="6"/>
  <c r="AX28" i="6"/>
  <c r="AN28" i="6"/>
  <c r="AK28" i="6"/>
  <c r="AM28" i="6"/>
  <c r="AY28" i="6"/>
  <c r="BA28" i="6"/>
  <c r="AN34" i="6"/>
  <c r="AN12" i="6"/>
  <c r="AY34" i="6"/>
  <c r="AY12" i="6"/>
  <c r="AJ34" i="6"/>
  <c r="AJ12" i="6"/>
  <c r="BF34" i="6"/>
  <c r="BF12" i="6"/>
  <c r="AS34" i="6"/>
  <c r="AS12" i="6"/>
  <c r="AL34" i="6"/>
  <c r="AL12" i="6"/>
  <c r="AQ34" i="6"/>
  <c r="AQ12" i="6"/>
  <c r="AR34" i="6"/>
  <c r="AR12" i="6"/>
  <c r="AK34" i="6"/>
  <c r="AK12" i="6"/>
  <c r="BB34" i="6"/>
  <c r="BB12" i="6"/>
  <c r="BE34" i="6"/>
  <c r="BE12" i="6"/>
  <c r="AZ34" i="6"/>
  <c r="AZ12" i="6"/>
  <c r="BD34" i="6"/>
  <c r="BD12" i="6"/>
  <c r="BC34" i="6"/>
  <c r="BC12" i="6"/>
  <c r="AX34" i="6"/>
  <c r="AX12" i="6"/>
  <c r="AM34" i="6"/>
  <c r="AM12" i="6"/>
  <c r="BA34" i="6"/>
  <c r="BA12" i="6"/>
  <c r="AO34" i="6"/>
  <c r="AO12" i="6"/>
  <c r="AW34" i="6"/>
  <c r="AW12" i="6"/>
  <c r="AP34" i="6"/>
  <c r="AP12" i="6"/>
  <c r="OM26" i="1"/>
  <c r="OM24" i="1"/>
  <c r="OM22" i="1"/>
  <c r="OM20" i="1"/>
  <c r="OM18" i="1"/>
  <c r="V34" i="6"/>
  <c r="F34" i="6" s="1"/>
  <c r="V38" i="6"/>
  <c r="V36" i="6"/>
  <c r="BO40" i="6"/>
  <c r="BO39" i="6"/>
  <c r="BD8" i="16"/>
  <c r="BD4" i="16"/>
  <c r="BD26" i="16"/>
  <c r="AF73" i="16"/>
  <c r="AF82" i="16" s="1"/>
  <c r="Z73" i="16"/>
  <c r="Z82" i="16" s="1"/>
  <c r="X73" i="16"/>
  <c r="X82" i="16" s="1"/>
  <c r="AK73" i="16"/>
  <c r="AK82" i="16" s="1"/>
  <c r="BD14" i="16"/>
  <c r="BD15" i="16"/>
  <c r="AD73" i="16"/>
  <c r="AD82" i="16" s="1"/>
  <c r="AJ73" i="16"/>
  <c r="AJ82" i="16" s="1"/>
  <c r="BD10" i="16"/>
  <c r="BD17" i="16"/>
  <c r="BD11" i="16"/>
  <c r="BD23" i="16"/>
  <c r="AL73" i="16"/>
  <c r="AL82" i="16" s="1"/>
  <c r="AN73" i="16"/>
  <c r="AN82" i="16" s="1"/>
  <c r="AA73" i="16"/>
  <c r="AA82" i="16" s="1"/>
  <c r="BD5" i="16"/>
  <c r="BD22" i="16"/>
  <c r="BD19" i="16"/>
  <c r="AH73" i="16"/>
  <c r="AH82" i="16" s="1"/>
  <c r="AE73" i="16"/>
  <c r="AE82" i="16" s="1"/>
  <c r="AG73" i="16"/>
  <c r="AG82" i="16" s="1"/>
  <c r="BD16" i="16"/>
  <c r="BD24" i="16"/>
  <c r="BD13" i="16"/>
  <c r="BD21" i="16"/>
  <c r="BD12" i="16"/>
  <c r="BD7" i="16"/>
  <c r="BD18" i="16"/>
  <c r="V73" i="16"/>
  <c r="V82" i="16" s="1"/>
  <c r="BD3" i="16"/>
  <c r="AM73" i="16"/>
  <c r="AM82" i="16" s="1"/>
  <c r="BD25" i="16"/>
  <c r="BD20" i="16"/>
  <c r="AI73" i="16"/>
  <c r="AI82" i="16" s="1"/>
  <c r="AC73" i="16"/>
  <c r="AC82" i="16" s="1"/>
  <c r="AB73" i="16"/>
  <c r="AB82" i="16" s="1"/>
  <c r="W73" i="16"/>
  <c r="W82" i="16" s="1"/>
  <c r="Y73" i="16"/>
  <c r="Y82" i="16" s="1"/>
  <c r="BD9" i="16"/>
  <c r="BD6" i="16"/>
  <c r="Q82" i="16" l="1"/>
  <c r="Q85" i="16" s="1"/>
  <c r="Q118" i="16"/>
  <c r="Q131" i="16"/>
  <c r="Q133" i="16" s="1"/>
  <c r="G131" i="16"/>
  <c r="G133" i="16" s="1"/>
  <c r="G118" i="16"/>
  <c r="G82" i="16"/>
  <c r="G85" i="16" s="1"/>
  <c r="K118" i="16"/>
  <c r="K82" i="16"/>
  <c r="K85" i="16" s="1"/>
  <c r="K131" i="16"/>
  <c r="K133" i="16" s="1"/>
  <c r="S118" i="16"/>
  <c r="S82" i="16"/>
  <c r="S85" i="16" s="1"/>
  <c r="S131" i="16"/>
  <c r="S133" i="16" s="1"/>
  <c r="R82" i="16"/>
  <c r="R85" i="16" s="1"/>
  <c r="R131" i="16"/>
  <c r="R133" i="16" s="1"/>
  <c r="R118" i="16"/>
  <c r="L131" i="16"/>
  <c r="L133" i="16" s="1"/>
  <c r="L118" i="16"/>
  <c r="L82" i="16"/>
  <c r="L85" i="16" s="1"/>
  <c r="T118" i="16"/>
  <c r="T131" i="16"/>
  <c r="T133" i="16" s="1"/>
  <c r="T82" i="16"/>
  <c r="T85" i="16" s="1"/>
  <c r="J131" i="16"/>
  <c r="J133" i="16" s="1"/>
  <c r="J118" i="16"/>
  <c r="J82" i="16"/>
  <c r="J85" i="16" s="1"/>
  <c r="H118" i="16"/>
  <c r="H82" i="16"/>
  <c r="H85" i="16" s="1"/>
  <c r="H131" i="16"/>
  <c r="H133" i="16" s="1"/>
  <c r="M131" i="16"/>
  <c r="M133" i="16" s="1"/>
  <c r="M118" i="16"/>
  <c r="M82" i="16"/>
  <c r="M85" i="16" s="1"/>
  <c r="N118" i="16"/>
  <c r="N131" i="16"/>
  <c r="N133" i="16" s="1"/>
  <c r="N82" i="16"/>
  <c r="N85" i="16" s="1"/>
  <c r="O118" i="16"/>
  <c r="O131" i="16"/>
  <c r="O133" i="16" s="1"/>
  <c r="O82" i="16"/>
  <c r="O85" i="16" s="1"/>
  <c r="P82" i="16"/>
  <c r="P85" i="16" s="1"/>
  <c r="P118" i="16"/>
  <c r="P131" i="16"/>
  <c r="P133" i="16" s="1"/>
  <c r="I131" i="16"/>
  <c r="I133" i="16" s="1"/>
  <c r="I118" i="16"/>
  <c r="I82" i="16"/>
  <c r="I85" i="16" s="1"/>
  <c r="F118" i="16"/>
  <c r="F131" i="16"/>
  <c r="F133" i="16" s="1"/>
  <c r="F82" i="16"/>
  <c r="F85" i="16" s="1"/>
  <c r="S39" i="6"/>
  <c r="DL39" i="6"/>
  <c r="K40" i="6"/>
  <c r="N40" i="6"/>
  <c r="R40" i="6"/>
  <c r="E11" i="6"/>
  <c r="R39" i="6"/>
  <c r="S40" i="6"/>
  <c r="DL40" i="6"/>
  <c r="DG40" i="6"/>
  <c r="DG39" i="6"/>
  <c r="CM39" i="6"/>
  <c r="K39" i="6"/>
  <c r="N39" i="6"/>
  <c r="BX39" i="6"/>
  <c r="CM40" i="6"/>
  <c r="BX40" i="6"/>
  <c r="E10" i="6"/>
  <c r="E9" i="6"/>
  <c r="E7" i="6"/>
  <c r="BN40" i="6"/>
  <c r="I5" i="6"/>
  <c r="BN39" i="6"/>
  <c r="AV40" i="6"/>
  <c r="AV39" i="6"/>
  <c r="F11" i="6"/>
  <c r="F10" i="6"/>
  <c r="F9" i="6"/>
  <c r="F7" i="6"/>
  <c r="CA40" i="6"/>
  <c r="DN39" i="6"/>
  <c r="DJ39" i="6"/>
  <c r="DO40" i="6"/>
  <c r="CO40" i="6"/>
  <c r="BZ40" i="6"/>
  <c r="DJ40" i="6"/>
  <c r="BZ39" i="6"/>
  <c r="CP40" i="6"/>
  <c r="CA39" i="6"/>
  <c r="DN40" i="6"/>
  <c r="DI40" i="6"/>
  <c r="DO39" i="6"/>
  <c r="CO39" i="6"/>
  <c r="CP39" i="6"/>
  <c r="DI39" i="6"/>
  <c r="AS40" i="6"/>
  <c r="AS39" i="6"/>
  <c r="AR39" i="6"/>
  <c r="AR40" i="6"/>
  <c r="BF39" i="6"/>
  <c r="BF40" i="6"/>
  <c r="AN40" i="6"/>
  <c r="AN39" i="6"/>
  <c r="BA39" i="6"/>
  <c r="BA40" i="6"/>
  <c r="AX40" i="6"/>
  <c r="AX39" i="6"/>
  <c r="BE40" i="6"/>
  <c r="BE39" i="6"/>
  <c r="AK39" i="6"/>
  <c r="AK40" i="6"/>
  <c r="V40" i="6"/>
  <c r="X37" i="6"/>
  <c r="X28" i="6"/>
  <c r="F28" i="6" s="1"/>
  <c r="V39" i="6"/>
  <c r="DM39" i="6"/>
  <c r="BY39" i="6"/>
  <c r="CN40" i="6"/>
  <c r="CN39" i="6"/>
  <c r="BY40" i="6"/>
  <c r="DH39" i="6"/>
  <c r="DM40" i="6"/>
  <c r="DH40" i="6"/>
  <c r="AF39" i="6"/>
  <c r="AE40" i="6"/>
  <c r="AA40" i="6"/>
  <c r="AF40" i="6"/>
  <c r="AA39" i="6"/>
  <c r="AE39" i="6"/>
  <c r="AA85" i="16"/>
  <c r="AA118" i="16"/>
  <c r="AD118" i="16"/>
  <c r="AD85" i="16"/>
  <c r="Y118" i="16"/>
  <c r="Y85" i="16"/>
  <c r="AN85" i="16"/>
  <c r="AN118" i="16"/>
  <c r="AG85" i="16"/>
  <c r="AG118" i="16"/>
  <c r="AL118" i="16"/>
  <c r="AL85" i="16"/>
  <c r="W118" i="16"/>
  <c r="W85" i="16"/>
  <c r="AE118" i="16"/>
  <c r="AE85" i="16"/>
  <c r="AK118" i="16"/>
  <c r="AK85" i="16"/>
  <c r="V85" i="16"/>
  <c r="V118" i="16"/>
  <c r="AH118" i="16"/>
  <c r="AH85" i="16"/>
  <c r="X118" i="16"/>
  <c r="X85" i="16"/>
  <c r="AM118" i="16"/>
  <c r="AM85" i="16"/>
  <c r="AI85" i="16"/>
  <c r="AI118" i="16"/>
  <c r="Z118" i="16"/>
  <c r="Z85" i="16"/>
  <c r="AB118" i="16"/>
  <c r="AB85" i="16"/>
  <c r="AF118" i="16"/>
  <c r="AF85" i="16"/>
  <c r="AC85" i="16"/>
  <c r="AC118" i="16"/>
  <c r="AJ85" i="16"/>
  <c r="AJ118" i="16"/>
  <c r="I144" i="16" l="1"/>
  <c r="I145" i="16" s="1"/>
  <c r="I173" i="16" s="1"/>
  <c r="I135" i="16"/>
  <c r="I134" i="16"/>
  <c r="N134" i="16"/>
  <c r="N144" i="16"/>
  <c r="N145" i="16" s="1"/>
  <c r="N173" i="16" s="1"/>
  <c r="N135" i="16"/>
  <c r="J96" i="16"/>
  <c r="J97" i="16" s="1"/>
  <c r="J87" i="16"/>
  <c r="J86" i="16"/>
  <c r="L135" i="16"/>
  <c r="L134" i="16"/>
  <c r="L144" i="16"/>
  <c r="L145" i="16" s="1"/>
  <c r="L173" i="16" s="1"/>
  <c r="K87" i="16"/>
  <c r="K96" i="16"/>
  <c r="K97" i="16" s="1"/>
  <c r="K86" i="16"/>
  <c r="P134" i="16"/>
  <c r="P144" i="16"/>
  <c r="P145" i="16" s="1"/>
  <c r="P173" i="16" s="1"/>
  <c r="P135" i="16"/>
  <c r="M96" i="16"/>
  <c r="M97" i="16" s="1"/>
  <c r="M87" i="16"/>
  <c r="M86" i="16"/>
  <c r="J134" i="16"/>
  <c r="J144" i="16"/>
  <c r="J145" i="16" s="1"/>
  <c r="J173" i="16" s="1"/>
  <c r="J135" i="16"/>
  <c r="R144" i="16"/>
  <c r="R145" i="16" s="1"/>
  <c r="R173" i="16" s="1"/>
  <c r="R134" i="16"/>
  <c r="R135" i="16"/>
  <c r="G96" i="16"/>
  <c r="G97" i="16" s="1"/>
  <c r="G87" i="16"/>
  <c r="G86" i="16"/>
  <c r="F96" i="16"/>
  <c r="F97" i="16" s="1"/>
  <c r="F87" i="16"/>
  <c r="F86" i="16"/>
  <c r="P96" i="16"/>
  <c r="P97" i="16" s="1"/>
  <c r="P87" i="16"/>
  <c r="P86" i="16"/>
  <c r="T86" i="16"/>
  <c r="T87" i="16"/>
  <c r="T96" i="16"/>
  <c r="T97" i="16" s="1"/>
  <c r="R96" i="16"/>
  <c r="R97" i="16" s="1"/>
  <c r="R86" i="16"/>
  <c r="R87" i="16"/>
  <c r="F144" i="16"/>
  <c r="F145" i="16" s="1"/>
  <c r="F173" i="16" s="1"/>
  <c r="F135" i="16"/>
  <c r="F134" i="16"/>
  <c r="O96" i="16"/>
  <c r="O97" i="16" s="1"/>
  <c r="O86" i="16"/>
  <c r="O87" i="16"/>
  <c r="M144" i="16"/>
  <c r="M145" i="16" s="1"/>
  <c r="M173" i="16" s="1"/>
  <c r="M134" i="16"/>
  <c r="M135" i="16"/>
  <c r="T135" i="16"/>
  <c r="T134" i="16"/>
  <c r="T144" i="16"/>
  <c r="T145" i="16" s="1"/>
  <c r="T173" i="16" s="1"/>
  <c r="S135" i="16"/>
  <c r="S134" i="16"/>
  <c r="S144" i="16"/>
  <c r="S145" i="16" s="1"/>
  <c r="S173" i="16" s="1"/>
  <c r="G135" i="16"/>
  <c r="G144" i="16"/>
  <c r="G145" i="16" s="1"/>
  <c r="G173" i="16" s="1"/>
  <c r="G134" i="16"/>
  <c r="O144" i="16"/>
  <c r="O145" i="16" s="1"/>
  <c r="O173" i="16" s="1"/>
  <c r="O135" i="16"/>
  <c r="O134" i="16"/>
  <c r="H144" i="16"/>
  <c r="H145" i="16" s="1"/>
  <c r="H173" i="16" s="1"/>
  <c r="H134" i="16"/>
  <c r="H135" i="16"/>
  <c r="S87" i="16"/>
  <c r="S96" i="16"/>
  <c r="S97" i="16" s="1"/>
  <c r="S86" i="16"/>
  <c r="Q135" i="16"/>
  <c r="Q134" i="16"/>
  <c r="Q144" i="16"/>
  <c r="Q145" i="16" s="1"/>
  <c r="Q173" i="16" s="1"/>
  <c r="I96" i="16"/>
  <c r="I97" i="16" s="1"/>
  <c r="I86" i="16"/>
  <c r="I87" i="16"/>
  <c r="H87" i="16"/>
  <c r="H86" i="16"/>
  <c r="H96" i="16"/>
  <c r="H97" i="16" s="1"/>
  <c r="L86" i="16"/>
  <c r="L96" i="16"/>
  <c r="L97" i="16" s="1"/>
  <c r="L87" i="16"/>
  <c r="N86" i="16"/>
  <c r="N96" i="16"/>
  <c r="N97" i="16" s="1"/>
  <c r="N87" i="16"/>
  <c r="K144" i="16"/>
  <c r="K145" i="16" s="1"/>
  <c r="K173" i="16" s="1"/>
  <c r="K135" i="16"/>
  <c r="K134" i="16"/>
  <c r="Q96" i="16"/>
  <c r="Q97" i="16" s="1"/>
  <c r="Q86" i="16"/>
  <c r="Q87" i="16"/>
  <c r="I40" i="6"/>
  <c r="I39" i="6"/>
  <c r="X40" i="6"/>
  <c r="X39" i="6"/>
  <c r="X86" i="16"/>
  <c r="X87" i="16"/>
  <c r="X96" i="16"/>
  <c r="X97" i="16" s="1"/>
  <c r="Y87" i="16"/>
  <c r="Y86" i="16"/>
  <c r="Y96" i="16"/>
  <c r="Y97" i="16" s="1"/>
  <c r="AB96" i="16"/>
  <c r="AB97" i="16" s="1"/>
  <c r="AB86" i="16"/>
  <c r="AB87" i="16"/>
  <c r="W86" i="16"/>
  <c r="W96" i="16"/>
  <c r="W97" i="16" s="1"/>
  <c r="W87" i="16"/>
  <c r="AL96" i="16"/>
  <c r="AL97" i="16" s="1"/>
  <c r="AL86" i="16"/>
  <c r="AL87" i="16"/>
  <c r="AD87" i="16"/>
  <c r="AD86" i="16"/>
  <c r="AD96" i="16"/>
  <c r="AD97" i="16" s="1"/>
  <c r="AN87" i="16"/>
  <c r="AN86" i="16"/>
  <c r="AJ96" i="16"/>
  <c r="AJ97" i="16" s="1"/>
  <c r="AJ86" i="16"/>
  <c r="AJ87" i="16"/>
  <c r="AC86" i="16"/>
  <c r="AC87" i="16"/>
  <c r="AC96" i="16"/>
  <c r="AC97" i="16" s="1"/>
  <c r="V86" i="16"/>
  <c r="BC85" i="16"/>
  <c r="V96" i="16"/>
  <c r="V87" i="16"/>
  <c r="AE96" i="16"/>
  <c r="AE97" i="16" s="1"/>
  <c r="AE87" i="16"/>
  <c r="AE86" i="16"/>
  <c r="AH96" i="16"/>
  <c r="AH97" i="16" s="1"/>
  <c r="AH87" i="16"/>
  <c r="AH86" i="16"/>
  <c r="AM87" i="16"/>
  <c r="AM86" i="16"/>
  <c r="AM96" i="16"/>
  <c r="AM97" i="16" s="1"/>
  <c r="AK87" i="16"/>
  <c r="AK96" i="16"/>
  <c r="AK97" i="16" s="1"/>
  <c r="AK86" i="16"/>
  <c r="Z96" i="16"/>
  <c r="Z97" i="16" s="1"/>
  <c r="Z87" i="16"/>
  <c r="Z86" i="16"/>
  <c r="AI87" i="16"/>
  <c r="AI96" i="16"/>
  <c r="AI97" i="16" s="1"/>
  <c r="AI86" i="16"/>
  <c r="AF86" i="16"/>
  <c r="AF87" i="16"/>
  <c r="AF96" i="16"/>
  <c r="AF97" i="16" s="1"/>
  <c r="AG96" i="16"/>
  <c r="AG97" i="16" s="1"/>
  <c r="AG86" i="16"/>
  <c r="AG87" i="16"/>
  <c r="AA86" i="16"/>
  <c r="AA87" i="16"/>
  <c r="AA96" i="16"/>
  <c r="AA97" i="16" s="1"/>
  <c r="AJ98" i="16" l="1"/>
  <c r="AD98" i="16"/>
  <c r="AS98" i="16"/>
  <c r="AA98" i="16"/>
  <c r="X98" i="16"/>
  <c r="AF98" i="16"/>
  <c r="AH98" i="16"/>
  <c r="AP98" i="16"/>
  <c r="Z98" i="16"/>
  <c r="W98" i="16"/>
  <c r="AQ98" i="16"/>
  <c r="AB98" i="16"/>
  <c r="AI98" i="16"/>
  <c r="V98" i="16"/>
  <c r="AY98" i="16"/>
  <c r="AG98" i="16"/>
  <c r="AL98" i="16"/>
  <c r="AT98" i="16"/>
  <c r="AC98" i="16"/>
  <c r="BA98" i="16"/>
  <c r="AN98" i="16"/>
  <c r="AX98" i="16"/>
  <c r="AW98" i="16"/>
  <c r="AV98" i="16"/>
  <c r="V97" i="16"/>
  <c r="AK98" i="16"/>
  <c r="Y98" i="16"/>
  <c r="AO98" i="16"/>
  <c r="AE98" i="16"/>
  <c r="AM98" i="16"/>
  <c r="BD98" i="16" s="1"/>
  <c r="AR98" i="16"/>
  <c r="AZ98" i="16"/>
  <c r="AU98" i="16"/>
  <c r="NY12" i="1"/>
  <c r="CH5" i="6" l="1"/>
  <c r="M5" i="6" s="1"/>
  <c r="CH8" i="6"/>
  <c r="M8" i="6" s="1"/>
  <c r="Z16" i="6"/>
  <c r="Z38" i="6"/>
  <c r="Z35" i="6"/>
  <c r="Z21" i="6"/>
  <c r="Z24" i="6"/>
  <c r="Z20" i="6"/>
  <c r="Z32" i="6"/>
  <c r="Z31" i="6"/>
  <c r="Z36" i="6"/>
  <c r="Z23" i="6"/>
  <c r="Z25" i="6"/>
  <c r="Z22" i="6"/>
  <c r="Z30" i="6"/>
  <c r="Z33" i="6"/>
  <c r="Z14" i="6"/>
  <c r="Z26" i="6"/>
  <c r="Z34" i="6"/>
  <c r="Z18" i="6"/>
  <c r="Z17" i="6"/>
  <c r="Z19" i="6"/>
  <c r="Z15" i="6"/>
  <c r="Z29" i="6"/>
  <c r="Z13" i="6"/>
  <c r="Z27" i="6"/>
  <c r="Z28" i="6"/>
  <c r="Z37" i="6"/>
  <c r="NX12" i="1"/>
  <c r="NY14" i="1"/>
  <c r="CH6" i="6" l="1"/>
  <c r="M6" i="6" s="1"/>
  <c r="CI5" i="6"/>
  <c r="Z5" i="6" s="1"/>
  <c r="CI8" i="6"/>
  <c r="Z8" i="6" s="1"/>
  <c r="Z12" i="6"/>
  <c r="NY17" i="1" a="1"/>
  <c r="NX17" i="1" a="1"/>
  <c r="NX14" i="1"/>
  <c r="CI6" i="6" l="1"/>
  <c r="Z6" i="6" s="1"/>
  <c r="Z39" i="6" s="1"/>
  <c r="CH39" i="6"/>
  <c r="CH40" i="6"/>
  <c r="NX17" i="1"/>
  <c r="NY17" i="1"/>
  <c r="M39" i="6"/>
  <c r="M40" i="6"/>
  <c r="NO12" i="1"/>
  <c r="BI5" i="6" l="1"/>
  <c r="H5" i="6" s="1"/>
  <c r="CK7" i="6"/>
  <c r="AZ7" i="6" s="1"/>
  <c r="CI40" i="6"/>
  <c r="Z40" i="6"/>
  <c r="CJ7" i="6"/>
  <c r="AM7" i="6" s="1"/>
  <c r="CI39" i="6"/>
  <c r="BI8" i="6"/>
  <c r="H8" i="6" s="1"/>
  <c r="U30" i="6"/>
  <c r="U21" i="6"/>
  <c r="U15" i="6"/>
  <c r="U14" i="6"/>
  <c r="U27" i="6"/>
  <c r="U32" i="6"/>
  <c r="U23" i="6"/>
  <c r="U20" i="6"/>
  <c r="U36" i="6"/>
  <c r="U19" i="6"/>
  <c r="U33" i="6"/>
  <c r="U31" i="6"/>
  <c r="U16" i="6"/>
  <c r="U17" i="6"/>
  <c r="U13" i="6"/>
  <c r="U28" i="6"/>
  <c r="U22" i="6"/>
  <c r="U35" i="6"/>
  <c r="U34" i="6"/>
  <c r="U37" i="6"/>
  <c r="U25" i="6"/>
  <c r="U24" i="6"/>
  <c r="U18" i="6"/>
  <c r="U29" i="6"/>
  <c r="U38" i="6"/>
  <c r="U26" i="6"/>
  <c r="NN12" i="1"/>
  <c r="NO14" i="1"/>
  <c r="BI6" i="6" l="1"/>
  <c r="H6" i="6" s="1"/>
  <c r="BJ5" i="6"/>
  <c r="U5" i="6" s="1"/>
  <c r="BJ8" i="6"/>
  <c r="U8" i="6" s="1"/>
  <c r="U12" i="6"/>
  <c r="NN14" i="1"/>
  <c r="NO17" i="1" a="1"/>
  <c r="NN17" i="1" a="1"/>
  <c r="BJ6" i="6" l="1"/>
  <c r="U6" i="6" s="1"/>
  <c r="U39" i="6" s="1"/>
  <c r="BI40" i="6"/>
  <c r="BI39" i="6"/>
  <c r="NN17" i="1"/>
  <c r="NO17" i="1"/>
  <c r="H39" i="6"/>
  <c r="H40" i="6"/>
  <c r="U40" i="6" l="1"/>
  <c r="BL7" i="6"/>
  <c r="AU7" i="6" s="1"/>
  <c r="BK7" i="6"/>
  <c r="AH7" i="6" s="1"/>
  <c r="BJ40" i="6"/>
  <c r="BJ39" i="6"/>
  <c r="NS12" i="1"/>
  <c r="BS5" i="6" l="1"/>
  <c r="J5" i="6" s="1"/>
  <c r="BS8" i="6"/>
  <c r="J8" i="6" s="1"/>
  <c r="W14" i="6"/>
  <c r="W26" i="6"/>
  <c r="W29" i="6"/>
  <c r="W22" i="6"/>
  <c r="W15" i="6"/>
  <c r="W24" i="6"/>
  <c r="W19" i="6"/>
  <c r="W30" i="6"/>
  <c r="W28" i="6"/>
  <c r="W16" i="6"/>
  <c r="W20" i="6"/>
  <c r="W31" i="6"/>
  <c r="W27" i="6"/>
  <c r="W21" i="6"/>
  <c r="W36" i="6"/>
  <c r="W35" i="6"/>
  <c r="W17" i="6"/>
  <c r="W25" i="6"/>
  <c r="W18" i="6"/>
  <c r="W32" i="6"/>
  <c r="W37" i="6"/>
  <c r="W38" i="6"/>
  <c r="W23" i="6"/>
  <c r="W13" i="6"/>
  <c r="W33" i="6"/>
  <c r="W34" i="6"/>
  <c r="E34" i="6"/>
  <c r="NR12" i="1"/>
  <c r="NS14" i="1"/>
  <c r="BS6" i="6" l="1"/>
  <c r="J6" i="6" s="1"/>
  <c r="BT5" i="6"/>
  <c r="W5" i="6" s="1"/>
  <c r="BT8" i="6"/>
  <c r="W8" i="6" s="1"/>
  <c r="W12" i="6"/>
  <c r="NR17" i="1" a="1"/>
  <c r="NR14" i="1"/>
  <c r="NS17" i="1" a="1"/>
  <c r="NW12" i="1"/>
  <c r="BT6" i="6" l="1"/>
  <c r="W6" i="6" s="1"/>
  <c r="W40" i="6" s="1"/>
  <c r="CC5" i="6"/>
  <c r="L5" i="6" s="1"/>
  <c r="CC8" i="6"/>
  <c r="L8" i="6" s="1"/>
  <c r="BS39" i="6"/>
  <c r="BS40" i="6"/>
  <c r="Y22" i="6"/>
  <c r="Y14" i="6"/>
  <c r="Y32" i="6"/>
  <c r="Y24" i="6"/>
  <c r="Y13" i="6"/>
  <c r="Y31" i="6"/>
  <c r="Y37" i="6"/>
  <c r="Y15" i="6"/>
  <c r="Y25" i="6"/>
  <c r="Y20" i="6"/>
  <c r="Y34" i="6"/>
  <c r="Y29" i="6"/>
  <c r="Y17" i="6"/>
  <c r="Y19" i="6"/>
  <c r="Y23" i="6"/>
  <c r="Y28" i="6"/>
  <c r="Y35" i="6"/>
  <c r="Y26" i="6"/>
  <c r="Y33" i="6"/>
  <c r="Y16" i="6"/>
  <c r="Y18" i="6"/>
  <c r="Y30" i="6"/>
  <c r="Y38" i="6"/>
  <c r="Y27" i="6"/>
  <c r="Y21" i="6"/>
  <c r="Y36" i="6"/>
  <c r="NS17" i="1"/>
  <c r="NR17" i="1"/>
  <c r="J39" i="6"/>
  <c r="J40" i="6"/>
  <c r="NV12" i="1"/>
  <c r="NW14" i="1"/>
  <c r="CD5" i="6" l="1"/>
  <c r="Y5" i="6" s="1"/>
  <c r="CC6" i="6"/>
  <c r="L6" i="6" s="1"/>
  <c r="BV7" i="6"/>
  <c r="AW7" i="6" s="1"/>
  <c r="W39" i="6"/>
  <c r="BU7" i="6"/>
  <c r="AJ7" i="6" s="1"/>
  <c r="BT39" i="6"/>
  <c r="BT40" i="6"/>
  <c r="CD8" i="6"/>
  <c r="Y8" i="6" s="1"/>
  <c r="Y12" i="6"/>
  <c r="NV14" i="1"/>
  <c r="NV17" i="1" a="1"/>
  <c r="NW17" i="1" a="1"/>
  <c r="OC12" i="1"/>
  <c r="CR5" i="6" l="1"/>
  <c r="O5" i="6" s="1"/>
  <c r="CD6" i="6"/>
  <c r="Y6" i="6" s="1"/>
  <c r="Y39" i="6" s="1"/>
  <c r="CR8" i="6"/>
  <c r="O8" i="6" s="1"/>
  <c r="CC40" i="6"/>
  <c r="CC39" i="6"/>
  <c r="AB24" i="6"/>
  <c r="AB31" i="6"/>
  <c r="AB14" i="6"/>
  <c r="AB18" i="6"/>
  <c r="AB37" i="6"/>
  <c r="AB17" i="6"/>
  <c r="AB25" i="6"/>
  <c r="AB20" i="6"/>
  <c r="AB29" i="6"/>
  <c r="AB15" i="6"/>
  <c r="AB30" i="6"/>
  <c r="AB16" i="6"/>
  <c r="AB33" i="6"/>
  <c r="AB36" i="6"/>
  <c r="AB22" i="6"/>
  <c r="AB26" i="6"/>
  <c r="AB28" i="6"/>
  <c r="AB13" i="6"/>
  <c r="AB21" i="6"/>
  <c r="AB23" i="6"/>
  <c r="AB34" i="6"/>
  <c r="AB38" i="6"/>
  <c r="AB27" i="6"/>
  <c r="AB19" i="6"/>
  <c r="AB35" i="6"/>
  <c r="AB32" i="6"/>
  <c r="NW17" i="1"/>
  <c r="NV17" i="1"/>
  <c r="L39" i="6"/>
  <c r="L40" i="6"/>
  <c r="OC14" i="1"/>
  <c r="OB12" i="1"/>
  <c r="CD39" i="6" l="1"/>
  <c r="CD40" i="6"/>
  <c r="Y40" i="6"/>
  <c r="CS5" i="6"/>
  <c r="AB5" i="6" s="1"/>
  <c r="CR6" i="6"/>
  <c r="O6" i="6" s="1"/>
  <c r="CF7" i="6"/>
  <c r="AY7" i="6" s="1"/>
  <c r="CE7" i="6"/>
  <c r="AL7" i="6" s="1"/>
  <c r="CS8" i="6"/>
  <c r="AB8" i="6" s="1"/>
  <c r="AB12" i="6"/>
  <c r="OB14" i="1"/>
  <c r="OC17" i="1" a="1"/>
  <c r="OB17" i="1" a="1"/>
  <c r="CS6" i="6" l="1"/>
  <c r="AB6" i="6" s="1"/>
  <c r="AB39" i="6" s="1"/>
  <c r="CR40" i="6"/>
  <c r="CR39" i="6"/>
  <c r="OB17" i="1"/>
  <c r="OC17" i="1"/>
  <c r="O39" i="6"/>
  <c r="O40" i="6"/>
  <c r="OE12" i="1"/>
  <c r="CW5" i="6" l="1"/>
  <c r="P5" i="6" s="1"/>
  <c r="AB40" i="6"/>
  <c r="CU7" i="6"/>
  <c r="BB7" i="6" s="1"/>
  <c r="CT7" i="6"/>
  <c r="AO7" i="6" s="1"/>
  <c r="CS40" i="6"/>
  <c r="CS39" i="6"/>
  <c r="CW8" i="6"/>
  <c r="P8" i="6" s="1"/>
  <c r="AC18" i="6"/>
  <c r="AC37" i="6"/>
  <c r="AC22" i="6"/>
  <c r="AC25" i="6"/>
  <c r="AC16" i="6"/>
  <c r="AC20" i="6"/>
  <c r="AC23" i="6"/>
  <c r="AC13" i="6"/>
  <c r="AC32" i="6"/>
  <c r="AC19" i="6"/>
  <c r="AC24" i="6"/>
  <c r="AC17" i="6"/>
  <c r="AC14" i="6"/>
  <c r="AC33" i="6"/>
  <c r="AC31" i="6"/>
  <c r="AC15" i="6"/>
  <c r="AC27" i="6"/>
  <c r="AC28" i="6"/>
  <c r="AC29" i="6"/>
  <c r="AC34" i="6"/>
  <c r="AC21" i="6"/>
  <c r="AC30" i="6"/>
  <c r="AC35" i="6"/>
  <c r="AC26" i="6"/>
  <c r="AC36" i="6"/>
  <c r="AC38" i="6"/>
  <c r="IZ55" i="1" a="1"/>
  <c r="OD12" i="1"/>
  <c r="OG12" i="1"/>
  <c r="OE14" i="1"/>
  <c r="CW6" i="6" l="1"/>
  <c r="P6" i="6" s="1"/>
  <c r="CX5" i="6"/>
  <c r="AC5" i="6" s="1"/>
  <c r="DB5" i="6"/>
  <c r="Q5" i="6" s="1"/>
  <c r="E5" i="6" s="1"/>
  <c r="DB8" i="6"/>
  <c r="Q8" i="6" s="1"/>
  <c r="CX8" i="6"/>
  <c r="AC8" i="6" s="1"/>
  <c r="AD18" i="6"/>
  <c r="F18" i="6" s="1"/>
  <c r="AD29" i="6"/>
  <c r="AD17" i="6"/>
  <c r="F17" i="6" s="1"/>
  <c r="AD34" i="6"/>
  <c r="AD19" i="6"/>
  <c r="F19" i="6" s="1"/>
  <c r="AD35" i="6"/>
  <c r="AD23" i="6"/>
  <c r="F23" i="6" s="1"/>
  <c r="AD16" i="6"/>
  <c r="F16" i="6" s="1"/>
  <c r="AD15" i="6"/>
  <c r="F15" i="6" s="1"/>
  <c r="AD36" i="6"/>
  <c r="AD31" i="6"/>
  <c r="AD25" i="6"/>
  <c r="AD13" i="6"/>
  <c r="F13" i="6" s="1"/>
  <c r="AD24" i="6"/>
  <c r="AD22" i="6"/>
  <c r="F22" i="6" s="1"/>
  <c r="AD37" i="6"/>
  <c r="AD32" i="6"/>
  <c r="AD21" i="6"/>
  <c r="F21" i="6" s="1"/>
  <c r="AD30" i="6"/>
  <c r="AD38" i="6"/>
  <c r="AD33" i="6"/>
  <c r="AD28" i="6"/>
  <c r="AD27" i="6"/>
  <c r="AD26" i="6"/>
  <c r="AD14" i="6"/>
  <c r="F14" i="6" s="1"/>
  <c r="AD20" i="6"/>
  <c r="F20" i="6" s="1"/>
  <c r="ON12" i="1"/>
  <c r="AC12" i="6"/>
  <c r="IZ55" i="1"/>
  <c r="IZ58" i="1" s="1" a="1"/>
  <c r="FZ55" i="1" a="1"/>
  <c r="OE17" i="1" a="1"/>
  <c r="OG14" i="1"/>
  <c r="OD17" i="1" a="1"/>
  <c r="OD14" i="1"/>
  <c r="OF12" i="1"/>
  <c r="DB6" i="6" l="1"/>
  <c r="Q6" i="6" s="1"/>
  <c r="E6" i="6" s="1"/>
  <c r="CX6" i="6"/>
  <c r="AC6" i="6" s="1"/>
  <c r="AC40" i="6" s="1"/>
  <c r="DC5" i="6"/>
  <c r="AD5" i="6" s="1"/>
  <c r="F5" i="6" s="1"/>
  <c r="DC8" i="6"/>
  <c r="AD8" i="6" s="1"/>
  <c r="F8" i="6" s="1"/>
  <c r="OM12" i="1"/>
  <c r="IZ58" i="1"/>
  <c r="IZ65" i="1" s="1"/>
  <c r="CW39" i="6"/>
  <c r="CW40" i="6"/>
  <c r="E8" i="6"/>
  <c r="OD17" i="1"/>
  <c r="OE17" i="1"/>
  <c r="ON14" i="1"/>
  <c r="P40" i="6"/>
  <c r="P39" i="6"/>
  <c r="AD12" i="6"/>
  <c r="F12" i="6" s="1"/>
  <c r="FZ55" i="1"/>
  <c r="FZ57" i="1" s="1" a="1"/>
  <c r="IZ57" i="1" a="1"/>
  <c r="JA55" i="1" a="1"/>
  <c r="OG17" i="1" a="1"/>
  <c r="OF17" i="1" a="1"/>
  <c r="OF14" i="1"/>
  <c r="IZ57" i="1" l="1"/>
  <c r="AC39" i="6"/>
  <c r="CX39" i="6"/>
  <c r="CX40" i="6"/>
  <c r="DC6" i="6"/>
  <c r="AD6" i="6" s="1"/>
  <c r="F6" i="6" s="1"/>
  <c r="F39" i="6" s="1"/>
  <c r="CY7" i="6"/>
  <c r="AP7" i="6" s="1"/>
  <c r="CZ7" i="6"/>
  <c r="BC7" i="6" s="1"/>
  <c r="OM14" i="1"/>
  <c r="FZ57" i="1"/>
  <c r="FZ64" i="1" s="1"/>
  <c r="FZ56" i="1"/>
  <c r="DB39" i="6"/>
  <c r="DB40" i="6"/>
  <c r="E40" i="6"/>
  <c r="E39" i="6"/>
  <c r="OG17" i="1"/>
  <c r="OF17" i="1"/>
  <c r="Q39" i="6"/>
  <c r="Q40" i="6"/>
  <c r="JA55" i="1"/>
  <c r="JA58" i="1" s="1" a="1"/>
  <c r="FZ58" i="1" a="1"/>
  <c r="CT55" i="1" a="1"/>
  <c r="FZ58" i="1" l="1"/>
  <c r="IZ64" i="1"/>
  <c r="IZ59" i="1"/>
  <c r="IZ56" i="1"/>
  <c r="AD39" i="6"/>
  <c r="DC39" i="6"/>
  <c r="DD7" i="6"/>
  <c r="AQ7" i="6" s="1"/>
  <c r="DC40" i="6"/>
  <c r="DE7" i="6"/>
  <c r="BD7" i="6" s="1"/>
  <c r="F40" i="6"/>
  <c r="AD40" i="6"/>
  <c r="JA58" i="1"/>
  <c r="JA65" i="1" s="1"/>
  <c r="CT55" i="1"/>
  <c r="JA57" i="1" a="1"/>
  <c r="CT58" i="1" a="1"/>
  <c r="NR13" i="1" a="1"/>
  <c r="NS13" i="1" a="1"/>
  <c r="JA57" i="1" l="1"/>
  <c r="FZ65" i="1"/>
  <c r="FZ59" i="1"/>
  <c r="CT58" i="1"/>
  <c r="CT65" i="1" s="1"/>
  <c r="NS13" i="1"/>
  <c r="NR13" i="1"/>
  <c r="CT57" i="1" a="1"/>
  <c r="IW55" i="1" a="1"/>
  <c r="JA64" i="1" l="1"/>
  <c r="JA59" i="1"/>
  <c r="JA56" i="1"/>
  <c r="BU8" i="6"/>
  <c r="BU5" i="6"/>
  <c r="AJ5" i="6" s="1"/>
  <c r="BV8" i="6"/>
  <c r="AW8" i="6" s="1"/>
  <c r="BV5" i="6"/>
  <c r="AW5" i="6" s="1"/>
  <c r="CT57" i="1"/>
  <c r="IW55" i="1"/>
  <c r="IW58" i="1" s="1" a="1"/>
  <c r="IK55" i="1" a="1"/>
  <c r="BU40" i="6" l="1"/>
  <c r="BU39" i="6"/>
  <c r="AJ8" i="6"/>
  <c r="AJ39" i="6" s="1"/>
  <c r="BV39" i="6"/>
  <c r="BV40" i="6"/>
  <c r="CT64" i="1"/>
  <c r="CT59" i="1"/>
  <c r="CT56" i="1"/>
  <c r="IW58" i="1"/>
  <c r="IW65" i="1" s="1"/>
  <c r="AW39" i="6"/>
  <c r="AW40" i="6"/>
  <c r="IK55" i="1"/>
  <c r="IK58" i="1" s="1" a="1"/>
  <c r="IW57" i="1" a="1"/>
  <c r="JX55" i="1" a="1"/>
  <c r="AJ40" i="6" l="1"/>
  <c r="IW57" i="1"/>
  <c r="IK58" i="1"/>
  <c r="IK65" i="1" s="1"/>
  <c r="JX55" i="1"/>
  <c r="IK57" i="1" a="1"/>
  <c r="JX57" i="1" a="1"/>
  <c r="IS55" i="1" a="1"/>
  <c r="IK57" i="1" l="1"/>
  <c r="IW64" i="1"/>
  <c r="IW59" i="1"/>
  <c r="IW56" i="1"/>
  <c r="JX57" i="1"/>
  <c r="JX64" i="1" s="1"/>
  <c r="JX56" i="1"/>
  <c r="IS55" i="1"/>
  <c r="IS57" i="1" a="1"/>
  <c r="JX58" i="1" a="1"/>
  <c r="EI55" i="1" a="1"/>
  <c r="OD13" i="1" a="1"/>
  <c r="OE13" i="1" a="1"/>
  <c r="JX58" i="1" l="1"/>
  <c r="IK64" i="1"/>
  <c r="IK59" i="1"/>
  <c r="IK56" i="1"/>
  <c r="IS57" i="1"/>
  <c r="IS64" i="1" s="1"/>
  <c r="IS56" i="1"/>
  <c r="OE13" i="1"/>
  <c r="OD13" i="1"/>
  <c r="EI55" i="1"/>
  <c r="EI58" i="1" a="1"/>
  <c r="IS58" i="1" a="1"/>
  <c r="NW13" i="1" a="1"/>
  <c r="NV13" i="1" a="1"/>
  <c r="IS58" i="1" l="1"/>
  <c r="JX65" i="1"/>
  <c r="JX59" i="1"/>
  <c r="CY8" i="6"/>
  <c r="CY5" i="6"/>
  <c r="AP5" i="6" s="1"/>
  <c r="CZ8" i="6"/>
  <c r="BC8" i="6" s="1"/>
  <c r="CZ5" i="6"/>
  <c r="BC5" i="6" s="1"/>
  <c r="EI58" i="1"/>
  <c r="EI65" i="1" s="1"/>
  <c r="NV13" i="1"/>
  <c r="NW13" i="1"/>
  <c r="EI57" i="1" a="1"/>
  <c r="FN55" i="1" a="1"/>
  <c r="OG13" i="1" a="1"/>
  <c r="OF13" i="1" a="1"/>
  <c r="EI57" i="1" l="1"/>
  <c r="IS65" i="1"/>
  <c r="IS59" i="1"/>
  <c r="CY39" i="6"/>
  <c r="CZ39" i="6"/>
  <c r="CY40" i="6"/>
  <c r="CE8" i="6"/>
  <c r="AL8" i="6" s="1"/>
  <c r="CE5" i="6"/>
  <c r="AL5" i="6" s="1"/>
  <c r="CZ40" i="6"/>
  <c r="CF8" i="6"/>
  <c r="AY8" i="6" s="1"/>
  <c r="CF5" i="6"/>
  <c r="AY5" i="6" s="1"/>
  <c r="AP8" i="6"/>
  <c r="AP39" i="6" s="1"/>
  <c r="BC40" i="6"/>
  <c r="BC39" i="6"/>
  <c r="OF13" i="1"/>
  <c r="OG13" i="1"/>
  <c r="FN55" i="1"/>
  <c r="FN57" i="1" a="1"/>
  <c r="HP55" i="1" a="1"/>
  <c r="NX13" i="1" a="1"/>
  <c r="NY13" i="1" a="1"/>
  <c r="EI64" i="1" l="1"/>
  <c r="EI59" i="1"/>
  <c r="EI56" i="1"/>
  <c r="CE39" i="6"/>
  <c r="CE40" i="6"/>
  <c r="CF39" i="6"/>
  <c r="DD8" i="6"/>
  <c r="AQ8" i="6" s="1"/>
  <c r="DD5" i="6"/>
  <c r="AQ5" i="6" s="1"/>
  <c r="AP40" i="6"/>
  <c r="CF40" i="6"/>
  <c r="DE8" i="6"/>
  <c r="DE5" i="6"/>
  <c r="BD5" i="6" s="1"/>
  <c r="FN57" i="1"/>
  <c r="FN64" i="1" s="1"/>
  <c r="AL40" i="6"/>
  <c r="AL39" i="6"/>
  <c r="AY39" i="6"/>
  <c r="AY40" i="6"/>
  <c r="NX13" i="1"/>
  <c r="NY13" i="1"/>
  <c r="HP55" i="1"/>
  <c r="HP57" i="1" s="1" a="1"/>
  <c r="FN58" i="1" a="1"/>
  <c r="OC13" i="1" a="1"/>
  <c r="OB13" i="1" a="1"/>
  <c r="FN58" i="1" l="1"/>
  <c r="FN65" i="1" s="1"/>
  <c r="FN56" i="1"/>
  <c r="FN59" i="1"/>
  <c r="DE39" i="6"/>
  <c r="CJ8" i="6"/>
  <c r="AM8" i="6" s="1"/>
  <c r="CJ5" i="6"/>
  <c r="AM5" i="6" s="1"/>
  <c r="DE40" i="6"/>
  <c r="BD8" i="6"/>
  <c r="BD39" i="6" s="1"/>
  <c r="DD39" i="6"/>
  <c r="DD40" i="6"/>
  <c r="CK8" i="6"/>
  <c r="AZ8" i="6" s="1"/>
  <c r="CK5" i="6"/>
  <c r="AZ5" i="6" s="1"/>
  <c r="HP57" i="1"/>
  <c r="HP64" i="1" s="1"/>
  <c r="AQ39" i="6"/>
  <c r="AQ40" i="6"/>
  <c r="OB13" i="1"/>
  <c r="OC13" i="1"/>
  <c r="JA66" i="1"/>
  <c r="EI66" i="1"/>
  <c r="FN66" i="1"/>
  <c r="CT66" i="1"/>
  <c r="IK66" i="1"/>
  <c r="IS66" i="1"/>
  <c r="FZ66" i="1"/>
  <c r="IW66" i="1"/>
  <c r="JX66" i="1"/>
  <c r="IZ66" i="1"/>
  <c r="HP58" i="1" a="1"/>
  <c r="NN13" i="1" a="1"/>
  <c r="NO13" i="1" a="1"/>
  <c r="HP58" i="1" l="1"/>
  <c r="HP56" i="1"/>
  <c r="BD40" i="6"/>
  <c r="CJ40" i="6"/>
  <c r="CK39" i="6"/>
  <c r="CT8" i="6"/>
  <c r="AO8" i="6" s="1"/>
  <c r="CT5" i="6"/>
  <c r="AO5" i="6" s="1"/>
  <c r="CK40" i="6"/>
  <c r="CU8" i="6"/>
  <c r="BB8" i="6" s="1"/>
  <c r="CU5" i="6"/>
  <c r="BB5" i="6" s="1"/>
  <c r="CJ39" i="6"/>
  <c r="AM39" i="6"/>
  <c r="AM40" i="6"/>
  <c r="AZ39" i="6"/>
  <c r="AZ40" i="6"/>
  <c r="NN13" i="1"/>
  <c r="NO13" i="1"/>
  <c r="HP65" i="1" l="1"/>
  <c r="HP59" i="1"/>
  <c r="HP66" i="1" s="1"/>
  <c r="CT40" i="6"/>
  <c r="CT39" i="6"/>
  <c r="BL8" i="6"/>
  <c r="AU8" i="6" s="1"/>
  <c r="BL5" i="6"/>
  <c r="AU5" i="6" s="1"/>
  <c r="BK8" i="6"/>
  <c r="AH8" i="6" s="1"/>
  <c r="BK5" i="6"/>
  <c r="AH5" i="6" s="1"/>
  <c r="CU40" i="6"/>
  <c r="CU39" i="6"/>
  <c r="AO40" i="6"/>
  <c r="AO39" i="6"/>
  <c r="BB39" i="6"/>
  <c r="BB40" i="6"/>
  <c r="IG55" i="1" a="1"/>
  <c r="BL40" i="6" l="1"/>
  <c r="BK39" i="6"/>
  <c r="BK40" i="6"/>
  <c r="BL39" i="6"/>
  <c r="AH39" i="6"/>
  <c r="AH40" i="6"/>
  <c r="AU40" i="6"/>
  <c r="AU39" i="6"/>
  <c r="IG55" i="1"/>
  <c r="IG58" i="1" a="1"/>
  <c r="KE55" i="1" a="1"/>
  <c r="IG58" i="1" l="1"/>
  <c r="IG65" i="1" s="1"/>
  <c r="KE55" i="1"/>
  <c r="KE58" i="1" s="1" a="1"/>
  <c r="ID55" i="1" a="1"/>
  <c r="KE58" i="1" l="1"/>
  <c r="KE65" i="1" s="1"/>
  <c r="ID55" i="1"/>
  <c r="ID58" i="1" s="1" a="1"/>
  <c r="IQ55" i="1" a="1"/>
  <c r="ID58" i="1" l="1"/>
  <c r="ID65" i="1" s="1"/>
  <c r="IQ55" i="1"/>
  <c r="IQ58" i="1" s="1" a="1"/>
  <c r="IL55" i="1" a="1"/>
  <c r="IQ58" i="1" l="1"/>
  <c r="IQ65" i="1" s="1"/>
  <c r="IL55" i="1"/>
  <c r="IL58" i="1" s="1" a="1"/>
  <c r="KX55" i="1" a="1"/>
  <c r="IL58" i="1" l="1"/>
  <c r="IL65" i="1" s="1"/>
  <c r="KX55" i="1"/>
  <c r="KX57" i="1" s="1" a="1"/>
  <c r="KX58" i="1" l="1" a="1"/>
  <c r="KX58" i="1" s="1"/>
  <c r="KX65" i="1" s="1"/>
  <c r="KX57" i="1"/>
  <c r="KX64" i="1" s="1"/>
  <c r="IG57" i="1" a="1"/>
  <c r="ID57" i="1" a="1"/>
  <c r="IQ57" i="1" a="1"/>
  <c r="KE57" i="1" a="1"/>
  <c r="IL57" i="1" a="1"/>
  <c r="IL57" i="1" l="1"/>
  <c r="KE57" i="1"/>
  <c r="IQ57" i="1"/>
  <c r="ID57" i="1"/>
  <c r="KX56" i="1"/>
  <c r="KX59" i="1"/>
  <c r="KX66" i="1" s="1"/>
  <c r="IG57" i="1"/>
  <c r="IG64" i="1" l="1"/>
  <c r="IG56" i="1"/>
  <c r="IG59" i="1"/>
  <c r="IG66" i="1" s="1"/>
  <c r="ID64" i="1"/>
  <c r="ID59" i="1"/>
  <c r="ID66" i="1" s="1"/>
  <c r="ID56" i="1"/>
  <c r="IQ64" i="1"/>
  <c r="IQ59" i="1"/>
  <c r="IQ66" i="1" s="1"/>
  <c r="IQ56" i="1"/>
  <c r="KE64" i="1"/>
  <c r="KE56" i="1"/>
  <c r="KE59" i="1"/>
  <c r="KE66" i="1" s="1"/>
  <c r="IL64" i="1"/>
  <c r="IL59" i="1"/>
  <c r="IL66" i="1" s="1"/>
  <c r="IL5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PETITBOUT Marc</author>
    <author>RACLOT Jerome</author>
    <author>DEVEAUX Emilie</author>
  </authors>
  <commentList>
    <comment ref="G1" authorId="0" shapeId="0" xr:uid="{51011A37-37C8-4554-91DB-C2D4220E6681}">
      <text>
        <r>
          <rPr>
            <sz val="9"/>
            <color indexed="9"/>
            <rFont val="Tahoma"/>
            <family val="2"/>
          </rPr>
          <t xml:space="preserve">
</t>
        </r>
        <r>
          <rPr>
            <b/>
            <sz val="9"/>
            <color indexed="9"/>
            <rFont val="Tahoma"/>
            <family val="2"/>
          </rPr>
          <t>LS SU    Support Utilisateur
LS SAM  Support Applicatif
LS SPA   Supervision et performance Applicative
LS IAT   Intégration Applicative &amp; Testing
LS OPM  Operation Manager
DM        Delivery Manager</t>
        </r>
      </text>
    </comment>
    <comment ref="C3" authorId="0" shapeId="0" xr:uid="{536464BA-755A-4004-82F6-CEA12C78F9A6}">
      <text>
        <r>
          <rPr>
            <b/>
            <sz val="9"/>
            <color indexed="81"/>
            <rFont val="Tahoma"/>
            <family val="2"/>
          </rPr>
          <t>PETITBOUT Marc:</t>
        </r>
        <r>
          <rPr>
            <sz val="9"/>
            <color indexed="81"/>
            <rFont val="Tahoma"/>
            <family val="2"/>
          </rPr>
          <t xml:space="preserve">
Saisir l'année en cours sous la forme "01/01/AA"</t>
        </r>
      </text>
    </comment>
    <comment ref="H11" authorId="0" shapeId="0" xr:uid="{8FA7AAF6-00F3-422A-8974-EC7870D0292C}">
      <text>
        <r>
          <rPr>
            <sz val="9"/>
            <color indexed="9"/>
            <rFont val="Tahoma"/>
            <family val="2"/>
          </rPr>
          <t xml:space="preserve">
</t>
        </r>
        <r>
          <rPr>
            <b/>
            <sz val="9"/>
            <color indexed="9"/>
            <rFont val="Tahoma"/>
            <family val="2"/>
          </rPr>
          <t>Etat 0 = Non actif / Sortie des effectifs
Etat 1 = Actif
Etat 2 = Temporaire en cours d'ajout</t>
        </r>
      </text>
    </comment>
    <comment ref="NN12" authorId="0" shapeId="0" xr:uid="{1A193A16-39D2-4636-BE04-2653B2616B08}">
      <text>
        <r>
          <rPr>
            <sz val="9"/>
            <color indexed="81"/>
            <rFont val="Tahoma"/>
            <family val="2"/>
          </rPr>
          <t>Jours non produis</t>
        </r>
      </text>
    </comment>
    <comment ref="NO12" authorId="0" shapeId="0" xr:uid="{511653F0-FF4A-4B2B-8AD2-8A0CF6A20731}">
      <text>
        <r>
          <rPr>
            <sz val="9"/>
            <color indexed="81"/>
            <rFont val="Tahoma"/>
            <family val="2"/>
          </rPr>
          <t>Jours produits</t>
        </r>
      </text>
    </comment>
    <comment ref="NN13" authorId="0" shapeId="0" xr:uid="{0E7681CF-13B9-4C0A-80F5-48A59661ADB0}">
      <text>
        <r>
          <rPr>
            <sz val="9"/>
            <color indexed="81"/>
            <rFont val="Tahoma"/>
            <family val="2"/>
          </rPr>
          <t>Jours Non produits Planifiés</t>
        </r>
      </text>
    </comment>
    <comment ref="NO13" authorId="0" shapeId="0" xr:uid="{0DE3F10B-4276-49ED-AFA5-F22C28CA2106}">
      <text>
        <r>
          <rPr>
            <sz val="9"/>
            <color indexed="81"/>
            <rFont val="Tahoma"/>
            <family val="2"/>
          </rPr>
          <t>Jours Non produits Non planifiés</t>
        </r>
      </text>
    </comment>
    <comment ref="R14" authorId="1" shapeId="0" xr:uid="{891A5993-F203-4C1D-B0B5-A35C5E52CF30}">
      <text>
        <r>
          <rPr>
            <sz val="9"/>
            <color indexed="81"/>
            <rFont val="Tahoma"/>
            <family val="2"/>
          </rPr>
          <t>Formation</t>
        </r>
      </text>
    </comment>
    <comment ref="S14" authorId="1" shapeId="0" xr:uid="{55F2155C-26BB-47D6-BEBF-6D71C423B232}">
      <text>
        <r>
          <rPr>
            <sz val="9"/>
            <color indexed="81"/>
            <rFont val="Tahoma"/>
            <family val="2"/>
          </rPr>
          <t>Formation</t>
        </r>
      </text>
    </comment>
    <comment ref="T14" authorId="1" shapeId="0" xr:uid="{CE67F6C6-71F0-45F4-9A43-7B28604C78E1}">
      <text>
        <r>
          <rPr>
            <sz val="9"/>
            <color indexed="81"/>
            <rFont val="Tahoma"/>
            <family val="2"/>
          </rPr>
          <t>Formation</t>
        </r>
      </text>
    </comment>
    <comment ref="U14" authorId="1" shapeId="0" xr:uid="{92B60A89-0FA1-4AAD-825A-1E5021433E3C}">
      <text>
        <r>
          <rPr>
            <sz val="9"/>
            <color indexed="81"/>
            <rFont val="Tahoma"/>
            <family val="2"/>
          </rPr>
          <t>Formation</t>
        </r>
      </text>
    </comment>
    <comment ref="V14" authorId="1" shapeId="0" xr:uid="{2CFE9264-3985-4E12-A514-E3CF5AAB52CC}">
      <text>
        <r>
          <rPr>
            <sz val="9"/>
            <color indexed="81"/>
            <rFont val="Tahoma"/>
            <family val="2"/>
          </rPr>
          <t>Formation</t>
        </r>
      </text>
    </comment>
    <comment ref="Y14" authorId="1" shapeId="0" xr:uid="{F3992980-3820-44DF-95DC-775F822A8543}">
      <text>
        <r>
          <rPr>
            <sz val="9"/>
            <color indexed="81"/>
            <rFont val="Tahoma"/>
            <family val="2"/>
          </rPr>
          <t>Formation</t>
        </r>
      </text>
    </comment>
    <comment ref="Z14" authorId="1" shapeId="0" xr:uid="{0126C295-3174-401F-825C-3415FE6CB455}">
      <text>
        <r>
          <rPr>
            <sz val="9"/>
            <color indexed="81"/>
            <rFont val="Tahoma"/>
            <family val="2"/>
          </rPr>
          <t>Formation</t>
        </r>
      </text>
    </comment>
    <comment ref="AA14" authorId="1" shapeId="0" xr:uid="{A481F61F-61C6-4E7A-8E36-FD143E01627E}">
      <text>
        <r>
          <rPr>
            <sz val="9"/>
            <color indexed="81"/>
            <rFont val="Tahoma"/>
            <family val="2"/>
          </rPr>
          <t>Formation</t>
        </r>
      </text>
    </comment>
    <comment ref="AB14" authorId="1" shapeId="0" xr:uid="{5F553E4E-06E2-4114-8E6A-215CC091EED6}">
      <text>
        <r>
          <rPr>
            <sz val="9"/>
            <color indexed="81"/>
            <rFont val="Tahoma"/>
            <family val="2"/>
          </rPr>
          <t>Formation</t>
        </r>
      </text>
    </comment>
    <comment ref="AC14" authorId="1" shapeId="0" xr:uid="{DFC22AE7-2E6B-4415-A09C-028F83FB709A}">
      <text>
        <r>
          <rPr>
            <sz val="9"/>
            <color indexed="81"/>
            <rFont val="Tahoma"/>
            <family val="2"/>
          </rPr>
          <t>Formation</t>
        </r>
      </text>
    </comment>
    <comment ref="AF14" authorId="1" shapeId="0" xr:uid="{8F57DA07-754E-4994-AD9C-79FFEAAB83E5}">
      <text>
        <r>
          <rPr>
            <sz val="9"/>
            <color indexed="81"/>
            <rFont val="Tahoma"/>
            <family val="2"/>
          </rPr>
          <t>Formation</t>
        </r>
      </text>
    </comment>
    <comment ref="AG14" authorId="1" shapeId="0" xr:uid="{D986AF25-20E3-4860-B139-44B6E3CF2A22}">
      <text>
        <r>
          <rPr>
            <sz val="9"/>
            <color indexed="81"/>
            <rFont val="Tahoma"/>
            <family val="2"/>
          </rPr>
          <t>Formation</t>
        </r>
      </text>
    </comment>
    <comment ref="AH14" authorId="1" shapeId="0" xr:uid="{391D7D6F-3B43-46FE-A39F-02AECFBA17CB}">
      <text>
        <r>
          <rPr>
            <sz val="9"/>
            <color indexed="81"/>
            <rFont val="Tahoma"/>
            <family val="2"/>
          </rPr>
          <t>Formation</t>
        </r>
      </text>
    </comment>
    <comment ref="AI14" authorId="1" shapeId="0" xr:uid="{3F7C0C5E-1A23-4C79-AE68-8B2FA23B6DCC}">
      <text>
        <r>
          <rPr>
            <sz val="9"/>
            <color indexed="81"/>
            <rFont val="Tahoma"/>
            <family val="2"/>
          </rPr>
          <t>Formation</t>
        </r>
      </text>
    </comment>
    <comment ref="AJ14" authorId="1" shapeId="0" xr:uid="{1709800C-0EFE-414B-85AE-0B3CDB03B122}">
      <text>
        <r>
          <rPr>
            <sz val="9"/>
            <color indexed="81"/>
            <rFont val="Tahoma"/>
            <family val="2"/>
          </rPr>
          <t>Formation</t>
        </r>
      </text>
    </comment>
    <comment ref="AM14" authorId="1" shapeId="0" xr:uid="{CEEA1CA3-E5D7-478A-B8F2-132DEA6E0A7E}">
      <text>
        <r>
          <rPr>
            <sz val="9"/>
            <color indexed="81"/>
            <rFont val="Tahoma"/>
            <family val="2"/>
          </rPr>
          <t>Formation</t>
        </r>
      </text>
    </comment>
    <comment ref="AN14" authorId="1" shapeId="0" xr:uid="{F9992B4F-DC25-46AF-AB0A-0551096640C1}">
      <text>
        <r>
          <rPr>
            <sz val="9"/>
            <color indexed="81"/>
            <rFont val="Tahoma"/>
            <family val="2"/>
          </rPr>
          <t>Formation</t>
        </r>
      </text>
    </comment>
    <comment ref="AO14" authorId="1" shapeId="0" xr:uid="{1C1F2945-C55E-440C-A560-EF79F4EA32D2}">
      <text>
        <r>
          <rPr>
            <sz val="9"/>
            <color indexed="81"/>
            <rFont val="Tahoma"/>
            <family val="2"/>
          </rPr>
          <t>Formation</t>
        </r>
      </text>
    </comment>
    <comment ref="AP14" authorId="1" shapeId="0" xr:uid="{753D9DA1-D2D3-4146-8D6A-7E815A3EB62F}">
      <text>
        <r>
          <rPr>
            <sz val="9"/>
            <color indexed="81"/>
            <rFont val="Tahoma"/>
            <family val="2"/>
          </rPr>
          <t>Formation</t>
        </r>
      </text>
    </comment>
    <comment ref="AQ14" authorId="1" shapeId="0" xr:uid="{89761B37-1290-48D1-AF4E-2ED463B85F70}">
      <text>
        <r>
          <rPr>
            <sz val="9"/>
            <color indexed="81"/>
            <rFont val="Tahoma"/>
            <family val="2"/>
          </rPr>
          <t>Formation</t>
        </r>
      </text>
    </comment>
    <comment ref="BA14" authorId="1" shapeId="0" xr:uid="{9F349D8C-8CF3-4728-A8A9-3408E78D20D8}">
      <text>
        <r>
          <rPr>
            <sz val="9"/>
            <color indexed="81"/>
            <rFont val="Tahoma"/>
            <family val="2"/>
          </rPr>
          <t>Formation</t>
        </r>
      </text>
    </comment>
    <comment ref="BB14" authorId="1" shapeId="0" xr:uid="{7E9C682E-E64C-49B0-98B4-5171A76A89A3}">
      <text>
        <r>
          <rPr>
            <sz val="9"/>
            <color indexed="81"/>
            <rFont val="Tahoma"/>
            <family val="2"/>
          </rPr>
          <t>Formation</t>
        </r>
      </text>
    </comment>
    <comment ref="BC14" authorId="1" shapeId="0" xr:uid="{AD72B0F8-7871-42D3-89BF-B00DD20AC72E}">
      <text>
        <r>
          <rPr>
            <sz val="9"/>
            <color indexed="81"/>
            <rFont val="Tahoma"/>
            <family val="2"/>
          </rPr>
          <t>Formation</t>
        </r>
      </text>
    </comment>
    <comment ref="BD14" authorId="1" shapeId="0" xr:uid="{EE45A353-F1BE-4A70-9E32-851D64BE0CBE}">
      <text>
        <r>
          <rPr>
            <sz val="9"/>
            <color indexed="81"/>
            <rFont val="Tahoma"/>
            <family val="2"/>
          </rPr>
          <t>Formation</t>
        </r>
      </text>
    </comment>
    <comment ref="BE14" authorId="1" shapeId="0" xr:uid="{1F32421B-0C8E-4B14-A6F7-35FABDC21EFF}">
      <text>
        <r>
          <rPr>
            <sz val="9"/>
            <color indexed="81"/>
            <rFont val="Tahoma"/>
            <family val="2"/>
          </rPr>
          <t>Formation</t>
        </r>
      </text>
    </comment>
    <comment ref="BH14" authorId="1" shapeId="0" xr:uid="{C524D2C4-30D0-436A-827D-A532E1125735}">
      <text>
        <r>
          <rPr>
            <sz val="9"/>
            <color indexed="81"/>
            <rFont val="Tahoma"/>
            <family val="2"/>
          </rPr>
          <t>Formation</t>
        </r>
      </text>
    </comment>
    <comment ref="BI14" authorId="1" shapeId="0" xr:uid="{9CECEAE0-8EBD-4B6D-AE75-544694B6F995}">
      <text>
        <r>
          <rPr>
            <sz val="9"/>
            <color indexed="81"/>
            <rFont val="Tahoma"/>
            <family val="2"/>
          </rPr>
          <t>Formation</t>
        </r>
      </text>
    </comment>
    <comment ref="BJ14" authorId="1" shapeId="0" xr:uid="{451EFCD0-9DB8-4D12-9011-77C9D19FD90D}">
      <text>
        <r>
          <rPr>
            <sz val="9"/>
            <color indexed="81"/>
            <rFont val="Tahoma"/>
            <family val="2"/>
          </rPr>
          <t>Formation</t>
        </r>
      </text>
    </comment>
    <comment ref="BK14" authorId="1" shapeId="0" xr:uid="{0EE1AB19-235B-4969-ABE9-66939814D423}">
      <text>
        <r>
          <rPr>
            <sz val="9"/>
            <color indexed="81"/>
            <rFont val="Tahoma"/>
            <family val="2"/>
          </rPr>
          <t>Formation</t>
        </r>
      </text>
    </comment>
    <comment ref="BL14" authorId="1" shapeId="0" xr:uid="{4FD1F30A-A6F9-4916-95EF-B0EB7517799F}">
      <text>
        <r>
          <rPr>
            <sz val="9"/>
            <color indexed="81"/>
            <rFont val="Tahoma"/>
            <family val="2"/>
          </rPr>
          <t>Formation</t>
        </r>
      </text>
    </comment>
    <comment ref="BO14" authorId="1" shapeId="0" xr:uid="{C1842B0D-D161-40B4-86C8-393424558BA8}">
      <text>
        <r>
          <rPr>
            <sz val="9"/>
            <color indexed="81"/>
            <rFont val="Tahoma"/>
            <family val="2"/>
          </rPr>
          <t>Formation</t>
        </r>
      </text>
    </comment>
    <comment ref="BP14" authorId="1" shapeId="0" xr:uid="{3AF5CC3E-BCAC-4372-B443-3A985A4F9F1A}">
      <text>
        <r>
          <rPr>
            <sz val="9"/>
            <color indexed="81"/>
            <rFont val="Tahoma"/>
            <family val="2"/>
          </rPr>
          <t>Formation</t>
        </r>
      </text>
    </comment>
    <comment ref="BQ14" authorId="1" shapeId="0" xr:uid="{F312823C-C287-4E9B-A800-A11D71353783}">
      <text>
        <r>
          <rPr>
            <sz val="9"/>
            <color indexed="81"/>
            <rFont val="Tahoma"/>
            <family val="2"/>
          </rPr>
          <t>Formation</t>
        </r>
      </text>
    </comment>
    <comment ref="BR14" authorId="1" shapeId="0" xr:uid="{9DE172E1-6E42-4FE9-AA53-56388312BE78}">
      <text>
        <r>
          <rPr>
            <sz val="9"/>
            <color indexed="81"/>
            <rFont val="Tahoma"/>
            <family val="2"/>
          </rPr>
          <t>Formation</t>
        </r>
      </text>
    </comment>
    <comment ref="BS14" authorId="1" shapeId="0" xr:uid="{B30AB7F6-9306-44D6-865F-D21FFC442708}">
      <text>
        <r>
          <rPr>
            <sz val="9"/>
            <color indexed="81"/>
            <rFont val="Tahoma"/>
            <family val="2"/>
          </rPr>
          <t>Formation</t>
        </r>
      </text>
    </comment>
    <comment ref="BV14" authorId="1" shapeId="0" xr:uid="{EE0295BE-8F03-4481-AF47-8F304D9DABFE}">
      <text>
        <r>
          <rPr>
            <sz val="9"/>
            <color indexed="81"/>
            <rFont val="Tahoma"/>
            <family val="2"/>
          </rPr>
          <t>Formation</t>
        </r>
      </text>
    </comment>
    <comment ref="BW14" authorId="1" shapeId="0" xr:uid="{60A1DC3C-74EC-4EB1-8782-37B0E4445C09}">
      <text>
        <r>
          <rPr>
            <sz val="9"/>
            <color indexed="81"/>
            <rFont val="Tahoma"/>
            <family val="2"/>
          </rPr>
          <t>Formation</t>
        </r>
      </text>
    </comment>
    <comment ref="BX14" authorId="1" shapeId="0" xr:uid="{E869281D-AAFA-49F0-995B-FCA77BEDBD94}">
      <text>
        <r>
          <rPr>
            <sz val="9"/>
            <color indexed="81"/>
            <rFont val="Tahoma"/>
            <family val="2"/>
          </rPr>
          <t>Formation</t>
        </r>
      </text>
    </comment>
    <comment ref="BY14" authorId="1" shapeId="0" xr:uid="{7C9AF55A-A71F-4577-B826-7600DBB874A8}">
      <text>
        <r>
          <rPr>
            <sz val="9"/>
            <color indexed="81"/>
            <rFont val="Tahoma"/>
            <family val="2"/>
          </rPr>
          <t>Formation</t>
        </r>
      </text>
    </comment>
    <comment ref="BZ14" authorId="1" shapeId="0" xr:uid="{89BE4858-1F9B-4107-9A6F-EE3AFC98CE45}">
      <text>
        <r>
          <rPr>
            <sz val="9"/>
            <color indexed="81"/>
            <rFont val="Tahoma"/>
            <family val="2"/>
          </rPr>
          <t>Formation</t>
        </r>
      </text>
    </comment>
    <comment ref="CC14" authorId="1" shapeId="0" xr:uid="{86D08322-B22E-4D58-8A22-53512CBDF670}">
      <text>
        <r>
          <rPr>
            <sz val="9"/>
            <color indexed="81"/>
            <rFont val="Tahoma"/>
            <family val="2"/>
          </rPr>
          <t>Formation</t>
        </r>
      </text>
    </comment>
    <comment ref="CD14" authorId="1" shapeId="0" xr:uid="{4FB93A9E-CDFF-4022-8B13-663C8A9EFE03}">
      <text>
        <r>
          <rPr>
            <sz val="9"/>
            <color indexed="81"/>
            <rFont val="Tahoma"/>
            <family val="2"/>
          </rPr>
          <t>Formation</t>
        </r>
      </text>
    </comment>
    <comment ref="CE14" authorId="1" shapeId="0" xr:uid="{D2FBAC59-C08E-45C1-A534-2F11F5ECE396}">
      <text>
        <r>
          <rPr>
            <sz val="9"/>
            <color indexed="81"/>
            <rFont val="Tahoma"/>
            <family val="2"/>
          </rPr>
          <t>Formation</t>
        </r>
      </text>
    </comment>
    <comment ref="CF14" authorId="1" shapeId="0" xr:uid="{5C9B6FA7-6224-493F-8201-BEA6D8CF57CE}">
      <text>
        <r>
          <rPr>
            <sz val="9"/>
            <color indexed="81"/>
            <rFont val="Tahoma"/>
            <family val="2"/>
          </rPr>
          <t>Formation</t>
        </r>
      </text>
    </comment>
    <comment ref="CG14" authorId="1" shapeId="0" xr:uid="{365F58A1-FA2F-469B-8DD0-62227654F890}">
      <text>
        <r>
          <rPr>
            <sz val="9"/>
            <color indexed="81"/>
            <rFont val="Tahoma"/>
            <family val="2"/>
          </rPr>
          <t>Formation</t>
        </r>
      </text>
    </comment>
    <comment ref="CJ14" authorId="1" shapeId="0" xr:uid="{132207ED-B41C-4108-845C-7CB1AA9AE1E8}">
      <text>
        <r>
          <rPr>
            <sz val="9"/>
            <color indexed="81"/>
            <rFont val="Tahoma"/>
            <family val="2"/>
          </rPr>
          <t>Formation</t>
        </r>
      </text>
    </comment>
    <comment ref="CK14" authorId="1" shapeId="0" xr:uid="{96DFA791-D56D-4D4D-A8D3-E3D5D8D1F06E}">
      <text>
        <r>
          <rPr>
            <sz val="9"/>
            <color indexed="81"/>
            <rFont val="Tahoma"/>
            <family val="2"/>
          </rPr>
          <t>Formation</t>
        </r>
      </text>
    </comment>
    <comment ref="CL14" authorId="1" shapeId="0" xr:uid="{5FAC2501-0C50-4E8A-9A9F-C98AB32B4D30}">
      <text>
        <r>
          <rPr>
            <sz val="9"/>
            <color indexed="81"/>
            <rFont val="Tahoma"/>
            <family val="2"/>
          </rPr>
          <t>Formation</t>
        </r>
      </text>
    </comment>
    <comment ref="CM14" authorId="1" shapeId="0" xr:uid="{24620526-BD57-4E0B-9C78-0114945689E4}">
      <text>
        <r>
          <rPr>
            <sz val="9"/>
            <color indexed="81"/>
            <rFont val="Tahoma"/>
            <family val="2"/>
          </rPr>
          <t>Formation</t>
        </r>
      </text>
    </comment>
    <comment ref="CN14" authorId="1" shapeId="0" xr:uid="{9533EEBA-E2E0-4C92-8C85-292D56AFD53A}">
      <text>
        <r>
          <rPr>
            <sz val="9"/>
            <color indexed="81"/>
            <rFont val="Tahoma"/>
            <family val="2"/>
          </rPr>
          <t>Formation</t>
        </r>
      </text>
    </comment>
    <comment ref="CQ14" authorId="1" shapeId="0" xr:uid="{0EE55839-120C-4F87-B687-3DFD35A436F1}">
      <text>
        <r>
          <rPr>
            <sz val="9"/>
            <color indexed="81"/>
            <rFont val="Tahoma"/>
            <family val="2"/>
          </rPr>
          <t>Formation</t>
        </r>
      </text>
    </comment>
    <comment ref="CR14" authorId="1" shapeId="0" xr:uid="{11D7FBF9-BBB1-465C-81D4-631B69C7BBD8}">
      <text>
        <r>
          <rPr>
            <sz val="9"/>
            <color indexed="81"/>
            <rFont val="Tahoma"/>
            <family val="2"/>
          </rPr>
          <t>Formation</t>
        </r>
      </text>
    </comment>
    <comment ref="CS14" authorId="1" shapeId="0" xr:uid="{66ADA160-F2D4-4D24-8592-ABB0E49AC9BF}">
      <text>
        <r>
          <rPr>
            <sz val="9"/>
            <color indexed="81"/>
            <rFont val="Tahoma"/>
            <family val="2"/>
          </rPr>
          <t>Formation</t>
        </r>
      </text>
    </comment>
    <comment ref="CT14" authorId="1" shapeId="0" xr:uid="{7DEA092A-239C-4EE7-82FF-D7B175E38443}">
      <text>
        <r>
          <rPr>
            <sz val="9"/>
            <color indexed="81"/>
            <rFont val="Tahoma"/>
            <family val="2"/>
          </rPr>
          <t>Formation</t>
        </r>
      </text>
    </comment>
    <comment ref="CU14" authorId="1" shapeId="0" xr:uid="{40180AAF-831A-4FE8-AD93-1E16EEF54CE2}">
      <text>
        <r>
          <rPr>
            <sz val="9"/>
            <color indexed="81"/>
            <rFont val="Tahoma"/>
            <family val="2"/>
          </rPr>
          <t>Formation</t>
        </r>
      </text>
    </comment>
    <comment ref="AT16" authorId="1" shapeId="0" xr:uid="{F2347142-1C89-4C8C-8064-A6138CDED124}">
      <text>
        <r>
          <rPr>
            <sz val="9"/>
            <color indexed="81"/>
            <rFont val="Tahoma"/>
            <family val="2"/>
          </rPr>
          <t>Formation</t>
        </r>
      </text>
    </comment>
    <comment ref="AU16" authorId="1" shapeId="0" xr:uid="{42CBAAAB-180C-4AC9-B7F9-92BF8AAEC9AF}">
      <text>
        <r>
          <rPr>
            <sz val="9"/>
            <color indexed="81"/>
            <rFont val="Tahoma"/>
            <family val="2"/>
          </rPr>
          <t>Formation</t>
        </r>
      </text>
    </comment>
    <comment ref="AV16" authorId="1" shapeId="0" xr:uid="{767E67B2-BFD6-44F3-B69A-D0DD0F4239F0}">
      <text>
        <r>
          <rPr>
            <sz val="9"/>
            <color indexed="81"/>
            <rFont val="Tahoma"/>
            <family val="2"/>
          </rPr>
          <t>Formation</t>
        </r>
      </text>
    </comment>
    <comment ref="AW16" authorId="1" shapeId="0" xr:uid="{4DE25BF7-24AC-4C3D-BD3D-81FEE6E800F6}">
      <text>
        <r>
          <rPr>
            <sz val="9"/>
            <color indexed="81"/>
            <rFont val="Tahoma"/>
            <family val="2"/>
          </rPr>
          <t>Formation</t>
        </r>
      </text>
    </comment>
    <comment ref="AX16" authorId="1" shapeId="0" xr:uid="{0150CA6C-CA5B-494B-B392-88B6060417DF}">
      <text>
        <r>
          <rPr>
            <sz val="9"/>
            <color indexed="81"/>
            <rFont val="Tahoma"/>
            <family val="2"/>
          </rPr>
          <t>Formation</t>
        </r>
      </text>
    </comment>
    <comment ref="BH16" authorId="1" shapeId="0" xr:uid="{6BB47998-61B1-4A1D-BB04-4A6D7798AE3B}">
      <text>
        <r>
          <rPr>
            <sz val="9"/>
            <color indexed="81"/>
            <rFont val="Tahoma"/>
            <family val="2"/>
          </rPr>
          <t>Formation</t>
        </r>
      </text>
    </comment>
    <comment ref="BI16" authorId="1" shapeId="0" xr:uid="{B60F1DFD-BB7A-47EC-8563-2A737BAC7363}">
      <text>
        <r>
          <rPr>
            <sz val="9"/>
            <color indexed="81"/>
            <rFont val="Tahoma"/>
            <family val="2"/>
          </rPr>
          <t>Formation</t>
        </r>
      </text>
    </comment>
    <comment ref="BJ16" authorId="1" shapeId="0" xr:uid="{58446A06-A624-4E08-A05F-CD6081015D36}">
      <text>
        <r>
          <rPr>
            <sz val="9"/>
            <color indexed="81"/>
            <rFont val="Tahoma"/>
            <family val="2"/>
          </rPr>
          <t>Formation</t>
        </r>
      </text>
    </comment>
    <comment ref="BK16" authorId="1" shapeId="0" xr:uid="{7C6AFAC4-A892-4724-BC5B-FD34C2B9A350}">
      <text>
        <r>
          <rPr>
            <sz val="9"/>
            <color indexed="81"/>
            <rFont val="Tahoma"/>
            <family val="2"/>
          </rPr>
          <t>Formation</t>
        </r>
      </text>
    </comment>
    <comment ref="BL16" authorId="1" shapeId="0" xr:uid="{4C79B837-D14C-484D-BCAD-780A3666EA16}">
      <text>
        <r>
          <rPr>
            <sz val="9"/>
            <color indexed="81"/>
            <rFont val="Tahoma"/>
            <family val="2"/>
          </rPr>
          <t>Formation</t>
        </r>
      </text>
    </comment>
    <comment ref="BO16" authorId="1" shapeId="0" xr:uid="{C07BCC04-A738-401E-B926-B673FD160E41}">
      <text>
        <r>
          <rPr>
            <sz val="9"/>
            <color indexed="81"/>
            <rFont val="Tahoma"/>
            <family val="2"/>
          </rPr>
          <t>Formation</t>
        </r>
      </text>
    </comment>
    <comment ref="BP16" authorId="1" shapeId="0" xr:uid="{D6211699-FA32-4F88-A6F6-6E004757425D}">
      <text>
        <r>
          <rPr>
            <sz val="9"/>
            <color indexed="81"/>
            <rFont val="Tahoma"/>
            <family val="2"/>
          </rPr>
          <t>Formation</t>
        </r>
      </text>
    </comment>
    <comment ref="BQ16" authorId="1" shapeId="0" xr:uid="{A2A964FF-751B-4598-A631-2E419844551C}">
      <text>
        <r>
          <rPr>
            <sz val="9"/>
            <color indexed="81"/>
            <rFont val="Tahoma"/>
            <family val="2"/>
          </rPr>
          <t>Formation</t>
        </r>
      </text>
    </comment>
    <comment ref="BR16" authorId="1" shapeId="0" xr:uid="{F1B72D8C-F310-4C48-A5F9-135BBFD9D3C0}">
      <text>
        <r>
          <rPr>
            <sz val="9"/>
            <color indexed="81"/>
            <rFont val="Tahoma"/>
            <family val="2"/>
          </rPr>
          <t>Formation</t>
        </r>
      </text>
    </comment>
    <comment ref="BS16" authorId="1" shapeId="0" xr:uid="{D531C73D-253F-4A29-AA96-0CBB1F3CB1D6}">
      <text>
        <r>
          <rPr>
            <sz val="9"/>
            <color indexed="81"/>
            <rFont val="Tahoma"/>
            <family val="2"/>
          </rPr>
          <t>Formation</t>
        </r>
      </text>
    </comment>
    <comment ref="BV16" authorId="1" shapeId="0" xr:uid="{857D452F-FF51-4F84-BDC6-2C0F1B02A529}">
      <text>
        <r>
          <rPr>
            <sz val="9"/>
            <color indexed="81"/>
            <rFont val="Tahoma"/>
            <family val="2"/>
          </rPr>
          <t>Formation</t>
        </r>
      </text>
    </comment>
    <comment ref="BW16" authorId="1" shapeId="0" xr:uid="{77A1A069-E423-43CD-9A05-1A1F216F211A}">
      <text>
        <r>
          <rPr>
            <sz val="9"/>
            <color indexed="81"/>
            <rFont val="Tahoma"/>
            <family val="2"/>
          </rPr>
          <t>Formation</t>
        </r>
      </text>
    </comment>
    <comment ref="BX16" authorId="1" shapeId="0" xr:uid="{7C6982A1-C287-431D-B60B-96EB084C498E}">
      <text>
        <r>
          <rPr>
            <sz val="9"/>
            <color indexed="81"/>
            <rFont val="Tahoma"/>
            <family val="2"/>
          </rPr>
          <t>Formation</t>
        </r>
      </text>
    </comment>
    <comment ref="BY16" authorId="1" shapeId="0" xr:uid="{2525D79E-D11C-415C-A111-4B9BB7818E04}">
      <text>
        <r>
          <rPr>
            <sz val="9"/>
            <color indexed="81"/>
            <rFont val="Tahoma"/>
            <family val="2"/>
          </rPr>
          <t>Formation</t>
        </r>
      </text>
    </comment>
    <comment ref="BZ16" authorId="1" shapeId="0" xr:uid="{A577BC34-B310-4061-89BD-54D7195A19E3}">
      <text>
        <r>
          <rPr>
            <sz val="9"/>
            <color indexed="81"/>
            <rFont val="Tahoma"/>
            <family val="2"/>
          </rPr>
          <t>Formation</t>
        </r>
      </text>
    </comment>
    <comment ref="CC16" authorId="1" shapeId="0" xr:uid="{F4078D8A-719E-4307-BA60-EF70271CFBE0}">
      <text>
        <r>
          <rPr>
            <sz val="9"/>
            <color indexed="81"/>
            <rFont val="Tahoma"/>
            <family val="2"/>
          </rPr>
          <t>Formation</t>
        </r>
      </text>
    </comment>
    <comment ref="CD16" authorId="1" shapeId="0" xr:uid="{48D7DB3D-9C58-42FB-B01F-B26692B1304B}">
      <text>
        <r>
          <rPr>
            <sz val="9"/>
            <color indexed="81"/>
            <rFont val="Tahoma"/>
            <family val="2"/>
          </rPr>
          <t>Formation</t>
        </r>
      </text>
    </comment>
    <comment ref="CE16" authorId="1" shapeId="0" xr:uid="{D911C203-1319-4F9C-9394-19A1C5D5AEE4}">
      <text>
        <r>
          <rPr>
            <sz val="9"/>
            <color indexed="81"/>
            <rFont val="Tahoma"/>
            <family val="2"/>
          </rPr>
          <t>Formation</t>
        </r>
      </text>
    </comment>
    <comment ref="CF16" authorId="1" shapeId="0" xr:uid="{780484BE-F58F-40E5-8EDE-820A719DA00E}">
      <text>
        <r>
          <rPr>
            <sz val="9"/>
            <color indexed="81"/>
            <rFont val="Tahoma"/>
            <family val="2"/>
          </rPr>
          <t>Formation</t>
        </r>
      </text>
    </comment>
    <comment ref="CG16" authorId="1" shapeId="0" xr:uid="{38131075-5069-4065-87C5-EB2825F8754D}">
      <text>
        <r>
          <rPr>
            <sz val="9"/>
            <color indexed="81"/>
            <rFont val="Tahoma"/>
            <family val="2"/>
          </rPr>
          <t>Formation</t>
        </r>
      </text>
    </comment>
    <comment ref="CJ16" authorId="1" shapeId="0" xr:uid="{1DF10E7B-A76E-48F2-A57D-A2956633DBE9}">
      <text>
        <r>
          <rPr>
            <sz val="9"/>
            <color indexed="81"/>
            <rFont val="Tahoma"/>
            <family val="2"/>
          </rPr>
          <t>Formation</t>
        </r>
      </text>
    </comment>
    <comment ref="CK16" authorId="1" shapeId="0" xr:uid="{1CF641EF-0188-495B-9614-311B271F682F}">
      <text>
        <r>
          <rPr>
            <sz val="9"/>
            <color indexed="81"/>
            <rFont val="Tahoma"/>
            <family val="2"/>
          </rPr>
          <t>Formation</t>
        </r>
      </text>
    </comment>
    <comment ref="CL16" authorId="1" shapeId="0" xr:uid="{530CA9B4-A970-417D-B071-FB21A410220B}">
      <text>
        <r>
          <rPr>
            <sz val="9"/>
            <color indexed="81"/>
            <rFont val="Tahoma"/>
            <family val="2"/>
          </rPr>
          <t>Formation</t>
        </r>
      </text>
    </comment>
    <comment ref="CM16" authorId="1" shapeId="0" xr:uid="{68073129-A868-42C2-BD45-A0F28A376AD3}">
      <text>
        <r>
          <rPr>
            <sz val="9"/>
            <color indexed="81"/>
            <rFont val="Tahoma"/>
            <family val="2"/>
          </rPr>
          <t>Formation</t>
        </r>
      </text>
    </comment>
    <comment ref="CN16" authorId="1" shapeId="0" xr:uid="{3189B43A-D34E-4ECC-B5A6-0CEBCE8CD743}">
      <text>
        <r>
          <rPr>
            <sz val="9"/>
            <color indexed="81"/>
            <rFont val="Tahoma"/>
            <family val="2"/>
          </rPr>
          <t>Formation</t>
        </r>
      </text>
    </comment>
    <comment ref="CQ16" authorId="1" shapeId="0" xr:uid="{02FE307C-EAA9-4083-8E89-F0AFFE026F02}">
      <text>
        <r>
          <rPr>
            <sz val="9"/>
            <color indexed="81"/>
            <rFont val="Tahoma"/>
            <family val="2"/>
          </rPr>
          <t>Formation</t>
        </r>
      </text>
    </comment>
    <comment ref="CR16" authorId="1" shapeId="0" xr:uid="{68CE41FE-C385-4292-ACFD-28368642B798}">
      <text>
        <r>
          <rPr>
            <sz val="9"/>
            <color indexed="81"/>
            <rFont val="Tahoma"/>
            <family val="2"/>
          </rPr>
          <t>Formation</t>
        </r>
      </text>
    </comment>
    <comment ref="CS16" authorId="1" shapeId="0" xr:uid="{216367E4-7FB4-4DB4-98B0-AEA3725C5409}">
      <text>
        <r>
          <rPr>
            <sz val="9"/>
            <color indexed="81"/>
            <rFont val="Tahoma"/>
            <family val="2"/>
          </rPr>
          <t>Formation</t>
        </r>
      </text>
    </comment>
    <comment ref="CT16" authorId="1" shapeId="0" xr:uid="{E2F62389-F8C2-43F8-9F72-BE03DBCF32BB}">
      <text>
        <r>
          <rPr>
            <sz val="9"/>
            <color indexed="81"/>
            <rFont val="Tahoma"/>
            <family val="2"/>
          </rPr>
          <t>Formation</t>
        </r>
      </text>
    </comment>
    <comment ref="CU16" authorId="1" shapeId="0" xr:uid="{E22E0A3F-CBA3-4C93-A890-C7DB9E349F99}">
      <text>
        <r>
          <rPr>
            <sz val="9"/>
            <color indexed="81"/>
            <rFont val="Tahoma"/>
            <family val="2"/>
          </rPr>
          <t>Formation</t>
        </r>
      </text>
    </comment>
    <comment ref="R18" authorId="1" shapeId="0" xr:uid="{7383392D-B3F8-47AE-9C48-A6E49D5628B6}">
      <text>
        <r>
          <rPr>
            <sz val="9"/>
            <color indexed="81"/>
            <rFont val="Tahoma"/>
            <family val="2"/>
          </rPr>
          <t>Formation</t>
        </r>
      </text>
    </comment>
    <comment ref="S18" authorId="1" shapeId="0" xr:uid="{A7EA9E85-28CE-466E-8C02-B34DCDF25826}">
      <text>
        <r>
          <rPr>
            <sz val="9"/>
            <color indexed="81"/>
            <rFont val="Tahoma"/>
            <family val="2"/>
          </rPr>
          <t>Formation</t>
        </r>
      </text>
    </comment>
    <comment ref="T18" authorId="1" shapeId="0" xr:uid="{C7AF65FC-8B6C-4975-905D-EE9D936E44BC}">
      <text>
        <r>
          <rPr>
            <sz val="9"/>
            <color indexed="81"/>
            <rFont val="Tahoma"/>
            <family val="2"/>
          </rPr>
          <t>Formation</t>
        </r>
      </text>
    </comment>
    <comment ref="U18" authorId="1" shapeId="0" xr:uid="{35FB1277-373B-4DA0-A31F-65AAFABFC130}">
      <text>
        <r>
          <rPr>
            <sz val="9"/>
            <color indexed="81"/>
            <rFont val="Tahoma"/>
            <family val="2"/>
          </rPr>
          <t>Formation</t>
        </r>
      </text>
    </comment>
    <comment ref="V18" authorId="1" shapeId="0" xr:uid="{A26D389A-478A-4055-A704-8A6CB2C17402}">
      <text>
        <r>
          <rPr>
            <sz val="9"/>
            <color indexed="81"/>
            <rFont val="Tahoma"/>
            <family val="2"/>
          </rPr>
          <t>Formation</t>
        </r>
      </text>
    </comment>
    <comment ref="Y18" authorId="1" shapeId="0" xr:uid="{F8C97D6A-C774-46F8-B07D-91779F9026E0}">
      <text>
        <r>
          <rPr>
            <sz val="9"/>
            <color indexed="81"/>
            <rFont val="Tahoma"/>
            <family val="2"/>
          </rPr>
          <t>Formation</t>
        </r>
      </text>
    </comment>
    <comment ref="Z18" authorId="1" shapeId="0" xr:uid="{B6622AAF-33CA-4738-A542-F03CB5DF52A4}">
      <text>
        <r>
          <rPr>
            <sz val="9"/>
            <color indexed="81"/>
            <rFont val="Tahoma"/>
            <family val="2"/>
          </rPr>
          <t>Formation</t>
        </r>
      </text>
    </comment>
    <comment ref="AA18" authorId="1" shapeId="0" xr:uid="{8C1DF69B-9F65-49E5-8834-DF3390D99BC2}">
      <text>
        <r>
          <rPr>
            <sz val="9"/>
            <color indexed="81"/>
            <rFont val="Tahoma"/>
            <family val="2"/>
          </rPr>
          <t>Formation</t>
        </r>
      </text>
    </comment>
    <comment ref="AB18" authorId="1" shapeId="0" xr:uid="{DDCF14BC-C633-40EB-9F26-395AB5C5741A}">
      <text>
        <r>
          <rPr>
            <sz val="9"/>
            <color indexed="81"/>
            <rFont val="Tahoma"/>
            <family val="2"/>
          </rPr>
          <t>Formation</t>
        </r>
      </text>
    </comment>
    <comment ref="AC18" authorId="1" shapeId="0" xr:uid="{7B5F5476-D461-49FD-B01F-5D183B95A23C}">
      <text>
        <r>
          <rPr>
            <sz val="9"/>
            <color indexed="81"/>
            <rFont val="Tahoma"/>
            <family val="2"/>
          </rPr>
          <t>Formation</t>
        </r>
      </text>
    </comment>
    <comment ref="AF18" authorId="1" shapeId="0" xr:uid="{A4AEBE4B-9274-4C4E-A614-6A59BFDE74FC}">
      <text>
        <r>
          <rPr>
            <sz val="9"/>
            <color indexed="81"/>
            <rFont val="Tahoma"/>
            <family val="2"/>
          </rPr>
          <t>Formation</t>
        </r>
      </text>
    </comment>
    <comment ref="AG18" authorId="1" shapeId="0" xr:uid="{414ED5B8-7E6F-40C8-9A13-1778B919F236}">
      <text>
        <r>
          <rPr>
            <sz val="9"/>
            <color indexed="81"/>
            <rFont val="Tahoma"/>
            <family val="2"/>
          </rPr>
          <t>Formation</t>
        </r>
      </text>
    </comment>
    <comment ref="AH18" authorId="1" shapeId="0" xr:uid="{FC42972D-660D-4028-B9D5-5283F74CE0EB}">
      <text>
        <r>
          <rPr>
            <sz val="9"/>
            <color indexed="81"/>
            <rFont val="Tahoma"/>
            <family val="2"/>
          </rPr>
          <t>Formation</t>
        </r>
      </text>
    </comment>
    <comment ref="AI18" authorId="1" shapeId="0" xr:uid="{49F455BE-6990-4B64-A7C5-1C1D1CE467B0}">
      <text>
        <r>
          <rPr>
            <sz val="9"/>
            <color indexed="81"/>
            <rFont val="Tahoma"/>
            <family val="2"/>
          </rPr>
          <t>Formation</t>
        </r>
      </text>
    </comment>
    <comment ref="AJ18" authorId="1" shapeId="0" xr:uid="{F8FE1FA1-7557-4DE0-94AA-70ED22013A71}">
      <text>
        <r>
          <rPr>
            <sz val="9"/>
            <color indexed="81"/>
            <rFont val="Tahoma"/>
            <family val="2"/>
          </rPr>
          <t>Formation</t>
        </r>
      </text>
    </comment>
    <comment ref="AM18" authorId="1" shapeId="0" xr:uid="{A7BCD2BB-A321-4E3C-AAB0-6C5F54621859}">
      <text>
        <r>
          <rPr>
            <sz val="9"/>
            <color indexed="81"/>
            <rFont val="Tahoma"/>
            <family val="2"/>
          </rPr>
          <t>Formation</t>
        </r>
      </text>
    </comment>
    <comment ref="AN18" authorId="1" shapeId="0" xr:uid="{52B3DFEC-DCDF-4EE3-9DB1-D4CBA6563D0A}">
      <text>
        <r>
          <rPr>
            <sz val="9"/>
            <color indexed="81"/>
            <rFont val="Tahoma"/>
            <family val="2"/>
          </rPr>
          <t>Formation</t>
        </r>
      </text>
    </comment>
    <comment ref="AO18" authorId="1" shapeId="0" xr:uid="{353C5CB8-0059-408D-A47A-A179A929A3E8}">
      <text>
        <r>
          <rPr>
            <sz val="9"/>
            <color indexed="81"/>
            <rFont val="Tahoma"/>
            <family val="2"/>
          </rPr>
          <t>Formation</t>
        </r>
      </text>
    </comment>
    <comment ref="AP18" authorId="1" shapeId="0" xr:uid="{0402377A-430C-4C4E-BB22-44279BA5A6FF}">
      <text>
        <r>
          <rPr>
            <sz val="9"/>
            <color indexed="81"/>
            <rFont val="Tahoma"/>
            <family val="2"/>
          </rPr>
          <t>Formation</t>
        </r>
      </text>
    </comment>
    <comment ref="AQ18" authorId="1" shapeId="0" xr:uid="{3C067C99-18E6-489E-9991-6B4517939406}">
      <text>
        <r>
          <rPr>
            <sz val="9"/>
            <color indexed="81"/>
            <rFont val="Tahoma"/>
            <family val="2"/>
          </rPr>
          <t>Formation</t>
        </r>
      </text>
    </comment>
    <comment ref="BH18" authorId="1" shapeId="0" xr:uid="{7EF11E84-88EA-4F92-8737-92D266165425}">
      <text>
        <r>
          <rPr>
            <sz val="9"/>
            <color indexed="81"/>
            <rFont val="Tahoma"/>
            <family val="2"/>
          </rPr>
          <t>Formation</t>
        </r>
      </text>
    </comment>
    <comment ref="BI18" authorId="1" shapeId="0" xr:uid="{9F751475-36BD-43BB-8547-F67A03B599CE}">
      <text>
        <r>
          <rPr>
            <sz val="9"/>
            <color indexed="81"/>
            <rFont val="Tahoma"/>
            <family val="2"/>
          </rPr>
          <t>Formation</t>
        </r>
      </text>
    </comment>
    <comment ref="BJ18" authorId="1" shapeId="0" xr:uid="{947C8E6B-936E-4A5F-8803-4D9B525B1509}">
      <text>
        <r>
          <rPr>
            <sz val="9"/>
            <color indexed="81"/>
            <rFont val="Tahoma"/>
            <family val="2"/>
          </rPr>
          <t>Formation</t>
        </r>
      </text>
    </comment>
    <comment ref="BK18" authorId="1" shapeId="0" xr:uid="{82FC4322-BA0B-4637-B418-0D37F3F91FDF}">
      <text>
        <r>
          <rPr>
            <sz val="9"/>
            <color indexed="81"/>
            <rFont val="Tahoma"/>
            <family val="2"/>
          </rPr>
          <t>Formation</t>
        </r>
      </text>
    </comment>
    <comment ref="BL18" authorId="1" shapeId="0" xr:uid="{B3D3CD38-6E2B-4C9C-8EAB-340A4C190B61}">
      <text>
        <r>
          <rPr>
            <sz val="9"/>
            <color indexed="81"/>
            <rFont val="Tahoma"/>
            <family val="2"/>
          </rPr>
          <t>Formation</t>
        </r>
      </text>
    </comment>
    <comment ref="BO18" authorId="1" shapeId="0" xr:uid="{BD1B4229-8D87-4BED-BEAD-A2679DAB3759}">
      <text>
        <r>
          <rPr>
            <sz val="9"/>
            <color indexed="81"/>
            <rFont val="Tahoma"/>
            <family val="2"/>
          </rPr>
          <t>Formation</t>
        </r>
      </text>
    </comment>
    <comment ref="BP18" authorId="1" shapeId="0" xr:uid="{5BF75B34-7E36-49C3-966A-1155596F821A}">
      <text>
        <r>
          <rPr>
            <sz val="9"/>
            <color indexed="81"/>
            <rFont val="Tahoma"/>
            <family val="2"/>
          </rPr>
          <t>Formation</t>
        </r>
      </text>
    </comment>
    <comment ref="BQ18" authorId="1" shapeId="0" xr:uid="{C854DDB1-99AC-4B7A-BCF9-49CA3FC5FD1E}">
      <text>
        <r>
          <rPr>
            <sz val="9"/>
            <color indexed="81"/>
            <rFont val="Tahoma"/>
            <family val="2"/>
          </rPr>
          <t>Formation</t>
        </r>
      </text>
    </comment>
    <comment ref="BR18" authorId="1" shapeId="0" xr:uid="{970E2B14-15E7-4811-BD9A-7D3087330D18}">
      <text>
        <r>
          <rPr>
            <sz val="9"/>
            <color indexed="81"/>
            <rFont val="Tahoma"/>
            <family val="2"/>
          </rPr>
          <t>Formation</t>
        </r>
      </text>
    </comment>
    <comment ref="BS18" authorId="1" shapeId="0" xr:uid="{0C8AEBE9-26F5-45C3-867B-10A61FD4417D}">
      <text>
        <r>
          <rPr>
            <sz val="9"/>
            <color indexed="81"/>
            <rFont val="Tahoma"/>
            <family val="2"/>
          </rPr>
          <t>Formation</t>
        </r>
      </text>
    </comment>
    <comment ref="BV18" authorId="1" shapeId="0" xr:uid="{7F0B412C-ED66-4912-BE87-FFB6DC2368D1}">
      <text>
        <r>
          <rPr>
            <sz val="9"/>
            <color indexed="81"/>
            <rFont val="Tahoma"/>
            <family val="2"/>
          </rPr>
          <t>Formation</t>
        </r>
      </text>
    </comment>
    <comment ref="BW18" authorId="1" shapeId="0" xr:uid="{44E7FF47-853B-4C5B-85DE-A8799167B74E}">
      <text>
        <r>
          <rPr>
            <sz val="9"/>
            <color indexed="81"/>
            <rFont val="Tahoma"/>
            <family val="2"/>
          </rPr>
          <t>Formation</t>
        </r>
      </text>
    </comment>
    <comment ref="BX18" authorId="1" shapeId="0" xr:uid="{8106CFE9-C30B-4DE2-A06C-1B3C784E3551}">
      <text>
        <r>
          <rPr>
            <sz val="9"/>
            <color indexed="81"/>
            <rFont val="Tahoma"/>
            <family val="2"/>
          </rPr>
          <t>Formation</t>
        </r>
      </text>
    </comment>
    <comment ref="BY18" authorId="1" shapeId="0" xr:uid="{84D0BB94-D470-4867-BA7B-5EEBA401CBC5}">
      <text>
        <r>
          <rPr>
            <sz val="9"/>
            <color indexed="81"/>
            <rFont val="Tahoma"/>
            <family val="2"/>
          </rPr>
          <t>Formation</t>
        </r>
      </text>
    </comment>
    <comment ref="BZ18" authorId="1" shapeId="0" xr:uid="{7F89580A-816E-4F8E-A58D-1D50C62760FC}">
      <text>
        <r>
          <rPr>
            <sz val="9"/>
            <color indexed="81"/>
            <rFont val="Tahoma"/>
            <family val="2"/>
          </rPr>
          <t>Formation</t>
        </r>
      </text>
    </comment>
    <comment ref="CC18" authorId="1" shapeId="0" xr:uid="{579B4788-B828-49F1-BC10-4CDB9FD8934E}">
      <text>
        <r>
          <rPr>
            <sz val="9"/>
            <color indexed="81"/>
            <rFont val="Tahoma"/>
            <family val="2"/>
          </rPr>
          <t>Formation</t>
        </r>
      </text>
    </comment>
    <comment ref="CD18" authorId="1" shapeId="0" xr:uid="{7F886420-E438-41DD-86DA-C4D45CC9108A}">
      <text>
        <r>
          <rPr>
            <sz val="9"/>
            <color indexed="81"/>
            <rFont val="Tahoma"/>
            <family val="2"/>
          </rPr>
          <t>Formation</t>
        </r>
      </text>
    </comment>
    <comment ref="CE18" authorId="1" shapeId="0" xr:uid="{C5F52D09-6932-4D31-851B-F13B2B6A05C0}">
      <text>
        <r>
          <rPr>
            <sz val="9"/>
            <color indexed="81"/>
            <rFont val="Tahoma"/>
            <family val="2"/>
          </rPr>
          <t>Formation</t>
        </r>
      </text>
    </comment>
    <comment ref="CF18" authorId="1" shapeId="0" xr:uid="{EAA09022-6669-48BF-92B9-315E75566E91}">
      <text>
        <r>
          <rPr>
            <sz val="9"/>
            <color indexed="81"/>
            <rFont val="Tahoma"/>
            <family val="2"/>
          </rPr>
          <t>Formation</t>
        </r>
      </text>
    </comment>
    <comment ref="CG18" authorId="1" shapeId="0" xr:uid="{87B913B3-B7DE-4098-9DFF-5D07B347D81D}">
      <text>
        <r>
          <rPr>
            <sz val="9"/>
            <color indexed="81"/>
            <rFont val="Tahoma"/>
            <family val="2"/>
          </rPr>
          <t>Formation</t>
        </r>
      </text>
    </comment>
    <comment ref="CJ18" authorId="1" shapeId="0" xr:uid="{933B6917-AE4A-441A-A06C-B05FC0B38166}">
      <text>
        <r>
          <rPr>
            <sz val="9"/>
            <color indexed="81"/>
            <rFont val="Tahoma"/>
            <family val="2"/>
          </rPr>
          <t>Formation</t>
        </r>
      </text>
    </comment>
    <comment ref="CK18" authorId="1" shapeId="0" xr:uid="{737EA520-E39B-4AD4-879C-08C57129E6E0}">
      <text>
        <r>
          <rPr>
            <sz val="9"/>
            <color indexed="81"/>
            <rFont val="Tahoma"/>
            <family val="2"/>
          </rPr>
          <t>Formation</t>
        </r>
      </text>
    </comment>
    <comment ref="CL18" authorId="1" shapeId="0" xr:uid="{EC668F18-EA3C-4A5C-9270-FAF847178383}">
      <text>
        <r>
          <rPr>
            <sz val="9"/>
            <color indexed="81"/>
            <rFont val="Tahoma"/>
            <family val="2"/>
          </rPr>
          <t>Formation</t>
        </r>
      </text>
    </comment>
    <comment ref="CM18" authorId="1" shapeId="0" xr:uid="{535EB0CD-7377-4F8B-B377-0EE4A923AE7F}">
      <text>
        <r>
          <rPr>
            <sz val="9"/>
            <color indexed="81"/>
            <rFont val="Tahoma"/>
            <family val="2"/>
          </rPr>
          <t>Formation</t>
        </r>
      </text>
    </comment>
    <comment ref="CN18" authorId="1" shapeId="0" xr:uid="{018FA48E-C1CF-4AE8-B5BE-0511AADD468C}">
      <text>
        <r>
          <rPr>
            <sz val="9"/>
            <color indexed="81"/>
            <rFont val="Tahoma"/>
            <family val="2"/>
          </rPr>
          <t>Formation</t>
        </r>
      </text>
    </comment>
    <comment ref="CQ18" authorId="1" shapeId="0" xr:uid="{9E33C71A-4480-42A7-9189-A3CA00EC519B}">
      <text>
        <r>
          <rPr>
            <sz val="9"/>
            <color indexed="81"/>
            <rFont val="Tahoma"/>
            <family val="2"/>
          </rPr>
          <t>Formation</t>
        </r>
      </text>
    </comment>
    <comment ref="CR18" authorId="1" shapeId="0" xr:uid="{B94456C4-90D5-4ED2-858C-CB0CA9985222}">
      <text>
        <r>
          <rPr>
            <sz val="9"/>
            <color indexed="81"/>
            <rFont val="Tahoma"/>
            <family val="2"/>
          </rPr>
          <t>Formation</t>
        </r>
      </text>
    </comment>
    <comment ref="CS18" authorId="1" shapeId="0" xr:uid="{5FE76FFC-C873-4787-8248-236F419A954F}">
      <text>
        <r>
          <rPr>
            <sz val="9"/>
            <color indexed="81"/>
            <rFont val="Tahoma"/>
            <family val="2"/>
          </rPr>
          <t>Formation</t>
        </r>
      </text>
    </comment>
    <comment ref="CT18" authorId="1" shapeId="0" xr:uid="{974F45D3-E448-40C5-9E6D-ED2863D0C77D}">
      <text>
        <r>
          <rPr>
            <sz val="9"/>
            <color indexed="81"/>
            <rFont val="Tahoma"/>
            <family val="2"/>
          </rPr>
          <t>Formation</t>
        </r>
      </text>
    </comment>
    <comment ref="CU18" authorId="1" shapeId="0" xr:uid="{F8B8446F-6638-4929-9B05-D89A9D96650A}">
      <text>
        <r>
          <rPr>
            <sz val="9"/>
            <color indexed="81"/>
            <rFont val="Tahoma"/>
            <family val="2"/>
          </rPr>
          <t>Formation</t>
        </r>
      </text>
    </comment>
    <comment ref="DE18" authorId="2" shapeId="0" xr:uid="{8E36EA0B-E67B-4129-AF8E-49BA483CA198}">
      <text>
        <r>
          <rPr>
            <sz val="9"/>
            <color indexed="81"/>
            <rFont val="Tahoma"/>
            <family val="2"/>
          </rPr>
          <t>Souhait Absence planifiée en attente</t>
        </r>
      </text>
    </comment>
    <comment ref="DF18" authorId="2" shapeId="0" xr:uid="{8472A0EB-43FF-4346-95FE-F4F7782C5005}">
      <text>
        <r>
          <rPr>
            <sz val="9"/>
            <color indexed="81"/>
            <rFont val="Tahoma"/>
            <family val="2"/>
          </rPr>
          <t>Souhait Absence planifiée en attente</t>
        </r>
      </text>
    </comment>
    <comment ref="DG18" authorId="2" shapeId="0" xr:uid="{7920377D-72C3-4818-9774-C46A571C2249}">
      <text>
        <r>
          <rPr>
            <sz val="9"/>
            <color indexed="81"/>
            <rFont val="Tahoma"/>
            <family val="2"/>
          </rPr>
          <t>Souhait Absence planifiée en attente</t>
        </r>
      </text>
    </comment>
    <comment ref="DH18" authorId="2" shapeId="0" xr:uid="{47D2B00B-2A01-4C54-8FD8-1547F12A2ABA}">
      <text>
        <r>
          <rPr>
            <sz val="9"/>
            <color indexed="81"/>
            <rFont val="Tahoma"/>
            <family val="2"/>
          </rPr>
          <t>Souhait Absence planifiée en attente</t>
        </r>
      </text>
    </comment>
    <comment ref="DI18" authorId="2" shapeId="0" xr:uid="{5B5C3D6E-4870-4BB5-8150-27F13A695FD4}">
      <text>
        <r>
          <rPr>
            <sz val="9"/>
            <color indexed="81"/>
            <rFont val="Tahoma"/>
            <family val="2"/>
          </rPr>
          <t>Souhait Absence planifiée en attente</t>
        </r>
      </text>
    </comment>
    <comment ref="DL18" authorId="2" shapeId="0" xr:uid="{98319F8D-F6BC-4219-93F1-B128DCEE8669}">
      <text>
        <r>
          <rPr>
            <sz val="9"/>
            <color indexed="81"/>
            <rFont val="Tahoma"/>
            <family val="2"/>
          </rPr>
          <t>Souhait Absence planifiée en attente</t>
        </r>
      </text>
    </comment>
    <comment ref="DM18" authorId="2" shapeId="0" xr:uid="{F843A125-A52A-4DB0-B99E-2ED32CB607A9}">
      <text>
        <r>
          <rPr>
            <sz val="9"/>
            <color indexed="81"/>
            <rFont val="Tahoma"/>
            <family val="2"/>
          </rPr>
          <t>Souhait Absence planifiée en attente</t>
        </r>
      </text>
    </comment>
    <comment ref="DN18" authorId="2" shapeId="0" xr:uid="{AB1C9DD4-F9D2-4A72-BB5F-12951707FE67}">
      <text>
        <r>
          <rPr>
            <sz val="9"/>
            <color indexed="81"/>
            <rFont val="Tahoma"/>
            <family val="2"/>
          </rPr>
          <t>Souhait Absence planifiée en attente</t>
        </r>
      </text>
    </comment>
    <comment ref="DO18" authorId="2" shapeId="0" xr:uid="{708CD773-FAB0-429D-8C44-AA2F0A6D4A28}">
      <text>
        <r>
          <rPr>
            <sz val="9"/>
            <color indexed="81"/>
            <rFont val="Tahoma"/>
            <family val="2"/>
          </rPr>
          <t>Souhait Absence planifiée en attente</t>
        </r>
      </text>
    </comment>
    <comment ref="DP18" authorId="2" shapeId="0" xr:uid="{D6A6E849-8817-4C60-A958-35DA926FFE7F}">
      <text>
        <r>
          <rPr>
            <sz val="9"/>
            <color indexed="81"/>
            <rFont val="Tahoma"/>
            <family val="2"/>
          </rPr>
          <t>Souhait Absence planifiée en attente</t>
        </r>
      </text>
    </comment>
    <comment ref="R20" authorId="1" shapeId="0" xr:uid="{4EBABC8D-7FDD-47BC-B902-BB2C82044ACD}">
      <text>
        <r>
          <rPr>
            <sz val="9"/>
            <color indexed="81"/>
            <rFont val="Tahoma"/>
            <family val="2"/>
          </rPr>
          <t>Formation</t>
        </r>
      </text>
    </comment>
    <comment ref="S20" authorId="1" shapeId="0" xr:uid="{B8CCF2E6-4883-4B9C-A4F4-0075AC252E2A}">
      <text>
        <r>
          <rPr>
            <sz val="9"/>
            <color indexed="81"/>
            <rFont val="Tahoma"/>
            <family val="2"/>
          </rPr>
          <t>Formation</t>
        </r>
      </text>
    </comment>
    <comment ref="T20" authorId="1" shapeId="0" xr:uid="{69A46D06-A0D0-40FC-B9CA-C1CC67A29D74}">
      <text>
        <r>
          <rPr>
            <sz val="9"/>
            <color indexed="81"/>
            <rFont val="Tahoma"/>
            <family val="2"/>
          </rPr>
          <t>Formation</t>
        </r>
      </text>
    </comment>
    <comment ref="U20" authorId="1" shapeId="0" xr:uid="{6002E734-31E5-4BC3-9507-82C7655DC848}">
      <text>
        <r>
          <rPr>
            <sz val="9"/>
            <color indexed="81"/>
            <rFont val="Tahoma"/>
            <family val="2"/>
          </rPr>
          <t>Formation</t>
        </r>
      </text>
    </comment>
    <comment ref="V20" authorId="1" shapeId="0" xr:uid="{2ED9D753-1068-4F86-91A7-4B9DE94D6AA8}">
      <text>
        <r>
          <rPr>
            <sz val="9"/>
            <color indexed="81"/>
            <rFont val="Tahoma"/>
            <family val="2"/>
          </rPr>
          <t>Formation</t>
        </r>
      </text>
    </comment>
    <comment ref="Y20" authorId="1" shapeId="0" xr:uid="{DEDFD9A8-BB52-45B6-A087-92B2785DF1A8}">
      <text>
        <r>
          <rPr>
            <sz val="9"/>
            <color indexed="81"/>
            <rFont val="Tahoma"/>
            <family val="2"/>
          </rPr>
          <t>Formation</t>
        </r>
      </text>
    </comment>
    <comment ref="Z20" authorId="1" shapeId="0" xr:uid="{2DA1198E-F46F-4173-BEEE-6DA6AADBFA6C}">
      <text>
        <r>
          <rPr>
            <sz val="9"/>
            <color indexed="81"/>
            <rFont val="Tahoma"/>
            <family val="2"/>
          </rPr>
          <t>Formation</t>
        </r>
      </text>
    </comment>
    <comment ref="AA20" authorId="1" shapeId="0" xr:uid="{92B31B07-7DC5-4ED3-82DA-6D2E8B83DE9D}">
      <text>
        <r>
          <rPr>
            <sz val="9"/>
            <color indexed="81"/>
            <rFont val="Tahoma"/>
            <family val="2"/>
          </rPr>
          <t>Formation</t>
        </r>
      </text>
    </comment>
    <comment ref="AB20" authorId="1" shapeId="0" xr:uid="{D67F81D6-FF7C-4AA3-A0A1-2827563178DD}">
      <text>
        <r>
          <rPr>
            <sz val="9"/>
            <color indexed="81"/>
            <rFont val="Tahoma"/>
            <family val="2"/>
          </rPr>
          <t>Formation</t>
        </r>
      </text>
    </comment>
    <comment ref="AC20" authorId="1" shapeId="0" xr:uid="{0F3AFDF4-190A-419E-9933-E502B7CE4F4F}">
      <text>
        <r>
          <rPr>
            <sz val="9"/>
            <color indexed="81"/>
            <rFont val="Tahoma"/>
            <family val="2"/>
          </rPr>
          <t>Formation</t>
        </r>
      </text>
    </comment>
    <comment ref="AF20" authorId="1" shapeId="0" xr:uid="{F232FF97-79E8-4488-91A8-EEBB739EACAA}">
      <text>
        <r>
          <rPr>
            <sz val="9"/>
            <color indexed="81"/>
            <rFont val="Tahoma"/>
            <family val="2"/>
          </rPr>
          <t>Formation</t>
        </r>
      </text>
    </comment>
    <comment ref="AG20" authorId="1" shapeId="0" xr:uid="{70B7A4A5-43F8-4254-848C-9FABA859223B}">
      <text>
        <r>
          <rPr>
            <sz val="9"/>
            <color indexed="81"/>
            <rFont val="Tahoma"/>
            <family val="2"/>
          </rPr>
          <t>Formation</t>
        </r>
      </text>
    </comment>
    <comment ref="AH20" authorId="1" shapeId="0" xr:uid="{7CF733AD-E5CF-484B-AEC1-5CAA1441FEB8}">
      <text>
        <r>
          <rPr>
            <sz val="9"/>
            <color indexed="81"/>
            <rFont val="Tahoma"/>
            <family val="2"/>
          </rPr>
          <t>Formation</t>
        </r>
      </text>
    </comment>
    <comment ref="AI20" authorId="1" shapeId="0" xr:uid="{28AEA965-A134-4F33-B5B8-0BECCED501DA}">
      <text>
        <r>
          <rPr>
            <sz val="9"/>
            <color indexed="81"/>
            <rFont val="Tahoma"/>
            <family val="2"/>
          </rPr>
          <t>Formation</t>
        </r>
      </text>
    </comment>
    <comment ref="AJ20" authorId="1" shapeId="0" xr:uid="{3C5D6E99-CB90-44B3-9B25-8EAECD7EB3EC}">
      <text>
        <r>
          <rPr>
            <sz val="9"/>
            <color indexed="81"/>
            <rFont val="Tahoma"/>
            <family val="2"/>
          </rPr>
          <t>Formation</t>
        </r>
      </text>
    </comment>
    <comment ref="AM20" authorId="1" shapeId="0" xr:uid="{3FA423F3-38DA-479B-879B-856CC9F665BD}">
      <text>
        <r>
          <rPr>
            <sz val="9"/>
            <color indexed="81"/>
            <rFont val="Tahoma"/>
            <family val="2"/>
          </rPr>
          <t>Formation</t>
        </r>
      </text>
    </comment>
    <comment ref="AN20" authorId="1" shapeId="0" xr:uid="{68EB871F-9D9B-4AEC-968E-1DC754A8BFE8}">
      <text>
        <r>
          <rPr>
            <sz val="9"/>
            <color indexed="81"/>
            <rFont val="Tahoma"/>
            <family val="2"/>
          </rPr>
          <t>Formation</t>
        </r>
      </text>
    </comment>
    <comment ref="AO20" authorId="1" shapeId="0" xr:uid="{C2C99703-D640-4BA2-AA70-63D22F81CBCC}">
      <text>
        <r>
          <rPr>
            <sz val="9"/>
            <color indexed="81"/>
            <rFont val="Tahoma"/>
            <family val="2"/>
          </rPr>
          <t>Formation</t>
        </r>
      </text>
    </comment>
    <comment ref="AP20" authorId="1" shapeId="0" xr:uid="{F6F4B3EC-4BAF-4A85-8A36-511523148CB2}">
      <text>
        <r>
          <rPr>
            <sz val="9"/>
            <color indexed="81"/>
            <rFont val="Tahoma"/>
            <family val="2"/>
          </rPr>
          <t>Formation</t>
        </r>
      </text>
    </comment>
    <comment ref="AQ20" authorId="1" shapeId="0" xr:uid="{6606E885-EF26-42E2-B29E-0D439120932E}">
      <text>
        <r>
          <rPr>
            <sz val="9"/>
            <color indexed="81"/>
            <rFont val="Tahoma"/>
            <family val="2"/>
          </rPr>
          <t>Formation</t>
        </r>
      </text>
    </comment>
    <comment ref="AT20" authorId="1" shapeId="0" xr:uid="{53B123C1-B8AA-414B-989C-5FC52E0FA136}">
      <text>
        <r>
          <rPr>
            <sz val="9"/>
            <color indexed="81"/>
            <rFont val="Tahoma"/>
            <family val="2"/>
          </rPr>
          <t>Formation</t>
        </r>
      </text>
    </comment>
    <comment ref="AU20" authorId="1" shapeId="0" xr:uid="{0FFBD91B-E883-403A-AD40-3FBE60B92CA4}">
      <text>
        <r>
          <rPr>
            <sz val="9"/>
            <color indexed="81"/>
            <rFont val="Tahoma"/>
            <family val="2"/>
          </rPr>
          <t>Formation</t>
        </r>
      </text>
    </comment>
    <comment ref="AV20" authorId="1" shapeId="0" xr:uid="{8E4A5B0E-CB1D-4A8A-A674-FA2B10F509A3}">
      <text>
        <r>
          <rPr>
            <sz val="9"/>
            <color indexed="81"/>
            <rFont val="Tahoma"/>
            <family val="2"/>
          </rPr>
          <t>Formation</t>
        </r>
      </text>
    </comment>
    <comment ref="AW20" authorId="1" shapeId="0" xr:uid="{CCDFB4CF-998D-4B80-B7C4-5AA61610B11F}">
      <text>
        <r>
          <rPr>
            <sz val="9"/>
            <color indexed="81"/>
            <rFont val="Tahoma"/>
            <family val="2"/>
          </rPr>
          <t>Formation</t>
        </r>
      </text>
    </comment>
    <comment ref="AX20" authorId="1" shapeId="0" xr:uid="{FCCD16FC-E960-48C0-807F-953ADB61B866}">
      <text>
        <r>
          <rPr>
            <sz val="9"/>
            <color indexed="81"/>
            <rFont val="Tahoma"/>
            <family val="2"/>
          </rPr>
          <t>Formation</t>
        </r>
      </text>
    </comment>
    <comment ref="BA20" authorId="1" shapeId="0" xr:uid="{80BF9506-ECFF-4CF3-91D8-393F41B2F65D}">
      <text>
        <r>
          <rPr>
            <sz val="9"/>
            <color indexed="81"/>
            <rFont val="Tahoma"/>
            <family val="2"/>
          </rPr>
          <t>Formation</t>
        </r>
      </text>
    </comment>
    <comment ref="BB20" authorId="1" shapeId="0" xr:uid="{BF6FEE7C-9E3F-4F5A-AB8A-4FCAB97707E0}">
      <text>
        <r>
          <rPr>
            <sz val="9"/>
            <color indexed="81"/>
            <rFont val="Tahoma"/>
            <family val="2"/>
          </rPr>
          <t>Formation</t>
        </r>
      </text>
    </comment>
    <comment ref="BC20" authorId="1" shapeId="0" xr:uid="{BB2655FF-8B11-40D2-B155-8D17FD41B82A}">
      <text>
        <r>
          <rPr>
            <sz val="9"/>
            <color indexed="81"/>
            <rFont val="Tahoma"/>
            <family val="2"/>
          </rPr>
          <t>Formation</t>
        </r>
      </text>
    </comment>
    <comment ref="BD20" authorId="1" shapeId="0" xr:uid="{0D6491B8-1074-43C8-A512-07D7FCCC1DBB}">
      <text>
        <r>
          <rPr>
            <sz val="9"/>
            <color indexed="81"/>
            <rFont val="Tahoma"/>
            <family val="2"/>
          </rPr>
          <t>Formation</t>
        </r>
      </text>
    </comment>
    <comment ref="BE20" authorId="1" shapeId="0" xr:uid="{4027D874-703D-4437-8517-40B009167EA8}">
      <text>
        <r>
          <rPr>
            <sz val="9"/>
            <color indexed="81"/>
            <rFont val="Tahoma"/>
            <family val="2"/>
          </rPr>
          <t>Formation</t>
        </r>
      </text>
    </comment>
    <comment ref="BH20" authorId="1" shapeId="0" xr:uid="{A6A6866A-2DEA-4D73-944F-45067A4D2F78}">
      <text>
        <r>
          <rPr>
            <sz val="9"/>
            <color indexed="81"/>
            <rFont val="Tahoma"/>
            <family val="2"/>
          </rPr>
          <t>Formation</t>
        </r>
      </text>
    </comment>
    <comment ref="BI20" authorId="1" shapeId="0" xr:uid="{D2ABFD95-E54F-4807-B786-498D54DD4ECF}">
      <text>
        <r>
          <rPr>
            <sz val="9"/>
            <color indexed="81"/>
            <rFont val="Tahoma"/>
            <family val="2"/>
          </rPr>
          <t>Formation</t>
        </r>
      </text>
    </comment>
    <comment ref="BJ20" authorId="1" shapeId="0" xr:uid="{092B7E93-70A6-4A42-9F6B-BCE8AB6B46ED}">
      <text>
        <r>
          <rPr>
            <sz val="9"/>
            <color indexed="81"/>
            <rFont val="Tahoma"/>
            <family val="2"/>
          </rPr>
          <t>Formation</t>
        </r>
      </text>
    </comment>
    <comment ref="BK20" authorId="1" shapeId="0" xr:uid="{9722C514-9645-4F18-BE34-0A4E637F6656}">
      <text>
        <r>
          <rPr>
            <sz val="9"/>
            <color indexed="81"/>
            <rFont val="Tahoma"/>
            <family val="2"/>
          </rPr>
          <t>Formation</t>
        </r>
      </text>
    </comment>
    <comment ref="BL20" authorId="1" shapeId="0" xr:uid="{008BF5EE-54F2-4C5E-B2DC-11F12B0FE174}">
      <text>
        <r>
          <rPr>
            <sz val="9"/>
            <color indexed="81"/>
            <rFont val="Tahoma"/>
            <family val="2"/>
          </rPr>
          <t>Formation</t>
        </r>
      </text>
    </comment>
    <comment ref="BO20" authorId="1" shapeId="0" xr:uid="{F9468A6A-C5B2-45C3-A280-7E0D9EE9D2CB}">
      <text>
        <r>
          <rPr>
            <sz val="9"/>
            <color indexed="81"/>
            <rFont val="Tahoma"/>
            <family val="2"/>
          </rPr>
          <t>Formation</t>
        </r>
      </text>
    </comment>
    <comment ref="BP20" authorId="1" shapeId="0" xr:uid="{E28C7C47-DAD8-46E7-9CF8-53C57F089B14}">
      <text>
        <r>
          <rPr>
            <sz val="9"/>
            <color indexed="81"/>
            <rFont val="Tahoma"/>
            <family val="2"/>
          </rPr>
          <t>Formation</t>
        </r>
      </text>
    </comment>
    <comment ref="BQ20" authorId="1" shapeId="0" xr:uid="{42A565AD-7E47-47F7-A377-27E866F8CA12}">
      <text>
        <r>
          <rPr>
            <sz val="9"/>
            <color indexed="81"/>
            <rFont val="Tahoma"/>
            <family val="2"/>
          </rPr>
          <t>Formation</t>
        </r>
      </text>
    </comment>
    <comment ref="BR20" authorId="1" shapeId="0" xr:uid="{F2B10942-003A-4762-A29E-08563D084671}">
      <text>
        <r>
          <rPr>
            <sz val="9"/>
            <color indexed="81"/>
            <rFont val="Tahoma"/>
            <family val="2"/>
          </rPr>
          <t>Formation</t>
        </r>
      </text>
    </comment>
    <comment ref="BS20" authorId="2" shapeId="0" xr:uid="{6AF89FAB-B46C-40EB-B808-7D64D48E8CF1}">
      <text>
        <r>
          <rPr>
            <sz val="9"/>
            <color indexed="81"/>
            <rFont val="Tahoma"/>
            <family val="2"/>
          </rPr>
          <t>Formation</t>
        </r>
      </text>
    </comment>
    <comment ref="BV20" authorId="1" shapeId="0" xr:uid="{F349BA11-39DB-4565-AD0E-221DDA71F209}">
      <text>
        <r>
          <rPr>
            <sz val="9"/>
            <color indexed="81"/>
            <rFont val="Tahoma"/>
            <family val="2"/>
          </rPr>
          <t>Formation</t>
        </r>
      </text>
    </comment>
    <comment ref="BW20" authorId="1" shapeId="0" xr:uid="{E63CD24A-4B6D-4880-823D-C3F298EA7CE2}">
      <text>
        <r>
          <rPr>
            <sz val="9"/>
            <color indexed="81"/>
            <rFont val="Tahoma"/>
            <family val="2"/>
          </rPr>
          <t>Formation</t>
        </r>
      </text>
    </comment>
    <comment ref="BX20" authorId="1" shapeId="0" xr:uid="{C4913642-B757-4593-9721-5F973F7ED33A}">
      <text>
        <r>
          <rPr>
            <sz val="9"/>
            <color indexed="81"/>
            <rFont val="Tahoma"/>
            <family val="2"/>
          </rPr>
          <t>Formation</t>
        </r>
      </text>
    </comment>
    <comment ref="BY20" authorId="1" shapeId="0" xr:uid="{125BC851-2834-4E2C-B90D-7320CC492C0E}">
      <text>
        <r>
          <rPr>
            <sz val="9"/>
            <color indexed="81"/>
            <rFont val="Tahoma"/>
            <family val="2"/>
          </rPr>
          <t>Formation</t>
        </r>
      </text>
    </comment>
    <comment ref="BZ20" authorId="1" shapeId="0" xr:uid="{C6C92206-9B74-4C16-BDE8-7FADB07BB4FB}">
      <text>
        <r>
          <rPr>
            <sz val="9"/>
            <color indexed="81"/>
            <rFont val="Tahoma"/>
            <family val="2"/>
          </rPr>
          <t>Formation</t>
        </r>
      </text>
    </comment>
    <comment ref="CC20" authorId="1" shapeId="0" xr:uid="{EC8CB3AB-C071-4DC2-A7D6-BFDA8323FF1C}">
      <text>
        <r>
          <rPr>
            <sz val="9"/>
            <color indexed="81"/>
            <rFont val="Tahoma"/>
            <family val="2"/>
          </rPr>
          <t>Formation</t>
        </r>
      </text>
    </comment>
    <comment ref="CD20" authorId="1" shapeId="0" xr:uid="{006D8A74-ACEF-44EE-A17A-A3940360BDA5}">
      <text>
        <r>
          <rPr>
            <sz val="9"/>
            <color indexed="81"/>
            <rFont val="Tahoma"/>
            <family val="2"/>
          </rPr>
          <t>Formation</t>
        </r>
      </text>
    </comment>
    <comment ref="CE20" authorId="1" shapeId="0" xr:uid="{41C7136A-1408-4D1B-B15A-2D60E4E8ECA2}">
      <text>
        <r>
          <rPr>
            <sz val="9"/>
            <color indexed="81"/>
            <rFont val="Tahoma"/>
            <family val="2"/>
          </rPr>
          <t>Formation</t>
        </r>
      </text>
    </comment>
    <comment ref="CF20" authorId="1" shapeId="0" xr:uid="{B4FAED02-5A54-4C91-B11E-A94E0B072B29}">
      <text>
        <r>
          <rPr>
            <sz val="9"/>
            <color indexed="81"/>
            <rFont val="Tahoma"/>
            <family val="2"/>
          </rPr>
          <t>Formation</t>
        </r>
      </text>
    </comment>
    <comment ref="CG20" authorId="1" shapeId="0" xr:uid="{EF341FA5-507C-4581-91C5-2F98BBAE4997}">
      <text>
        <r>
          <rPr>
            <sz val="9"/>
            <color indexed="81"/>
            <rFont val="Tahoma"/>
            <family val="2"/>
          </rPr>
          <t>Formation</t>
        </r>
      </text>
    </comment>
    <comment ref="CJ20" authorId="1" shapeId="0" xr:uid="{5B2B2112-710F-43FC-8F69-D7A25429407D}">
      <text>
        <r>
          <rPr>
            <sz val="9"/>
            <color indexed="81"/>
            <rFont val="Tahoma"/>
            <family val="2"/>
          </rPr>
          <t>Formation</t>
        </r>
      </text>
    </comment>
    <comment ref="CK20" authorId="1" shapeId="0" xr:uid="{18640CB1-4F80-4121-A53F-4C41A8A2764C}">
      <text>
        <r>
          <rPr>
            <sz val="9"/>
            <color indexed="81"/>
            <rFont val="Tahoma"/>
            <family val="2"/>
          </rPr>
          <t>Formation</t>
        </r>
      </text>
    </comment>
    <comment ref="CL20" authorId="1" shapeId="0" xr:uid="{C27B1786-366A-44FE-AB33-DD90623238E2}">
      <text>
        <r>
          <rPr>
            <sz val="9"/>
            <color indexed="81"/>
            <rFont val="Tahoma"/>
            <family val="2"/>
          </rPr>
          <t>Formation</t>
        </r>
      </text>
    </comment>
    <comment ref="CM20" authorId="1" shapeId="0" xr:uid="{9E5ADB32-4815-41DA-80E1-B7DF9E22B75E}">
      <text>
        <r>
          <rPr>
            <sz val="9"/>
            <color indexed="81"/>
            <rFont val="Tahoma"/>
            <family val="2"/>
          </rPr>
          <t>Formation</t>
        </r>
      </text>
    </comment>
    <comment ref="CN20" authorId="1" shapeId="0" xr:uid="{FEAAA33D-E31B-47E4-93F7-F9A537FCFA0C}">
      <text>
        <r>
          <rPr>
            <sz val="9"/>
            <color indexed="81"/>
            <rFont val="Tahoma"/>
            <family val="2"/>
          </rPr>
          <t>Formation</t>
        </r>
      </text>
    </comment>
    <comment ref="CQ20" authorId="1" shapeId="0" xr:uid="{2A00A5CC-FB1F-400A-B141-8E0D858BCC17}">
      <text>
        <r>
          <rPr>
            <sz val="9"/>
            <color indexed="81"/>
            <rFont val="Tahoma"/>
            <family val="2"/>
          </rPr>
          <t>Formation</t>
        </r>
      </text>
    </comment>
    <comment ref="CR20" authorId="1" shapeId="0" xr:uid="{C439671F-4E79-45A4-AD29-A4B95E1E4D44}">
      <text>
        <r>
          <rPr>
            <sz val="9"/>
            <color indexed="81"/>
            <rFont val="Tahoma"/>
            <family val="2"/>
          </rPr>
          <t>Formation</t>
        </r>
      </text>
    </comment>
    <comment ref="CS20" authorId="1" shapeId="0" xr:uid="{6CD8AA0E-6929-4938-9FCE-17D5321B06F2}">
      <text>
        <r>
          <rPr>
            <sz val="9"/>
            <color indexed="81"/>
            <rFont val="Tahoma"/>
            <family val="2"/>
          </rPr>
          <t>Formation</t>
        </r>
      </text>
    </comment>
    <comment ref="CT20" authorId="1" shapeId="0" xr:uid="{A8DCCE0F-360B-4B49-8A24-A5E24FA82956}">
      <text>
        <r>
          <rPr>
            <sz val="9"/>
            <color indexed="81"/>
            <rFont val="Tahoma"/>
            <family val="2"/>
          </rPr>
          <t>Formation</t>
        </r>
      </text>
    </comment>
    <comment ref="CU20" authorId="1" shapeId="0" xr:uid="{CEF9C121-D4F2-42B9-8079-610ADA587E4A}">
      <text>
        <r>
          <rPr>
            <sz val="9"/>
            <color indexed="81"/>
            <rFont val="Tahoma"/>
            <family val="2"/>
          </rPr>
          <t>Formation</t>
        </r>
      </text>
    </comment>
    <comment ref="R22" authorId="1" shapeId="0" xr:uid="{FB838902-CB75-45D8-A6D3-0CDC19E921D2}">
      <text>
        <r>
          <rPr>
            <sz val="9"/>
            <color indexed="81"/>
            <rFont val="Tahoma"/>
            <family val="2"/>
          </rPr>
          <t>Formation</t>
        </r>
      </text>
    </comment>
    <comment ref="S22" authorId="1" shapeId="0" xr:uid="{9C4EBF19-30ED-455A-A73B-81D693769086}">
      <text>
        <r>
          <rPr>
            <sz val="9"/>
            <color indexed="81"/>
            <rFont val="Tahoma"/>
            <family val="2"/>
          </rPr>
          <t>Formation</t>
        </r>
      </text>
    </comment>
    <comment ref="T22" authorId="1" shapeId="0" xr:uid="{97E2B303-767F-44D8-B73A-55B4BB2D39A5}">
      <text>
        <r>
          <rPr>
            <sz val="9"/>
            <color indexed="81"/>
            <rFont val="Tahoma"/>
            <family val="2"/>
          </rPr>
          <t>Formation</t>
        </r>
      </text>
    </comment>
    <comment ref="U22" authorId="1" shapeId="0" xr:uid="{94BFB3D5-6A56-4A3C-B5E6-34842E7AF556}">
      <text>
        <r>
          <rPr>
            <sz val="9"/>
            <color indexed="81"/>
            <rFont val="Tahoma"/>
            <family val="2"/>
          </rPr>
          <t>Formation</t>
        </r>
      </text>
    </comment>
    <comment ref="V22" authorId="1" shapeId="0" xr:uid="{B2091FF7-D7E0-405A-98B1-770EE075C785}">
      <text>
        <r>
          <rPr>
            <sz val="9"/>
            <color indexed="81"/>
            <rFont val="Tahoma"/>
            <family val="2"/>
          </rPr>
          <t>Formation</t>
        </r>
      </text>
    </comment>
    <comment ref="Y22" authorId="1" shapeId="0" xr:uid="{2E3F6BB8-4EEC-4177-A3A7-53D66D27BF1C}">
      <text>
        <r>
          <rPr>
            <sz val="9"/>
            <color indexed="81"/>
            <rFont val="Tahoma"/>
            <family val="2"/>
          </rPr>
          <t>Formation</t>
        </r>
      </text>
    </comment>
    <comment ref="Z22" authorId="1" shapeId="0" xr:uid="{A86AEF22-9B54-4806-8BEA-62173F628C74}">
      <text>
        <r>
          <rPr>
            <sz val="9"/>
            <color indexed="81"/>
            <rFont val="Tahoma"/>
            <family val="2"/>
          </rPr>
          <t>Formation</t>
        </r>
      </text>
    </comment>
    <comment ref="AA22" authorId="1" shapeId="0" xr:uid="{4BF31F23-43BF-42B5-AF8C-EB07FB8D41A3}">
      <text>
        <r>
          <rPr>
            <sz val="9"/>
            <color indexed="81"/>
            <rFont val="Tahoma"/>
            <family val="2"/>
          </rPr>
          <t>Formation</t>
        </r>
      </text>
    </comment>
    <comment ref="AB22" authorId="1" shapeId="0" xr:uid="{00B517A8-2157-4404-B056-913BDB141411}">
      <text>
        <r>
          <rPr>
            <sz val="9"/>
            <color indexed="81"/>
            <rFont val="Tahoma"/>
            <family val="2"/>
          </rPr>
          <t>Formation</t>
        </r>
      </text>
    </comment>
    <comment ref="AC22" authorId="1" shapeId="0" xr:uid="{03B27451-2898-42FE-9B5A-4F2CC9966AFB}">
      <text>
        <r>
          <rPr>
            <sz val="9"/>
            <color indexed="81"/>
            <rFont val="Tahoma"/>
            <family val="2"/>
          </rPr>
          <t>Formation</t>
        </r>
      </text>
    </comment>
    <comment ref="AF22" authorId="1" shapeId="0" xr:uid="{DEBCCA78-FFEC-4B37-8C1C-99281728E0AD}">
      <text>
        <r>
          <rPr>
            <sz val="9"/>
            <color indexed="81"/>
            <rFont val="Tahoma"/>
            <family val="2"/>
          </rPr>
          <t>Formation</t>
        </r>
      </text>
    </comment>
    <comment ref="AG22" authorId="1" shapeId="0" xr:uid="{8BFD35E2-58F9-469B-AB0D-0D7E634C1A49}">
      <text>
        <r>
          <rPr>
            <sz val="9"/>
            <color indexed="81"/>
            <rFont val="Tahoma"/>
            <family val="2"/>
          </rPr>
          <t>Formation</t>
        </r>
      </text>
    </comment>
    <comment ref="AH22" authorId="1" shapeId="0" xr:uid="{B5EA3506-608D-4C42-AFBC-F2ED4ED2AEC5}">
      <text>
        <r>
          <rPr>
            <sz val="9"/>
            <color indexed="81"/>
            <rFont val="Tahoma"/>
            <family val="2"/>
          </rPr>
          <t>Formation</t>
        </r>
      </text>
    </comment>
    <comment ref="AI22" authorId="1" shapeId="0" xr:uid="{984995AB-CFD6-4F2E-8113-A1C08783C4ED}">
      <text>
        <r>
          <rPr>
            <sz val="9"/>
            <color indexed="81"/>
            <rFont val="Tahoma"/>
            <family val="2"/>
          </rPr>
          <t>Formation</t>
        </r>
      </text>
    </comment>
    <comment ref="AJ22" authorId="1" shapeId="0" xr:uid="{2E51CEEC-0491-4A7C-B2C4-F3B8C5B8D6EC}">
      <text>
        <r>
          <rPr>
            <sz val="9"/>
            <color indexed="81"/>
            <rFont val="Tahoma"/>
            <family val="2"/>
          </rPr>
          <t>Formation</t>
        </r>
      </text>
    </comment>
    <comment ref="AM22" authorId="1" shapeId="0" xr:uid="{2ACADB06-51F4-4890-9E80-364E52BD998B}">
      <text>
        <r>
          <rPr>
            <sz val="9"/>
            <color indexed="81"/>
            <rFont val="Tahoma"/>
            <family val="2"/>
          </rPr>
          <t>Formation</t>
        </r>
      </text>
    </comment>
    <comment ref="AN22" authorId="1" shapeId="0" xr:uid="{257F5570-1CF1-4EC4-A975-F5956BD47BA2}">
      <text>
        <r>
          <rPr>
            <sz val="9"/>
            <color indexed="81"/>
            <rFont val="Tahoma"/>
            <family val="2"/>
          </rPr>
          <t>Formation</t>
        </r>
      </text>
    </comment>
    <comment ref="AO22" authorId="1" shapeId="0" xr:uid="{A5766441-26B9-4B85-A7F3-6CB42B7C9788}">
      <text>
        <r>
          <rPr>
            <sz val="9"/>
            <color indexed="81"/>
            <rFont val="Tahoma"/>
            <family val="2"/>
          </rPr>
          <t>Formation</t>
        </r>
      </text>
    </comment>
    <comment ref="AP22" authorId="1" shapeId="0" xr:uid="{01477864-34A6-4F16-A6B9-6C6DD818BC33}">
      <text>
        <r>
          <rPr>
            <sz val="9"/>
            <color indexed="81"/>
            <rFont val="Tahoma"/>
            <family val="2"/>
          </rPr>
          <t>Formation</t>
        </r>
      </text>
    </comment>
    <comment ref="AQ22" authorId="1" shapeId="0" xr:uid="{3DD42043-C9F6-4539-8768-69062F38D8A1}">
      <text>
        <r>
          <rPr>
            <sz val="9"/>
            <color indexed="81"/>
            <rFont val="Tahoma"/>
            <family val="2"/>
          </rPr>
          <t>Formation</t>
        </r>
      </text>
    </comment>
    <comment ref="AT22" authorId="1" shapeId="0" xr:uid="{9218B649-B22D-4E39-8EAC-56172674924F}">
      <text>
        <r>
          <rPr>
            <sz val="9"/>
            <color indexed="81"/>
            <rFont val="Tahoma"/>
            <family val="2"/>
          </rPr>
          <t>Formation</t>
        </r>
      </text>
    </comment>
    <comment ref="AU22" authorId="1" shapeId="0" xr:uid="{A18C2AFF-ED19-40A2-B735-7856B5BF67B4}">
      <text>
        <r>
          <rPr>
            <sz val="9"/>
            <color indexed="81"/>
            <rFont val="Tahoma"/>
            <family val="2"/>
          </rPr>
          <t>Formation</t>
        </r>
      </text>
    </comment>
    <comment ref="AV22" authorId="1" shapeId="0" xr:uid="{82E5FC21-B3AE-499A-8C9F-94A2CDCCFFB5}">
      <text>
        <r>
          <rPr>
            <sz val="9"/>
            <color indexed="81"/>
            <rFont val="Tahoma"/>
            <family val="2"/>
          </rPr>
          <t>Formation</t>
        </r>
      </text>
    </comment>
    <comment ref="AW22" authorId="1" shapeId="0" xr:uid="{3C42D392-4A2B-4993-B731-67711336E9BB}">
      <text>
        <r>
          <rPr>
            <sz val="9"/>
            <color indexed="81"/>
            <rFont val="Tahoma"/>
            <family val="2"/>
          </rPr>
          <t>Formation</t>
        </r>
      </text>
    </comment>
    <comment ref="AX22" authorId="1" shapeId="0" xr:uid="{2E55B4C9-8349-480C-A627-8293B94250C8}">
      <text>
        <r>
          <rPr>
            <sz val="9"/>
            <color indexed="81"/>
            <rFont val="Tahoma"/>
            <family val="2"/>
          </rPr>
          <t>Formation</t>
        </r>
      </text>
    </comment>
    <comment ref="BA22" authorId="1" shapeId="0" xr:uid="{72339FAC-09A2-4C70-9383-BCE6FE609391}">
      <text>
        <r>
          <rPr>
            <sz val="9"/>
            <color indexed="81"/>
            <rFont val="Tahoma"/>
            <family val="2"/>
          </rPr>
          <t>Formation</t>
        </r>
      </text>
    </comment>
    <comment ref="BB22" authorId="1" shapeId="0" xr:uid="{614D5274-F90C-4AEA-A69C-73B07E5B0EF5}">
      <text>
        <r>
          <rPr>
            <sz val="9"/>
            <color indexed="81"/>
            <rFont val="Tahoma"/>
            <family val="2"/>
          </rPr>
          <t>Formation</t>
        </r>
      </text>
    </comment>
    <comment ref="BC22" authorId="1" shapeId="0" xr:uid="{C1101409-5FBA-40CC-8A73-5E73934F72BD}">
      <text>
        <r>
          <rPr>
            <sz val="9"/>
            <color indexed="81"/>
            <rFont val="Tahoma"/>
            <family val="2"/>
          </rPr>
          <t>Formation</t>
        </r>
      </text>
    </comment>
    <comment ref="BD22" authorId="1" shapeId="0" xr:uid="{AD0A3FD1-B6AF-4820-8025-E35C4AB4746E}">
      <text>
        <r>
          <rPr>
            <sz val="9"/>
            <color indexed="81"/>
            <rFont val="Tahoma"/>
            <family val="2"/>
          </rPr>
          <t>Formation</t>
        </r>
      </text>
    </comment>
    <comment ref="BE22" authorId="1" shapeId="0" xr:uid="{F7EE4CA7-9BF6-4171-8A69-50BDF798D7DE}">
      <text>
        <r>
          <rPr>
            <sz val="9"/>
            <color indexed="81"/>
            <rFont val="Tahoma"/>
            <family val="2"/>
          </rPr>
          <t>Formation</t>
        </r>
      </text>
    </comment>
    <comment ref="BH22" authorId="1" shapeId="0" xr:uid="{9A5ADA9E-5287-4AC1-9BF2-FB6597C343D0}">
      <text>
        <r>
          <rPr>
            <sz val="9"/>
            <color indexed="81"/>
            <rFont val="Tahoma"/>
            <family val="2"/>
          </rPr>
          <t>Formation</t>
        </r>
      </text>
    </comment>
    <comment ref="BI22" authorId="1" shapeId="0" xr:uid="{B4397C96-4B1A-499D-8783-F0241461C150}">
      <text>
        <r>
          <rPr>
            <sz val="9"/>
            <color indexed="81"/>
            <rFont val="Tahoma"/>
            <family val="2"/>
          </rPr>
          <t>Formation</t>
        </r>
      </text>
    </comment>
    <comment ref="BJ22" authorId="1" shapeId="0" xr:uid="{5FDC9247-FF45-4FB9-B388-4FE5C962FEA4}">
      <text>
        <r>
          <rPr>
            <sz val="9"/>
            <color indexed="81"/>
            <rFont val="Tahoma"/>
            <family val="2"/>
          </rPr>
          <t>Formation</t>
        </r>
      </text>
    </comment>
    <comment ref="BK22" authorId="1" shapeId="0" xr:uid="{6DBFEDB3-BC64-4272-8A6A-BAD014751134}">
      <text>
        <r>
          <rPr>
            <sz val="9"/>
            <color indexed="81"/>
            <rFont val="Tahoma"/>
            <family val="2"/>
          </rPr>
          <t>Formation</t>
        </r>
      </text>
    </comment>
    <comment ref="BL22" authorId="1" shapeId="0" xr:uid="{D1D78678-224E-4C24-80B2-6E342D68FD99}">
      <text>
        <r>
          <rPr>
            <sz val="9"/>
            <color indexed="81"/>
            <rFont val="Tahoma"/>
            <family val="2"/>
          </rPr>
          <t>Formation</t>
        </r>
      </text>
    </comment>
    <comment ref="BO22" authorId="1" shapeId="0" xr:uid="{55EE41B6-63C0-4B42-996A-EE79C1DAC51C}">
      <text>
        <r>
          <rPr>
            <sz val="9"/>
            <color indexed="81"/>
            <rFont val="Tahoma"/>
            <family val="2"/>
          </rPr>
          <t>Formation</t>
        </r>
      </text>
    </comment>
    <comment ref="BP22" authorId="1" shapeId="0" xr:uid="{2E3F0D86-CEE4-4B57-B975-2DDFBD0C8897}">
      <text>
        <r>
          <rPr>
            <sz val="9"/>
            <color indexed="81"/>
            <rFont val="Tahoma"/>
            <family val="2"/>
          </rPr>
          <t>Formation</t>
        </r>
      </text>
    </comment>
    <comment ref="BQ22" authorId="1" shapeId="0" xr:uid="{087F7B3C-9761-4310-B883-86BD80CE9001}">
      <text>
        <r>
          <rPr>
            <sz val="9"/>
            <color indexed="81"/>
            <rFont val="Tahoma"/>
            <family val="2"/>
          </rPr>
          <t>Formation</t>
        </r>
      </text>
    </comment>
    <comment ref="BR22" authorId="1" shapeId="0" xr:uid="{9F40965A-0D43-4E85-AE42-8A39F538748A}">
      <text>
        <r>
          <rPr>
            <sz val="9"/>
            <color indexed="81"/>
            <rFont val="Tahoma"/>
            <family val="2"/>
          </rPr>
          <t>Formation</t>
        </r>
      </text>
    </comment>
    <comment ref="BS22" authorId="1" shapeId="0" xr:uid="{C5885AAE-354E-45BB-863A-AAF850A298AA}">
      <text>
        <r>
          <rPr>
            <sz val="9"/>
            <color indexed="81"/>
            <rFont val="Tahoma"/>
            <family val="2"/>
          </rPr>
          <t>Formation</t>
        </r>
      </text>
    </comment>
    <comment ref="BV22" authorId="1" shapeId="0" xr:uid="{25E5E6B4-AB65-4649-BC8F-C2D4CDC43F0C}">
      <text>
        <r>
          <rPr>
            <sz val="9"/>
            <color indexed="81"/>
            <rFont val="Tahoma"/>
            <family val="2"/>
          </rPr>
          <t>Formation</t>
        </r>
      </text>
    </comment>
    <comment ref="BW22" authorId="1" shapeId="0" xr:uid="{25D0C22F-6F8E-47DB-B004-AACDF404CB86}">
      <text>
        <r>
          <rPr>
            <sz val="9"/>
            <color indexed="81"/>
            <rFont val="Tahoma"/>
            <family val="2"/>
          </rPr>
          <t>Formation</t>
        </r>
      </text>
    </comment>
    <comment ref="BX22" authorId="1" shapeId="0" xr:uid="{8E05A9A6-8F73-44D9-A8CB-6AFCF36610C2}">
      <text>
        <r>
          <rPr>
            <sz val="9"/>
            <color indexed="81"/>
            <rFont val="Tahoma"/>
            <family val="2"/>
          </rPr>
          <t>Formation</t>
        </r>
      </text>
    </comment>
    <comment ref="BY22" authorId="1" shapeId="0" xr:uid="{0898E8C5-8F9C-41C0-9BB0-773764EA7FD7}">
      <text>
        <r>
          <rPr>
            <sz val="9"/>
            <color indexed="81"/>
            <rFont val="Tahoma"/>
            <family val="2"/>
          </rPr>
          <t>Formation</t>
        </r>
      </text>
    </comment>
    <comment ref="BZ22" authorId="1" shapeId="0" xr:uid="{45E448AE-3511-4226-8A2F-334AA4678E30}">
      <text>
        <r>
          <rPr>
            <sz val="9"/>
            <color indexed="81"/>
            <rFont val="Tahoma"/>
            <family val="2"/>
          </rPr>
          <t>Formation</t>
        </r>
      </text>
    </comment>
    <comment ref="CC22" authorId="1" shapeId="0" xr:uid="{4B477799-4CE5-4A1B-AFF1-E52CE01445C1}">
      <text>
        <r>
          <rPr>
            <sz val="9"/>
            <color indexed="81"/>
            <rFont val="Tahoma"/>
            <family val="2"/>
          </rPr>
          <t>Formation</t>
        </r>
      </text>
    </comment>
    <comment ref="CD22" authorId="1" shapeId="0" xr:uid="{6CE125DD-A6F9-48A8-BE88-B7ED47A28050}">
      <text>
        <r>
          <rPr>
            <sz val="9"/>
            <color indexed="81"/>
            <rFont val="Tahoma"/>
            <family val="2"/>
          </rPr>
          <t>Formation</t>
        </r>
      </text>
    </comment>
    <comment ref="CE22" authorId="1" shapeId="0" xr:uid="{65D33B97-3BEC-4E4E-95E7-88571210047B}">
      <text>
        <r>
          <rPr>
            <sz val="9"/>
            <color indexed="81"/>
            <rFont val="Tahoma"/>
            <family val="2"/>
          </rPr>
          <t>Formation</t>
        </r>
      </text>
    </comment>
    <comment ref="CF22" authorId="1" shapeId="0" xr:uid="{3E538910-3865-4BA9-8FE3-C9E3BCB38298}">
      <text>
        <r>
          <rPr>
            <sz val="9"/>
            <color indexed="81"/>
            <rFont val="Tahoma"/>
            <family val="2"/>
          </rPr>
          <t>Formation</t>
        </r>
      </text>
    </comment>
    <comment ref="CG22" authorId="1" shapeId="0" xr:uid="{8B4B5F09-91ED-42C2-A840-11E484DA3926}">
      <text>
        <r>
          <rPr>
            <sz val="9"/>
            <color indexed="81"/>
            <rFont val="Tahoma"/>
            <family val="2"/>
          </rPr>
          <t>Formation</t>
        </r>
      </text>
    </comment>
    <comment ref="CJ22" authorId="1" shapeId="0" xr:uid="{7AF3A1C0-B3CA-4E77-8EB8-DC1719B41898}">
      <text>
        <r>
          <rPr>
            <sz val="9"/>
            <color indexed="81"/>
            <rFont val="Tahoma"/>
            <family val="2"/>
          </rPr>
          <t>Formation</t>
        </r>
      </text>
    </comment>
    <comment ref="CK22" authorId="1" shapeId="0" xr:uid="{333DB06B-C7E9-4CB2-B9B1-266BFDB78CE1}">
      <text>
        <r>
          <rPr>
            <sz val="9"/>
            <color indexed="81"/>
            <rFont val="Tahoma"/>
            <family val="2"/>
          </rPr>
          <t>Formation</t>
        </r>
      </text>
    </comment>
    <comment ref="CL22" authorId="1" shapeId="0" xr:uid="{4B30E927-B97F-439D-BEBC-A8F677A8D927}">
      <text>
        <r>
          <rPr>
            <sz val="9"/>
            <color indexed="81"/>
            <rFont val="Tahoma"/>
            <family val="2"/>
          </rPr>
          <t>Formation</t>
        </r>
      </text>
    </comment>
    <comment ref="CM22" authorId="1" shapeId="0" xr:uid="{6A769AD5-C236-44D0-AE5E-0F1075B6E6D4}">
      <text>
        <r>
          <rPr>
            <sz val="9"/>
            <color indexed="81"/>
            <rFont val="Tahoma"/>
            <family val="2"/>
          </rPr>
          <t>Formation</t>
        </r>
      </text>
    </comment>
    <comment ref="CN22" authorId="1" shapeId="0" xr:uid="{01F67B64-F438-4DC5-9A90-755EC3D8ABAB}">
      <text>
        <r>
          <rPr>
            <sz val="9"/>
            <color indexed="81"/>
            <rFont val="Tahoma"/>
            <family val="2"/>
          </rPr>
          <t>Formation</t>
        </r>
      </text>
    </comment>
    <comment ref="CQ22" authorId="1" shapeId="0" xr:uid="{39F76F6F-40AA-47F4-A8A5-856FBD924145}">
      <text>
        <r>
          <rPr>
            <sz val="9"/>
            <color indexed="81"/>
            <rFont val="Tahoma"/>
            <family val="2"/>
          </rPr>
          <t>Formation</t>
        </r>
      </text>
    </comment>
    <comment ref="CR22" authorId="1" shapeId="0" xr:uid="{EA126DC9-1430-4D83-9BB7-4E86950C8848}">
      <text>
        <r>
          <rPr>
            <sz val="9"/>
            <color indexed="81"/>
            <rFont val="Tahoma"/>
            <family val="2"/>
          </rPr>
          <t>Formation</t>
        </r>
      </text>
    </comment>
    <comment ref="CS22" authorId="1" shapeId="0" xr:uid="{4E951C50-0839-4DF8-A2C1-A497CE875251}">
      <text>
        <r>
          <rPr>
            <sz val="9"/>
            <color indexed="81"/>
            <rFont val="Tahoma"/>
            <family val="2"/>
          </rPr>
          <t>Formation</t>
        </r>
      </text>
    </comment>
    <comment ref="CT22" authorId="1" shapeId="0" xr:uid="{91A24FDA-BB93-4237-90EE-E643C76967EB}">
      <text>
        <r>
          <rPr>
            <sz val="9"/>
            <color indexed="81"/>
            <rFont val="Tahoma"/>
            <family val="2"/>
          </rPr>
          <t>Formation</t>
        </r>
      </text>
    </comment>
    <comment ref="CU22" authorId="1" shapeId="0" xr:uid="{396430C6-79E1-4995-96E8-588C2AA18959}">
      <text>
        <r>
          <rPr>
            <sz val="9"/>
            <color indexed="81"/>
            <rFont val="Tahoma"/>
            <family val="2"/>
          </rPr>
          <t>Formation</t>
        </r>
      </text>
    </comment>
    <comment ref="BO24" authorId="1" shapeId="0" xr:uid="{019BBC31-4618-433E-9751-C8977D513AC1}">
      <text>
        <r>
          <rPr>
            <sz val="9"/>
            <color indexed="81"/>
            <rFont val="Tahoma"/>
            <family val="2"/>
          </rPr>
          <t>Formation</t>
        </r>
      </text>
    </comment>
    <comment ref="BP24" authorId="1" shapeId="0" xr:uid="{8D0FCE97-3D4D-4331-8409-C51E489AC819}">
      <text>
        <r>
          <rPr>
            <sz val="9"/>
            <color indexed="81"/>
            <rFont val="Tahoma"/>
            <family val="2"/>
          </rPr>
          <t>Formation</t>
        </r>
      </text>
    </comment>
    <comment ref="BQ24" authorId="1" shapeId="0" xr:uid="{D34D066C-0BE4-4B71-8A1C-BE596E3A3C17}">
      <text>
        <r>
          <rPr>
            <sz val="9"/>
            <color indexed="81"/>
            <rFont val="Tahoma"/>
            <family val="2"/>
          </rPr>
          <t>Formation</t>
        </r>
      </text>
    </comment>
    <comment ref="BR24" authorId="1" shapeId="0" xr:uid="{E6BCA051-14C1-4E40-9209-33F7D4BB3832}">
      <text>
        <r>
          <rPr>
            <sz val="9"/>
            <color indexed="81"/>
            <rFont val="Tahoma"/>
            <family val="2"/>
          </rPr>
          <t>Formation</t>
        </r>
      </text>
    </comment>
    <comment ref="BS24" authorId="1" shapeId="0" xr:uid="{8623D104-25B9-48EF-B737-F0D033035A74}">
      <text>
        <r>
          <rPr>
            <sz val="9"/>
            <color indexed="81"/>
            <rFont val="Tahoma"/>
            <family val="2"/>
          </rPr>
          <t>Formation</t>
        </r>
      </text>
    </comment>
    <comment ref="BV24" authorId="1" shapeId="0" xr:uid="{69F28593-54A7-48E3-B59C-41C4538B81F6}">
      <text>
        <r>
          <rPr>
            <sz val="9"/>
            <color indexed="81"/>
            <rFont val="Tahoma"/>
            <family val="2"/>
          </rPr>
          <t>Formation</t>
        </r>
      </text>
    </comment>
    <comment ref="BW24" authorId="1" shapeId="0" xr:uid="{DDFDC447-B0DC-4761-AD64-125F8BF4A6F8}">
      <text>
        <r>
          <rPr>
            <sz val="9"/>
            <color indexed="81"/>
            <rFont val="Tahoma"/>
            <family val="2"/>
          </rPr>
          <t>Formation</t>
        </r>
      </text>
    </comment>
    <comment ref="BX24" authorId="1" shapeId="0" xr:uid="{5DDFA94E-9576-45B5-B998-EAC0BF5391B7}">
      <text>
        <r>
          <rPr>
            <sz val="9"/>
            <color indexed="81"/>
            <rFont val="Tahoma"/>
            <family val="2"/>
          </rPr>
          <t>Formation</t>
        </r>
      </text>
    </comment>
    <comment ref="BY24" authorId="1" shapeId="0" xr:uid="{A453CCB6-938D-4276-960F-49215A5092D7}">
      <text>
        <r>
          <rPr>
            <sz val="9"/>
            <color indexed="81"/>
            <rFont val="Tahoma"/>
            <family val="2"/>
          </rPr>
          <t>Formation</t>
        </r>
      </text>
    </comment>
    <comment ref="BZ24" authorId="1" shapeId="0" xr:uid="{71E91926-42D9-48C5-83D2-29D89D6C9C74}">
      <text>
        <r>
          <rPr>
            <sz val="9"/>
            <color indexed="81"/>
            <rFont val="Tahoma"/>
            <family val="2"/>
          </rPr>
          <t>Formation</t>
        </r>
      </text>
    </comment>
    <comment ref="CC24" authorId="1" shapeId="0" xr:uid="{5171FCA1-BF4D-4011-972A-6302D9599655}">
      <text>
        <r>
          <rPr>
            <sz val="9"/>
            <color indexed="81"/>
            <rFont val="Tahoma"/>
            <family val="2"/>
          </rPr>
          <t>Formation</t>
        </r>
      </text>
    </comment>
    <comment ref="CD24" authorId="1" shapeId="0" xr:uid="{9C7C8369-71C4-4551-A02E-D7B180357902}">
      <text>
        <r>
          <rPr>
            <sz val="9"/>
            <color indexed="81"/>
            <rFont val="Tahoma"/>
            <family val="2"/>
          </rPr>
          <t>Formation</t>
        </r>
      </text>
    </comment>
    <comment ref="CE24" authorId="1" shapeId="0" xr:uid="{42E80654-8AA0-4553-9D62-F6861232AF3F}">
      <text>
        <r>
          <rPr>
            <sz val="9"/>
            <color indexed="81"/>
            <rFont val="Tahoma"/>
            <family val="2"/>
          </rPr>
          <t>Formation</t>
        </r>
      </text>
    </comment>
    <comment ref="CF24" authorId="1" shapeId="0" xr:uid="{2E46BD8E-E9F6-4900-BB16-2711D48AAADE}">
      <text>
        <r>
          <rPr>
            <sz val="9"/>
            <color indexed="81"/>
            <rFont val="Tahoma"/>
            <family val="2"/>
          </rPr>
          <t>Formation</t>
        </r>
      </text>
    </comment>
    <comment ref="CG24" authorId="1" shapeId="0" xr:uid="{42B023A5-2074-4589-B44F-9BCFC31C6FD7}">
      <text>
        <r>
          <rPr>
            <sz val="9"/>
            <color indexed="81"/>
            <rFont val="Tahoma"/>
            <family val="2"/>
          </rPr>
          <t>Formation</t>
        </r>
      </text>
    </comment>
    <comment ref="CJ24" authorId="1" shapeId="0" xr:uid="{B46314C1-354C-4B0A-93BE-353C2CA8A7B1}">
      <text>
        <r>
          <rPr>
            <sz val="9"/>
            <color indexed="81"/>
            <rFont val="Tahoma"/>
            <family val="2"/>
          </rPr>
          <t>Formation</t>
        </r>
      </text>
    </comment>
    <comment ref="CK24" authorId="1" shapeId="0" xr:uid="{90389845-08AC-464A-A408-A6E051876C9C}">
      <text>
        <r>
          <rPr>
            <sz val="9"/>
            <color indexed="81"/>
            <rFont val="Tahoma"/>
            <family val="2"/>
          </rPr>
          <t>Formation</t>
        </r>
      </text>
    </comment>
    <comment ref="CL24" authorId="1" shapeId="0" xr:uid="{1DFFC6D1-1819-4FB6-98D3-799F6D112187}">
      <text>
        <r>
          <rPr>
            <sz val="9"/>
            <color indexed="81"/>
            <rFont val="Tahoma"/>
            <family val="2"/>
          </rPr>
          <t>Formation</t>
        </r>
      </text>
    </comment>
    <comment ref="CM24" authorId="1" shapeId="0" xr:uid="{4F292963-71CA-41F3-B8D3-4EE1C0F95282}">
      <text>
        <r>
          <rPr>
            <sz val="9"/>
            <color indexed="81"/>
            <rFont val="Tahoma"/>
            <family val="2"/>
          </rPr>
          <t>Formation</t>
        </r>
      </text>
    </comment>
    <comment ref="CN24" authorId="1" shapeId="0" xr:uid="{C016BE60-4DDA-4846-8502-D3694BDAE58E}">
      <text>
        <r>
          <rPr>
            <sz val="9"/>
            <color indexed="81"/>
            <rFont val="Tahoma"/>
            <family val="2"/>
          </rPr>
          <t>Formation</t>
        </r>
      </text>
    </comment>
    <comment ref="CQ24" authorId="1" shapeId="0" xr:uid="{5D40B03A-CF04-4ABB-82A4-DA7E8E0D59E7}">
      <text>
        <r>
          <rPr>
            <sz val="9"/>
            <color indexed="81"/>
            <rFont val="Tahoma"/>
            <family val="2"/>
          </rPr>
          <t>Formation</t>
        </r>
      </text>
    </comment>
    <comment ref="CR24" authorId="1" shapeId="0" xr:uid="{F1FA8DD0-7159-482B-B155-981FCF03D07C}">
      <text>
        <r>
          <rPr>
            <sz val="9"/>
            <color indexed="81"/>
            <rFont val="Tahoma"/>
            <family val="2"/>
          </rPr>
          <t>Formation</t>
        </r>
      </text>
    </comment>
    <comment ref="CS24" authorId="1" shapeId="0" xr:uid="{FA710D5B-A5E2-4DD1-AC55-0FE5885FC6FB}">
      <text>
        <r>
          <rPr>
            <sz val="9"/>
            <color indexed="81"/>
            <rFont val="Tahoma"/>
            <family val="2"/>
          </rPr>
          <t>Formation</t>
        </r>
      </text>
    </comment>
    <comment ref="CT24" authorId="1" shapeId="0" xr:uid="{62B650C1-FCD4-4F35-B23A-7C199A8B9F1D}">
      <text>
        <r>
          <rPr>
            <sz val="9"/>
            <color indexed="81"/>
            <rFont val="Tahoma"/>
            <family val="2"/>
          </rPr>
          <t>Formation</t>
        </r>
      </text>
    </comment>
    <comment ref="CU24" authorId="1" shapeId="0" xr:uid="{E63A7DDB-ECD3-4B1B-9E7B-75DE1CA63BAD}">
      <text>
        <r>
          <rPr>
            <sz val="9"/>
            <color indexed="81"/>
            <rFont val="Tahoma"/>
            <family val="2"/>
          </rPr>
          <t>Formation</t>
        </r>
      </text>
    </comment>
    <comment ref="BO26" authorId="1" shapeId="0" xr:uid="{5E3883DB-2175-4DAD-BD44-C5B5F1032B61}">
      <text>
        <r>
          <rPr>
            <sz val="9"/>
            <color indexed="81"/>
            <rFont val="Tahoma"/>
            <family val="2"/>
          </rPr>
          <t>Formation</t>
        </r>
      </text>
    </comment>
    <comment ref="BP26" authorId="1" shapeId="0" xr:uid="{5B82E631-4A41-47DC-B91D-D37692C6FF14}">
      <text>
        <r>
          <rPr>
            <sz val="9"/>
            <color indexed="81"/>
            <rFont val="Tahoma"/>
            <family val="2"/>
          </rPr>
          <t>Formation</t>
        </r>
      </text>
    </comment>
    <comment ref="BQ26" authorId="1" shapeId="0" xr:uid="{8BAC1631-8A99-4A98-ABF0-C1EEDE2D8D26}">
      <text>
        <r>
          <rPr>
            <sz val="9"/>
            <color indexed="81"/>
            <rFont val="Tahoma"/>
            <family val="2"/>
          </rPr>
          <t>Formation</t>
        </r>
      </text>
    </comment>
    <comment ref="BR26" authorId="1" shapeId="0" xr:uid="{39F96A04-1934-41A4-97CF-1904A97AE0BE}">
      <text>
        <r>
          <rPr>
            <sz val="9"/>
            <color indexed="81"/>
            <rFont val="Tahoma"/>
            <family val="2"/>
          </rPr>
          <t>Formation</t>
        </r>
      </text>
    </comment>
    <comment ref="BS26" authorId="1" shapeId="0" xr:uid="{5836656E-FF9A-4249-8C37-85E235DD26D3}">
      <text>
        <r>
          <rPr>
            <sz val="9"/>
            <color indexed="81"/>
            <rFont val="Tahoma"/>
            <family val="2"/>
          </rPr>
          <t>Formation</t>
        </r>
      </text>
    </comment>
    <comment ref="BV26" authorId="1" shapeId="0" xr:uid="{888ADF2A-B671-4FFA-A9B1-404E261A79AA}">
      <text>
        <r>
          <rPr>
            <sz val="9"/>
            <color indexed="81"/>
            <rFont val="Tahoma"/>
            <family val="2"/>
          </rPr>
          <t>Formation</t>
        </r>
      </text>
    </comment>
    <comment ref="BW26" authorId="1" shapeId="0" xr:uid="{9B216811-5F0E-430F-B4A5-BED42688E26F}">
      <text>
        <r>
          <rPr>
            <sz val="9"/>
            <color indexed="81"/>
            <rFont val="Tahoma"/>
            <family val="2"/>
          </rPr>
          <t>Formation</t>
        </r>
      </text>
    </comment>
    <comment ref="BX26" authorId="1" shapeId="0" xr:uid="{3CB4E0D9-8EA9-402D-8CEF-0429F527A294}">
      <text>
        <r>
          <rPr>
            <sz val="9"/>
            <color indexed="81"/>
            <rFont val="Tahoma"/>
            <family val="2"/>
          </rPr>
          <t>Formation</t>
        </r>
      </text>
    </comment>
    <comment ref="BY26" authorId="1" shapeId="0" xr:uid="{518A1F24-69D6-4CF4-A3C6-9C7BAD1D21AF}">
      <text>
        <r>
          <rPr>
            <sz val="9"/>
            <color indexed="81"/>
            <rFont val="Tahoma"/>
            <family val="2"/>
          </rPr>
          <t>Formation</t>
        </r>
      </text>
    </comment>
    <comment ref="BZ26" authorId="1" shapeId="0" xr:uid="{3C8F8449-C078-4D91-ABDD-9153B5B610C7}">
      <text>
        <r>
          <rPr>
            <sz val="9"/>
            <color indexed="81"/>
            <rFont val="Tahoma"/>
            <family val="2"/>
          </rPr>
          <t>Formation</t>
        </r>
      </text>
    </comment>
    <comment ref="CC26" authorId="1" shapeId="0" xr:uid="{B2B005AA-82C5-40FF-8654-3FB4C964E85E}">
      <text>
        <r>
          <rPr>
            <sz val="9"/>
            <color indexed="81"/>
            <rFont val="Tahoma"/>
            <family val="2"/>
          </rPr>
          <t>Formation</t>
        </r>
      </text>
    </comment>
    <comment ref="CD26" authorId="1" shapeId="0" xr:uid="{086C9599-E15B-4C3D-95C0-3ABFEF6E335C}">
      <text>
        <r>
          <rPr>
            <sz val="9"/>
            <color indexed="81"/>
            <rFont val="Tahoma"/>
            <family val="2"/>
          </rPr>
          <t>Formation</t>
        </r>
      </text>
    </comment>
    <comment ref="CE26" authorId="1" shapeId="0" xr:uid="{F76F41E4-5F43-4437-9459-1B6EB1C9D4B9}">
      <text>
        <r>
          <rPr>
            <sz val="9"/>
            <color indexed="81"/>
            <rFont val="Tahoma"/>
            <family val="2"/>
          </rPr>
          <t>Formation</t>
        </r>
      </text>
    </comment>
    <comment ref="CF26" authorId="1" shapeId="0" xr:uid="{763AF107-752C-432A-A542-FAF14CC4DAAD}">
      <text>
        <r>
          <rPr>
            <sz val="9"/>
            <color indexed="81"/>
            <rFont val="Tahoma"/>
            <family val="2"/>
          </rPr>
          <t>Formation</t>
        </r>
      </text>
    </comment>
    <comment ref="CG26" authorId="1" shapeId="0" xr:uid="{135FFED6-932E-4532-9A64-EC4970E84EB1}">
      <text>
        <r>
          <rPr>
            <sz val="9"/>
            <color indexed="81"/>
            <rFont val="Tahoma"/>
            <family val="2"/>
          </rPr>
          <t>Formation</t>
        </r>
      </text>
    </comment>
    <comment ref="CJ26" authorId="1" shapeId="0" xr:uid="{11A3985B-E7EF-4920-9F03-948EA93B9BDB}">
      <text>
        <r>
          <rPr>
            <sz val="9"/>
            <color indexed="81"/>
            <rFont val="Tahoma"/>
            <family val="2"/>
          </rPr>
          <t>Formation</t>
        </r>
      </text>
    </comment>
    <comment ref="CK26" authorId="1" shapeId="0" xr:uid="{182CE1F1-065F-4E95-93F1-2E6C0CF74042}">
      <text>
        <r>
          <rPr>
            <sz val="9"/>
            <color indexed="81"/>
            <rFont val="Tahoma"/>
            <family val="2"/>
          </rPr>
          <t>Formation</t>
        </r>
      </text>
    </comment>
    <comment ref="CL26" authorId="1" shapeId="0" xr:uid="{00CEB3C9-02A3-4A97-B60C-26A4C63FC472}">
      <text>
        <r>
          <rPr>
            <sz val="9"/>
            <color indexed="81"/>
            <rFont val="Tahoma"/>
            <family val="2"/>
          </rPr>
          <t>Formation</t>
        </r>
      </text>
    </comment>
    <comment ref="CM26" authorId="1" shapeId="0" xr:uid="{469ADA9D-4447-4897-A78E-9732397D0EE6}">
      <text>
        <r>
          <rPr>
            <sz val="9"/>
            <color indexed="81"/>
            <rFont val="Tahoma"/>
            <family val="2"/>
          </rPr>
          <t>Formation</t>
        </r>
      </text>
    </comment>
    <comment ref="CN26" authorId="1" shapeId="0" xr:uid="{3C39B8D0-529E-444A-883A-8D3D8D355D30}">
      <text>
        <r>
          <rPr>
            <sz val="9"/>
            <color indexed="81"/>
            <rFont val="Tahoma"/>
            <family val="2"/>
          </rPr>
          <t>Formation</t>
        </r>
      </text>
    </comment>
    <comment ref="CQ26" authorId="1" shapeId="0" xr:uid="{439D9015-D747-403F-A6AC-35FCBD0876BB}">
      <text>
        <r>
          <rPr>
            <sz val="9"/>
            <color indexed="81"/>
            <rFont val="Tahoma"/>
            <family val="2"/>
          </rPr>
          <t>Formation</t>
        </r>
      </text>
    </comment>
    <comment ref="CR26" authorId="1" shapeId="0" xr:uid="{FE367EAF-8DA6-4EA2-BD81-4BACA71C246B}">
      <text>
        <r>
          <rPr>
            <sz val="9"/>
            <color indexed="81"/>
            <rFont val="Tahoma"/>
            <family val="2"/>
          </rPr>
          <t>Formation</t>
        </r>
      </text>
    </comment>
    <comment ref="CS26" authorId="1" shapeId="0" xr:uid="{C2258253-B464-4CF5-B4A7-FBAF0F3FB872}">
      <text>
        <r>
          <rPr>
            <sz val="9"/>
            <color indexed="81"/>
            <rFont val="Tahoma"/>
            <family val="2"/>
          </rPr>
          <t>Formation</t>
        </r>
      </text>
    </comment>
    <comment ref="CT26" authorId="1" shapeId="0" xr:uid="{E29BE61F-29E8-4DE3-8AD5-1ABB9E7B161C}">
      <text>
        <r>
          <rPr>
            <sz val="9"/>
            <color indexed="81"/>
            <rFont val="Tahoma"/>
            <family val="2"/>
          </rPr>
          <t>Formation</t>
        </r>
      </text>
    </comment>
    <comment ref="CU26" authorId="1" shapeId="0" xr:uid="{043A86F3-3A45-4B6A-84AE-C77278421E27}">
      <text>
        <r>
          <rPr>
            <sz val="9"/>
            <color indexed="81"/>
            <rFont val="Tahoma"/>
            <family val="2"/>
          </rPr>
          <t>Formation</t>
        </r>
      </text>
    </comment>
    <comment ref="CC28" authorId="1" shapeId="0" xr:uid="{CC71E7AE-BC90-4DD9-9375-48522BBE7DB9}">
      <text>
        <r>
          <rPr>
            <sz val="9"/>
            <color indexed="81"/>
            <rFont val="Tahoma"/>
            <family val="2"/>
          </rPr>
          <t>Formation</t>
        </r>
      </text>
    </comment>
    <comment ref="CD28" authorId="1" shapeId="0" xr:uid="{4D0FD23D-6875-48FF-B78B-17FE3DC90110}">
      <text>
        <r>
          <rPr>
            <sz val="9"/>
            <color indexed="81"/>
            <rFont val="Tahoma"/>
            <family val="2"/>
          </rPr>
          <t>Formation</t>
        </r>
      </text>
    </comment>
    <comment ref="CE28" authorId="1" shapeId="0" xr:uid="{DDE31891-D7CF-4DBF-82FB-2A1C38A26A76}">
      <text>
        <r>
          <rPr>
            <sz val="9"/>
            <color indexed="81"/>
            <rFont val="Tahoma"/>
            <family val="2"/>
          </rPr>
          <t>Formation</t>
        </r>
      </text>
    </comment>
    <comment ref="CF28" authorId="1" shapeId="0" xr:uid="{AA27F1BA-C0DD-449F-B175-A34FC787907A}">
      <text>
        <r>
          <rPr>
            <sz val="9"/>
            <color indexed="81"/>
            <rFont val="Tahoma"/>
            <family val="2"/>
          </rPr>
          <t>Formation</t>
        </r>
      </text>
    </comment>
    <comment ref="CG28" authorId="1" shapeId="0" xr:uid="{E3D3EBEA-A874-4AF2-A61D-DE4F9718ACB7}">
      <text>
        <r>
          <rPr>
            <sz val="9"/>
            <color indexed="81"/>
            <rFont val="Tahoma"/>
            <family val="2"/>
          </rPr>
          <t>Formation</t>
        </r>
      </text>
    </comment>
    <comment ref="CJ28" authorId="1" shapeId="0" xr:uid="{76856DD1-F475-43B3-AF12-A8FFA0899081}">
      <text>
        <r>
          <rPr>
            <sz val="9"/>
            <color indexed="81"/>
            <rFont val="Tahoma"/>
            <family val="2"/>
          </rPr>
          <t>Formation</t>
        </r>
      </text>
    </comment>
    <comment ref="CK28" authorId="1" shapeId="0" xr:uid="{C11B9548-9AF5-46D2-80FA-BC50B4BA0A03}">
      <text>
        <r>
          <rPr>
            <sz val="9"/>
            <color indexed="81"/>
            <rFont val="Tahoma"/>
            <family val="2"/>
          </rPr>
          <t>Formation</t>
        </r>
      </text>
    </comment>
    <comment ref="CL28" authorId="1" shapeId="0" xr:uid="{58AC370B-4366-40E0-95BD-40CECB8E59A0}">
      <text>
        <r>
          <rPr>
            <sz val="9"/>
            <color indexed="81"/>
            <rFont val="Tahoma"/>
            <family val="2"/>
          </rPr>
          <t>Formation</t>
        </r>
      </text>
    </comment>
    <comment ref="CM28" authorId="1" shapeId="0" xr:uid="{62CC134A-1712-40F8-BE9C-D2E55640EFC0}">
      <text>
        <r>
          <rPr>
            <sz val="9"/>
            <color indexed="81"/>
            <rFont val="Tahoma"/>
            <family val="2"/>
          </rPr>
          <t>Formation</t>
        </r>
      </text>
    </comment>
    <comment ref="CN28" authorId="1" shapeId="0" xr:uid="{8F861BB5-C58F-4EF9-9F9C-6C8D8D59436B}">
      <text>
        <r>
          <rPr>
            <sz val="9"/>
            <color indexed="81"/>
            <rFont val="Tahoma"/>
            <family val="2"/>
          </rPr>
          <t>Formation</t>
        </r>
      </text>
    </comment>
    <comment ref="CQ28" authorId="1" shapeId="0" xr:uid="{9A3E5768-5557-49F2-9A11-4A386728994B}">
      <text>
        <r>
          <rPr>
            <sz val="9"/>
            <color indexed="81"/>
            <rFont val="Tahoma"/>
            <family val="2"/>
          </rPr>
          <t>Formation</t>
        </r>
      </text>
    </comment>
    <comment ref="CR28" authorId="1" shapeId="0" xr:uid="{31A27887-8807-4069-82CF-3563853C7B4E}">
      <text>
        <r>
          <rPr>
            <sz val="9"/>
            <color indexed="81"/>
            <rFont val="Tahoma"/>
            <family val="2"/>
          </rPr>
          <t>Formation</t>
        </r>
      </text>
    </comment>
    <comment ref="CS28" authorId="1" shapeId="0" xr:uid="{75267605-D930-49E0-B8CF-12D7BFBD42AE}">
      <text>
        <r>
          <rPr>
            <sz val="9"/>
            <color indexed="81"/>
            <rFont val="Tahoma"/>
            <family val="2"/>
          </rPr>
          <t>Formation</t>
        </r>
      </text>
    </comment>
    <comment ref="CT28" authorId="1" shapeId="0" xr:uid="{C3B8EE2C-FB6A-46AD-AEF1-14A9A1C981D2}">
      <text>
        <r>
          <rPr>
            <sz val="9"/>
            <color indexed="81"/>
            <rFont val="Tahoma"/>
            <family val="2"/>
          </rPr>
          <t>Formation</t>
        </r>
      </text>
    </comment>
    <comment ref="CU28" authorId="1" shapeId="0" xr:uid="{BA20CED1-72AF-4F88-A8B6-DC97940DED75}">
      <text>
        <r>
          <rPr>
            <sz val="9"/>
            <color indexed="81"/>
            <rFont val="Tahoma"/>
            <family val="2"/>
          </rPr>
          <t>Formation</t>
        </r>
      </text>
    </comment>
    <comment ref="R30" authorId="1" shapeId="0" xr:uid="{7862DCAC-DFB7-41B5-A80C-F0CFF2884F2F}">
      <text>
        <r>
          <rPr>
            <sz val="9"/>
            <color indexed="81"/>
            <rFont val="Tahoma"/>
            <family val="2"/>
          </rPr>
          <t>Formation</t>
        </r>
      </text>
    </comment>
    <comment ref="S30" authorId="1" shapeId="0" xr:uid="{82C78378-33A7-470A-8316-4085710CD902}">
      <text>
        <r>
          <rPr>
            <sz val="9"/>
            <color indexed="81"/>
            <rFont val="Tahoma"/>
            <family val="2"/>
          </rPr>
          <t>Formation</t>
        </r>
      </text>
    </comment>
    <comment ref="T30" authorId="1" shapeId="0" xr:uid="{2ACCCD0D-A175-4240-BE68-FBC25AAD48D9}">
      <text>
        <r>
          <rPr>
            <sz val="9"/>
            <color indexed="81"/>
            <rFont val="Tahoma"/>
            <family val="2"/>
          </rPr>
          <t>Formation</t>
        </r>
      </text>
    </comment>
    <comment ref="U30" authorId="1" shapeId="0" xr:uid="{DCFD2555-B3A6-4166-B5CC-8E9BBA0179C2}">
      <text>
        <r>
          <rPr>
            <sz val="9"/>
            <color indexed="81"/>
            <rFont val="Tahoma"/>
            <family val="2"/>
          </rPr>
          <t>Formation</t>
        </r>
      </text>
    </comment>
    <comment ref="V30" authorId="1" shapeId="0" xr:uid="{6823E050-17A7-44C6-A939-01D33D1817A8}">
      <text>
        <r>
          <rPr>
            <sz val="9"/>
            <color indexed="81"/>
            <rFont val="Tahoma"/>
            <family val="2"/>
          </rPr>
          <t>Formation</t>
        </r>
      </text>
    </comment>
    <comment ref="Y30" authorId="1" shapeId="0" xr:uid="{27479F61-9356-4ED5-9845-D4D85935D771}">
      <text>
        <r>
          <rPr>
            <sz val="9"/>
            <color indexed="81"/>
            <rFont val="Tahoma"/>
            <family val="2"/>
          </rPr>
          <t>Formation</t>
        </r>
      </text>
    </comment>
    <comment ref="Z30" authorId="1" shapeId="0" xr:uid="{18557F31-C142-4811-8153-8BCFB4D0729D}">
      <text>
        <r>
          <rPr>
            <sz val="9"/>
            <color indexed="81"/>
            <rFont val="Tahoma"/>
            <family val="2"/>
          </rPr>
          <t>Formation</t>
        </r>
      </text>
    </comment>
    <comment ref="AA30" authorId="1" shapeId="0" xr:uid="{AB3B5C64-7F7A-480B-B14B-4EC0CC295FB2}">
      <text>
        <r>
          <rPr>
            <sz val="9"/>
            <color indexed="81"/>
            <rFont val="Tahoma"/>
            <family val="2"/>
          </rPr>
          <t>Formation</t>
        </r>
      </text>
    </comment>
    <comment ref="AB30" authorId="1" shapeId="0" xr:uid="{D0341FD4-8B40-496E-B4CA-E3D00CE4279B}">
      <text>
        <r>
          <rPr>
            <sz val="9"/>
            <color indexed="81"/>
            <rFont val="Tahoma"/>
            <family val="2"/>
          </rPr>
          <t>Formation</t>
        </r>
      </text>
    </comment>
    <comment ref="AC30" authorId="1" shapeId="0" xr:uid="{3DFC851E-38C7-454F-87F1-466071ED99FE}">
      <text>
        <r>
          <rPr>
            <sz val="9"/>
            <color indexed="81"/>
            <rFont val="Tahoma"/>
            <family val="2"/>
          </rPr>
          <t>Formation</t>
        </r>
      </text>
    </comment>
    <comment ref="AF30" authorId="1" shapeId="0" xr:uid="{9AB8C8C4-0D9A-41E5-9C5A-200D79D735F6}">
      <text>
        <r>
          <rPr>
            <sz val="9"/>
            <color indexed="81"/>
            <rFont val="Tahoma"/>
            <family val="2"/>
          </rPr>
          <t>Formation</t>
        </r>
      </text>
    </comment>
    <comment ref="AG30" authorId="1" shapeId="0" xr:uid="{846DBA8F-8302-4557-8704-EAD0B014C7D7}">
      <text>
        <r>
          <rPr>
            <sz val="9"/>
            <color indexed="81"/>
            <rFont val="Tahoma"/>
            <family val="2"/>
          </rPr>
          <t>Formation</t>
        </r>
      </text>
    </comment>
    <comment ref="AH30" authorId="1" shapeId="0" xr:uid="{3366BBB5-E605-45E5-BEF0-E3E31ADCD90C}">
      <text>
        <r>
          <rPr>
            <sz val="9"/>
            <color indexed="81"/>
            <rFont val="Tahoma"/>
            <family val="2"/>
          </rPr>
          <t>Formation</t>
        </r>
      </text>
    </comment>
    <comment ref="AI30" authorId="1" shapeId="0" xr:uid="{C0C66F6A-EB74-4A22-9B20-491DFD172B83}">
      <text>
        <r>
          <rPr>
            <sz val="9"/>
            <color indexed="81"/>
            <rFont val="Tahoma"/>
            <family val="2"/>
          </rPr>
          <t>Formation</t>
        </r>
      </text>
    </comment>
    <comment ref="AJ30" authorId="1" shapeId="0" xr:uid="{10A6ABEC-CC1F-489A-AD15-457BC1340F8B}">
      <text>
        <r>
          <rPr>
            <sz val="9"/>
            <color indexed="81"/>
            <rFont val="Tahoma"/>
            <family val="2"/>
          </rPr>
          <t>Formation</t>
        </r>
      </text>
    </comment>
    <comment ref="AM30" authorId="1" shapeId="0" xr:uid="{0C94B14B-68C8-489F-8FA1-3EE80F134713}">
      <text>
        <r>
          <rPr>
            <sz val="9"/>
            <color indexed="81"/>
            <rFont val="Tahoma"/>
            <family val="2"/>
          </rPr>
          <t>Formation</t>
        </r>
      </text>
    </comment>
    <comment ref="AN30" authorId="1" shapeId="0" xr:uid="{ED95FD31-1B75-411F-91D8-40DA947EE945}">
      <text>
        <r>
          <rPr>
            <sz val="9"/>
            <color indexed="81"/>
            <rFont val="Tahoma"/>
            <family val="2"/>
          </rPr>
          <t>Formation</t>
        </r>
      </text>
    </comment>
    <comment ref="AO30" authorId="1" shapeId="0" xr:uid="{E69A3154-B552-4A85-BF67-1B200FDC5672}">
      <text>
        <r>
          <rPr>
            <sz val="9"/>
            <color indexed="81"/>
            <rFont val="Tahoma"/>
            <family val="2"/>
          </rPr>
          <t>Formation</t>
        </r>
      </text>
    </comment>
    <comment ref="AP30" authorId="1" shapeId="0" xr:uid="{CD3D5E3B-4672-486E-8C26-85127444472C}">
      <text>
        <r>
          <rPr>
            <sz val="9"/>
            <color indexed="81"/>
            <rFont val="Tahoma"/>
            <family val="2"/>
          </rPr>
          <t>Formation</t>
        </r>
      </text>
    </comment>
    <comment ref="AQ30" authorId="1" shapeId="0" xr:uid="{6B03FD2D-B508-4452-AC06-6406C2F5D3D5}">
      <text>
        <r>
          <rPr>
            <sz val="9"/>
            <color indexed="81"/>
            <rFont val="Tahoma"/>
            <family val="2"/>
          </rPr>
          <t>Formation</t>
        </r>
      </text>
    </comment>
    <comment ref="AT30" authorId="1" shapeId="0" xr:uid="{ED6D5374-4154-4CB8-8C93-185182763C80}">
      <text>
        <r>
          <rPr>
            <sz val="9"/>
            <color indexed="81"/>
            <rFont val="Tahoma"/>
            <family val="2"/>
          </rPr>
          <t>Formation</t>
        </r>
      </text>
    </comment>
    <comment ref="AU30" authorId="1" shapeId="0" xr:uid="{4B41F0EC-9275-4298-8E52-CF8C116007B3}">
      <text>
        <r>
          <rPr>
            <sz val="9"/>
            <color indexed="81"/>
            <rFont val="Tahoma"/>
            <family val="2"/>
          </rPr>
          <t>Formation</t>
        </r>
      </text>
    </comment>
    <comment ref="AV30" authorId="1" shapeId="0" xr:uid="{FA393185-F9B1-4AF3-A1DE-D7B60F3C7700}">
      <text>
        <r>
          <rPr>
            <sz val="9"/>
            <color indexed="81"/>
            <rFont val="Tahoma"/>
            <family val="2"/>
          </rPr>
          <t>Formation</t>
        </r>
      </text>
    </comment>
    <comment ref="AW30" authorId="1" shapeId="0" xr:uid="{5E1A0246-7D9E-4AFB-BC6F-EC49809B422B}">
      <text>
        <r>
          <rPr>
            <sz val="9"/>
            <color indexed="81"/>
            <rFont val="Tahoma"/>
            <family val="2"/>
          </rPr>
          <t>Formation</t>
        </r>
      </text>
    </comment>
    <comment ref="AX30" authorId="1" shapeId="0" xr:uid="{EA497651-C179-478C-8593-F0EFFFD8FFB6}">
      <text>
        <r>
          <rPr>
            <sz val="9"/>
            <color indexed="81"/>
            <rFont val="Tahoma"/>
            <family val="2"/>
          </rPr>
          <t>Formation</t>
        </r>
      </text>
    </comment>
    <comment ref="BA30" authorId="1" shapeId="0" xr:uid="{DC74BB10-FA53-4510-BCD7-9E59FF28158D}">
      <text>
        <r>
          <rPr>
            <sz val="9"/>
            <color indexed="81"/>
            <rFont val="Tahoma"/>
            <family val="2"/>
          </rPr>
          <t>Formation</t>
        </r>
      </text>
    </comment>
    <comment ref="BB30" authorId="1" shapeId="0" xr:uid="{6C9FF410-5593-47E8-83F9-0862451904C2}">
      <text>
        <r>
          <rPr>
            <sz val="9"/>
            <color indexed="81"/>
            <rFont val="Tahoma"/>
            <family val="2"/>
          </rPr>
          <t>Formation</t>
        </r>
      </text>
    </comment>
    <comment ref="BC30" authorId="1" shapeId="0" xr:uid="{C0FDC283-DB52-49F8-BC55-63919BE2F1E7}">
      <text>
        <r>
          <rPr>
            <sz val="9"/>
            <color indexed="81"/>
            <rFont val="Tahoma"/>
            <family val="2"/>
          </rPr>
          <t>Formation</t>
        </r>
      </text>
    </comment>
    <comment ref="BD30" authorId="1" shapeId="0" xr:uid="{3239D3FE-2715-44B7-914B-296F0948B923}">
      <text>
        <r>
          <rPr>
            <sz val="9"/>
            <color indexed="81"/>
            <rFont val="Tahoma"/>
            <family val="2"/>
          </rPr>
          <t>Formation</t>
        </r>
      </text>
    </comment>
    <comment ref="BE30" authorId="1" shapeId="0" xr:uid="{68BBBBCB-F387-431B-9554-D41CC6A0AD65}">
      <text>
        <r>
          <rPr>
            <sz val="9"/>
            <color indexed="81"/>
            <rFont val="Tahoma"/>
            <family val="2"/>
          </rPr>
          <t>Formation</t>
        </r>
      </text>
    </comment>
    <comment ref="BH30" authorId="1" shapeId="0" xr:uid="{577F50F0-669C-429F-9B39-CD2473644C06}">
      <text>
        <r>
          <rPr>
            <sz val="9"/>
            <color indexed="81"/>
            <rFont val="Tahoma"/>
            <family val="2"/>
          </rPr>
          <t>Formation</t>
        </r>
      </text>
    </comment>
    <comment ref="BI30" authorId="1" shapeId="0" xr:uid="{A6BDFFA6-2954-489A-8B17-5623061B5CBF}">
      <text>
        <r>
          <rPr>
            <sz val="9"/>
            <color indexed="81"/>
            <rFont val="Tahoma"/>
            <family val="2"/>
          </rPr>
          <t>Formation</t>
        </r>
      </text>
    </comment>
    <comment ref="BJ30" authorId="1" shapeId="0" xr:uid="{76602419-2679-406B-9281-7D50EE972FCC}">
      <text>
        <r>
          <rPr>
            <sz val="9"/>
            <color indexed="81"/>
            <rFont val="Tahoma"/>
            <family val="2"/>
          </rPr>
          <t>Formation</t>
        </r>
      </text>
    </comment>
    <comment ref="BK30" authorId="1" shapeId="0" xr:uid="{90ABDF07-316E-40CC-87D0-7A22C255F334}">
      <text>
        <r>
          <rPr>
            <sz val="9"/>
            <color indexed="81"/>
            <rFont val="Tahoma"/>
            <family val="2"/>
          </rPr>
          <t>Formation</t>
        </r>
      </text>
    </comment>
    <comment ref="BL30" authorId="1" shapeId="0" xr:uid="{2909E152-638B-4033-9BF5-CC412E0CA769}">
      <text>
        <r>
          <rPr>
            <sz val="9"/>
            <color indexed="81"/>
            <rFont val="Tahoma"/>
            <family val="2"/>
          </rPr>
          <t>Formation</t>
        </r>
      </text>
    </comment>
    <comment ref="BO30" authorId="1" shapeId="0" xr:uid="{FF869FCA-6DAE-4288-96ED-4CE85E53ACC8}">
      <text>
        <r>
          <rPr>
            <sz val="9"/>
            <color indexed="81"/>
            <rFont val="Tahoma"/>
            <family val="2"/>
          </rPr>
          <t>Formation</t>
        </r>
      </text>
    </comment>
    <comment ref="BP30" authorId="1" shapeId="0" xr:uid="{5EB452A7-80F4-46D0-BBDF-7535F5524F1B}">
      <text>
        <r>
          <rPr>
            <sz val="9"/>
            <color indexed="81"/>
            <rFont val="Tahoma"/>
            <family val="2"/>
          </rPr>
          <t>Formation</t>
        </r>
      </text>
    </comment>
    <comment ref="BQ30" authorId="1" shapeId="0" xr:uid="{D04C17D9-7210-4E99-BA0E-156E63928801}">
      <text>
        <r>
          <rPr>
            <sz val="9"/>
            <color indexed="81"/>
            <rFont val="Tahoma"/>
            <family val="2"/>
          </rPr>
          <t>Formation</t>
        </r>
      </text>
    </comment>
    <comment ref="BR30" authorId="1" shapeId="0" xr:uid="{D247C66F-4285-423E-A0D3-9D0174112497}">
      <text>
        <r>
          <rPr>
            <sz val="9"/>
            <color indexed="81"/>
            <rFont val="Tahoma"/>
            <family val="2"/>
          </rPr>
          <t>Formation</t>
        </r>
      </text>
    </comment>
    <comment ref="BS30" authorId="1" shapeId="0" xr:uid="{9CDEA7D7-88D2-4676-9B4C-08CE78C7C3CB}">
      <text>
        <r>
          <rPr>
            <sz val="9"/>
            <color indexed="81"/>
            <rFont val="Tahoma"/>
            <family val="2"/>
          </rPr>
          <t>Formation</t>
        </r>
      </text>
    </comment>
    <comment ref="BV30" authorId="1" shapeId="0" xr:uid="{3F83FE30-283D-4D16-9641-E0FAB904EB64}">
      <text>
        <r>
          <rPr>
            <sz val="9"/>
            <color indexed="81"/>
            <rFont val="Tahoma"/>
            <family val="2"/>
          </rPr>
          <t>Formation</t>
        </r>
      </text>
    </comment>
    <comment ref="BW30" authorId="1" shapeId="0" xr:uid="{D7FAA9E1-F1CC-42F3-9725-92C83DD6D0C8}">
      <text>
        <r>
          <rPr>
            <sz val="9"/>
            <color indexed="81"/>
            <rFont val="Tahoma"/>
            <family val="2"/>
          </rPr>
          <t>Formation</t>
        </r>
      </text>
    </comment>
    <comment ref="BX30" authorId="1" shapeId="0" xr:uid="{349F5F7A-D0DC-436F-86F0-6D60891DC082}">
      <text>
        <r>
          <rPr>
            <sz val="9"/>
            <color indexed="81"/>
            <rFont val="Tahoma"/>
            <family val="2"/>
          </rPr>
          <t>Formation</t>
        </r>
      </text>
    </comment>
    <comment ref="BY30" authorId="1" shapeId="0" xr:uid="{CBC938CF-7D1A-4CA3-9C8A-C64D7673BA28}">
      <text>
        <r>
          <rPr>
            <sz val="9"/>
            <color indexed="81"/>
            <rFont val="Tahoma"/>
            <family val="2"/>
          </rPr>
          <t>Formation</t>
        </r>
      </text>
    </comment>
    <comment ref="BZ30" authorId="1" shapeId="0" xr:uid="{4A76D909-A771-42A9-9095-7FB6BE2A03F0}">
      <text>
        <r>
          <rPr>
            <sz val="9"/>
            <color indexed="81"/>
            <rFont val="Tahoma"/>
            <family val="2"/>
          </rPr>
          <t>Formation</t>
        </r>
      </text>
    </comment>
    <comment ref="CC30" authorId="1" shapeId="0" xr:uid="{ACB13553-F77D-44DF-B06B-71411B6FA989}">
      <text>
        <r>
          <rPr>
            <sz val="9"/>
            <color indexed="81"/>
            <rFont val="Tahoma"/>
            <family val="2"/>
          </rPr>
          <t>Formation</t>
        </r>
      </text>
    </comment>
    <comment ref="CD30" authorId="1" shapeId="0" xr:uid="{37803202-C1B8-4EED-81C3-B3C6C70A3B0A}">
      <text>
        <r>
          <rPr>
            <sz val="9"/>
            <color indexed="81"/>
            <rFont val="Tahoma"/>
            <family val="2"/>
          </rPr>
          <t>Formation</t>
        </r>
      </text>
    </comment>
    <comment ref="CE30" authorId="1" shapeId="0" xr:uid="{02D4E2FA-D7A9-45EE-89D2-BFFDA3099AC2}">
      <text>
        <r>
          <rPr>
            <sz val="9"/>
            <color indexed="81"/>
            <rFont val="Tahoma"/>
            <family val="2"/>
          </rPr>
          <t>Formation</t>
        </r>
      </text>
    </comment>
    <comment ref="CF30" authorId="1" shapeId="0" xr:uid="{070E2299-BC55-45CF-AADE-79D7E32B2E1B}">
      <text>
        <r>
          <rPr>
            <sz val="9"/>
            <color indexed="81"/>
            <rFont val="Tahoma"/>
            <family val="2"/>
          </rPr>
          <t>Formation</t>
        </r>
      </text>
    </comment>
    <comment ref="CG30" authorId="1" shapeId="0" xr:uid="{D2E0A9F5-7EBA-42D7-9AEF-681A812BFC94}">
      <text>
        <r>
          <rPr>
            <sz val="9"/>
            <color indexed="81"/>
            <rFont val="Tahoma"/>
            <family val="2"/>
          </rPr>
          <t>Formation</t>
        </r>
      </text>
    </comment>
    <comment ref="CJ30" authorId="1" shapeId="0" xr:uid="{4C5F71F8-7A14-4B11-9EE1-B29F48A5BB49}">
      <text>
        <r>
          <rPr>
            <sz val="9"/>
            <color indexed="81"/>
            <rFont val="Tahoma"/>
            <family val="2"/>
          </rPr>
          <t>Formation</t>
        </r>
      </text>
    </comment>
    <comment ref="CK30" authorId="1" shapeId="0" xr:uid="{2FE97704-C4EC-4B41-8456-5BB04D107603}">
      <text>
        <r>
          <rPr>
            <sz val="9"/>
            <color indexed="81"/>
            <rFont val="Tahoma"/>
            <family val="2"/>
          </rPr>
          <t>Formation</t>
        </r>
      </text>
    </comment>
    <comment ref="CL30" authorId="1" shapeId="0" xr:uid="{5BC671DE-9BEB-4531-AD6A-B32C7BFBAF1A}">
      <text>
        <r>
          <rPr>
            <sz val="9"/>
            <color indexed="81"/>
            <rFont val="Tahoma"/>
            <family val="2"/>
          </rPr>
          <t>Formation</t>
        </r>
      </text>
    </comment>
    <comment ref="CM30" authorId="1" shapeId="0" xr:uid="{947FE713-18F2-47E6-87E2-3DAFE4B371C0}">
      <text>
        <r>
          <rPr>
            <sz val="9"/>
            <color indexed="81"/>
            <rFont val="Tahoma"/>
            <family val="2"/>
          </rPr>
          <t>Formation</t>
        </r>
      </text>
    </comment>
    <comment ref="CN30" authorId="1" shapeId="0" xr:uid="{B6F0BF6B-132E-4D4F-B349-5A17DBA1CAD7}">
      <text>
        <r>
          <rPr>
            <sz val="9"/>
            <color indexed="81"/>
            <rFont val="Tahoma"/>
            <family val="2"/>
          </rPr>
          <t>Formation</t>
        </r>
      </text>
    </comment>
    <comment ref="CQ30" authorId="1" shapeId="0" xr:uid="{98E91F43-1417-4DE7-9AFC-34F5EA087D4C}">
      <text>
        <r>
          <rPr>
            <sz val="9"/>
            <color indexed="81"/>
            <rFont val="Tahoma"/>
            <family val="2"/>
          </rPr>
          <t>Formation</t>
        </r>
      </text>
    </comment>
    <comment ref="CR30" authorId="1" shapeId="0" xr:uid="{88457E0F-256F-4EE2-9081-CD140B091214}">
      <text>
        <r>
          <rPr>
            <sz val="9"/>
            <color indexed="81"/>
            <rFont val="Tahoma"/>
            <family val="2"/>
          </rPr>
          <t>Formation</t>
        </r>
      </text>
    </comment>
    <comment ref="CS30" authorId="1" shapeId="0" xr:uid="{93A9EDBD-E798-43D1-BB61-1781220CD548}">
      <text>
        <r>
          <rPr>
            <sz val="9"/>
            <color indexed="81"/>
            <rFont val="Tahoma"/>
            <family val="2"/>
          </rPr>
          <t>Formation</t>
        </r>
      </text>
    </comment>
    <comment ref="CT30" authorId="1" shapeId="0" xr:uid="{C7233DAF-E588-4959-A042-53ACDD48B038}">
      <text>
        <r>
          <rPr>
            <sz val="9"/>
            <color indexed="81"/>
            <rFont val="Tahoma"/>
            <family val="2"/>
          </rPr>
          <t>Formation</t>
        </r>
      </text>
    </comment>
    <comment ref="CU30" authorId="1" shapeId="0" xr:uid="{92111AEA-42D5-4FCE-A63E-CDE1D3D15FF2}">
      <text>
        <r>
          <rPr>
            <sz val="9"/>
            <color indexed="81"/>
            <rFont val="Tahoma"/>
            <family val="2"/>
          </rPr>
          <t>Formation</t>
        </r>
      </text>
    </comment>
    <comment ref="R32" authorId="1" shapeId="0" xr:uid="{C9A5CDEF-C64D-412D-96BD-A8B7FE39F50E}">
      <text>
        <r>
          <rPr>
            <sz val="9"/>
            <color indexed="81"/>
            <rFont val="Tahoma"/>
            <family val="2"/>
          </rPr>
          <t>Formation</t>
        </r>
      </text>
    </comment>
    <comment ref="S32" authorId="1" shapeId="0" xr:uid="{10AB4019-D659-4F85-9B17-E304999E2D0D}">
      <text>
        <r>
          <rPr>
            <sz val="9"/>
            <color indexed="81"/>
            <rFont val="Tahoma"/>
            <family val="2"/>
          </rPr>
          <t>Formation</t>
        </r>
      </text>
    </comment>
    <comment ref="T32" authorId="1" shapeId="0" xr:uid="{C4EB8116-AB24-4925-9E49-FC5AF7F2E1F0}">
      <text>
        <r>
          <rPr>
            <sz val="9"/>
            <color indexed="81"/>
            <rFont val="Tahoma"/>
            <family val="2"/>
          </rPr>
          <t>Formation</t>
        </r>
      </text>
    </comment>
    <comment ref="U32" authorId="1" shapeId="0" xr:uid="{CBF10C5E-D20A-4EF3-AC5D-00CF4B83C673}">
      <text>
        <r>
          <rPr>
            <sz val="9"/>
            <color indexed="81"/>
            <rFont val="Tahoma"/>
            <family val="2"/>
          </rPr>
          <t>Formation</t>
        </r>
      </text>
    </comment>
    <comment ref="V32" authorId="1" shapeId="0" xr:uid="{6F3F07FB-A590-4F3B-9A5A-7F44D2314BED}">
      <text>
        <r>
          <rPr>
            <sz val="9"/>
            <color indexed="81"/>
            <rFont val="Tahoma"/>
            <family val="2"/>
          </rPr>
          <t>Formation</t>
        </r>
      </text>
    </comment>
    <comment ref="Y32" authorId="1" shapeId="0" xr:uid="{D57D1254-83AE-43CA-AFCB-E8F4DE78FC79}">
      <text>
        <r>
          <rPr>
            <sz val="9"/>
            <color indexed="81"/>
            <rFont val="Tahoma"/>
            <family val="2"/>
          </rPr>
          <t>Formation</t>
        </r>
      </text>
    </comment>
    <comment ref="Z32" authorId="1" shapeId="0" xr:uid="{FD13EFD8-B292-4D9F-8E1E-56B99F5905DC}">
      <text>
        <r>
          <rPr>
            <sz val="9"/>
            <color indexed="81"/>
            <rFont val="Tahoma"/>
            <family val="2"/>
          </rPr>
          <t>Formation</t>
        </r>
      </text>
    </comment>
    <comment ref="AA32" authorId="1" shapeId="0" xr:uid="{630B7ABF-C529-4CB2-901F-4558D3591A13}">
      <text>
        <r>
          <rPr>
            <sz val="9"/>
            <color indexed="81"/>
            <rFont val="Tahoma"/>
            <family val="2"/>
          </rPr>
          <t>Formation</t>
        </r>
      </text>
    </comment>
    <comment ref="AB32" authorId="1" shapeId="0" xr:uid="{A5098050-E996-4F3C-8CC8-2848D4DA59AB}">
      <text>
        <r>
          <rPr>
            <sz val="9"/>
            <color indexed="81"/>
            <rFont val="Tahoma"/>
            <family val="2"/>
          </rPr>
          <t>Formation</t>
        </r>
      </text>
    </comment>
    <comment ref="AC32" authorId="1" shapeId="0" xr:uid="{E9C5BFA0-11A5-4B68-B8A4-0D1931E89172}">
      <text>
        <r>
          <rPr>
            <sz val="9"/>
            <color indexed="81"/>
            <rFont val="Tahoma"/>
            <family val="2"/>
          </rPr>
          <t>Formation</t>
        </r>
      </text>
    </comment>
    <comment ref="AF32" authorId="1" shapeId="0" xr:uid="{54BD5B71-2148-4AFC-94A4-147F6559BD9F}">
      <text>
        <r>
          <rPr>
            <sz val="9"/>
            <color indexed="81"/>
            <rFont val="Tahoma"/>
            <family val="2"/>
          </rPr>
          <t>Formation</t>
        </r>
      </text>
    </comment>
    <comment ref="AG32" authorId="1" shapeId="0" xr:uid="{59D107F5-7FEF-4105-B7C4-B7B5A7993510}">
      <text>
        <r>
          <rPr>
            <sz val="9"/>
            <color indexed="81"/>
            <rFont val="Tahoma"/>
            <family val="2"/>
          </rPr>
          <t>Formation</t>
        </r>
      </text>
    </comment>
    <comment ref="AH32" authorId="1" shapeId="0" xr:uid="{887198CE-F5FD-40DA-99C9-2F8B04D98D15}">
      <text>
        <r>
          <rPr>
            <sz val="9"/>
            <color indexed="81"/>
            <rFont val="Tahoma"/>
            <family val="2"/>
          </rPr>
          <t>Formation</t>
        </r>
      </text>
    </comment>
    <comment ref="AI32" authorId="1" shapeId="0" xr:uid="{87ACFCEF-FF69-4DDA-BB41-D826A47A3476}">
      <text>
        <r>
          <rPr>
            <sz val="9"/>
            <color indexed="81"/>
            <rFont val="Tahoma"/>
            <family val="2"/>
          </rPr>
          <t>Formation</t>
        </r>
      </text>
    </comment>
    <comment ref="AJ32" authorId="1" shapeId="0" xr:uid="{4465094C-1C30-4BBE-B355-5FAD23E2D6EB}">
      <text>
        <r>
          <rPr>
            <sz val="9"/>
            <color indexed="81"/>
            <rFont val="Tahoma"/>
            <family val="2"/>
          </rPr>
          <t>Formation</t>
        </r>
      </text>
    </comment>
    <comment ref="AM32" authorId="1" shapeId="0" xr:uid="{C1509A12-3025-4D33-B259-20D9964C206A}">
      <text>
        <r>
          <rPr>
            <sz val="9"/>
            <color indexed="81"/>
            <rFont val="Tahoma"/>
            <family val="2"/>
          </rPr>
          <t>Formation</t>
        </r>
      </text>
    </comment>
    <comment ref="AN32" authorId="1" shapeId="0" xr:uid="{875F16DF-AE45-46DF-B0BE-6E64480A8703}">
      <text>
        <r>
          <rPr>
            <sz val="9"/>
            <color indexed="81"/>
            <rFont val="Tahoma"/>
            <family val="2"/>
          </rPr>
          <t>Formation</t>
        </r>
      </text>
    </comment>
    <comment ref="AO32" authorId="1" shapeId="0" xr:uid="{6BF9C45A-8F86-4AFC-8A46-B9B402975685}">
      <text>
        <r>
          <rPr>
            <sz val="9"/>
            <color indexed="81"/>
            <rFont val="Tahoma"/>
            <family val="2"/>
          </rPr>
          <t>Formation</t>
        </r>
      </text>
    </comment>
    <comment ref="AP32" authorId="1" shapeId="0" xr:uid="{D6B3BA19-7EBE-4C11-ADD7-AF8BF7F2C48A}">
      <text>
        <r>
          <rPr>
            <sz val="9"/>
            <color indexed="81"/>
            <rFont val="Tahoma"/>
            <family val="2"/>
          </rPr>
          <t>Formation</t>
        </r>
      </text>
    </comment>
    <comment ref="AQ32" authorId="1" shapeId="0" xr:uid="{CDB3A4A4-7090-42D0-9556-7FD9CAB551BD}">
      <text>
        <r>
          <rPr>
            <sz val="9"/>
            <color indexed="81"/>
            <rFont val="Tahoma"/>
            <family val="2"/>
          </rPr>
          <t>Formation</t>
        </r>
      </text>
    </comment>
    <comment ref="AT32" authorId="1" shapeId="0" xr:uid="{673B0DE9-A1FB-428E-B543-F8DA8E7B7FAE}">
      <text>
        <r>
          <rPr>
            <sz val="9"/>
            <color indexed="81"/>
            <rFont val="Tahoma"/>
            <family val="2"/>
          </rPr>
          <t>Formation</t>
        </r>
      </text>
    </comment>
    <comment ref="AU32" authorId="1" shapeId="0" xr:uid="{8407B70F-977A-49CD-AB91-DF9344A39947}">
      <text>
        <r>
          <rPr>
            <sz val="9"/>
            <color indexed="81"/>
            <rFont val="Tahoma"/>
            <family val="2"/>
          </rPr>
          <t>Formation</t>
        </r>
      </text>
    </comment>
    <comment ref="AV32" authorId="1" shapeId="0" xr:uid="{C42A0C1C-0B0B-46D8-A9B7-897EB200673C}">
      <text>
        <r>
          <rPr>
            <sz val="9"/>
            <color indexed="81"/>
            <rFont val="Tahoma"/>
            <family val="2"/>
          </rPr>
          <t>Formation</t>
        </r>
      </text>
    </comment>
    <comment ref="AW32" authorId="1" shapeId="0" xr:uid="{FE449682-A3C8-4B3E-B2C0-EE9E63361C17}">
      <text>
        <r>
          <rPr>
            <sz val="9"/>
            <color indexed="81"/>
            <rFont val="Tahoma"/>
            <family val="2"/>
          </rPr>
          <t>Formation</t>
        </r>
      </text>
    </comment>
    <comment ref="AX32" authorId="1" shapeId="0" xr:uid="{BD80106F-FF61-4FF1-BCD5-DE7B0C3F5605}">
      <text>
        <r>
          <rPr>
            <sz val="9"/>
            <color indexed="81"/>
            <rFont val="Tahoma"/>
            <family val="2"/>
          </rPr>
          <t>Formation</t>
        </r>
      </text>
    </comment>
    <comment ref="BA32" authorId="2" shapeId="0" xr:uid="{ED92520A-831A-4BDD-B800-8CDC5111C66F}">
      <text>
        <r>
          <rPr>
            <sz val="9"/>
            <color indexed="81"/>
            <rFont val="Tahoma"/>
            <family val="2"/>
          </rPr>
          <t>Absence Planifiée (EXT)</t>
        </r>
      </text>
    </comment>
    <comment ref="BB32" authorId="2" shapeId="0" xr:uid="{A318C574-786F-4C27-8D89-1438033C0C54}">
      <text>
        <r>
          <rPr>
            <sz val="9"/>
            <color indexed="81"/>
            <rFont val="Tahoma"/>
            <family val="2"/>
          </rPr>
          <t>Absence Planifiée (EXT)</t>
        </r>
      </text>
    </comment>
    <comment ref="BC32" authorId="2" shapeId="0" xr:uid="{A7537E62-3AAB-4126-8AE5-088EA0928D42}">
      <text>
        <r>
          <rPr>
            <sz val="9"/>
            <color indexed="81"/>
            <rFont val="Tahoma"/>
            <family val="2"/>
          </rPr>
          <t>Absence Planifiée (EXT)</t>
        </r>
      </text>
    </comment>
    <comment ref="BD32" authorId="2" shapeId="0" xr:uid="{63B6062E-6FA2-4CF5-8625-E57938BD0767}">
      <text>
        <r>
          <rPr>
            <sz val="9"/>
            <color indexed="81"/>
            <rFont val="Tahoma"/>
            <family val="2"/>
          </rPr>
          <t>Absence Planifiée (EXT)</t>
        </r>
      </text>
    </comment>
    <comment ref="BE32" authorId="2" shapeId="0" xr:uid="{25C93644-4E3B-4C00-A403-0412366AFD6A}">
      <text>
        <r>
          <rPr>
            <sz val="9"/>
            <color indexed="81"/>
            <rFont val="Tahoma"/>
            <family val="2"/>
          </rPr>
          <t>Absence Planifiée (EXT)</t>
        </r>
      </text>
    </comment>
    <comment ref="BH32" authorId="1" shapeId="0" xr:uid="{A67B6022-7A05-4274-B44B-DA8C0CE226B0}">
      <text>
        <r>
          <rPr>
            <sz val="9"/>
            <color indexed="81"/>
            <rFont val="Tahoma"/>
            <family val="2"/>
          </rPr>
          <t>Formation</t>
        </r>
      </text>
    </comment>
    <comment ref="BI32" authorId="1" shapeId="0" xr:uid="{8AA06D50-90CE-4495-85DB-7B8AB5E149E6}">
      <text>
        <r>
          <rPr>
            <sz val="9"/>
            <color indexed="81"/>
            <rFont val="Tahoma"/>
            <family val="2"/>
          </rPr>
          <t>Formation</t>
        </r>
      </text>
    </comment>
    <comment ref="BJ32" authorId="1" shapeId="0" xr:uid="{59B4FF57-BE60-442B-98E9-E4E10444420B}">
      <text>
        <r>
          <rPr>
            <sz val="9"/>
            <color indexed="81"/>
            <rFont val="Tahoma"/>
            <family val="2"/>
          </rPr>
          <t>Formation</t>
        </r>
      </text>
    </comment>
    <comment ref="BK32" authorId="1" shapeId="0" xr:uid="{87F39057-0A0D-4567-ADC1-68E295233A41}">
      <text>
        <r>
          <rPr>
            <sz val="9"/>
            <color indexed="81"/>
            <rFont val="Tahoma"/>
            <family val="2"/>
          </rPr>
          <t>Formation</t>
        </r>
      </text>
    </comment>
    <comment ref="BL32" authorId="1" shapeId="0" xr:uid="{E602FD16-84B0-4922-BA2A-C0EE3A308F85}">
      <text>
        <r>
          <rPr>
            <sz val="9"/>
            <color indexed="81"/>
            <rFont val="Tahoma"/>
            <family val="2"/>
          </rPr>
          <t>Formation</t>
        </r>
      </text>
    </comment>
    <comment ref="BO32" authorId="1" shapeId="0" xr:uid="{C513C733-8B82-431E-855A-E7FBD6DDA0C4}">
      <text>
        <r>
          <rPr>
            <sz val="9"/>
            <color indexed="81"/>
            <rFont val="Tahoma"/>
            <family val="2"/>
          </rPr>
          <t>Formation</t>
        </r>
      </text>
    </comment>
    <comment ref="BP32" authorId="1" shapeId="0" xr:uid="{91A522EA-1E20-435F-97F5-AF0423E27EE2}">
      <text>
        <r>
          <rPr>
            <sz val="9"/>
            <color indexed="81"/>
            <rFont val="Tahoma"/>
            <family val="2"/>
          </rPr>
          <t>Formation</t>
        </r>
      </text>
    </comment>
    <comment ref="BQ32" authorId="1" shapeId="0" xr:uid="{AD7FD6CC-41D6-439D-B74D-AE93D5A8CE84}">
      <text>
        <r>
          <rPr>
            <sz val="9"/>
            <color indexed="81"/>
            <rFont val="Tahoma"/>
            <family val="2"/>
          </rPr>
          <t>Formation</t>
        </r>
      </text>
    </comment>
    <comment ref="BR32" authorId="1" shapeId="0" xr:uid="{2B8EE964-16ED-426C-86AD-8B630E27F009}">
      <text>
        <r>
          <rPr>
            <sz val="9"/>
            <color indexed="81"/>
            <rFont val="Tahoma"/>
            <family val="2"/>
          </rPr>
          <t>Formation</t>
        </r>
      </text>
    </comment>
    <comment ref="BS32" authorId="1" shapeId="0" xr:uid="{432976BD-060A-4CDC-8979-1B1B687B5495}">
      <text>
        <r>
          <rPr>
            <sz val="9"/>
            <color indexed="81"/>
            <rFont val="Tahoma"/>
            <family val="2"/>
          </rPr>
          <t>Formation</t>
        </r>
      </text>
    </comment>
    <comment ref="BV32" authorId="1" shapeId="0" xr:uid="{43609140-729E-4901-872C-0E2FAB902C27}">
      <text>
        <r>
          <rPr>
            <sz val="9"/>
            <color indexed="81"/>
            <rFont val="Tahoma"/>
            <family val="2"/>
          </rPr>
          <t>Formation</t>
        </r>
      </text>
    </comment>
    <comment ref="BW32" authorId="1" shapeId="0" xr:uid="{81DF2D18-DEC5-43DE-BFB3-0567D8682B0A}">
      <text>
        <r>
          <rPr>
            <sz val="9"/>
            <color indexed="81"/>
            <rFont val="Tahoma"/>
            <family val="2"/>
          </rPr>
          <t>Formation</t>
        </r>
      </text>
    </comment>
    <comment ref="BX32" authorId="1" shapeId="0" xr:uid="{CB5E9F51-76B9-4D9E-91C8-7975C389245E}">
      <text>
        <r>
          <rPr>
            <sz val="9"/>
            <color indexed="81"/>
            <rFont val="Tahoma"/>
            <family val="2"/>
          </rPr>
          <t>Formation</t>
        </r>
      </text>
    </comment>
    <comment ref="BY32" authorId="1" shapeId="0" xr:uid="{41A8DB5F-CF71-4242-AA8B-100254A45F09}">
      <text>
        <r>
          <rPr>
            <sz val="9"/>
            <color indexed="81"/>
            <rFont val="Tahoma"/>
            <family val="2"/>
          </rPr>
          <t>Formation</t>
        </r>
      </text>
    </comment>
    <comment ref="BZ32" authorId="1" shapeId="0" xr:uid="{D68BFEAC-9EE6-4BE2-8F1E-278C59CDAB4C}">
      <text>
        <r>
          <rPr>
            <sz val="9"/>
            <color indexed="81"/>
            <rFont val="Tahoma"/>
            <family val="2"/>
          </rPr>
          <t>Formation</t>
        </r>
      </text>
    </comment>
    <comment ref="CC32" authorId="1" shapeId="0" xr:uid="{641ACE14-2657-4D95-8716-C401B2A0BE3F}">
      <text>
        <r>
          <rPr>
            <sz val="9"/>
            <color indexed="81"/>
            <rFont val="Tahoma"/>
            <family val="2"/>
          </rPr>
          <t>Formation</t>
        </r>
      </text>
    </comment>
    <comment ref="CD32" authorId="1" shapeId="0" xr:uid="{9ADDC346-F6AA-4BCB-8083-03CAD58C22C1}">
      <text>
        <r>
          <rPr>
            <sz val="9"/>
            <color indexed="81"/>
            <rFont val="Tahoma"/>
            <family val="2"/>
          </rPr>
          <t>Formation</t>
        </r>
      </text>
    </comment>
    <comment ref="CE32" authorId="1" shapeId="0" xr:uid="{522310CC-C8C7-458C-8A74-1E11DF46DF9F}">
      <text>
        <r>
          <rPr>
            <sz val="9"/>
            <color indexed="81"/>
            <rFont val="Tahoma"/>
            <family val="2"/>
          </rPr>
          <t>Formation</t>
        </r>
      </text>
    </comment>
    <comment ref="CF32" authorId="1" shapeId="0" xr:uid="{AB35BB22-D31A-4A3A-9459-1C35470FB34D}">
      <text>
        <r>
          <rPr>
            <sz val="9"/>
            <color indexed="81"/>
            <rFont val="Tahoma"/>
            <family val="2"/>
          </rPr>
          <t>Formation</t>
        </r>
      </text>
    </comment>
    <comment ref="CG32" authorId="1" shapeId="0" xr:uid="{3D1BFBA6-83B3-43B2-8F77-2E3EEACFE0BF}">
      <text>
        <r>
          <rPr>
            <sz val="9"/>
            <color indexed="81"/>
            <rFont val="Tahoma"/>
            <family val="2"/>
          </rPr>
          <t>Formation</t>
        </r>
      </text>
    </comment>
    <comment ref="CJ32" authorId="1" shapeId="0" xr:uid="{7D31B0B4-54A7-40AD-9034-C0B692D83CA5}">
      <text>
        <r>
          <rPr>
            <sz val="9"/>
            <color indexed="81"/>
            <rFont val="Tahoma"/>
            <family val="2"/>
          </rPr>
          <t>Formation</t>
        </r>
      </text>
    </comment>
    <comment ref="CK32" authorId="1" shapeId="0" xr:uid="{2A3591D3-4997-46FA-A5DA-F78497C41148}">
      <text>
        <r>
          <rPr>
            <sz val="9"/>
            <color indexed="81"/>
            <rFont val="Tahoma"/>
            <family val="2"/>
          </rPr>
          <t>Formation</t>
        </r>
      </text>
    </comment>
    <comment ref="CL32" authorId="1" shapeId="0" xr:uid="{3E2D8FB5-D731-4D0B-A33F-F460CFD3FB06}">
      <text>
        <r>
          <rPr>
            <sz val="9"/>
            <color indexed="81"/>
            <rFont val="Tahoma"/>
            <family val="2"/>
          </rPr>
          <t>Formation</t>
        </r>
      </text>
    </comment>
    <comment ref="CM32" authorId="1" shapeId="0" xr:uid="{5D39272F-1AC3-45FA-AF2A-2739F5C90845}">
      <text>
        <r>
          <rPr>
            <sz val="9"/>
            <color indexed="81"/>
            <rFont val="Tahoma"/>
            <family val="2"/>
          </rPr>
          <t>Formation</t>
        </r>
      </text>
    </comment>
    <comment ref="CN32" authorId="1" shapeId="0" xr:uid="{F2115CCD-3E04-4548-8E60-B849670E0832}">
      <text>
        <r>
          <rPr>
            <sz val="9"/>
            <color indexed="81"/>
            <rFont val="Tahoma"/>
            <family val="2"/>
          </rPr>
          <t>Formation</t>
        </r>
      </text>
    </comment>
    <comment ref="CQ32" authorId="1" shapeId="0" xr:uid="{246821FA-901B-4EF6-BB16-D1C01A3CD580}">
      <text>
        <r>
          <rPr>
            <sz val="9"/>
            <color indexed="81"/>
            <rFont val="Tahoma"/>
            <family val="2"/>
          </rPr>
          <t>Formation</t>
        </r>
      </text>
    </comment>
    <comment ref="CR32" authorId="1" shapeId="0" xr:uid="{77DF4811-DD40-4E1E-82FE-4A9732FD1CB4}">
      <text>
        <r>
          <rPr>
            <sz val="9"/>
            <color indexed="81"/>
            <rFont val="Tahoma"/>
            <family val="2"/>
          </rPr>
          <t>Formation</t>
        </r>
      </text>
    </comment>
    <comment ref="CS32" authorId="1" shapeId="0" xr:uid="{A0F5A1A2-7BB8-4CD8-BB09-A8F1FE0A7C55}">
      <text>
        <r>
          <rPr>
            <sz val="9"/>
            <color indexed="81"/>
            <rFont val="Tahoma"/>
            <family val="2"/>
          </rPr>
          <t>Formation</t>
        </r>
      </text>
    </comment>
    <comment ref="CT32" authorId="1" shapeId="0" xr:uid="{EC0C9C0E-E382-41A4-99D7-96A9329E1ED1}">
      <text>
        <r>
          <rPr>
            <sz val="9"/>
            <color indexed="81"/>
            <rFont val="Tahoma"/>
            <family val="2"/>
          </rPr>
          <t>Formation</t>
        </r>
      </text>
    </comment>
    <comment ref="CU32" authorId="1" shapeId="0" xr:uid="{7278155B-8443-4B88-95DB-C95DA7E69932}">
      <text>
        <r>
          <rPr>
            <sz val="9"/>
            <color indexed="81"/>
            <rFont val="Tahoma"/>
            <family val="2"/>
          </rPr>
          <t>Formation</t>
        </r>
      </text>
    </comment>
    <comment ref="HT32" authorId="2" shapeId="0" xr:uid="{9DC0887D-8BBD-484A-AFB8-AA08AA4FA0B5}">
      <text>
        <r>
          <rPr>
            <sz val="9"/>
            <color indexed="81"/>
            <rFont val="Tahoma"/>
            <family val="2"/>
          </rPr>
          <t>Souhait Absence planifiée en attente</t>
        </r>
      </text>
    </comment>
    <comment ref="HU32" authorId="2" shapeId="0" xr:uid="{DCEFB49E-0980-41AA-8C4B-B96523EF7788}">
      <text>
        <r>
          <rPr>
            <sz val="9"/>
            <color indexed="81"/>
            <rFont val="Tahoma"/>
            <family val="2"/>
          </rPr>
          <t>Souhait Absence planifiée en attente</t>
        </r>
      </text>
    </comment>
    <comment ref="HV32" authorId="2" shapeId="0" xr:uid="{685A0CDD-DF9D-4DD1-AE44-549A5E83E77A}">
      <text>
        <r>
          <rPr>
            <sz val="9"/>
            <color indexed="81"/>
            <rFont val="Tahoma"/>
            <family val="2"/>
          </rPr>
          <t>Souhait Absence planifiée en attente</t>
        </r>
      </text>
    </comment>
    <comment ref="HW32" authorId="2" shapeId="0" xr:uid="{68D73724-56F9-4644-9720-6AE004131B71}">
      <text>
        <r>
          <rPr>
            <sz val="9"/>
            <color indexed="81"/>
            <rFont val="Tahoma"/>
            <family val="2"/>
          </rPr>
          <t>Souhait Absence planifiée en attente</t>
        </r>
      </text>
    </comment>
    <comment ref="HX32" authorId="2" shapeId="0" xr:uid="{9FE32052-61EB-4001-9A0D-A3688683C0A6}">
      <text>
        <r>
          <rPr>
            <sz val="9"/>
            <color indexed="81"/>
            <rFont val="Tahoma"/>
            <family val="2"/>
          </rPr>
          <t>Souhait Absence planifiée en attente</t>
        </r>
      </text>
    </comment>
    <comment ref="HY32" authorId="2" shapeId="0" xr:uid="{89ABF887-BF97-4E78-9D68-1E6C717239FC}">
      <text>
        <r>
          <rPr>
            <sz val="9"/>
            <color indexed="81"/>
            <rFont val="Tahoma"/>
            <charset val="1"/>
          </rPr>
          <t>Souhait Absence planifiée en attente</t>
        </r>
      </text>
    </comment>
    <comment ref="R34" authorId="1" shapeId="0" xr:uid="{97A96EA7-6B42-413B-AE9F-E712FD1F24D4}">
      <text>
        <r>
          <rPr>
            <sz val="9"/>
            <color indexed="81"/>
            <rFont val="Tahoma"/>
            <family val="2"/>
          </rPr>
          <t>Formation</t>
        </r>
      </text>
    </comment>
    <comment ref="S34" authorId="1" shapeId="0" xr:uid="{51521EE6-FF67-46D0-9D10-D97F502F663D}">
      <text>
        <r>
          <rPr>
            <sz val="9"/>
            <color indexed="81"/>
            <rFont val="Tahoma"/>
            <family val="2"/>
          </rPr>
          <t>Formation</t>
        </r>
      </text>
    </comment>
    <comment ref="T34" authorId="1" shapeId="0" xr:uid="{BF27046D-5EA9-4C8B-B661-CA6A7F0A5943}">
      <text>
        <r>
          <rPr>
            <sz val="9"/>
            <color indexed="81"/>
            <rFont val="Tahoma"/>
            <family val="2"/>
          </rPr>
          <t>Formation</t>
        </r>
      </text>
    </comment>
    <comment ref="U34" authorId="1" shapeId="0" xr:uid="{2193D4AF-BF34-4532-A3C4-48AB16E2B304}">
      <text>
        <r>
          <rPr>
            <sz val="9"/>
            <color indexed="81"/>
            <rFont val="Tahoma"/>
            <family val="2"/>
          </rPr>
          <t>Formation</t>
        </r>
      </text>
    </comment>
    <comment ref="V34" authorId="1" shapeId="0" xr:uid="{39C221ED-400D-4B9C-864C-4912CE3DA4FC}">
      <text>
        <r>
          <rPr>
            <sz val="9"/>
            <color indexed="81"/>
            <rFont val="Tahoma"/>
            <family val="2"/>
          </rPr>
          <t>Formation</t>
        </r>
      </text>
    </comment>
    <comment ref="Y34" authorId="1" shapeId="0" xr:uid="{D36A7856-5939-48BE-9318-1B206776E88B}">
      <text>
        <r>
          <rPr>
            <sz val="9"/>
            <color indexed="81"/>
            <rFont val="Tahoma"/>
            <family val="2"/>
          </rPr>
          <t>Formation</t>
        </r>
      </text>
    </comment>
    <comment ref="Z34" authorId="1" shapeId="0" xr:uid="{7E83CF8B-A0DA-427A-A824-A784A0671B78}">
      <text>
        <r>
          <rPr>
            <sz val="9"/>
            <color indexed="81"/>
            <rFont val="Tahoma"/>
            <family val="2"/>
          </rPr>
          <t>Formation</t>
        </r>
      </text>
    </comment>
    <comment ref="AA34" authorId="1" shapeId="0" xr:uid="{870160FD-DD0A-4DCE-A5AE-5005B6E6354C}">
      <text>
        <r>
          <rPr>
            <sz val="9"/>
            <color indexed="81"/>
            <rFont val="Tahoma"/>
            <family val="2"/>
          </rPr>
          <t>Formation</t>
        </r>
      </text>
    </comment>
    <comment ref="AB34" authorId="1" shapeId="0" xr:uid="{DA085A3D-F717-426D-B120-26E48F50C9C8}">
      <text>
        <r>
          <rPr>
            <sz val="9"/>
            <color indexed="81"/>
            <rFont val="Tahoma"/>
            <family val="2"/>
          </rPr>
          <t>Formation</t>
        </r>
      </text>
    </comment>
    <comment ref="AC34" authorId="1" shapeId="0" xr:uid="{5FE5AF67-93A3-4A8B-963A-B27862C9B8C8}">
      <text>
        <r>
          <rPr>
            <sz val="9"/>
            <color indexed="81"/>
            <rFont val="Tahoma"/>
            <family val="2"/>
          </rPr>
          <t>Formation</t>
        </r>
      </text>
    </comment>
    <comment ref="AF34" authorId="1" shapeId="0" xr:uid="{945F616E-34D8-4375-9996-FBA3E0273644}">
      <text>
        <r>
          <rPr>
            <sz val="9"/>
            <color indexed="81"/>
            <rFont val="Tahoma"/>
            <family val="2"/>
          </rPr>
          <t>Formation</t>
        </r>
      </text>
    </comment>
    <comment ref="AG34" authorId="1" shapeId="0" xr:uid="{8CA41AEF-1D41-4132-B3F2-92AEA2E73647}">
      <text>
        <r>
          <rPr>
            <sz val="9"/>
            <color indexed="81"/>
            <rFont val="Tahoma"/>
            <family val="2"/>
          </rPr>
          <t>Formation</t>
        </r>
      </text>
    </comment>
    <comment ref="AH34" authorId="1" shapeId="0" xr:uid="{E6AD235B-0AA3-4E45-B45F-262410883300}">
      <text>
        <r>
          <rPr>
            <sz val="9"/>
            <color indexed="81"/>
            <rFont val="Tahoma"/>
            <family val="2"/>
          </rPr>
          <t>Formation</t>
        </r>
      </text>
    </comment>
    <comment ref="AI34" authorId="1" shapeId="0" xr:uid="{CB8CC3DB-AE55-4036-9694-E160124ADA67}">
      <text>
        <r>
          <rPr>
            <sz val="9"/>
            <color indexed="81"/>
            <rFont val="Tahoma"/>
            <family val="2"/>
          </rPr>
          <t>Formation</t>
        </r>
      </text>
    </comment>
    <comment ref="AJ34" authorId="1" shapeId="0" xr:uid="{A8F93C87-A5F7-4C17-B24B-1322C6113F56}">
      <text>
        <r>
          <rPr>
            <sz val="9"/>
            <color indexed="81"/>
            <rFont val="Tahoma"/>
            <family val="2"/>
          </rPr>
          <t>Formation</t>
        </r>
      </text>
    </comment>
    <comment ref="AM34" authorId="1" shapeId="0" xr:uid="{61BE45EE-6897-4959-834E-97DFDA4B16DD}">
      <text>
        <r>
          <rPr>
            <sz val="9"/>
            <color indexed="81"/>
            <rFont val="Tahoma"/>
            <family val="2"/>
          </rPr>
          <t>Formation</t>
        </r>
      </text>
    </comment>
    <comment ref="AN34" authorId="1" shapeId="0" xr:uid="{7D6C6D61-A814-4803-977E-E25330DE7976}">
      <text>
        <r>
          <rPr>
            <sz val="9"/>
            <color indexed="81"/>
            <rFont val="Tahoma"/>
            <family val="2"/>
          </rPr>
          <t>Formation</t>
        </r>
      </text>
    </comment>
    <comment ref="AO34" authorId="1" shapeId="0" xr:uid="{B9A6B5B4-FFB3-4CB5-A29A-E4039F5351FA}">
      <text>
        <r>
          <rPr>
            <sz val="9"/>
            <color indexed="81"/>
            <rFont val="Tahoma"/>
            <family val="2"/>
          </rPr>
          <t>Formation</t>
        </r>
      </text>
    </comment>
    <comment ref="AP34" authorId="1" shapeId="0" xr:uid="{80B1C70E-7A46-433B-83D2-3BC475AA2E93}">
      <text>
        <r>
          <rPr>
            <sz val="9"/>
            <color indexed="81"/>
            <rFont val="Tahoma"/>
            <family val="2"/>
          </rPr>
          <t>Formation</t>
        </r>
      </text>
    </comment>
    <comment ref="AQ34" authorId="1" shapeId="0" xr:uid="{CD14E837-0973-4448-91B6-4F48CCC3F9AF}">
      <text>
        <r>
          <rPr>
            <sz val="9"/>
            <color indexed="81"/>
            <rFont val="Tahoma"/>
            <family val="2"/>
          </rPr>
          <t>Formation</t>
        </r>
      </text>
    </comment>
    <comment ref="AT34" authorId="1" shapeId="0" xr:uid="{75B88350-6396-4E7D-AC9C-0599DA7BAC8F}">
      <text>
        <r>
          <rPr>
            <sz val="9"/>
            <color indexed="81"/>
            <rFont val="Tahoma"/>
            <family val="2"/>
          </rPr>
          <t>Formation</t>
        </r>
      </text>
    </comment>
    <comment ref="AU34" authorId="1" shapeId="0" xr:uid="{E033177B-1AAD-4F2E-AC6B-54F849F0AEDD}">
      <text>
        <r>
          <rPr>
            <sz val="9"/>
            <color indexed="81"/>
            <rFont val="Tahoma"/>
            <family val="2"/>
          </rPr>
          <t>Formation</t>
        </r>
      </text>
    </comment>
    <comment ref="AV34" authorId="1" shapeId="0" xr:uid="{DC5CFB82-90B1-42DC-A019-69203C6D7ED1}">
      <text>
        <r>
          <rPr>
            <sz val="9"/>
            <color indexed="81"/>
            <rFont val="Tahoma"/>
            <family val="2"/>
          </rPr>
          <t>Formation</t>
        </r>
      </text>
    </comment>
    <comment ref="AW34" authorId="1" shapeId="0" xr:uid="{2EBC13FA-8E84-401F-8B74-AD4067C3A81E}">
      <text>
        <r>
          <rPr>
            <sz val="9"/>
            <color indexed="81"/>
            <rFont val="Tahoma"/>
            <family val="2"/>
          </rPr>
          <t>Formation</t>
        </r>
      </text>
    </comment>
    <comment ref="AX34" authorId="1" shapeId="0" xr:uid="{E275EB52-B3B8-4DD5-8428-4900927F9BD2}">
      <text>
        <r>
          <rPr>
            <sz val="9"/>
            <color indexed="81"/>
            <rFont val="Tahoma"/>
            <family val="2"/>
          </rPr>
          <t>Formation</t>
        </r>
      </text>
    </comment>
    <comment ref="BA34" authorId="1" shapeId="0" xr:uid="{2656296B-D5E3-4F36-9B8C-F87BFD6B3087}">
      <text>
        <r>
          <rPr>
            <sz val="9"/>
            <color indexed="81"/>
            <rFont val="Tahoma"/>
            <family val="2"/>
          </rPr>
          <t>Formation</t>
        </r>
      </text>
    </comment>
    <comment ref="BB34" authorId="1" shapeId="0" xr:uid="{3B73F72D-A16E-48C5-BF25-E18DF2BD94C6}">
      <text>
        <r>
          <rPr>
            <sz val="9"/>
            <color indexed="81"/>
            <rFont val="Tahoma"/>
            <family val="2"/>
          </rPr>
          <t>Formation</t>
        </r>
      </text>
    </comment>
    <comment ref="BC34" authorId="1" shapeId="0" xr:uid="{AC71B46C-15B1-4E8C-BDC3-00CFA45EB62A}">
      <text>
        <r>
          <rPr>
            <sz val="9"/>
            <color indexed="81"/>
            <rFont val="Tahoma"/>
            <family val="2"/>
          </rPr>
          <t>Formation</t>
        </r>
      </text>
    </comment>
    <comment ref="BD34" authorId="1" shapeId="0" xr:uid="{ECF71C8C-4F49-4350-ABBC-D8ECE1542E72}">
      <text>
        <r>
          <rPr>
            <sz val="9"/>
            <color indexed="81"/>
            <rFont val="Tahoma"/>
            <family val="2"/>
          </rPr>
          <t>Formation</t>
        </r>
      </text>
    </comment>
    <comment ref="BE34" authorId="1" shapeId="0" xr:uid="{F25F74CB-9A6C-46D7-997C-12BE550193A2}">
      <text>
        <r>
          <rPr>
            <sz val="9"/>
            <color indexed="81"/>
            <rFont val="Tahoma"/>
            <family val="2"/>
          </rPr>
          <t>Formation</t>
        </r>
      </text>
    </comment>
    <comment ref="BH34" authorId="1" shapeId="0" xr:uid="{2CE343CA-88DD-46B3-B95E-EB121E5FEA89}">
      <text>
        <r>
          <rPr>
            <sz val="9"/>
            <color indexed="81"/>
            <rFont val="Tahoma"/>
            <family val="2"/>
          </rPr>
          <t>Formation</t>
        </r>
      </text>
    </comment>
    <comment ref="BI34" authorId="1" shapeId="0" xr:uid="{CEC2D64D-C23C-4EE5-8EEF-CE64553EB55E}">
      <text>
        <r>
          <rPr>
            <sz val="9"/>
            <color indexed="81"/>
            <rFont val="Tahoma"/>
            <family val="2"/>
          </rPr>
          <t>Formation</t>
        </r>
      </text>
    </comment>
    <comment ref="BJ34" authorId="1" shapeId="0" xr:uid="{096D785A-D8AF-416C-9602-D7A719984CEA}">
      <text>
        <r>
          <rPr>
            <sz val="9"/>
            <color indexed="81"/>
            <rFont val="Tahoma"/>
            <family val="2"/>
          </rPr>
          <t>Formation</t>
        </r>
      </text>
    </comment>
    <comment ref="BK34" authorId="1" shapeId="0" xr:uid="{72C42CC6-AB87-435D-9A50-4F6BE9DDF2DE}">
      <text>
        <r>
          <rPr>
            <sz val="9"/>
            <color indexed="81"/>
            <rFont val="Tahoma"/>
            <family val="2"/>
          </rPr>
          <t>Formation</t>
        </r>
      </text>
    </comment>
    <comment ref="BL34" authorId="1" shapeId="0" xr:uid="{CBF71AAC-5BB2-493A-A7AC-6A04F83C9C8A}">
      <text>
        <r>
          <rPr>
            <sz val="9"/>
            <color indexed="81"/>
            <rFont val="Tahoma"/>
            <family val="2"/>
          </rPr>
          <t>Formation</t>
        </r>
      </text>
    </comment>
    <comment ref="BO34" authorId="1" shapeId="0" xr:uid="{E99EFBDE-2C06-401C-95C2-40F8A670694F}">
      <text>
        <r>
          <rPr>
            <sz val="9"/>
            <color indexed="81"/>
            <rFont val="Tahoma"/>
            <family val="2"/>
          </rPr>
          <t>Formation</t>
        </r>
      </text>
    </comment>
    <comment ref="BP34" authorId="1" shapeId="0" xr:uid="{0792E863-B55D-4633-9F91-57D8E8D69219}">
      <text>
        <r>
          <rPr>
            <sz val="9"/>
            <color indexed="81"/>
            <rFont val="Tahoma"/>
            <family val="2"/>
          </rPr>
          <t>Formation</t>
        </r>
      </text>
    </comment>
    <comment ref="BQ34" authorId="1" shapeId="0" xr:uid="{F78B3821-0F0B-43B0-8941-774FBBC1546E}">
      <text>
        <r>
          <rPr>
            <sz val="9"/>
            <color indexed="81"/>
            <rFont val="Tahoma"/>
            <family val="2"/>
          </rPr>
          <t>Formation</t>
        </r>
      </text>
    </comment>
    <comment ref="BR34" authorId="1" shapeId="0" xr:uid="{F338F64C-A1F7-4672-936E-6B9AB88A96CA}">
      <text>
        <r>
          <rPr>
            <sz val="9"/>
            <color indexed="81"/>
            <rFont val="Tahoma"/>
            <family val="2"/>
          </rPr>
          <t>Formation</t>
        </r>
      </text>
    </comment>
    <comment ref="BS34" authorId="1" shapeId="0" xr:uid="{51016847-465F-44C8-AECE-C9334C00D282}">
      <text>
        <r>
          <rPr>
            <sz val="9"/>
            <color indexed="81"/>
            <rFont val="Tahoma"/>
            <family val="2"/>
          </rPr>
          <t>Formation</t>
        </r>
      </text>
    </comment>
    <comment ref="BV34" authorId="1" shapeId="0" xr:uid="{DF1751BD-ED37-4646-809B-0C3A8E88500A}">
      <text>
        <r>
          <rPr>
            <sz val="9"/>
            <color indexed="81"/>
            <rFont val="Tahoma"/>
            <family val="2"/>
          </rPr>
          <t>Formation</t>
        </r>
      </text>
    </comment>
    <comment ref="BW34" authorId="1" shapeId="0" xr:uid="{5AF7C679-C4F8-46A4-B443-E0C1AC49A2CA}">
      <text>
        <r>
          <rPr>
            <sz val="9"/>
            <color indexed="81"/>
            <rFont val="Tahoma"/>
            <family val="2"/>
          </rPr>
          <t>Formation</t>
        </r>
      </text>
    </comment>
    <comment ref="BX34" authorId="1" shapeId="0" xr:uid="{838F54E6-6960-4B42-A46B-679D9E973C94}">
      <text>
        <r>
          <rPr>
            <sz val="9"/>
            <color indexed="81"/>
            <rFont val="Tahoma"/>
            <family val="2"/>
          </rPr>
          <t>Formation</t>
        </r>
      </text>
    </comment>
    <comment ref="BY34" authorId="1" shapeId="0" xr:uid="{2D5037F7-29F7-4A30-AA2E-97FE059CDA80}">
      <text>
        <r>
          <rPr>
            <sz val="9"/>
            <color indexed="81"/>
            <rFont val="Tahoma"/>
            <family val="2"/>
          </rPr>
          <t>Formation</t>
        </r>
      </text>
    </comment>
    <comment ref="BZ34" authorId="1" shapeId="0" xr:uid="{175614A6-BABF-4573-A6F6-7513DED152C0}">
      <text>
        <r>
          <rPr>
            <sz val="9"/>
            <color indexed="81"/>
            <rFont val="Tahoma"/>
            <family val="2"/>
          </rPr>
          <t>Formation</t>
        </r>
      </text>
    </comment>
    <comment ref="CC34" authorId="1" shapeId="0" xr:uid="{EC7F9074-C727-4539-97C8-9E99B40E3624}">
      <text>
        <r>
          <rPr>
            <sz val="9"/>
            <color indexed="81"/>
            <rFont val="Tahoma"/>
            <family val="2"/>
          </rPr>
          <t>Formation</t>
        </r>
      </text>
    </comment>
    <comment ref="CD34" authorId="1" shapeId="0" xr:uid="{D4E0155C-3139-46AF-ACC6-BD25BC0E7780}">
      <text>
        <r>
          <rPr>
            <sz val="9"/>
            <color indexed="81"/>
            <rFont val="Tahoma"/>
            <family val="2"/>
          </rPr>
          <t>Formation</t>
        </r>
      </text>
    </comment>
    <comment ref="CE34" authorId="1" shapeId="0" xr:uid="{41FE5B8B-8510-4DF8-A7B7-8FE7C9206809}">
      <text>
        <r>
          <rPr>
            <sz val="9"/>
            <color indexed="81"/>
            <rFont val="Tahoma"/>
            <family val="2"/>
          </rPr>
          <t>Formation</t>
        </r>
      </text>
    </comment>
    <comment ref="CF34" authorId="1" shapeId="0" xr:uid="{3E08C2AB-5D01-4FD4-B807-E744117C7C35}">
      <text>
        <r>
          <rPr>
            <sz val="9"/>
            <color indexed="81"/>
            <rFont val="Tahoma"/>
            <family val="2"/>
          </rPr>
          <t>Formation</t>
        </r>
      </text>
    </comment>
    <comment ref="CG34" authorId="1" shapeId="0" xr:uid="{6CBD25AF-6D57-4884-AF64-2D5D06723A92}">
      <text>
        <r>
          <rPr>
            <sz val="9"/>
            <color indexed="81"/>
            <rFont val="Tahoma"/>
            <family val="2"/>
          </rPr>
          <t>Formation</t>
        </r>
      </text>
    </comment>
    <comment ref="CJ34" authorId="1" shapeId="0" xr:uid="{8B6F22EA-FBAB-4DED-A330-F2D3381F861A}">
      <text>
        <r>
          <rPr>
            <sz val="9"/>
            <color indexed="81"/>
            <rFont val="Tahoma"/>
            <family val="2"/>
          </rPr>
          <t>Formation</t>
        </r>
      </text>
    </comment>
    <comment ref="CK34" authorId="1" shapeId="0" xr:uid="{B3EA04F6-B66A-4E8D-BA91-42060599A6BA}">
      <text>
        <r>
          <rPr>
            <sz val="9"/>
            <color indexed="81"/>
            <rFont val="Tahoma"/>
            <family val="2"/>
          </rPr>
          <t>Formation</t>
        </r>
      </text>
    </comment>
    <comment ref="CL34" authorId="1" shapeId="0" xr:uid="{CD869E59-AB37-4F9A-8466-64474E33B915}">
      <text>
        <r>
          <rPr>
            <sz val="9"/>
            <color indexed="81"/>
            <rFont val="Tahoma"/>
            <family val="2"/>
          </rPr>
          <t>Formation</t>
        </r>
      </text>
    </comment>
    <comment ref="CM34" authorId="1" shapeId="0" xr:uid="{97F507B9-F4EA-4BCA-884F-3E0D8DFE96FD}">
      <text>
        <r>
          <rPr>
            <sz val="9"/>
            <color indexed="81"/>
            <rFont val="Tahoma"/>
            <family val="2"/>
          </rPr>
          <t>Formation</t>
        </r>
      </text>
    </comment>
    <comment ref="CN34" authorId="1" shapeId="0" xr:uid="{166865C4-6370-4D7B-A1FE-221AA00780CF}">
      <text>
        <r>
          <rPr>
            <sz val="9"/>
            <color indexed="81"/>
            <rFont val="Tahoma"/>
            <family val="2"/>
          </rPr>
          <t>Formation</t>
        </r>
      </text>
    </comment>
    <comment ref="CQ34" authorId="1" shapeId="0" xr:uid="{E0735871-2DD6-4921-8530-6AFA6A0D8390}">
      <text>
        <r>
          <rPr>
            <sz val="9"/>
            <color indexed="81"/>
            <rFont val="Tahoma"/>
            <family val="2"/>
          </rPr>
          <t>Formation</t>
        </r>
      </text>
    </comment>
    <comment ref="CR34" authorId="1" shapeId="0" xr:uid="{F918A74C-7A79-41A9-9D7A-3710307E8C14}">
      <text>
        <r>
          <rPr>
            <sz val="9"/>
            <color indexed="81"/>
            <rFont val="Tahoma"/>
            <family val="2"/>
          </rPr>
          <t>Formation</t>
        </r>
      </text>
    </comment>
    <comment ref="CS34" authorId="1" shapeId="0" xr:uid="{8442BAE8-E1C7-4C02-BDDF-9651CE4387C7}">
      <text>
        <r>
          <rPr>
            <sz val="9"/>
            <color indexed="81"/>
            <rFont val="Tahoma"/>
            <family val="2"/>
          </rPr>
          <t>Formation</t>
        </r>
      </text>
    </comment>
    <comment ref="CT34" authorId="1" shapeId="0" xr:uid="{FF22CC5C-6A15-4DFA-B74F-47F6DD93FC0C}">
      <text>
        <r>
          <rPr>
            <sz val="9"/>
            <color indexed="81"/>
            <rFont val="Tahoma"/>
            <family val="2"/>
          </rPr>
          <t>Formation</t>
        </r>
      </text>
    </comment>
    <comment ref="CU34" authorId="1" shapeId="0" xr:uid="{6AD0CEC5-3546-474F-869E-B03CE4338E13}">
      <text>
        <r>
          <rPr>
            <sz val="9"/>
            <color indexed="81"/>
            <rFont val="Tahoma"/>
            <family val="2"/>
          </rPr>
          <t>Formation</t>
        </r>
      </text>
    </comment>
    <comment ref="R36" authorId="1" shapeId="0" xr:uid="{69763E56-BF8E-48C7-A3E6-8C0385A64EE8}">
      <text>
        <r>
          <rPr>
            <sz val="9"/>
            <color indexed="81"/>
            <rFont val="Tahoma"/>
            <family val="2"/>
          </rPr>
          <t>Formation</t>
        </r>
      </text>
    </comment>
    <comment ref="S36" authorId="1" shapeId="0" xr:uid="{B4C5D1AE-23FF-4167-ACC7-41AAFBBCA72E}">
      <text>
        <r>
          <rPr>
            <sz val="9"/>
            <color indexed="81"/>
            <rFont val="Tahoma"/>
            <family val="2"/>
          </rPr>
          <t>Formation</t>
        </r>
      </text>
    </comment>
    <comment ref="T36" authorId="1" shapeId="0" xr:uid="{E67C1575-FFE9-4E53-B665-DD8DE6DC9400}">
      <text>
        <r>
          <rPr>
            <sz val="9"/>
            <color indexed="81"/>
            <rFont val="Tahoma"/>
            <family val="2"/>
          </rPr>
          <t>Formation</t>
        </r>
      </text>
    </comment>
    <comment ref="U36" authorId="1" shapeId="0" xr:uid="{9B6A1524-C1DF-42EB-91C6-0BE94BE3D109}">
      <text>
        <r>
          <rPr>
            <sz val="9"/>
            <color indexed="81"/>
            <rFont val="Tahoma"/>
            <family val="2"/>
          </rPr>
          <t>Formation</t>
        </r>
      </text>
    </comment>
    <comment ref="V36" authorId="1" shapeId="0" xr:uid="{70155FED-1998-49C5-92BE-BA6C41DD484E}">
      <text>
        <r>
          <rPr>
            <sz val="9"/>
            <color indexed="81"/>
            <rFont val="Tahoma"/>
            <family val="2"/>
          </rPr>
          <t>Formation</t>
        </r>
      </text>
    </comment>
    <comment ref="Y36" authorId="1" shapeId="0" xr:uid="{D3D6BE27-7614-4B01-9C39-0F35DF1CBE6F}">
      <text>
        <r>
          <rPr>
            <sz val="9"/>
            <color indexed="81"/>
            <rFont val="Tahoma"/>
            <family val="2"/>
          </rPr>
          <t>Formation</t>
        </r>
      </text>
    </comment>
    <comment ref="Z36" authorId="1" shapeId="0" xr:uid="{7E9B88AD-F60A-4B76-84E4-D29009EBF8F0}">
      <text>
        <r>
          <rPr>
            <sz val="9"/>
            <color indexed="81"/>
            <rFont val="Tahoma"/>
            <family val="2"/>
          </rPr>
          <t>Formation</t>
        </r>
      </text>
    </comment>
    <comment ref="AA36" authorId="1" shapeId="0" xr:uid="{BA590ED2-034D-4534-BE9B-F6BF552D45CE}">
      <text>
        <r>
          <rPr>
            <sz val="9"/>
            <color indexed="81"/>
            <rFont val="Tahoma"/>
            <family val="2"/>
          </rPr>
          <t>Formation</t>
        </r>
      </text>
    </comment>
    <comment ref="AB36" authorId="1" shapeId="0" xr:uid="{D8D5BE90-2EDC-494D-9810-A47C28731006}">
      <text>
        <r>
          <rPr>
            <sz val="9"/>
            <color indexed="81"/>
            <rFont val="Tahoma"/>
            <family val="2"/>
          </rPr>
          <t>Formation</t>
        </r>
      </text>
    </comment>
    <comment ref="AC36" authorId="1" shapeId="0" xr:uid="{75A3C503-706F-4545-A62C-E55BFD964DDD}">
      <text>
        <r>
          <rPr>
            <sz val="9"/>
            <color indexed="81"/>
            <rFont val="Tahoma"/>
            <family val="2"/>
          </rPr>
          <t>Formation</t>
        </r>
      </text>
    </comment>
    <comment ref="AF36" authorId="1" shapeId="0" xr:uid="{AD773B99-CCB3-463F-A4BC-F9DCB955B20A}">
      <text>
        <r>
          <rPr>
            <sz val="9"/>
            <color indexed="81"/>
            <rFont val="Tahoma"/>
            <family val="2"/>
          </rPr>
          <t>Formation</t>
        </r>
      </text>
    </comment>
    <comment ref="AG36" authorId="1" shapeId="0" xr:uid="{0451AC39-BA9B-45C7-8847-CE5F91C26FE7}">
      <text>
        <r>
          <rPr>
            <sz val="9"/>
            <color indexed="81"/>
            <rFont val="Tahoma"/>
            <family val="2"/>
          </rPr>
          <t>Formation</t>
        </r>
      </text>
    </comment>
    <comment ref="AH36" authorId="1" shapeId="0" xr:uid="{85535474-EC39-474F-9952-0DB7C940733A}">
      <text>
        <r>
          <rPr>
            <sz val="9"/>
            <color indexed="81"/>
            <rFont val="Tahoma"/>
            <family val="2"/>
          </rPr>
          <t>Formation</t>
        </r>
      </text>
    </comment>
    <comment ref="AI36" authorId="1" shapeId="0" xr:uid="{342CE633-CC7C-4B48-AF65-04408FFF1F37}">
      <text>
        <r>
          <rPr>
            <sz val="9"/>
            <color indexed="81"/>
            <rFont val="Tahoma"/>
            <family val="2"/>
          </rPr>
          <t>Formation</t>
        </r>
      </text>
    </comment>
    <comment ref="AJ36" authorId="1" shapeId="0" xr:uid="{D3E05312-FB42-4F98-ACD0-A443834012CF}">
      <text>
        <r>
          <rPr>
            <sz val="9"/>
            <color indexed="81"/>
            <rFont val="Tahoma"/>
            <family val="2"/>
          </rPr>
          <t>Formation</t>
        </r>
      </text>
    </comment>
    <comment ref="AM36" authorId="1" shapeId="0" xr:uid="{451B37BC-B12E-47F2-8775-8237F4CA90B1}">
      <text>
        <r>
          <rPr>
            <sz val="9"/>
            <color indexed="81"/>
            <rFont val="Tahoma"/>
            <family val="2"/>
          </rPr>
          <t>Formation</t>
        </r>
      </text>
    </comment>
    <comment ref="AN36" authorId="1" shapeId="0" xr:uid="{D21EDB9F-188D-4AE3-BBCE-03B65F8847DA}">
      <text>
        <r>
          <rPr>
            <sz val="9"/>
            <color indexed="81"/>
            <rFont val="Tahoma"/>
            <family val="2"/>
          </rPr>
          <t>Formation</t>
        </r>
      </text>
    </comment>
    <comment ref="AO36" authorId="1" shapeId="0" xr:uid="{204534F9-A503-4FF1-9669-6CD0BB289574}">
      <text>
        <r>
          <rPr>
            <sz val="9"/>
            <color indexed="81"/>
            <rFont val="Tahoma"/>
            <family val="2"/>
          </rPr>
          <t>Formation</t>
        </r>
      </text>
    </comment>
    <comment ref="AP36" authorId="1" shapeId="0" xr:uid="{1BE2C68D-F4AA-42B9-B6E5-0E39E4407D94}">
      <text>
        <r>
          <rPr>
            <sz val="9"/>
            <color indexed="81"/>
            <rFont val="Tahoma"/>
            <family val="2"/>
          </rPr>
          <t>Formation</t>
        </r>
      </text>
    </comment>
    <comment ref="AQ36" authorId="1" shapeId="0" xr:uid="{287E3F84-7F14-442F-80F1-39F90AAD910D}">
      <text>
        <r>
          <rPr>
            <sz val="9"/>
            <color indexed="81"/>
            <rFont val="Tahoma"/>
            <family val="2"/>
          </rPr>
          <t>Formation</t>
        </r>
      </text>
    </comment>
    <comment ref="AT36" authorId="1" shapeId="0" xr:uid="{DDDB9249-5419-4F43-B31A-C58E809BC8C2}">
      <text>
        <r>
          <rPr>
            <sz val="9"/>
            <color indexed="81"/>
            <rFont val="Tahoma"/>
            <family val="2"/>
          </rPr>
          <t>Formation</t>
        </r>
      </text>
    </comment>
    <comment ref="AU36" authorId="1" shapeId="0" xr:uid="{E130AA22-26D7-40B0-A980-CCED38F051C4}">
      <text>
        <r>
          <rPr>
            <sz val="9"/>
            <color indexed="81"/>
            <rFont val="Tahoma"/>
            <family val="2"/>
          </rPr>
          <t>Formation</t>
        </r>
      </text>
    </comment>
    <comment ref="AV36" authorId="1" shapeId="0" xr:uid="{5DE31925-1E3B-437F-87D9-73B32BABAD95}">
      <text>
        <r>
          <rPr>
            <sz val="9"/>
            <color indexed="81"/>
            <rFont val="Tahoma"/>
            <family val="2"/>
          </rPr>
          <t>Formation</t>
        </r>
      </text>
    </comment>
    <comment ref="AW36" authorId="1" shapeId="0" xr:uid="{3329E9AA-35F4-4C31-A93A-BCFDDE03373B}">
      <text>
        <r>
          <rPr>
            <sz val="9"/>
            <color indexed="81"/>
            <rFont val="Tahoma"/>
            <family val="2"/>
          </rPr>
          <t>Formation</t>
        </r>
      </text>
    </comment>
    <comment ref="AX36" authorId="1" shapeId="0" xr:uid="{FAAA340F-7EF0-4FEC-B7A6-4B7F4CC790E0}">
      <text>
        <r>
          <rPr>
            <sz val="9"/>
            <color indexed="81"/>
            <rFont val="Tahoma"/>
            <family val="2"/>
          </rPr>
          <t>Formation</t>
        </r>
      </text>
    </comment>
    <comment ref="BA36" authorId="1" shapeId="0" xr:uid="{0D021A95-03A4-4696-88D8-4D4954CF57B5}">
      <text>
        <r>
          <rPr>
            <sz val="9"/>
            <color indexed="81"/>
            <rFont val="Tahoma"/>
            <family val="2"/>
          </rPr>
          <t>Formation</t>
        </r>
      </text>
    </comment>
    <comment ref="BB36" authorId="1" shapeId="0" xr:uid="{44DB6992-24B3-48CB-84A3-377A53DD8860}">
      <text>
        <r>
          <rPr>
            <sz val="9"/>
            <color indexed="81"/>
            <rFont val="Tahoma"/>
            <family val="2"/>
          </rPr>
          <t>Formation</t>
        </r>
      </text>
    </comment>
    <comment ref="BC36" authorId="1" shapeId="0" xr:uid="{15491FD8-5494-4BA2-954A-D01D867CDE00}">
      <text>
        <r>
          <rPr>
            <sz val="9"/>
            <color indexed="81"/>
            <rFont val="Tahoma"/>
            <family val="2"/>
          </rPr>
          <t>Formation</t>
        </r>
      </text>
    </comment>
    <comment ref="BD36" authorId="1" shapeId="0" xr:uid="{66C0E1D7-6574-48AC-AD12-1634B9C2CC09}">
      <text>
        <r>
          <rPr>
            <sz val="9"/>
            <color indexed="81"/>
            <rFont val="Tahoma"/>
            <family val="2"/>
          </rPr>
          <t>Formation</t>
        </r>
      </text>
    </comment>
    <comment ref="BE36" authorId="1" shapeId="0" xr:uid="{FE516FCB-B112-4B7B-9E41-12290D06EA1B}">
      <text>
        <r>
          <rPr>
            <sz val="9"/>
            <color indexed="81"/>
            <rFont val="Tahoma"/>
            <family val="2"/>
          </rPr>
          <t>Formation</t>
        </r>
      </text>
    </comment>
    <comment ref="BH36" authorId="1" shapeId="0" xr:uid="{0AA228CB-3E68-49CC-9CF3-90EC26B3717E}">
      <text>
        <r>
          <rPr>
            <sz val="9"/>
            <color indexed="81"/>
            <rFont val="Tahoma"/>
            <family val="2"/>
          </rPr>
          <t>Formation</t>
        </r>
      </text>
    </comment>
    <comment ref="BI36" authorId="1" shapeId="0" xr:uid="{866F8F9F-A5E9-4387-A98D-74BC66A2E407}">
      <text>
        <r>
          <rPr>
            <sz val="9"/>
            <color indexed="81"/>
            <rFont val="Tahoma"/>
            <family val="2"/>
          </rPr>
          <t>Formation</t>
        </r>
      </text>
    </comment>
    <comment ref="BJ36" authorId="1" shapeId="0" xr:uid="{3FD6FB4B-70E4-413D-94D3-CAD0A11CDE70}">
      <text>
        <r>
          <rPr>
            <sz val="9"/>
            <color indexed="81"/>
            <rFont val="Tahoma"/>
            <family val="2"/>
          </rPr>
          <t>Formation</t>
        </r>
      </text>
    </comment>
    <comment ref="BK36" authorId="1" shapeId="0" xr:uid="{00425384-76B4-4CF2-B127-9291748FDC5A}">
      <text>
        <r>
          <rPr>
            <sz val="9"/>
            <color indexed="81"/>
            <rFont val="Tahoma"/>
            <family val="2"/>
          </rPr>
          <t>Formation</t>
        </r>
      </text>
    </comment>
    <comment ref="BL36" authorId="1" shapeId="0" xr:uid="{260B34C3-7885-4617-B0AE-EEE4453ECED1}">
      <text>
        <r>
          <rPr>
            <sz val="9"/>
            <color indexed="81"/>
            <rFont val="Tahoma"/>
            <family val="2"/>
          </rPr>
          <t>Formation</t>
        </r>
      </text>
    </comment>
    <comment ref="BO36" authorId="1" shapeId="0" xr:uid="{BD2A24AB-E210-4542-9924-934F2F8BAEF2}">
      <text>
        <r>
          <rPr>
            <sz val="9"/>
            <color indexed="81"/>
            <rFont val="Tahoma"/>
            <family val="2"/>
          </rPr>
          <t>Formation</t>
        </r>
      </text>
    </comment>
    <comment ref="BP36" authorId="1" shapeId="0" xr:uid="{95E95852-0827-4276-A4E4-438FC7C52012}">
      <text>
        <r>
          <rPr>
            <sz val="9"/>
            <color indexed="81"/>
            <rFont val="Tahoma"/>
            <family val="2"/>
          </rPr>
          <t>Formation</t>
        </r>
      </text>
    </comment>
    <comment ref="BQ36" authorId="1" shapeId="0" xr:uid="{BF108FB6-D791-4228-8755-C56F956C7BEC}">
      <text>
        <r>
          <rPr>
            <sz val="9"/>
            <color indexed="81"/>
            <rFont val="Tahoma"/>
            <family val="2"/>
          </rPr>
          <t>Formation</t>
        </r>
      </text>
    </comment>
    <comment ref="BR36" authorId="1" shapeId="0" xr:uid="{DCD6337A-AD95-4171-8315-05BF653A0DCB}">
      <text>
        <r>
          <rPr>
            <sz val="9"/>
            <color indexed="81"/>
            <rFont val="Tahoma"/>
            <family val="2"/>
          </rPr>
          <t>Formation</t>
        </r>
      </text>
    </comment>
    <comment ref="BS36" authorId="1" shapeId="0" xr:uid="{B9E1BC7F-AAF7-45FC-A360-C97C08CCCF34}">
      <text>
        <r>
          <rPr>
            <sz val="9"/>
            <color indexed="81"/>
            <rFont val="Tahoma"/>
            <family val="2"/>
          </rPr>
          <t>Formation</t>
        </r>
      </text>
    </comment>
    <comment ref="BV36" authorId="1" shapeId="0" xr:uid="{F77679A9-F963-4AF2-A507-E216B8878A37}">
      <text>
        <r>
          <rPr>
            <sz val="9"/>
            <color indexed="81"/>
            <rFont val="Tahoma"/>
            <family val="2"/>
          </rPr>
          <t>Formation</t>
        </r>
      </text>
    </comment>
    <comment ref="BW36" authorId="1" shapeId="0" xr:uid="{9184EBED-55BA-4C64-89DC-9EE7D34E1AE4}">
      <text>
        <r>
          <rPr>
            <sz val="9"/>
            <color indexed="81"/>
            <rFont val="Tahoma"/>
            <family val="2"/>
          </rPr>
          <t>Formation</t>
        </r>
      </text>
    </comment>
    <comment ref="BX36" authorId="1" shapeId="0" xr:uid="{74546DE6-FDF4-4898-8167-4364468BF532}">
      <text>
        <r>
          <rPr>
            <sz val="9"/>
            <color indexed="81"/>
            <rFont val="Tahoma"/>
            <family val="2"/>
          </rPr>
          <t>Formation</t>
        </r>
      </text>
    </comment>
    <comment ref="BY36" authorId="1" shapeId="0" xr:uid="{DAC9F3D4-DF8E-4122-9CCA-C409197B6C26}">
      <text>
        <r>
          <rPr>
            <sz val="9"/>
            <color indexed="81"/>
            <rFont val="Tahoma"/>
            <family val="2"/>
          </rPr>
          <t>Formation</t>
        </r>
      </text>
    </comment>
    <comment ref="BZ36" authorId="1" shapeId="0" xr:uid="{FC2AFFE0-317E-43A7-9BCD-E460C4DA5599}">
      <text>
        <r>
          <rPr>
            <sz val="9"/>
            <color indexed="81"/>
            <rFont val="Tahoma"/>
            <family val="2"/>
          </rPr>
          <t>Formation</t>
        </r>
      </text>
    </comment>
    <comment ref="CC36" authorId="1" shapeId="0" xr:uid="{E154ADA5-7600-41D2-9CDE-BDDACFA6F6AC}">
      <text>
        <r>
          <rPr>
            <sz val="9"/>
            <color indexed="81"/>
            <rFont val="Tahoma"/>
            <family val="2"/>
          </rPr>
          <t>Formation</t>
        </r>
      </text>
    </comment>
    <comment ref="CD36" authorId="1" shapeId="0" xr:uid="{37A429DA-53BE-466C-B645-A26F24A4CCF8}">
      <text>
        <r>
          <rPr>
            <sz val="9"/>
            <color indexed="81"/>
            <rFont val="Tahoma"/>
            <family val="2"/>
          </rPr>
          <t>Formation</t>
        </r>
      </text>
    </comment>
    <comment ref="CE36" authorId="1" shapeId="0" xr:uid="{810E167C-7D9C-4810-8C15-67CD6F342042}">
      <text>
        <r>
          <rPr>
            <sz val="9"/>
            <color indexed="81"/>
            <rFont val="Tahoma"/>
            <family val="2"/>
          </rPr>
          <t>Formation</t>
        </r>
      </text>
    </comment>
    <comment ref="CF36" authorId="1" shapeId="0" xr:uid="{4F1CE837-4FF9-4C6A-B079-7E5E1FCE4602}">
      <text>
        <r>
          <rPr>
            <sz val="9"/>
            <color indexed="81"/>
            <rFont val="Tahoma"/>
            <family val="2"/>
          </rPr>
          <t>Formation</t>
        </r>
      </text>
    </comment>
    <comment ref="CG36" authorId="1" shapeId="0" xr:uid="{19CE6E05-52EC-450E-A402-4975EC3D339A}">
      <text>
        <r>
          <rPr>
            <sz val="9"/>
            <color indexed="81"/>
            <rFont val="Tahoma"/>
            <family val="2"/>
          </rPr>
          <t>Formation</t>
        </r>
      </text>
    </comment>
    <comment ref="CJ36" authorId="1" shapeId="0" xr:uid="{C9602019-3979-4101-92DF-E62315767E47}">
      <text>
        <r>
          <rPr>
            <sz val="9"/>
            <color indexed="81"/>
            <rFont val="Tahoma"/>
            <family val="2"/>
          </rPr>
          <t>Formation</t>
        </r>
      </text>
    </comment>
    <comment ref="CK36" authorId="1" shapeId="0" xr:uid="{B2ABE9CF-8609-4F27-86A7-16B346994C65}">
      <text>
        <r>
          <rPr>
            <sz val="9"/>
            <color indexed="81"/>
            <rFont val="Tahoma"/>
            <family val="2"/>
          </rPr>
          <t>Formation</t>
        </r>
      </text>
    </comment>
    <comment ref="CL36" authorId="1" shapeId="0" xr:uid="{FF84745D-2AE0-40CB-A1ED-02053ECE490D}">
      <text>
        <r>
          <rPr>
            <sz val="9"/>
            <color indexed="81"/>
            <rFont val="Tahoma"/>
            <family val="2"/>
          </rPr>
          <t>Formation</t>
        </r>
      </text>
    </comment>
    <comment ref="CM36" authorId="1" shapeId="0" xr:uid="{D412F671-4EEE-4D7F-B09D-EA6440A79F2F}">
      <text>
        <r>
          <rPr>
            <sz val="9"/>
            <color indexed="81"/>
            <rFont val="Tahoma"/>
            <family val="2"/>
          </rPr>
          <t>Formation</t>
        </r>
      </text>
    </comment>
    <comment ref="CN36" authorId="1" shapeId="0" xr:uid="{B5E35A3B-D446-43BE-81EF-03114B6C2EE7}">
      <text>
        <r>
          <rPr>
            <sz val="9"/>
            <color indexed="81"/>
            <rFont val="Tahoma"/>
            <family val="2"/>
          </rPr>
          <t>Formation</t>
        </r>
      </text>
    </comment>
    <comment ref="CQ36" authorId="1" shapeId="0" xr:uid="{60A1F9E9-22BD-4B20-831E-791B1933DA22}">
      <text>
        <r>
          <rPr>
            <sz val="9"/>
            <color indexed="81"/>
            <rFont val="Tahoma"/>
            <family val="2"/>
          </rPr>
          <t>Formation</t>
        </r>
      </text>
    </comment>
    <comment ref="CR36" authorId="1" shapeId="0" xr:uid="{315F8C56-689C-4B95-A6BB-2B4E6222D852}">
      <text>
        <r>
          <rPr>
            <sz val="9"/>
            <color indexed="81"/>
            <rFont val="Tahoma"/>
            <family val="2"/>
          </rPr>
          <t>Formation</t>
        </r>
      </text>
    </comment>
    <comment ref="CS36" authorId="1" shapeId="0" xr:uid="{1AC3FAE4-A8DD-4E80-B0C1-DE7F257D3D72}">
      <text>
        <r>
          <rPr>
            <sz val="9"/>
            <color indexed="81"/>
            <rFont val="Tahoma"/>
            <family val="2"/>
          </rPr>
          <t>Formation</t>
        </r>
      </text>
    </comment>
    <comment ref="CT36" authorId="1" shapeId="0" xr:uid="{4A2B2262-32D5-4847-BCAA-1C513C32F3A2}">
      <text>
        <r>
          <rPr>
            <sz val="9"/>
            <color indexed="81"/>
            <rFont val="Tahoma"/>
            <family val="2"/>
          </rPr>
          <t>Formation</t>
        </r>
      </text>
    </comment>
    <comment ref="CU36" authorId="1" shapeId="0" xr:uid="{D27D0F9B-AF36-408B-A56C-FE7C97FB27AC}">
      <text>
        <r>
          <rPr>
            <sz val="9"/>
            <color indexed="81"/>
            <rFont val="Tahoma"/>
            <family val="2"/>
          </rPr>
          <t>Formation</t>
        </r>
      </text>
    </comment>
    <comment ref="BO38" authorId="1" shapeId="0" xr:uid="{43BAD6E6-C3B0-4C91-8DA6-0E810FECC61E}">
      <text>
        <r>
          <rPr>
            <sz val="9"/>
            <color indexed="81"/>
            <rFont val="Tahoma"/>
            <family val="2"/>
          </rPr>
          <t>Formation</t>
        </r>
      </text>
    </comment>
    <comment ref="BP38" authorId="1" shapeId="0" xr:uid="{CDC5130F-9F3F-4AA7-99B5-D83EEE3FA339}">
      <text>
        <r>
          <rPr>
            <sz val="9"/>
            <color indexed="81"/>
            <rFont val="Tahoma"/>
            <family val="2"/>
          </rPr>
          <t>Formation</t>
        </r>
      </text>
    </comment>
    <comment ref="BQ38" authorId="1" shapeId="0" xr:uid="{D79C3B67-970D-4894-AF84-7BC491C2B1D9}">
      <text>
        <r>
          <rPr>
            <sz val="9"/>
            <color indexed="81"/>
            <rFont val="Tahoma"/>
            <family val="2"/>
          </rPr>
          <t>Formation</t>
        </r>
      </text>
    </comment>
    <comment ref="BR38" authorId="1" shapeId="0" xr:uid="{2729032D-5F85-460C-9F66-6775B5EB2B1B}">
      <text>
        <r>
          <rPr>
            <sz val="9"/>
            <color indexed="81"/>
            <rFont val="Tahoma"/>
            <family val="2"/>
          </rPr>
          <t>Formation</t>
        </r>
      </text>
    </comment>
    <comment ref="BS38" authorId="1" shapeId="0" xr:uid="{51A65FA5-BEB5-4AB1-8AEC-22672B22B3D5}">
      <text>
        <r>
          <rPr>
            <sz val="9"/>
            <color indexed="81"/>
            <rFont val="Tahoma"/>
            <family val="2"/>
          </rPr>
          <t>Formation</t>
        </r>
      </text>
    </comment>
    <comment ref="BV38" authorId="1" shapeId="0" xr:uid="{256EE234-35F3-4938-8B1A-4F048AC2DA94}">
      <text>
        <r>
          <rPr>
            <sz val="9"/>
            <color indexed="81"/>
            <rFont val="Tahoma"/>
            <family val="2"/>
          </rPr>
          <t>Formation</t>
        </r>
      </text>
    </comment>
    <comment ref="BW38" authorId="1" shapeId="0" xr:uid="{179CA0C3-4BE3-4563-82B0-6E3C0DED4278}">
      <text>
        <r>
          <rPr>
            <sz val="9"/>
            <color indexed="81"/>
            <rFont val="Tahoma"/>
            <family val="2"/>
          </rPr>
          <t>Formation</t>
        </r>
      </text>
    </comment>
    <comment ref="BX38" authorId="1" shapeId="0" xr:uid="{C56334E5-64D0-4A41-A158-42CEBA1DDFBA}">
      <text>
        <r>
          <rPr>
            <sz val="9"/>
            <color indexed="81"/>
            <rFont val="Tahoma"/>
            <family val="2"/>
          </rPr>
          <t>Formation</t>
        </r>
      </text>
    </comment>
    <comment ref="BY38" authorId="1" shapeId="0" xr:uid="{0BD154A2-F006-4FBF-9EE8-24FE10249175}">
      <text>
        <r>
          <rPr>
            <sz val="9"/>
            <color indexed="81"/>
            <rFont val="Tahoma"/>
            <family val="2"/>
          </rPr>
          <t>Formation</t>
        </r>
      </text>
    </comment>
    <comment ref="BZ38" authorId="1" shapeId="0" xr:uid="{2F90E735-D60D-45EA-9668-3230E0EBEAD0}">
      <text>
        <r>
          <rPr>
            <sz val="9"/>
            <color indexed="81"/>
            <rFont val="Tahoma"/>
            <family val="2"/>
          </rPr>
          <t>Formation</t>
        </r>
      </text>
    </comment>
    <comment ref="CC38" authorId="1" shapeId="0" xr:uid="{53B811F3-4246-41EC-B301-4D994CC5C65C}">
      <text>
        <r>
          <rPr>
            <sz val="9"/>
            <color indexed="81"/>
            <rFont val="Tahoma"/>
            <family val="2"/>
          </rPr>
          <t>Formation</t>
        </r>
      </text>
    </comment>
    <comment ref="CD38" authorId="1" shapeId="0" xr:uid="{8BA7A9DA-10E2-4E4F-B831-16A307909E0E}">
      <text>
        <r>
          <rPr>
            <sz val="9"/>
            <color indexed="81"/>
            <rFont val="Tahoma"/>
            <family val="2"/>
          </rPr>
          <t>Formation</t>
        </r>
      </text>
    </comment>
    <comment ref="CE38" authorId="1" shapeId="0" xr:uid="{12202B7A-B31E-4D42-8D21-B4ED8BD8D49C}">
      <text>
        <r>
          <rPr>
            <sz val="9"/>
            <color indexed="81"/>
            <rFont val="Tahoma"/>
            <family val="2"/>
          </rPr>
          <t>Formation</t>
        </r>
      </text>
    </comment>
    <comment ref="CF38" authorId="1" shapeId="0" xr:uid="{09AB795B-B6D4-4204-82DC-84088AE43E7E}">
      <text>
        <r>
          <rPr>
            <sz val="9"/>
            <color indexed="81"/>
            <rFont val="Tahoma"/>
            <family val="2"/>
          </rPr>
          <t>Formation</t>
        </r>
      </text>
    </comment>
    <comment ref="CG38" authorId="1" shapeId="0" xr:uid="{1BA4DBE3-C861-44B9-B9AF-E0EF07D4D32E}">
      <text>
        <r>
          <rPr>
            <sz val="9"/>
            <color indexed="81"/>
            <rFont val="Tahoma"/>
            <family val="2"/>
          </rPr>
          <t>Formation</t>
        </r>
      </text>
    </comment>
    <comment ref="CJ38" authorId="1" shapeId="0" xr:uid="{4EA81222-272F-46B4-AEB7-599BEBF0B9BE}">
      <text>
        <r>
          <rPr>
            <sz val="9"/>
            <color indexed="81"/>
            <rFont val="Tahoma"/>
            <family val="2"/>
          </rPr>
          <t>Formation</t>
        </r>
      </text>
    </comment>
    <comment ref="CK38" authorId="1" shapeId="0" xr:uid="{D2573E4A-4AC1-46AA-A8F8-AB8841379D70}">
      <text>
        <r>
          <rPr>
            <sz val="9"/>
            <color indexed="81"/>
            <rFont val="Tahoma"/>
            <family val="2"/>
          </rPr>
          <t>Formation</t>
        </r>
      </text>
    </comment>
    <comment ref="CL38" authorId="1" shapeId="0" xr:uid="{6CBC06BA-B505-49CD-8FAF-5A73799E91DB}">
      <text>
        <r>
          <rPr>
            <sz val="9"/>
            <color indexed="81"/>
            <rFont val="Tahoma"/>
            <family val="2"/>
          </rPr>
          <t>Formation</t>
        </r>
      </text>
    </comment>
    <comment ref="CM38" authorId="1" shapeId="0" xr:uid="{A4C8D4A2-356F-4030-81FB-C3685ACD5371}">
      <text>
        <r>
          <rPr>
            <sz val="9"/>
            <color indexed="81"/>
            <rFont val="Tahoma"/>
            <family val="2"/>
          </rPr>
          <t>Formation</t>
        </r>
      </text>
    </comment>
    <comment ref="CN38" authorId="1" shapeId="0" xr:uid="{89742723-31AB-4679-A84F-D4BD5C397B1A}">
      <text>
        <r>
          <rPr>
            <sz val="9"/>
            <color indexed="81"/>
            <rFont val="Tahoma"/>
            <family val="2"/>
          </rPr>
          <t>Formation</t>
        </r>
      </text>
    </comment>
    <comment ref="CQ38" authorId="1" shapeId="0" xr:uid="{E4FA7800-675F-468E-8832-4E53FAC32C47}">
      <text>
        <r>
          <rPr>
            <sz val="9"/>
            <color indexed="81"/>
            <rFont val="Tahoma"/>
            <family val="2"/>
          </rPr>
          <t>Formation</t>
        </r>
      </text>
    </comment>
    <comment ref="CR38" authorId="1" shapeId="0" xr:uid="{5939B24C-592B-4FB7-A8E7-5A6C164895D1}">
      <text>
        <r>
          <rPr>
            <sz val="9"/>
            <color indexed="81"/>
            <rFont val="Tahoma"/>
            <family val="2"/>
          </rPr>
          <t>Formation</t>
        </r>
      </text>
    </comment>
    <comment ref="CS38" authorId="1" shapeId="0" xr:uid="{0E548F53-CBE5-4737-A05D-A396EFDC3A1B}">
      <text>
        <r>
          <rPr>
            <sz val="9"/>
            <color indexed="81"/>
            <rFont val="Tahoma"/>
            <family val="2"/>
          </rPr>
          <t>Formation</t>
        </r>
      </text>
    </comment>
    <comment ref="CT38" authorId="1" shapeId="0" xr:uid="{DDA452E4-B16E-4A6C-A04F-F368E401982F}">
      <text>
        <r>
          <rPr>
            <sz val="9"/>
            <color indexed="81"/>
            <rFont val="Tahoma"/>
            <family val="2"/>
          </rPr>
          <t>Formation</t>
        </r>
      </text>
    </comment>
    <comment ref="CU38" authorId="1" shapeId="0" xr:uid="{AB7687E0-7B71-4696-AF67-4BBA18F36648}">
      <text>
        <r>
          <rPr>
            <sz val="9"/>
            <color indexed="81"/>
            <rFont val="Tahoma"/>
            <family val="2"/>
          </rPr>
          <t>Formation</t>
        </r>
      </text>
    </comment>
    <comment ref="BO40" authorId="1" shapeId="0" xr:uid="{B3123F25-D4FD-4EFD-BA21-32460AED002C}">
      <text>
        <r>
          <rPr>
            <sz val="9"/>
            <color indexed="81"/>
            <rFont val="Tahoma"/>
            <family val="2"/>
          </rPr>
          <t>Formation</t>
        </r>
      </text>
    </comment>
    <comment ref="BP40" authorId="1" shapeId="0" xr:uid="{72ED6543-320E-442E-8ADC-0B544AA02406}">
      <text>
        <r>
          <rPr>
            <sz val="9"/>
            <color indexed="81"/>
            <rFont val="Tahoma"/>
            <family val="2"/>
          </rPr>
          <t>Formation</t>
        </r>
      </text>
    </comment>
    <comment ref="BQ40" authorId="1" shapeId="0" xr:uid="{FC444613-EEA8-4E65-A0FB-9D4658A79382}">
      <text>
        <r>
          <rPr>
            <sz val="9"/>
            <color indexed="81"/>
            <rFont val="Tahoma"/>
            <family val="2"/>
          </rPr>
          <t>Formation</t>
        </r>
      </text>
    </comment>
    <comment ref="BR40" authorId="1" shapeId="0" xr:uid="{4D56B081-1B24-4CD2-B951-53D74C336F82}">
      <text>
        <r>
          <rPr>
            <sz val="9"/>
            <color indexed="81"/>
            <rFont val="Tahoma"/>
            <family val="2"/>
          </rPr>
          <t>Formation</t>
        </r>
      </text>
    </comment>
    <comment ref="BS40" authorId="1" shapeId="0" xr:uid="{71E3F198-827D-457F-9343-B587ECBB5257}">
      <text>
        <r>
          <rPr>
            <sz val="9"/>
            <color indexed="81"/>
            <rFont val="Tahoma"/>
            <family val="2"/>
          </rPr>
          <t>Formation</t>
        </r>
      </text>
    </comment>
    <comment ref="BV40" authorId="1" shapeId="0" xr:uid="{F40F843E-16AB-4B23-9026-52B3D3617EDC}">
      <text>
        <r>
          <rPr>
            <sz val="9"/>
            <color indexed="81"/>
            <rFont val="Tahoma"/>
            <family val="2"/>
          </rPr>
          <t>Formation</t>
        </r>
      </text>
    </comment>
    <comment ref="BW40" authorId="1" shapeId="0" xr:uid="{9F5FFDEF-5672-4CE0-93DA-E878A764E30C}">
      <text>
        <r>
          <rPr>
            <sz val="9"/>
            <color indexed="81"/>
            <rFont val="Tahoma"/>
            <family val="2"/>
          </rPr>
          <t>Formation</t>
        </r>
      </text>
    </comment>
    <comment ref="BX40" authorId="1" shapeId="0" xr:uid="{64BB28CF-8B76-43D3-B861-4EDFED5E8B10}">
      <text>
        <r>
          <rPr>
            <sz val="9"/>
            <color indexed="81"/>
            <rFont val="Tahoma"/>
            <family val="2"/>
          </rPr>
          <t>Formation</t>
        </r>
      </text>
    </comment>
    <comment ref="BY40" authorId="1" shapeId="0" xr:uid="{67A77303-FABE-432F-A729-8FC82B8D386F}">
      <text>
        <r>
          <rPr>
            <sz val="9"/>
            <color indexed="81"/>
            <rFont val="Tahoma"/>
            <family val="2"/>
          </rPr>
          <t>Formation</t>
        </r>
      </text>
    </comment>
    <comment ref="BZ40" authorId="1" shapeId="0" xr:uid="{59AE01B8-595B-4B54-A962-AAA8B2C401D7}">
      <text>
        <r>
          <rPr>
            <sz val="9"/>
            <color indexed="81"/>
            <rFont val="Tahoma"/>
            <family val="2"/>
          </rPr>
          <t>Formation</t>
        </r>
      </text>
    </comment>
    <comment ref="CC40" authorId="1" shapeId="0" xr:uid="{A0B71EF5-00CC-43BB-930F-4069022EBDC9}">
      <text>
        <r>
          <rPr>
            <sz val="9"/>
            <color indexed="81"/>
            <rFont val="Tahoma"/>
            <family val="2"/>
          </rPr>
          <t>Formation</t>
        </r>
      </text>
    </comment>
    <comment ref="CD40" authorId="1" shapeId="0" xr:uid="{2F9EF12E-75AD-4552-9B71-97AD7237C120}">
      <text>
        <r>
          <rPr>
            <sz val="9"/>
            <color indexed="81"/>
            <rFont val="Tahoma"/>
            <family val="2"/>
          </rPr>
          <t>Formation</t>
        </r>
      </text>
    </comment>
    <comment ref="CE40" authorId="1" shapeId="0" xr:uid="{A34868F2-3214-4294-87F0-DAE5FD878772}">
      <text>
        <r>
          <rPr>
            <sz val="9"/>
            <color indexed="81"/>
            <rFont val="Tahoma"/>
            <family val="2"/>
          </rPr>
          <t>Formation</t>
        </r>
      </text>
    </comment>
    <comment ref="CF40" authorId="1" shapeId="0" xr:uid="{1CD50A8A-3DC9-4944-B39A-E57B26520D8C}">
      <text>
        <r>
          <rPr>
            <sz val="9"/>
            <color indexed="81"/>
            <rFont val="Tahoma"/>
            <family val="2"/>
          </rPr>
          <t>Formation</t>
        </r>
      </text>
    </comment>
    <comment ref="CG40" authorId="1" shapeId="0" xr:uid="{FA0382D3-2B95-45CB-9FA9-AFFBA6F3B2BC}">
      <text>
        <r>
          <rPr>
            <sz val="9"/>
            <color indexed="81"/>
            <rFont val="Tahoma"/>
            <family val="2"/>
          </rPr>
          <t>Formation</t>
        </r>
      </text>
    </comment>
    <comment ref="CJ40" authorId="1" shapeId="0" xr:uid="{F3F28FA6-DFF7-4518-8860-56EEA0BB9326}">
      <text>
        <r>
          <rPr>
            <sz val="9"/>
            <color indexed="81"/>
            <rFont val="Tahoma"/>
            <family val="2"/>
          </rPr>
          <t>Formation</t>
        </r>
      </text>
    </comment>
    <comment ref="CK40" authorId="1" shapeId="0" xr:uid="{15962AFE-0642-45CE-BD53-DFC46B6ED37B}">
      <text>
        <r>
          <rPr>
            <sz val="9"/>
            <color indexed="81"/>
            <rFont val="Tahoma"/>
            <family val="2"/>
          </rPr>
          <t>Formation</t>
        </r>
      </text>
    </comment>
    <comment ref="CL40" authorId="1" shapeId="0" xr:uid="{52D24169-BC46-4034-9BDE-6DE33E606E50}">
      <text>
        <r>
          <rPr>
            <sz val="9"/>
            <color indexed="81"/>
            <rFont val="Tahoma"/>
            <family val="2"/>
          </rPr>
          <t>Formation</t>
        </r>
      </text>
    </comment>
    <comment ref="CM40" authorId="1" shapeId="0" xr:uid="{5168C0FC-7171-485D-B497-E0E21323E1A3}">
      <text>
        <r>
          <rPr>
            <sz val="9"/>
            <color indexed="81"/>
            <rFont val="Tahoma"/>
            <family val="2"/>
          </rPr>
          <t>Formation</t>
        </r>
      </text>
    </comment>
    <comment ref="CN40" authorId="1" shapeId="0" xr:uid="{9E86C1CF-CCBB-4F17-9366-847E43F883E2}">
      <text>
        <r>
          <rPr>
            <sz val="9"/>
            <color indexed="81"/>
            <rFont val="Tahoma"/>
            <family val="2"/>
          </rPr>
          <t>Formation</t>
        </r>
      </text>
    </comment>
    <comment ref="CQ40" authorId="1" shapeId="0" xr:uid="{7B4445C9-9A9E-472D-8736-D6B572E449A0}">
      <text>
        <r>
          <rPr>
            <sz val="9"/>
            <color indexed="81"/>
            <rFont val="Tahoma"/>
            <family val="2"/>
          </rPr>
          <t>Formation</t>
        </r>
      </text>
    </comment>
    <comment ref="CR40" authorId="1" shapeId="0" xr:uid="{1FBA8B77-94EC-43CC-9FD6-D94F8D085995}">
      <text>
        <r>
          <rPr>
            <sz val="9"/>
            <color indexed="81"/>
            <rFont val="Tahoma"/>
            <family val="2"/>
          </rPr>
          <t>Formation</t>
        </r>
      </text>
    </comment>
    <comment ref="CS40" authorId="1" shapeId="0" xr:uid="{5ECA5227-34AE-40F1-9E35-5056E33C0C20}">
      <text>
        <r>
          <rPr>
            <sz val="9"/>
            <color indexed="81"/>
            <rFont val="Tahoma"/>
            <family val="2"/>
          </rPr>
          <t>Formation</t>
        </r>
      </text>
    </comment>
    <comment ref="CT40" authorId="1" shapeId="0" xr:uid="{54A63DC5-D10C-4398-81A1-D5232C2F2BDF}">
      <text>
        <r>
          <rPr>
            <sz val="9"/>
            <color indexed="81"/>
            <rFont val="Tahoma"/>
            <family val="2"/>
          </rPr>
          <t>Formation</t>
        </r>
      </text>
    </comment>
    <comment ref="CU40" authorId="1" shapeId="0" xr:uid="{7A694522-B53E-492A-9E04-BDF28C9FEF89}">
      <text>
        <r>
          <rPr>
            <sz val="9"/>
            <color indexed="81"/>
            <rFont val="Tahoma"/>
            <family val="2"/>
          </rPr>
          <t>Formation</t>
        </r>
      </text>
    </comment>
    <comment ref="CC42" authorId="1" shapeId="0" xr:uid="{07CF5D82-4789-4E9A-A3FA-3048B923DDC4}">
      <text>
        <r>
          <rPr>
            <sz val="9"/>
            <color indexed="81"/>
            <rFont val="Tahoma"/>
            <family val="2"/>
          </rPr>
          <t>Formation</t>
        </r>
      </text>
    </comment>
    <comment ref="CD42" authorId="1" shapeId="0" xr:uid="{4FB9C89F-E0E8-49F1-B978-3D40E8C2A299}">
      <text>
        <r>
          <rPr>
            <sz val="9"/>
            <color indexed="81"/>
            <rFont val="Tahoma"/>
            <family val="2"/>
          </rPr>
          <t>Formation</t>
        </r>
      </text>
    </comment>
    <comment ref="CE42" authorId="1" shapeId="0" xr:uid="{3B11B842-610E-429F-82C1-2B0E194C2639}">
      <text>
        <r>
          <rPr>
            <sz val="9"/>
            <color indexed="81"/>
            <rFont val="Tahoma"/>
            <family val="2"/>
          </rPr>
          <t>Formation</t>
        </r>
      </text>
    </comment>
    <comment ref="CF42" authorId="1" shapeId="0" xr:uid="{9D316DD2-BF5D-4E85-B87F-267638C53A30}">
      <text>
        <r>
          <rPr>
            <sz val="9"/>
            <color indexed="81"/>
            <rFont val="Tahoma"/>
            <family val="2"/>
          </rPr>
          <t>Formation</t>
        </r>
      </text>
    </comment>
    <comment ref="CG42" authorId="1" shapeId="0" xr:uid="{B11E3F35-50F9-4FC8-BFD0-C105E696ADF6}">
      <text>
        <r>
          <rPr>
            <sz val="9"/>
            <color indexed="81"/>
            <rFont val="Tahoma"/>
            <family val="2"/>
          </rPr>
          <t>Formation</t>
        </r>
      </text>
    </comment>
    <comment ref="CJ42" authorId="1" shapeId="0" xr:uid="{84C9C5C1-6D68-40A9-B60A-EC722918210E}">
      <text>
        <r>
          <rPr>
            <sz val="9"/>
            <color indexed="81"/>
            <rFont val="Tahoma"/>
            <family val="2"/>
          </rPr>
          <t>Formation</t>
        </r>
      </text>
    </comment>
    <comment ref="CK42" authorId="1" shapeId="0" xr:uid="{95C45507-BA1E-4EA0-B790-0D60E1450FBD}">
      <text>
        <r>
          <rPr>
            <sz val="9"/>
            <color indexed="81"/>
            <rFont val="Tahoma"/>
            <family val="2"/>
          </rPr>
          <t>Formation</t>
        </r>
      </text>
    </comment>
    <comment ref="CL42" authorId="1" shapeId="0" xr:uid="{D5070545-38BA-4DF9-813E-162B0A7AEEA5}">
      <text>
        <r>
          <rPr>
            <sz val="9"/>
            <color indexed="81"/>
            <rFont val="Tahoma"/>
            <family val="2"/>
          </rPr>
          <t>Formation</t>
        </r>
      </text>
    </comment>
    <comment ref="CM42" authorId="1" shapeId="0" xr:uid="{4A889D1A-8166-4597-8734-91A9C0B1007A}">
      <text>
        <r>
          <rPr>
            <sz val="9"/>
            <color indexed="81"/>
            <rFont val="Tahoma"/>
            <family val="2"/>
          </rPr>
          <t>Formation</t>
        </r>
      </text>
    </comment>
    <comment ref="CN42" authorId="1" shapeId="0" xr:uid="{E63D31E0-A057-404A-9301-2551FCDD405C}">
      <text>
        <r>
          <rPr>
            <sz val="9"/>
            <color indexed="81"/>
            <rFont val="Tahoma"/>
            <family val="2"/>
          </rPr>
          <t>Formation</t>
        </r>
      </text>
    </comment>
    <comment ref="CQ42" authorId="1" shapeId="0" xr:uid="{5F31D22E-5136-48F7-953D-DD546D9D684C}">
      <text>
        <r>
          <rPr>
            <sz val="9"/>
            <color indexed="81"/>
            <rFont val="Tahoma"/>
            <family val="2"/>
          </rPr>
          <t>Formation</t>
        </r>
      </text>
    </comment>
    <comment ref="CR42" authorId="1" shapeId="0" xr:uid="{D7503432-8F05-47E3-840B-733596BB7D45}">
      <text>
        <r>
          <rPr>
            <sz val="9"/>
            <color indexed="81"/>
            <rFont val="Tahoma"/>
            <family val="2"/>
          </rPr>
          <t>Formation</t>
        </r>
      </text>
    </comment>
    <comment ref="CS42" authorId="1" shapeId="0" xr:uid="{F2A4A9F8-E61C-474E-827B-DF3CD6E1F130}">
      <text>
        <r>
          <rPr>
            <sz val="9"/>
            <color indexed="81"/>
            <rFont val="Tahoma"/>
            <family val="2"/>
          </rPr>
          <t>Formation</t>
        </r>
      </text>
    </comment>
    <comment ref="CT42" authorId="1" shapeId="0" xr:uid="{9AC5762D-F814-446A-A127-3F1E4624CD8A}">
      <text>
        <r>
          <rPr>
            <sz val="9"/>
            <color indexed="81"/>
            <rFont val="Tahoma"/>
            <family val="2"/>
          </rPr>
          <t>Formation</t>
        </r>
      </text>
    </comment>
    <comment ref="CU42" authorId="1" shapeId="0" xr:uid="{8DCD1D6A-9A83-47A3-8CC0-FF707068BC37}">
      <text>
        <r>
          <rPr>
            <sz val="9"/>
            <color indexed="81"/>
            <rFont val="Tahoma"/>
            <family val="2"/>
          </rPr>
          <t>Formation</t>
        </r>
      </text>
    </comment>
    <comment ref="CC44" authorId="1" shapeId="0" xr:uid="{EB6469A0-A326-4378-A906-84781F80764C}">
      <text>
        <r>
          <rPr>
            <sz val="9"/>
            <color indexed="81"/>
            <rFont val="Tahoma"/>
            <family val="2"/>
          </rPr>
          <t>Formation</t>
        </r>
      </text>
    </comment>
    <comment ref="CD44" authorId="1" shapeId="0" xr:uid="{C8BA412C-2EFC-46C9-B75C-47A17AE250EE}">
      <text>
        <r>
          <rPr>
            <sz val="9"/>
            <color indexed="81"/>
            <rFont val="Tahoma"/>
            <family val="2"/>
          </rPr>
          <t>Formation</t>
        </r>
      </text>
    </comment>
    <comment ref="CE44" authorId="1" shapeId="0" xr:uid="{2AB55FA4-1B0C-49A1-84B5-8BBB86468AAA}">
      <text>
        <r>
          <rPr>
            <sz val="9"/>
            <color indexed="81"/>
            <rFont val="Tahoma"/>
            <family val="2"/>
          </rPr>
          <t>Formation</t>
        </r>
      </text>
    </comment>
    <comment ref="CF44" authorId="1" shapeId="0" xr:uid="{33EABD9A-B1BC-426B-8050-D7952AAD9ADC}">
      <text>
        <r>
          <rPr>
            <sz val="9"/>
            <color indexed="81"/>
            <rFont val="Tahoma"/>
            <family val="2"/>
          </rPr>
          <t>Formation</t>
        </r>
      </text>
    </comment>
    <comment ref="CG44" authorId="1" shapeId="0" xr:uid="{F2BBC3A6-89A3-4CF3-9F62-4903250E10CF}">
      <text>
        <r>
          <rPr>
            <sz val="9"/>
            <color indexed="81"/>
            <rFont val="Tahoma"/>
            <family val="2"/>
          </rPr>
          <t>Formation</t>
        </r>
      </text>
    </comment>
    <comment ref="CJ44" authorId="1" shapeId="0" xr:uid="{0EAADF53-1412-4A19-A5E4-DDE0ED614330}">
      <text>
        <r>
          <rPr>
            <sz val="9"/>
            <color indexed="81"/>
            <rFont val="Tahoma"/>
            <family val="2"/>
          </rPr>
          <t>Formation</t>
        </r>
      </text>
    </comment>
    <comment ref="CK44" authorId="1" shapeId="0" xr:uid="{C05E6102-3504-4B7B-BFC4-4AA1ECD63164}">
      <text>
        <r>
          <rPr>
            <sz val="9"/>
            <color indexed="81"/>
            <rFont val="Tahoma"/>
            <family val="2"/>
          </rPr>
          <t>Formation</t>
        </r>
      </text>
    </comment>
    <comment ref="CL44" authorId="1" shapeId="0" xr:uid="{51D261C9-8F0D-4DAB-A691-60722ACCBA71}">
      <text>
        <r>
          <rPr>
            <sz val="9"/>
            <color indexed="81"/>
            <rFont val="Tahoma"/>
            <family val="2"/>
          </rPr>
          <t>Formation</t>
        </r>
      </text>
    </comment>
    <comment ref="CM44" authorId="1" shapeId="0" xr:uid="{87911183-6322-4496-9460-746FFF71342C}">
      <text>
        <r>
          <rPr>
            <sz val="9"/>
            <color indexed="81"/>
            <rFont val="Tahoma"/>
            <family val="2"/>
          </rPr>
          <t>Formation</t>
        </r>
      </text>
    </comment>
    <comment ref="CN44" authorId="1" shapeId="0" xr:uid="{AFCBD709-11B7-4A52-ACD5-8D345742A724}">
      <text>
        <r>
          <rPr>
            <sz val="9"/>
            <color indexed="81"/>
            <rFont val="Tahoma"/>
            <family val="2"/>
          </rPr>
          <t>Formation</t>
        </r>
      </text>
    </comment>
    <comment ref="CQ44" authorId="1" shapeId="0" xr:uid="{98C94772-1841-475A-A1EF-5000485AE61C}">
      <text>
        <r>
          <rPr>
            <sz val="9"/>
            <color indexed="81"/>
            <rFont val="Tahoma"/>
            <family val="2"/>
          </rPr>
          <t>Formation</t>
        </r>
      </text>
    </comment>
    <comment ref="CR44" authorId="1" shapeId="0" xr:uid="{B6B6917E-851F-459B-9E54-54BF61345B3F}">
      <text>
        <r>
          <rPr>
            <sz val="9"/>
            <color indexed="81"/>
            <rFont val="Tahoma"/>
            <family val="2"/>
          </rPr>
          <t>Formation</t>
        </r>
      </text>
    </comment>
    <comment ref="CS44" authorId="1" shapeId="0" xr:uid="{06B34DF4-D7C3-4B90-9E9E-43A6CA22945E}">
      <text>
        <r>
          <rPr>
            <sz val="9"/>
            <color indexed="81"/>
            <rFont val="Tahoma"/>
            <family val="2"/>
          </rPr>
          <t>Formation</t>
        </r>
      </text>
    </comment>
    <comment ref="CT44" authorId="1" shapeId="0" xr:uid="{83690B3C-4ED0-49E6-AD51-9C6CAB3BE67C}">
      <text>
        <r>
          <rPr>
            <sz val="9"/>
            <color indexed="81"/>
            <rFont val="Tahoma"/>
            <family val="2"/>
          </rPr>
          <t>Formation</t>
        </r>
      </text>
    </comment>
    <comment ref="CU44" authorId="1" shapeId="0" xr:uid="{7462D587-158C-4ED1-B847-C894F4EE0F89}">
      <text>
        <r>
          <rPr>
            <sz val="9"/>
            <color indexed="81"/>
            <rFont val="Tahoma"/>
            <family val="2"/>
          </rPr>
          <t>Formation</t>
        </r>
      </text>
    </comment>
    <comment ref="CQ46" authorId="1" shapeId="0" xr:uid="{39A9232B-8C8E-44F1-A701-624EEF6D962C}">
      <text>
        <r>
          <rPr>
            <sz val="9"/>
            <color indexed="81"/>
            <rFont val="Tahoma"/>
            <family val="2"/>
          </rPr>
          <t>Formation</t>
        </r>
      </text>
    </comment>
    <comment ref="CR46" authorId="1" shapeId="0" xr:uid="{B085D2AB-99E3-4958-B735-C66A43458F1A}">
      <text>
        <r>
          <rPr>
            <sz val="9"/>
            <color indexed="81"/>
            <rFont val="Tahoma"/>
            <family val="2"/>
          </rPr>
          <t>Formation</t>
        </r>
      </text>
    </comment>
    <comment ref="CS46" authorId="1" shapeId="0" xr:uid="{3D1251FD-9E6B-45A7-8CD8-8B3CE9DBBBB8}">
      <text>
        <r>
          <rPr>
            <sz val="9"/>
            <color indexed="81"/>
            <rFont val="Tahoma"/>
            <family val="2"/>
          </rPr>
          <t>Formation</t>
        </r>
      </text>
    </comment>
    <comment ref="CT46" authorId="1" shapeId="0" xr:uid="{40B482AE-D1E7-49B7-B0E9-B3D6DF1CB17E}">
      <text>
        <r>
          <rPr>
            <sz val="9"/>
            <color indexed="81"/>
            <rFont val="Tahoma"/>
            <family val="2"/>
          </rPr>
          <t>Formation</t>
        </r>
      </text>
    </comment>
    <comment ref="CU46" authorId="1" shapeId="0" xr:uid="{2CA5308A-5050-495B-85C3-DFCC23D9CC82}">
      <text>
        <r>
          <rPr>
            <sz val="9"/>
            <color indexed="81"/>
            <rFont val="Tahoma"/>
            <family val="2"/>
          </rPr>
          <t>Formation</t>
        </r>
      </text>
    </comment>
    <comment ref="CQ48" authorId="1" shapeId="0" xr:uid="{0C4812BF-56D1-4A27-BCF6-E6B32224566A}">
      <text>
        <r>
          <rPr>
            <sz val="9"/>
            <color indexed="81"/>
            <rFont val="Tahoma"/>
            <family val="2"/>
          </rPr>
          <t>Formation</t>
        </r>
      </text>
    </comment>
    <comment ref="CR48" authorId="1" shapeId="0" xr:uid="{D0B183BA-AA1F-40FE-9529-CBD5C381B1BB}">
      <text>
        <r>
          <rPr>
            <sz val="9"/>
            <color indexed="81"/>
            <rFont val="Tahoma"/>
            <family val="2"/>
          </rPr>
          <t>Formation</t>
        </r>
      </text>
    </comment>
    <comment ref="CS48" authorId="1" shapeId="0" xr:uid="{3E6B4380-4C03-43BF-9B74-F830CE075A34}">
      <text>
        <r>
          <rPr>
            <sz val="9"/>
            <color indexed="81"/>
            <rFont val="Tahoma"/>
            <family val="2"/>
          </rPr>
          <t>Formation</t>
        </r>
      </text>
    </comment>
    <comment ref="CT48" authorId="1" shapeId="0" xr:uid="{A6BF73CF-C413-4E63-8BE4-0BF3DB385A47}">
      <text>
        <r>
          <rPr>
            <sz val="9"/>
            <color indexed="81"/>
            <rFont val="Tahoma"/>
            <family val="2"/>
          </rPr>
          <t>Formation</t>
        </r>
      </text>
    </comment>
    <comment ref="CU48" authorId="1" shapeId="0" xr:uid="{A2F15565-19D8-4E27-BACC-17D9086A76EF}">
      <text>
        <r>
          <rPr>
            <sz val="9"/>
            <color indexed="81"/>
            <rFont val="Tahoma"/>
            <family val="2"/>
          </rPr>
          <t>Formation</t>
        </r>
      </text>
    </comment>
    <comment ref="CJ50" authorId="1" shapeId="0" xr:uid="{41EB0EBB-86D3-4D41-89F2-A85293B75BCD}">
      <text>
        <r>
          <rPr>
            <sz val="9"/>
            <color indexed="81"/>
            <rFont val="Tahoma"/>
            <family val="2"/>
          </rPr>
          <t>Formation</t>
        </r>
      </text>
    </comment>
    <comment ref="CK50" authorId="1" shapeId="0" xr:uid="{8E5ECF30-59EB-46EF-8C36-5FD2777EB239}">
      <text>
        <r>
          <rPr>
            <sz val="9"/>
            <color indexed="81"/>
            <rFont val="Tahoma"/>
            <family val="2"/>
          </rPr>
          <t>Formation</t>
        </r>
      </text>
    </comment>
    <comment ref="CL50" authorId="1" shapeId="0" xr:uid="{4F3BB527-1A8E-400E-963F-01EE9E513756}">
      <text>
        <r>
          <rPr>
            <sz val="9"/>
            <color indexed="81"/>
            <rFont val="Tahoma"/>
            <family val="2"/>
          </rPr>
          <t>Formation</t>
        </r>
      </text>
    </comment>
    <comment ref="CM50" authorId="1" shapeId="0" xr:uid="{FC00F75D-C2F4-4F8B-B991-D9B3D92FDE43}">
      <text>
        <r>
          <rPr>
            <sz val="9"/>
            <color indexed="81"/>
            <rFont val="Tahoma"/>
            <family val="2"/>
          </rPr>
          <t>Formation</t>
        </r>
      </text>
    </comment>
    <comment ref="CN50" authorId="1" shapeId="0" xr:uid="{D8FFF39A-93E6-4DAA-A5B7-38D808898816}">
      <text>
        <r>
          <rPr>
            <sz val="9"/>
            <color indexed="81"/>
            <rFont val="Tahoma"/>
            <family val="2"/>
          </rPr>
          <t>Formation</t>
        </r>
      </text>
    </comment>
    <comment ref="CQ50" authorId="1" shapeId="0" xr:uid="{6A205697-E1D1-4879-9509-07B151EC38CD}">
      <text>
        <r>
          <rPr>
            <sz val="9"/>
            <color indexed="81"/>
            <rFont val="Tahoma"/>
            <family val="2"/>
          </rPr>
          <t>Formation</t>
        </r>
      </text>
    </comment>
    <comment ref="CR50" authorId="1" shapeId="0" xr:uid="{97DD62C5-AF8E-49EB-8B7C-9263C4FC08E8}">
      <text>
        <r>
          <rPr>
            <sz val="9"/>
            <color indexed="81"/>
            <rFont val="Tahoma"/>
            <family val="2"/>
          </rPr>
          <t>Formation</t>
        </r>
      </text>
    </comment>
    <comment ref="CS50" authorId="1" shapeId="0" xr:uid="{57C69DD2-7CE9-4FE0-A348-18683E987478}">
      <text>
        <r>
          <rPr>
            <sz val="9"/>
            <color indexed="81"/>
            <rFont val="Tahoma"/>
            <family val="2"/>
          </rPr>
          <t>Formation</t>
        </r>
      </text>
    </comment>
    <comment ref="CT50" authorId="1" shapeId="0" xr:uid="{0E81C841-7D08-4EEF-A743-17A2E39B1EB0}">
      <text>
        <r>
          <rPr>
            <sz val="9"/>
            <color indexed="81"/>
            <rFont val="Tahoma"/>
            <family val="2"/>
          </rPr>
          <t>Formation</t>
        </r>
      </text>
    </comment>
    <comment ref="CU50" authorId="1" shapeId="0" xr:uid="{A2D979E6-5D2A-4F10-8E81-2725DF21D36B}">
      <text>
        <r>
          <rPr>
            <sz val="9"/>
            <color indexed="81"/>
            <rFont val="Tahoma"/>
            <family val="2"/>
          </rPr>
          <t>Formation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BURG Frederic</author>
    <author>DV2CFC4N</author>
    <author>LECA Perrine</author>
    <author>ROBERT Valentin</author>
    <author>CHAZELLE Mathieu</author>
  </authors>
  <commentList>
    <comment ref="A16" authorId="0" shapeId="0" xr:uid="{DEE2F425-3602-4527-AD81-9E1FE4D33F11}">
      <text>
        <r>
          <rPr>
            <b/>
            <sz val="9"/>
            <color indexed="81"/>
            <rFont val="Tahoma"/>
            <family val="2"/>
          </rPr>
          <t>BURG Frederic:</t>
        </r>
        <r>
          <rPr>
            <sz val="9"/>
            <color indexed="81"/>
            <rFont val="Tahoma"/>
            <family val="2"/>
          </rPr>
          <t xml:space="preserve">
8h - 15h52</t>
        </r>
      </text>
    </comment>
    <comment ref="A17" authorId="0" shapeId="0" xr:uid="{00E80581-8C25-419B-8EA4-2C8DFA7ACCC8}">
      <text>
        <r>
          <rPr>
            <b/>
            <sz val="9"/>
            <color indexed="81"/>
            <rFont val="Tahoma"/>
            <family val="2"/>
          </rPr>
          <t>BURG Frederic:</t>
        </r>
        <r>
          <rPr>
            <sz val="9"/>
            <color indexed="81"/>
            <rFont val="Tahoma"/>
            <family val="2"/>
          </rPr>
          <t xml:space="preserve">
8h - 15h22</t>
        </r>
      </text>
    </comment>
    <comment ref="A18" authorId="0" shapeId="0" xr:uid="{A1F3DBF1-E9F2-4ABD-A544-60FA764BDA77}">
      <text>
        <r>
          <rPr>
            <b/>
            <sz val="9"/>
            <color indexed="81"/>
            <rFont val="Tahoma"/>
            <family val="2"/>
          </rPr>
          <t>Incidents
INC : 9 - 17</t>
        </r>
      </text>
    </comment>
    <comment ref="A19" authorId="0" shapeId="0" xr:uid="{3FA890E4-6616-4886-90F5-92312427AD31}">
      <text>
        <r>
          <rPr>
            <b/>
            <sz val="9"/>
            <color indexed="81"/>
            <rFont val="Tahoma"/>
            <family val="2"/>
          </rPr>
          <t>Incidents
INC : 8,83 - 17,2</t>
        </r>
      </text>
    </comment>
    <comment ref="A20" authorId="0" shapeId="0" xr:uid="{AE7BB6F4-CEDB-48EC-A4A3-E6BDAF2B99F0}">
      <text>
        <r>
          <rPr>
            <b/>
            <sz val="9"/>
            <color indexed="81"/>
            <rFont val="Tahoma"/>
            <family val="2"/>
          </rPr>
          <t>Incidents
INC : 8,5 - 17</t>
        </r>
      </text>
    </comment>
    <comment ref="A21" authorId="0" shapeId="0" xr:uid="{A6F2C27A-2823-40C0-9BBD-A30A6A9B8DEE}">
      <text>
        <r>
          <rPr>
            <b/>
            <sz val="9"/>
            <color indexed="81"/>
            <rFont val="Tahoma"/>
            <family val="2"/>
          </rPr>
          <t>Incidents
INC : 8,5 - 14,5</t>
        </r>
      </text>
    </comment>
    <comment ref="A22" authorId="0" shapeId="0" xr:uid="{0600C019-7E2D-4A78-8EE1-A18C9761B226}">
      <text>
        <r>
          <rPr>
            <b/>
            <sz val="9"/>
            <color indexed="81"/>
            <rFont val="Tahoma"/>
            <family val="2"/>
          </rPr>
          <t>Incidents
INC : 8,33 - 17,2</t>
        </r>
      </text>
    </comment>
    <comment ref="A23" authorId="0" shapeId="0" xr:uid="{EEA47D4D-BF35-4CA1-B23B-205D5A7289FF}">
      <text>
        <r>
          <rPr>
            <b/>
            <sz val="9"/>
            <color indexed="81"/>
            <rFont val="Tahoma"/>
            <family val="2"/>
          </rPr>
          <t>Incidents
INC : 8,33 - 14,7</t>
        </r>
      </text>
    </comment>
    <comment ref="A24" authorId="0" shapeId="0" xr:uid="{3591BD88-FC8F-45DD-822B-3F2A3F340F88}">
      <text>
        <r>
          <rPr>
            <b/>
            <sz val="9"/>
            <color indexed="81"/>
            <rFont val="Tahoma"/>
            <family val="2"/>
          </rPr>
          <t>Incidents
INC : 8,5 - 16,5</t>
        </r>
      </text>
    </comment>
    <comment ref="A25" authorId="0" shapeId="0" xr:uid="{BD316D55-3187-409C-9544-26C11B0E02EF}">
      <text>
        <r>
          <rPr>
            <b/>
            <sz val="9"/>
            <color indexed="81"/>
            <rFont val="Tahoma"/>
            <family val="2"/>
          </rPr>
          <t>Incidents
INC : 10,5 - 17</t>
        </r>
      </text>
    </comment>
    <comment ref="A26" authorId="0" shapeId="0" xr:uid="{2B792E89-989D-420E-9CEF-48A5B83CDF5B}">
      <text>
        <r>
          <rPr>
            <b/>
            <sz val="9"/>
            <color indexed="81"/>
            <rFont val="Tahoma"/>
            <family val="2"/>
          </rPr>
          <t>Incidents
INC : 8,33 - 16,22</t>
        </r>
      </text>
    </comment>
    <comment ref="A27" authorId="0" shapeId="0" xr:uid="{1A0C4B3E-046F-4E39-BFB7-4C9B0129FEEA}">
      <text>
        <r>
          <rPr>
            <b/>
            <sz val="9"/>
            <color indexed="81"/>
            <rFont val="Tahoma"/>
            <family val="2"/>
          </rPr>
          <t>Incidents
INC : 10,33 - 17,2</t>
        </r>
      </text>
    </comment>
    <comment ref="A28" authorId="0" shapeId="0" xr:uid="{F74C0FD6-2E10-43BE-8B73-2E9514618F9F}">
      <text>
        <r>
          <rPr>
            <b/>
            <sz val="9"/>
            <color indexed="81"/>
            <rFont val="Tahoma"/>
            <family val="2"/>
          </rPr>
          <t>Incidents
INC : 8,5 - 16,5</t>
        </r>
      </text>
    </comment>
    <comment ref="A29" authorId="0" shapeId="0" xr:uid="{D7810291-D791-40C1-80C5-1F4EC39750F6}">
      <text>
        <r>
          <rPr>
            <b/>
            <sz val="9"/>
            <color indexed="81"/>
            <rFont val="Tahoma"/>
            <family val="2"/>
          </rPr>
          <t>Incidents
INC : 8,33 - 16,7</t>
        </r>
      </text>
    </comment>
    <comment ref="A30" authorId="0" shapeId="0" xr:uid="{FC4CADA8-60B8-49A5-A2F5-7CF65A5AF221}">
      <text>
        <r>
          <rPr>
            <b/>
            <sz val="9"/>
            <color indexed="81"/>
            <rFont val="Tahoma"/>
            <family val="2"/>
          </rPr>
          <t>Incidents
INC : 8 - 16</t>
        </r>
      </text>
    </comment>
    <comment ref="A31" authorId="0" shapeId="0" xr:uid="{E814E4CD-17E7-43D7-BC4D-53BB92B2E801}">
      <text>
        <r>
          <rPr>
            <b/>
            <sz val="9"/>
            <color indexed="81"/>
            <rFont val="Tahoma"/>
            <family val="2"/>
          </rPr>
          <t>Incidents
INC : 9 - 17</t>
        </r>
      </text>
    </comment>
    <comment ref="A32" authorId="0" shapeId="0" xr:uid="{AF853788-B160-4B55-8155-8575297B9FFA}">
      <text>
        <r>
          <rPr>
            <b/>
            <sz val="9"/>
            <color indexed="81"/>
            <rFont val="Tahoma"/>
            <family val="2"/>
          </rPr>
          <t>Incidents
INC : 8 - 16,36</t>
        </r>
      </text>
    </comment>
    <comment ref="A33" authorId="0" shapeId="0" xr:uid="{DB83904A-0F2A-4E43-BAE0-1183BA694BF2}">
      <text>
        <r>
          <rPr>
            <b/>
            <sz val="9"/>
            <color indexed="81"/>
            <rFont val="Tahoma"/>
            <family val="2"/>
          </rPr>
          <t>BURG Frederic:</t>
        </r>
        <r>
          <rPr>
            <sz val="9"/>
            <color indexed="81"/>
            <rFont val="Tahoma"/>
            <family val="2"/>
          </rPr>
          <t xml:space="preserve">
8h50 - 17h12</t>
        </r>
      </text>
    </comment>
    <comment ref="A34" authorId="1" shapeId="0" xr:uid="{4B11CBD7-D6D3-4DB8-8F98-F3757F4B57A3}">
      <text>
        <r>
          <rPr>
            <b/>
            <sz val="9"/>
            <color indexed="81"/>
            <rFont val="Tahoma"/>
            <family val="2"/>
          </rPr>
          <t>Incidents
INC : 8 - 12</t>
        </r>
      </text>
    </comment>
    <comment ref="A36" authorId="0" shapeId="0" xr:uid="{8BE3A178-1150-4978-942A-A521692B9586}">
      <text>
        <r>
          <rPr>
            <b/>
            <sz val="9"/>
            <color indexed="81"/>
            <rFont val="Tahoma"/>
            <family val="2"/>
          </rPr>
          <t xml:space="preserve">Maladie
 : </t>
        </r>
      </text>
    </comment>
    <comment ref="A37" authorId="0" shapeId="0" xr:uid="{286F283B-5E38-4FF1-96C1-C40B5A36CDED}">
      <text>
        <r>
          <rPr>
            <b/>
            <sz val="9"/>
            <color indexed="81"/>
            <rFont val="Tahoma"/>
            <family val="2"/>
          </rPr>
          <t>HNO
 : 22 - 6</t>
        </r>
      </text>
    </comment>
    <comment ref="A39" authorId="0" shapeId="0" xr:uid="{4967BC4B-0140-477D-9DC9-1D432170DC97}">
      <text>
        <r>
          <rPr>
            <b/>
            <sz val="9"/>
            <color indexed="81"/>
            <rFont val="Tahoma"/>
            <family val="2"/>
          </rPr>
          <t>HNO
 : 14 - 22</t>
        </r>
      </text>
    </comment>
    <comment ref="A40" authorId="0" shapeId="0" xr:uid="{0CD24C2B-F7BC-4902-BC5A-2D56505F04D8}">
      <text>
        <r>
          <rPr>
            <b/>
            <sz val="9"/>
            <color indexed="81"/>
            <rFont val="Tahoma"/>
            <family val="2"/>
          </rPr>
          <t>Incidents
INC : 8 - 13,5</t>
        </r>
      </text>
    </comment>
    <comment ref="A41" authorId="0" shapeId="0" xr:uid="{FBE5A7CE-7784-4646-82EF-FE2C1D80AE1D}">
      <text>
        <r>
          <rPr>
            <b/>
            <sz val="9"/>
            <color indexed="81"/>
            <rFont val="Tahoma"/>
            <family val="2"/>
          </rPr>
          <t>Incidents
INC : 8 - 13,73</t>
        </r>
      </text>
    </comment>
    <comment ref="A42" authorId="1" shapeId="0" xr:uid="{2DA4BB58-D063-4E38-AE10-38FD318210B4}">
      <text>
        <r>
          <rPr>
            <b/>
            <sz val="9"/>
            <color indexed="81"/>
            <rFont val="Tahoma"/>
            <family val="2"/>
          </rPr>
          <t>MDP - Info
INF : 8 - 14,5</t>
        </r>
      </text>
    </comment>
    <comment ref="A43" authorId="1" shapeId="0" xr:uid="{F23506AD-93B8-4CCE-AD88-E5120D2BA492}">
      <text>
        <r>
          <rPr>
            <b/>
            <sz val="9"/>
            <color indexed="81"/>
            <rFont val="Tahoma"/>
            <family val="2"/>
          </rPr>
          <t>Technicien HD
INF : 8 - 13</t>
        </r>
      </text>
    </comment>
    <comment ref="A44" authorId="2" shapeId="0" xr:uid="{D320563F-166B-44CB-836A-5BFD6210F834}">
      <text>
        <r>
          <rPr>
            <b/>
            <sz val="9"/>
            <color indexed="81"/>
            <rFont val="Tahoma"/>
            <family val="2"/>
          </rPr>
          <t>Technicien HD
INF : 8,5 - 13,5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45" authorId="2" shapeId="0" xr:uid="{6E5F545B-6AA6-4569-AEC2-389B92DC026E}">
      <text>
        <r>
          <rPr>
            <b/>
            <sz val="9"/>
            <color indexed="81"/>
            <rFont val="Tahoma"/>
            <family val="2"/>
          </rPr>
          <t>Technicien HD
INF : 8,75 - 13,75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46" authorId="2" shapeId="0" xr:uid="{B1B7945D-88BA-48A5-B9E0-B40D8940F71F}">
      <text>
        <r>
          <rPr>
            <b/>
            <sz val="9"/>
            <color indexed="81"/>
            <rFont val="Tahoma"/>
            <family val="2"/>
          </rPr>
          <t>Technicien HD
INF : 8,5 - 12,5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49" authorId="2" shapeId="0" xr:uid="{F37693CF-2FC9-4F72-A398-6188321D654F}">
      <text>
        <r>
          <rPr>
            <b/>
            <sz val="9"/>
            <color indexed="81"/>
            <rFont val="Tahoma"/>
            <family val="2"/>
          </rPr>
          <t>Technicien HD
INF : 8,75 - 12,75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51" authorId="3" shapeId="0" xr:uid="{AB1BB9B6-59E9-4E25-89D7-A175503E57C1}">
      <text>
        <r>
          <rPr>
            <b/>
            <sz val="9"/>
            <color indexed="81"/>
            <rFont val="Tahoma"/>
            <family val="2"/>
          </rPr>
          <t>8h - 16h45</t>
        </r>
      </text>
    </comment>
    <comment ref="A52" authorId="3" shapeId="0" xr:uid="{3975907D-2FF4-4390-ACA0-E71FF78866B6}">
      <text>
        <r>
          <rPr>
            <b/>
            <sz val="9"/>
            <color indexed="81"/>
            <rFont val="Tahoma"/>
            <family val="2"/>
          </rPr>
          <t>8h - 17h07</t>
        </r>
      </text>
    </comment>
    <comment ref="A53" authorId="3" shapeId="0" xr:uid="{2D339CE8-B621-4EE9-98CF-FE0F577E6D07}">
      <text>
        <r>
          <rPr>
            <b/>
            <sz val="9"/>
            <color indexed="81"/>
            <rFont val="Tahoma"/>
            <family val="2"/>
          </rPr>
          <t>8h - 16h</t>
        </r>
      </text>
    </comment>
    <comment ref="A54" authorId="3" shapeId="0" xr:uid="{9060FAB7-95C4-4342-B479-4DF471136544}">
      <text>
        <r>
          <rPr>
            <b/>
            <sz val="9"/>
            <color indexed="81"/>
            <rFont val="Tahoma"/>
            <family val="2"/>
          </rPr>
          <t>8h - 16h22</t>
        </r>
      </text>
    </comment>
    <comment ref="A55" authorId="0" shapeId="0" xr:uid="{6EC3E612-D5D3-41F1-BAC5-5AC4E2CD3899}">
      <text>
        <r>
          <rPr>
            <b/>
            <sz val="9"/>
            <color indexed="81"/>
            <rFont val="Tahoma"/>
            <family val="2"/>
          </rPr>
          <t>8h - 14h30</t>
        </r>
      </text>
    </comment>
    <comment ref="A56" authorId="0" shapeId="0" xr:uid="{1638737D-D363-43DE-A6F5-62602D46CB73}">
      <text>
        <r>
          <rPr>
            <b/>
            <sz val="9"/>
            <color indexed="81"/>
            <rFont val="Tahoma"/>
            <family val="2"/>
          </rPr>
          <t>8h - 14h52</t>
        </r>
      </text>
    </comment>
    <comment ref="A57" authorId="3" shapeId="0" xr:uid="{2B62B792-68F1-4D89-920A-3EE2043B5281}">
      <text>
        <r>
          <rPr>
            <b/>
            <sz val="9"/>
            <color indexed="81"/>
            <rFont val="Tahoma"/>
            <family val="2"/>
          </rPr>
          <t>8h30 - 17h</t>
        </r>
      </text>
    </comment>
    <comment ref="A58" authorId="3" shapeId="0" xr:uid="{F1FCD4F2-86F5-4256-99D7-493843909600}">
      <text>
        <r>
          <rPr>
            <b/>
            <sz val="9"/>
            <color indexed="81"/>
            <rFont val="Tahoma"/>
            <family val="2"/>
          </rPr>
          <t>8h08 - 17h</t>
        </r>
      </text>
    </comment>
    <comment ref="A59" authorId="0" shapeId="0" xr:uid="{EA5276FC-48C9-45D8-8102-48E7BA2E9691}">
      <text>
        <r>
          <rPr>
            <b/>
            <sz val="9"/>
            <color indexed="81"/>
            <rFont val="Tahoma"/>
            <family val="2"/>
          </rPr>
          <t>8h30 - 17h</t>
        </r>
      </text>
    </comment>
    <comment ref="A60" authorId="0" shapeId="0" xr:uid="{605DF22C-E5FE-4682-8473-71355914CC86}">
      <text>
        <r>
          <rPr>
            <b/>
            <sz val="9"/>
            <color indexed="81"/>
            <rFont val="Tahoma"/>
            <family val="2"/>
          </rPr>
          <t>8h08 - 17h</t>
        </r>
      </text>
    </comment>
    <comment ref="A61" authorId="0" shapeId="0" xr:uid="{0DD91B77-43B3-4F2D-9DE5-E9A4CBBDD8F0}">
      <text>
        <r>
          <rPr>
            <b/>
            <sz val="9"/>
            <color indexed="81"/>
            <rFont val="Tahoma"/>
            <family val="2"/>
          </rPr>
          <t>10h-16h</t>
        </r>
      </text>
    </comment>
    <comment ref="A62" authorId="0" shapeId="0" xr:uid="{0510D939-649C-466A-97F2-78888DF399C7}">
      <text>
        <r>
          <rPr>
            <b/>
            <sz val="9"/>
            <color indexed="81"/>
            <rFont val="Tahoma"/>
            <family val="2"/>
          </rPr>
          <t>10h-16h22</t>
        </r>
      </text>
    </comment>
    <comment ref="A63" authorId="0" shapeId="0" xr:uid="{4C482D64-F032-47F3-8BF7-5C56B962EB99}">
      <text>
        <r>
          <rPr>
            <b/>
            <sz val="9"/>
            <color indexed="81"/>
            <rFont val="Tahoma"/>
            <family val="2"/>
          </rPr>
          <t>8h - 16h30</t>
        </r>
      </text>
    </comment>
    <comment ref="A64" authorId="0" shapeId="0" xr:uid="{068FF6A8-B9A4-4173-A6BF-B8A6A9299469}">
      <text>
        <r>
          <rPr>
            <b/>
            <sz val="9"/>
            <color indexed="81"/>
            <rFont val="Tahoma"/>
            <family val="2"/>
          </rPr>
          <t>8h - 16h52</t>
        </r>
      </text>
    </comment>
    <comment ref="A65" authorId="0" shapeId="0" xr:uid="{E2FA5773-B8C6-415E-B122-28253962A81F}">
      <text>
        <r>
          <rPr>
            <b/>
            <sz val="9"/>
            <color indexed="81"/>
            <rFont val="Tahoma"/>
            <family val="2"/>
          </rPr>
          <t>9h30 - 17h10</t>
        </r>
      </text>
    </comment>
    <comment ref="A66" authorId="0" shapeId="0" xr:uid="{7EE9BE51-99FF-4C40-9F1F-EAAFDA71199A}">
      <text>
        <r>
          <rPr>
            <b/>
            <sz val="9"/>
            <color indexed="81"/>
            <rFont val="Tahoma"/>
            <family val="2"/>
          </rPr>
          <t>9h08 - 17h10</t>
        </r>
      </text>
    </comment>
    <comment ref="A67" authorId="0" shapeId="0" xr:uid="{AB3CB6D0-06D4-4D28-AD25-CDB2E90D94C1}">
      <text>
        <r>
          <rPr>
            <b/>
            <sz val="9"/>
            <color indexed="81"/>
            <rFont val="Tahoma"/>
            <family val="2"/>
          </rPr>
          <t>8h - 16h</t>
        </r>
      </text>
    </comment>
    <comment ref="A68" authorId="0" shapeId="0" xr:uid="{48BD9982-99BA-4630-AD8A-0CA2150E0149}">
      <text>
        <r>
          <rPr>
            <b/>
            <sz val="9"/>
            <color indexed="81"/>
            <rFont val="Tahoma"/>
            <family val="2"/>
          </rPr>
          <t>8h - 16h22</t>
        </r>
      </text>
    </comment>
    <comment ref="A69" authorId="0" shapeId="0" xr:uid="{2DCCBA48-A41F-44CD-85AA-089FFBD351BA}">
      <text>
        <r>
          <rPr>
            <b/>
            <sz val="9"/>
            <color indexed="81"/>
            <rFont val="Tahoma"/>
            <family val="2"/>
          </rPr>
          <t>9h - 17h</t>
        </r>
      </text>
    </comment>
    <comment ref="A70" authorId="0" shapeId="0" xr:uid="{421D963B-9B41-4E93-8A87-D0FAE6A6FD89}">
      <text>
        <r>
          <rPr>
            <b/>
            <sz val="9"/>
            <color indexed="81"/>
            <rFont val="Tahoma"/>
            <family val="2"/>
          </rPr>
          <t>8h45 - 17h07</t>
        </r>
      </text>
    </comment>
    <comment ref="A71" authorId="2" shapeId="0" xr:uid="{C955C15F-F4BF-490A-863C-6D51DF7FC4A5}">
      <text>
        <r>
          <rPr>
            <b/>
            <sz val="9"/>
            <color indexed="81"/>
            <rFont val="Tahoma"/>
            <family val="2"/>
          </rPr>
          <t>9h-16h30
Lunch 12h-13h30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72" authorId="4" shapeId="0" xr:uid="{03BB6152-DE9E-4F98-BEDD-D0538F352288}">
      <text>
        <r>
          <rPr>
            <b/>
            <sz val="9"/>
            <color indexed="81"/>
            <rFont val="Tahoma"/>
            <family val="2"/>
          </rPr>
          <t>8h30-16h30
Lunch : 12h45-13h45</t>
        </r>
      </text>
    </comment>
    <comment ref="A73" authorId="4" shapeId="0" xr:uid="{80D8F6C5-D798-4416-82D2-7482605D4AAA}">
      <text>
        <r>
          <rPr>
            <b/>
            <sz val="9"/>
            <color indexed="81"/>
            <rFont val="Tahoma"/>
            <family val="2"/>
          </rPr>
          <t>8h45-16h15
Lunch : 12h45-13h45</t>
        </r>
      </text>
    </comment>
    <comment ref="A74" authorId="4" shapeId="0" xr:uid="{CB4BCB65-B550-423F-8514-E583B77876DE}">
      <text>
        <r>
          <rPr>
            <b/>
            <sz val="9"/>
            <color indexed="81"/>
            <rFont val="Tahoma"/>
            <family val="2"/>
          </rPr>
          <t>8h30-17h
Lunch : 12h45-13h45</t>
        </r>
      </text>
    </comment>
    <comment ref="A77" authorId="2" shapeId="0" xr:uid="{F368FEDC-CE59-4714-8942-312649CE2715}">
      <text>
        <r>
          <rPr>
            <b/>
            <sz val="9"/>
            <color indexed="81"/>
            <rFont val="Tahoma"/>
            <family val="2"/>
          </rPr>
          <t>Technicien HD
INF : 8,5 - 12,5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PETITBOUT Marc</author>
  </authors>
  <commentList>
    <comment ref="G1" authorId="0" shapeId="0" xr:uid="{4BC99560-A52E-4E4F-B32D-A30DB122E08A}">
      <text>
        <r>
          <rPr>
            <sz val="9"/>
            <color indexed="9"/>
            <rFont val="Tahoma"/>
            <family val="2"/>
          </rPr>
          <t xml:space="preserve">
</t>
        </r>
        <r>
          <rPr>
            <b/>
            <sz val="9"/>
            <color indexed="9"/>
            <rFont val="Tahoma"/>
            <family val="2"/>
          </rPr>
          <t>LS SU    Support Utilisateur
LS SAM  Support Applicatif
LS SPA   Supervision et performance Applicative
LS IAT   Intégration Applicative &amp; Testing
LS OPM  Operation Manager
DM        Delivery Manager</t>
        </r>
      </text>
    </comment>
    <comment ref="C3" authorId="0" shapeId="0" xr:uid="{59A9E542-6BE9-4437-B4B4-C2C005237B97}">
      <text>
        <r>
          <rPr>
            <b/>
            <sz val="9"/>
            <color indexed="81"/>
            <rFont val="Tahoma"/>
            <family val="2"/>
          </rPr>
          <t>PETITBOUT Marc:</t>
        </r>
        <r>
          <rPr>
            <sz val="9"/>
            <color indexed="81"/>
            <rFont val="Tahoma"/>
            <family val="2"/>
          </rPr>
          <t xml:space="preserve">
Saisir l'année en cours sous la forme "01/01/AA"</t>
        </r>
      </text>
    </comment>
    <comment ref="H11" authorId="0" shapeId="0" xr:uid="{693157AD-A842-4443-9042-F0E468AAAE83}">
      <text>
        <r>
          <rPr>
            <sz val="9"/>
            <color indexed="9"/>
            <rFont val="Tahoma"/>
            <family val="2"/>
          </rPr>
          <t xml:space="preserve">
</t>
        </r>
        <r>
          <rPr>
            <b/>
            <sz val="9"/>
            <color indexed="9"/>
            <rFont val="Tahoma"/>
            <family val="2"/>
          </rPr>
          <t>Etat 0 = Non actif / Sortie des effectifs
Etat 1 = Actif
Etat 2 = Temporaire en cours d'ajout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<sst xmlns="http://schemas.openxmlformats.org/spreadsheetml/2006/main" count="2773" uniqueCount="520">
  <si>
    <t>Plateau</t>
  </si>
  <si>
    <t xml:space="preserve">SL : </t>
  </si>
  <si>
    <t>PROJET</t>
  </si>
  <si>
    <t>Date MAJ.</t>
  </si>
  <si>
    <t>Localisation</t>
  </si>
  <si>
    <t>SopraSteria I2S Roanne</t>
  </si>
  <si>
    <t>Responsable</t>
  </si>
  <si>
    <t>Contact</t>
  </si>
  <si>
    <t>MAT</t>
  </si>
  <si>
    <t>NOM.Prénom</t>
  </si>
  <si>
    <t>ETP</t>
  </si>
  <si>
    <t>Société</t>
  </si>
  <si>
    <t>Client</t>
  </si>
  <si>
    <t>SL</t>
  </si>
  <si>
    <t>Equipe</t>
  </si>
  <si>
    <t>Etat</t>
  </si>
  <si>
    <t>FIN</t>
  </si>
  <si>
    <t>TOT</t>
  </si>
  <si>
    <t>I2S</t>
  </si>
  <si>
    <t>MAN</t>
  </si>
  <si>
    <t>P</t>
  </si>
  <si>
    <t>RTTS</t>
  </si>
  <si>
    <t>CP</t>
  </si>
  <si>
    <t>ACOSS</t>
  </si>
  <si>
    <t>INT</t>
  </si>
  <si>
    <t>M</t>
  </si>
  <si>
    <t>HC5</t>
  </si>
  <si>
    <t>F</t>
  </si>
  <si>
    <t>RPD</t>
  </si>
  <si>
    <t>ANI</t>
  </si>
  <si>
    <t>RTTH</t>
  </si>
  <si>
    <t>A</t>
  </si>
  <si>
    <t>CPA</t>
  </si>
  <si>
    <t>EXT</t>
  </si>
  <si>
    <t>EXT1</t>
  </si>
  <si>
    <t>Abs</t>
  </si>
  <si>
    <t>AP</t>
  </si>
  <si>
    <t>ALLIANZ</t>
  </si>
  <si>
    <t>/!\  NE PAS SAISIR ICI  /!\</t>
  </si>
  <si>
    <t>TOT EFF.</t>
  </si>
  <si>
    <t>EFF. Présent</t>
  </si>
  <si>
    <t>TOT Absence</t>
  </si>
  <si>
    <t>TOT Abs Planifiées</t>
  </si>
  <si>
    <t>TOT Abs non Planifiées</t>
  </si>
  <si>
    <t>EFF. Nécessaires #1</t>
  </si>
  <si>
    <t>EFF. Nécessaires #2</t>
  </si>
  <si>
    <t>% TOT Abs</t>
  </si>
  <si>
    <t>% Abs Planifiées</t>
  </si>
  <si>
    <t>% Abs non Planifiées</t>
  </si>
  <si>
    <t>%Var</t>
  </si>
  <si>
    <t>P=Produit /  Np = non produit (AbsP+Abs NP)</t>
  </si>
  <si>
    <t>JOURS PRODUITS</t>
  </si>
  <si>
    <t>NOM.prénom</t>
  </si>
  <si>
    <t>STE</t>
  </si>
  <si>
    <t>Projet</t>
  </si>
  <si>
    <t>'P'</t>
  </si>
  <si>
    <t>'Np'</t>
  </si>
  <si>
    <t>#</t>
  </si>
  <si>
    <t>Np</t>
  </si>
  <si>
    <t>Abs P</t>
  </si>
  <si>
    <t>Abs NP</t>
  </si>
  <si>
    <t xml:space="preserve">TOTAL : </t>
  </si>
  <si>
    <t xml:space="preserve">MOYENNE : </t>
  </si>
  <si>
    <t>NOM</t>
  </si>
  <si>
    <t>CLT</t>
  </si>
  <si>
    <t>09</t>
  </si>
  <si>
    <t>Date dde</t>
  </si>
  <si>
    <t>Avis/Suivi</t>
  </si>
  <si>
    <t>10</t>
  </si>
  <si>
    <t>11</t>
  </si>
  <si>
    <t>12</t>
  </si>
  <si>
    <t>C&amp;I OK - I2S OK</t>
  </si>
  <si>
    <t>23/09 -</t>
  </si>
  <si>
    <t xml:space="preserve">14/10 - </t>
  </si>
  <si>
    <t>14/11 &amp; 25/11</t>
  </si>
  <si>
    <t xml:space="preserve">09/12 &amp; 26/12 </t>
  </si>
  <si>
    <t>10/11 - 14/11</t>
  </si>
  <si>
    <t>Attente retour C&amp;I</t>
  </si>
  <si>
    <t>26/12 - 30/12</t>
  </si>
  <si>
    <t>Jocelyne</t>
  </si>
  <si>
    <t>Description</t>
  </si>
  <si>
    <t>CODE</t>
  </si>
  <si>
    <t>Debut</t>
  </si>
  <si>
    <t>Fin</t>
  </si>
  <si>
    <t>Pause Médiane</t>
  </si>
  <si>
    <t>Durée Pause (mn)</t>
  </si>
  <si>
    <t>Début Num.</t>
  </si>
  <si>
    <t>Fin Num.</t>
  </si>
  <si>
    <t>Durée</t>
  </si>
  <si>
    <t>Adresse</t>
  </si>
  <si>
    <t>Horaire Collectif</t>
  </si>
  <si>
    <t>HC1</t>
  </si>
  <si>
    <t>8:00</t>
  </si>
  <si>
    <t>16:22</t>
  </si>
  <si>
    <t>11:30</t>
  </si>
  <si>
    <t>Incidents</t>
  </si>
  <si>
    <t>HC2</t>
  </si>
  <si>
    <t>8:22</t>
  </si>
  <si>
    <t>16:44</t>
  </si>
  <si>
    <t>HC3</t>
  </si>
  <si>
    <t>8:30</t>
  </si>
  <si>
    <t>16:52</t>
  </si>
  <si>
    <t>12:00</t>
  </si>
  <si>
    <t>HC4</t>
  </si>
  <si>
    <t>8:45</t>
  </si>
  <si>
    <t>17:07</t>
  </si>
  <si>
    <t>9:00</t>
  </si>
  <si>
    <t>17:22</t>
  </si>
  <si>
    <t>12:30</t>
  </si>
  <si>
    <t>HC6</t>
  </si>
  <si>
    <t>9:22</t>
  </si>
  <si>
    <t>17:44</t>
  </si>
  <si>
    <t>HC7</t>
  </si>
  <si>
    <t>9:30</t>
  </si>
  <si>
    <t>17:52</t>
  </si>
  <si>
    <t>13:00</t>
  </si>
  <si>
    <t>17:00</t>
  </si>
  <si>
    <t>M1</t>
  </si>
  <si>
    <t>18:07</t>
  </si>
  <si>
    <t>M2</t>
  </si>
  <si>
    <t>M3</t>
  </si>
  <si>
    <t>W1</t>
  </si>
  <si>
    <t>W2</t>
  </si>
  <si>
    <t>W3</t>
  </si>
  <si>
    <t>BO</t>
  </si>
  <si>
    <t>Management</t>
  </si>
  <si>
    <t>Compensation pour travail posté</t>
  </si>
  <si>
    <t>Toutes Absences confondues</t>
  </si>
  <si>
    <t>Absences Planfifiées</t>
  </si>
  <si>
    <t>Absences NON Planfifiées</t>
  </si>
  <si>
    <t>Code</t>
  </si>
  <si>
    <t>Desc</t>
  </si>
  <si>
    <t>Absence non rémunérée</t>
  </si>
  <si>
    <t>Absence Planifiée (EXT)</t>
  </si>
  <si>
    <t>AA</t>
  </si>
  <si>
    <t>Attente d'Affectation</t>
  </si>
  <si>
    <t>CEL</t>
  </si>
  <si>
    <t>Congés Exceptionnels Légaux</t>
  </si>
  <si>
    <t>Absence non planifiée (EXT)</t>
  </si>
  <si>
    <t>CMP</t>
  </si>
  <si>
    <t>Congé de Maternité ou de Paternité</t>
  </si>
  <si>
    <t>AG</t>
  </si>
  <si>
    <t>Administration et Gestion</t>
  </si>
  <si>
    <t>Congés Payés</t>
  </si>
  <si>
    <t>Autre non imputable sur Contrat</t>
  </si>
  <si>
    <t>Congés Payés Anticipés</t>
  </si>
  <si>
    <t>CTC</t>
  </si>
  <si>
    <t>CTD - Collaborateur</t>
  </si>
  <si>
    <t>CD</t>
  </si>
  <si>
    <t>Correction pour Dépassement</t>
  </si>
  <si>
    <t>AP*</t>
  </si>
  <si>
    <t>CTE</t>
  </si>
  <si>
    <t>CTD - Entreprise</t>
  </si>
  <si>
    <t>EP</t>
  </si>
  <si>
    <t>Élaboration de Proposition</t>
  </si>
  <si>
    <t>Formation</t>
  </si>
  <si>
    <t>Écart Temps Partiel</t>
  </si>
  <si>
    <t>Fx</t>
  </si>
  <si>
    <t>Formation contexte</t>
  </si>
  <si>
    <t>Maladie</t>
  </si>
  <si>
    <t>I</t>
  </si>
  <si>
    <t>Formation Intégration</t>
  </si>
  <si>
    <t>Représentation du Personnel</t>
  </si>
  <si>
    <t>Pont</t>
  </si>
  <si>
    <t>TEA</t>
  </si>
  <si>
    <t>TEA - Tranches Exceptionnelles d'Activité</t>
  </si>
  <si>
    <t>REC</t>
  </si>
  <si>
    <t>Récuperation</t>
  </si>
  <si>
    <t>REP</t>
  </si>
  <si>
    <t>Repos compensateur</t>
  </si>
  <si>
    <t>JRTT - Entreprise</t>
  </si>
  <si>
    <t>JRTT - Collaborateur</t>
  </si>
  <si>
    <t>AF</t>
  </si>
  <si>
    <t>Aidant familial</t>
  </si>
  <si>
    <t>Représentation du Personnel (Délégation, Mandat / Comité Etablissement /…)</t>
  </si>
  <si>
    <t>Astreintes</t>
  </si>
  <si>
    <t>% Site</t>
  </si>
  <si>
    <t>% TTR</t>
  </si>
  <si>
    <t>lundi</t>
  </si>
  <si>
    <t>mardi</t>
  </si>
  <si>
    <t>mercredi</t>
  </si>
  <si>
    <t>jeudi</t>
  </si>
  <si>
    <t>vendredi</t>
  </si>
  <si>
    <t xml:space="preserve">Rappels des bonnes pratiques pour les collaborateurs SSG :
</t>
  </si>
  <si>
    <t>TTR</t>
  </si>
  <si>
    <t>Télétravail Régulier</t>
  </si>
  <si>
    <t>Site</t>
  </si>
  <si>
    <t>Présent sur site</t>
  </si>
  <si>
    <t xml:space="preserve">* Tous les collaborateurs peuvent demander à télétravailler régulièrement jusqu’à 2 jours par semaine, sous réserve de la validation de leur manager et de l’adéquation du télétravail avec la nature de leurs missions et des besoins client. </t>
  </si>
  <si>
    <t>* Les jours de télétravail sont flexibles et sont à planifier par les collaborateurs mensuellement sur une période de 3 mois glissants.</t>
  </si>
  <si>
    <t>* L'outil PTA doit être mis à jour régulièrement</t>
  </si>
  <si>
    <t>* Pas de reports des jours de télétravail non effectué</t>
  </si>
  <si>
    <t>Solde CP 2022</t>
  </si>
  <si>
    <t>Souhait 2022-2023</t>
  </si>
  <si>
    <t>Remarque(s)</t>
  </si>
  <si>
    <t>Validés</t>
  </si>
  <si>
    <t>IZ</t>
  </si>
  <si>
    <t xml:space="preserve">LISSY </t>
  </si>
  <si>
    <t>Sylvain</t>
  </si>
  <si>
    <t>11/08 au 11/09</t>
  </si>
  <si>
    <t>25 (C. PAT)</t>
  </si>
  <si>
    <t>SSG</t>
  </si>
  <si>
    <t>TEXIER</t>
  </si>
  <si>
    <t>Melissa</t>
  </si>
  <si>
    <t>2-6 (5j)</t>
  </si>
  <si>
    <t>12/09 au 25/09</t>
  </si>
  <si>
    <t>BENIGAUD</t>
  </si>
  <si>
    <t>Elodie</t>
  </si>
  <si>
    <t>23-31 (6j)</t>
  </si>
  <si>
    <t>15/08 au 31/08</t>
  </si>
  <si>
    <t>CHIGNIER</t>
  </si>
  <si>
    <t>Catherine</t>
  </si>
  <si>
    <t>ACCOS</t>
  </si>
  <si>
    <t>11/07 au 29/07</t>
  </si>
  <si>
    <t>LANOIX</t>
  </si>
  <si>
    <t>Gile</t>
  </si>
  <si>
    <t>15/08/ au 11/09</t>
  </si>
  <si>
    <t>BRAY</t>
  </si>
  <si>
    <t>Michael</t>
  </si>
  <si>
    <t>25/07 au 15/08</t>
  </si>
  <si>
    <t>Autre Souhait 2022-2023</t>
  </si>
  <si>
    <t>ROUILLET</t>
  </si>
  <si>
    <t>23-27 (4j)</t>
  </si>
  <si>
    <t>22/08 au 09/09</t>
  </si>
  <si>
    <t>JBARA</t>
  </si>
  <si>
    <t>Abdelilah</t>
  </si>
  <si>
    <t>9 CP anticipés possible</t>
  </si>
  <si>
    <t>BRIAS</t>
  </si>
  <si>
    <t>Guillaume</t>
  </si>
  <si>
    <t>TURCHET</t>
  </si>
  <si>
    <t>Adrien</t>
  </si>
  <si>
    <t>VIENNET</t>
  </si>
  <si>
    <t>Pierre</t>
  </si>
  <si>
    <t>20-24/06 (5j)</t>
  </si>
  <si>
    <t>septembre</t>
  </si>
  <si>
    <t>8 CP anticipés possible</t>
  </si>
  <si>
    <t>JACQUEMET</t>
  </si>
  <si>
    <t>Adeline</t>
  </si>
  <si>
    <t>9-10/05 (2j)</t>
  </si>
  <si>
    <r>
      <rPr>
        <b/>
        <sz val="10"/>
        <color rgb="FFFF0000"/>
        <rFont val="Calibri"/>
        <family val="2"/>
        <scheme val="minor"/>
      </rPr>
      <t>20</t>
    </r>
    <r>
      <rPr>
        <sz val="10"/>
        <rFont val="Calibri"/>
        <family val="2"/>
        <scheme val="minor"/>
      </rPr>
      <t>-</t>
    </r>
    <r>
      <rPr>
        <sz val="10"/>
        <color rgb="FFFF0000"/>
        <rFont val="Calibri"/>
        <family val="2"/>
        <scheme val="minor"/>
      </rPr>
      <t>25</t>
    </r>
    <r>
      <rPr>
        <sz val="10"/>
        <rFont val="Calibri"/>
        <family val="2"/>
        <scheme val="minor"/>
      </rPr>
      <t>/06 (5j)</t>
    </r>
  </si>
  <si>
    <t>12/08 &amp; septembre</t>
  </si>
  <si>
    <t>5 CP anticipés possible</t>
  </si>
  <si>
    <t>29/08 au 2/09</t>
  </si>
  <si>
    <t>RENAULT</t>
  </si>
  <si>
    <t>Corentin</t>
  </si>
  <si>
    <t>22/08 au 02/09</t>
  </si>
  <si>
    <t>SNCF</t>
  </si>
  <si>
    <t>REVENEAU</t>
  </si>
  <si>
    <t>Geoffrey</t>
  </si>
  <si>
    <t>25 &amp; 27 (1,5j)</t>
  </si>
  <si>
    <t>AUTRE A VENIR</t>
  </si>
  <si>
    <t>SERRE</t>
  </si>
  <si>
    <t>Benjamin</t>
  </si>
  <si>
    <t>SAFRAN</t>
  </si>
  <si>
    <t>Validé 22/08 au 2/09</t>
  </si>
  <si>
    <t>NESME</t>
  </si>
  <si>
    <t>Olivier</t>
  </si>
  <si>
    <t>CHORUS</t>
  </si>
  <si>
    <t>MURELO</t>
  </si>
  <si>
    <t>Albane</t>
  </si>
  <si>
    <t>16-26/08 (9j)</t>
  </si>
  <si>
    <t>RAZES</t>
  </si>
  <si>
    <t>Ludovic</t>
  </si>
  <si>
    <t>EDF</t>
  </si>
  <si>
    <t>DATE Planning (pour le repère cible de la liste des mois)</t>
  </si>
  <si>
    <t>Adresse cible</t>
  </si>
  <si>
    <t>Date complete</t>
  </si>
  <si>
    <t>Index col Planning</t>
  </si>
  <si>
    <t>01</t>
  </si>
  <si>
    <t>02</t>
  </si>
  <si>
    <t>03</t>
  </si>
  <si>
    <t>04</t>
  </si>
  <si>
    <t>05</t>
  </si>
  <si>
    <t>06</t>
  </si>
  <si>
    <t>07</t>
  </si>
  <si>
    <t>08</t>
  </si>
  <si>
    <t>TB DATE ANNEE</t>
  </si>
  <si>
    <t>Num</t>
  </si>
  <si>
    <t>Mois</t>
  </si>
  <si>
    <t>Nb J ouvrés</t>
  </si>
  <si>
    <t>Gain CP / mois</t>
  </si>
  <si>
    <t>T.</t>
  </si>
  <si>
    <t>Pondération</t>
  </si>
  <si>
    <t>SSP ROANNE</t>
  </si>
  <si>
    <t xml:space="preserve"> Code SSP  2017</t>
  </si>
  <si>
    <t>BNPP</t>
  </si>
  <si>
    <t>999017T0037</t>
  </si>
  <si>
    <t>BNPP-SAV</t>
  </si>
  <si>
    <t>999017T0038</t>
  </si>
  <si>
    <t>ATR</t>
  </si>
  <si>
    <t>999017T0511</t>
  </si>
  <si>
    <t>999017T0512</t>
  </si>
  <si>
    <t>CHORUS LOT 1 - Run</t>
  </si>
  <si>
    <t>999017T0040</t>
  </si>
  <si>
    <t>SIMMO</t>
  </si>
  <si>
    <t>IMMO SOFTWARE</t>
  </si>
  <si>
    <t>999017T0043</t>
  </si>
  <si>
    <t>CNAM</t>
  </si>
  <si>
    <t>CNAM TOSCA</t>
  </si>
  <si>
    <t>999017T0475</t>
  </si>
  <si>
    <t>999017T0557</t>
  </si>
  <si>
    <t>DGFIP</t>
  </si>
  <si>
    <t xml:space="preserve"> 999017T0489</t>
  </si>
  <si>
    <t>EDF ITS</t>
  </si>
  <si>
    <t>999017T0153</t>
  </si>
  <si>
    <t>GEODIS</t>
  </si>
  <si>
    <t>999017T0048</t>
  </si>
  <si>
    <t>INDUS</t>
  </si>
  <si>
    <t>999017T0316</t>
  </si>
  <si>
    <t>KERMENE</t>
  </si>
  <si>
    <t>SODIFRANCE / KERMENE RUN</t>
  </si>
  <si>
    <t>999017T0465</t>
  </si>
  <si>
    <t>MAA</t>
  </si>
  <si>
    <t>999017T0462</t>
  </si>
  <si>
    <t>SUEZ</t>
  </si>
  <si>
    <t>999017T0175</t>
  </si>
  <si>
    <t>SUEZ INTERNA.</t>
  </si>
  <si>
    <t>999017T0516</t>
  </si>
  <si>
    <t>MUT</t>
  </si>
  <si>
    <t>999017T0188</t>
  </si>
  <si>
    <t>PILOTAGE</t>
  </si>
  <si>
    <t>MUT Pilotage</t>
  </si>
  <si>
    <t>999017T0456</t>
  </si>
  <si>
    <t>999017T0558</t>
  </si>
  <si>
    <t>PLATEAU</t>
  </si>
  <si>
    <t>Nb TTR</t>
  </si>
  <si>
    <t>MOYENNE par jour 
&amp; par demi-heure</t>
  </si>
  <si>
    <t>S1 2021</t>
  </si>
  <si>
    <t>Lundi</t>
  </si>
  <si>
    <t>Mardi</t>
  </si>
  <si>
    <t>Mercredi</t>
  </si>
  <si>
    <t>Jeudi</t>
  </si>
  <si>
    <t>Vendredi</t>
  </si>
  <si>
    <t>Heure</t>
  </si>
  <si>
    <t>Charge REELLE</t>
  </si>
  <si>
    <t>S1 2022</t>
  </si>
  <si>
    <t>TCHATS</t>
  </si>
  <si>
    <t>D</t>
  </si>
  <si>
    <t>H3-²</t>
  </si>
  <si>
    <t>H3a-²</t>
  </si>
  <si>
    <t>H4</t>
  </si>
  <si>
    <t>H4-²</t>
  </si>
  <si>
    <t>H5</t>
  </si>
  <si>
    <t>H5a</t>
  </si>
  <si>
    <t>H5-²</t>
  </si>
  <si>
    <t>H5a-²</t>
  </si>
  <si>
    <t>H7</t>
  </si>
  <si>
    <t>H7a</t>
  </si>
  <si>
    <t>H7-²</t>
  </si>
  <si>
    <t>H7a-²</t>
  </si>
  <si>
    <t>H8</t>
  </si>
  <si>
    <t>H8-²</t>
  </si>
  <si>
    <t>H9</t>
  </si>
  <si>
    <t>H9a</t>
  </si>
  <si>
    <t>H9-²</t>
  </si>
  <si>
    <t>H9a-²</t>
  </si>
  <si>
    <t>IP1</t>
  </si>
  <si>
    <t>IP2</t>
  </si>
  <si>
    <t>Ma</t>
  </si>
  <si>
    <t>N</t>
  </si>
  <si>
    <t>R</t>
  </si>
  <si>
    <t>S</t>
  </si>
  <si>
    <t>TP3</t>
  </si>
  <si>
    <t>TP3b</t>
  </si>
  <si>
    <t>TP5</t>
  </si>
  <si>
    <t>TP6</t>
  </si>
  <si>
    <t>TP4</t>
  </si>
  <si>
    <t>TP4b</t>
  </si>
  <si>
    <t>TP8</t>
  </si>
  <si>
    <t>TP8b</t>
  </si>
  <si>
    <t>TP8c</t>
  </si>
  <si>
    <t>TP8d</t>
  </si>
  <si>
    <t>TP8e</t>
  </si>
  <si>
    <t>H11</t>
  </si>
  <si>
    <t>H11M</t>
  </si>
  <si>
    <t>H14</t>
  </si>
  <si>
    <t>H14M</t>
  </si>
  <si>
    <t>H17</t>
  </si>
  <si>
    <t>H17M</t>
  </si>
  <si>
    <t>H12</t>
  </si>
  <si>
    <t>H12M</t>
  </si>
  <si>
    <t>H15</t>
  </si>
  <si>
    <t>H15M</t>
  </si>
  <si>
    <t>H18</t>
  </si>
  <si>
    <t>H18M</t>
  </si>
  <si>
    <t>H13</t>
  </si>
  <si>
    <t>H13M</t>
  </si>
  <si>
    <t>H16</t>
  </si>
  <si>
    <t>H16M</t>
  </si>
  <si>
    <t>H19</t>
  </si>
  <si>
    <t>H19M</t>
  </si>
  <si>
    <t>H20</t>
  </si>
  <si>
    <t>H20M</t>
  </si>
  <si>
    <t>H21</t>
  </si>
  <si>
    <t>H22</t>
  </si>
  <si>
    <t>H22a</t>
  </si>
  <si>
    <t>H22b</t>
  </si>
  <si>
    <t>CE</t>
  </si>
  <si>
    <t>CM</t>
  </si>
  <si>
    <t>RQTH</t>
  </si>
  <si>
    <t>ABS</t>
  </si>
  <si>
    <t>&lt; Double clic ou utilise le menu déroulant pour sélectionner date</t>
  </si>
  <si>
    <t>Poste</t>
  </si>
  <si>
    <t>Nom Prénoms</t>
  </si>
  <si>
    <t>Vacations</t>
  </si>
  <si>
    <t>Heures Travaillées</t>
  </si>
  <si>
    <t>nb agent front</t>
  </si>
  <si>
    <t>nb agent back</t>
  </si>
  <si>
    <t>nb agent wizmi</t>
  </si>
  <si>
    <t>nb agent multi</t>
  </si>
  <si>
    <t>nb agent callback</t>
  </si>
  <si>
    <t>nb agent cockpit</t>
  </si>
  <si>
    <t>Noms Equipes</t>
  </si>
  <si>
    <t>Hypothèses Appels</t>
  </si>
  <si>
    <t>Effectif réel Agents FRONT</t>
  </si>
  <si>
    <t>Coeff de prod</t>
  </si>
  <si>
    <t>Effectif réel Agents BACK</t>
  </si>
  <si>
    <t>Temps de com</t>
  </si>
  <si>
    <t>Effectif réel Agents WIZMI</t>
  </si>
  <si>
    <t>Tx décroché</t>
  </si>
  <si>
    <t>Effectif réel Agents MULTI</t>
  </si>
  <si>
    <t>Effectif réel Agents COCKPIT</t>
  </si>
  <si>
    <t>Effectif réel Agents CALL BACK</t>
  </si>
  <si>
    <t>Effectif réel Agents EXPERT</t>
  </si>
  <si>
    <t>Somme Effectif réel Agents FRONT</t>
  </si>
  <si>
    <t>Effectif Nominal Agents FRONT</t>
  </si>
  <si>
    <t>Capacité Décroché Réel</t>
  </si>
  <si>
    <t>Capacité Décroché Réel en défaut</t>
  </si>
  <si>
    <t>Nb d'appels (prévision)</t>
  </si>
  <si>
    <t>Somme prévision</t>
  </si>
  <si>
    <t>Nb D'agents Nécessaire</t>
  </si>
  <si>
    <t>Capacité Décroché Nécessaire</t>
  </si>
  <si>
    <t>Somme Réel</t>
  </si>
  <si>
    <t>Appels perdus</t>
  </si>
  <si>
    <t>Tx Décroché</t>
  </si>
  <si>
    <t>Taux décroché Prévisionnel</t>
  </si>
  <si>
    <t>Cumul journalier taux décroché</t>
  </si>
  <si>
    <t xml:space="preserve">    Permet de commuter les données entre prévisionnelles et réelles</t>
  </si>
  <si>
    <t>Techs présents - Techs nécessaires</t>
  </si>
  <si>
    <t>Hypothèses Tchat</t>
  </si>
  <si>
    <t>Simultanéité</t>
  </si>
  <si>
    <t>Effectif réel Agents REF</t>
  </si>
  <si>
    <t>Effectif réel Agents GDK</t>
  </si>
  <si>
    <t>Capacité tchat pris Réel</t>
  </si>
  <si>
    <t>Nb de tchats (prévision)</t>
  </si>
  <si>
    <t>Année</t>
  </si>
  <si>
    <t>Férie 2023</t>
  </si>
  <si>
    <t>Etage 3 - EDF ITS</t>
  </si>
  <si>
    <t>CHAZELLE Mathieu</t>
  </si>
  <si>
    <t>Souhait de CP sur Q1 - 2023</t>
  </si>
  <si>
    <t>EXEMPLE 1</t>
  </si>
  <si>
    <t>EXEMPLE 2</t>
  </si>
  <si>
    <r>
      <t xml:space="preserve">JOURS </t>
    </r>
    <r>
      <rPr>
        <b/>
        <u/>
        <sz val="12"/>
        <rFont val="Calibri"/>
        <family val="2"/>
        <scheme val="minor"/>
      </rPr>
      <t>NON</t>
    </r>
    <r>
      <rPr>
        <b/>
        <sz val="12"/>
        <color theme="0"/>
        <rFont val="Calibri"/>
        <family val="2"/>
        <scheme val="minor"/>
      </rPr>
      <t xml:space="preserve"> PRODUITS</t>
    </r>
  </si>
  <si>
    <r>
      <t xml:space="preserve">JOURS </t>
    </r>
    <r>
      <rPr>
        <b/>
        <u/>
        <sz val="12"/>
        <rFont val="Calibri"/>
        <family val="2"/>
        <scheme val="minor"/>
      </rPr>
      <t>NON</t>
    </r>
    <r>
      <rPr>
        <b/>
        <sz val="12"/>
        <color theme="0"/>
        <rFont val="Calibri"/>
        <family val="2"/>
        <scheme val="minor"/>
      </rPr>
      <t xml:space="preserve"> PRODUITS : PLANIFIES</t>
    </r>
  </si>
  <si>
    <r>
      <t xml:space="preserve">JOURS </t>
    </r>
    <r>
      <rPr>
        <b/>
        <u/>
        <sz val="12"/>
        <rFont val="Calibri"/>
        <family val="2"/>
        <scheme val="minor"/>
      </rPr>
      <t>NON</t>
    </r>
    <r>
      <rPr>
        <b/>
        <sz val="12"/>
        <color theme="0"/>
        <rFont val="Calibri"/>
        <family val="2"/>
        <scheme val="minor"/>
      </rPr>
      <t xml:space="preserve"> PRODUITS : </t>
    </r>
    <r>
      <rPr>
        <b/>
        <u/>
        <sz val="12"/>
        <rFont val="Calibri"/>
        <family val="2"/>
        <scheme val="minor"/>
      </rPr>
      <t>NON</t>
    </r>
    <r>
      <rPr>
        <b/>
        <sz val="12"/>
        <color theme="0"/>
        <rFont val="Calibri"/>
        <family val="2"/>
        <scheme val="minor"/>
      </rPr>
      <t xml:space="preserve"> PLANIFIES</t>
    </r>
  </si>
  <si>
    <t>Férie 2024</t>
  </si>
  <si>
    <t>Férié 2022</t>
  </si>
  <si>
    <t>Férie 2025</t>
  </si>
  <si>
    <t>EDF - EXPLOI - ASTREINTE</t>
  </si>
  <si>
    <t>EQ1</t>
  </si>
  <si>
    <t>.</t>
  </si>
  <si>
    <t>TOTO.A</t>
  </si>
  <si>
    <t>samedi</t>
  </si>
  <si>
    <t>dimanche</t>
  </si>
  <si>
    <t>LISTE COLLAB</t>
  </si>
  <si>
    <t>Prénom</t>
  </si>
  <si>
    <t>Adresse.Cible</t>
  </si>
  <si>
    <t>$B$12</t>
  </si>
  <si>
    <t>$B$14</t>
  </si>
  <si>
    <t>$B$16</t>
  </si>
  <si>
    <t>$B$18</t>
  </si>
  <si>
    <t>$B$20</t>
  </si>
  <si>
    <t>$B$22</t>
  </si>
  <si>
    <t>$B$24</t>
  </si>
  <si>
    <t>$B$26</t>
  </si>
  <si>
    <t>$B$28</t>
  </si>
  <si>
    <t>Souhait Absence planifiée en attente</t>
  </si>
  <si>
    <t>Groupe</t>
  </si>
  <si>
    <t xml:space="preserve">Groupe : </t>
  </si>
  <si>
    <t>ASTR</t>
  </si>
  <si>
    <t>PROJET(s)</t>
  </si>
  <si>
    <t>Nb Ress.</t>
  </si>
  <si>
    <t>$B$34</t>
  </si>
  <si>
    <t>RACLOT.Jerome</t>
  </si>
  <si>
    <t>ITG</t>
  </si>
  <si>
    <t>DM</t>
  </si>
  <si>
    <t>DEVEAUX.Emilie</t>
  </si>
  <si>
    <t>TL</t>
  </si>
  <si>
    <t>LECA.Perrine</t>
  </si>
  <si>
    <t>AUBIN.Gilles</t>
  </si>
  <si>
    <t>T2C</t>
  </si>
  <si>
    <t>HOARAU.Johan</t>
  </si>
  <si>
    <t>N1+</t>
  </si>
  <si>
    <t>MARTIN.Mathis</t>
  </si>
  <si>
    <t>QUIOC.Clotilde</t>
  </si>
  <si>
    <t>OUACHEK.Fatma</t>
  </si>
  <si>
    <t>GOURDON.Candice</t>
  </si>
  <si>
    <t>DINET.Clement</t>
  </si>
  <si>
    <t>N1</t>
  </si>
  <si>
    <t>GODARD.Virginie</t>
  </si>
  <si>
    <t>MARGOTTAT.Florian</t>
  </si>
  <si>
    <t>FOUCHEYRAND.David</t>
  </si>
  <si>
    <t>TECH.N1</t>
  </si>
  <si>
    <t>IM.PM</t>
  </si>
  <si>
    <t>N*</t>
  </si>
  <si>
    <t>Etage 2 - BNPP ITG</t>
  </si>
  <si>
    <t>BNPP ITG</t>
  </si>
  <si>
    <t>RACLOT Jérôme</t>
  </si>
  <si>
    <t>$B$30</t>
  </si>
  <si>
    <t>$B$32</t>
  </si>
  <si>
    <t>$B$36</t>
  </si>
  <si>
    <t>$B$38</t>
  </si>
  <si>
    <t>$B$40</t>
  </si>
  <si>
    <t>$B$42</t>
  </si>
  <si>
    <t>$B$44</t>
  </si>
  <si>
    <t>$B$46</t>
  </si>
  <si>
    <t>$B$48</t>
  </si>
  <si>
    <t>$B$50</t>
  </si>
  <si>
    <t>$B$54</t>
  </si>
  <si>
    <t>NB ressource active (Etat:1)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</si>
</sst>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#&quot; &quot;##&quot; &quot;##&quot; &quot;##&quot; &quot;##"/>
    <numFmt numFmtId="165" formatCode="mm"/>
    <numFmt numFmtId="166" formatCode="dd/mm;@"/>
    <numFmt numFmtId="167" formatCode="ddd"/>
    <numFmt numFmtId="168" formatCode="h:mm;@"/>
    <numFmt numFmtId="169" formatCode="[$-40C]d\-mmm;@"/>
    <numFmt numFmtId="170" formatCode="0.0"/>
    <numFmt numFmtId="171" formatCode="dd\-mmm\ \-\ ddd"/>
    <numFmt numFmtId="172" formatCode="0.0%"/>
    <numFmt numFmtId="173" formatCode="[$-F400]h:mm:ss\ AM/PM"/>
    <numFmt numFmtId="174" formatCode="0.0&quot; min&quot;"/>
    <numFmt numFmtId="175" formatCode="yyyy"/>
  </numFmts>
  <fonts count="10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sz val="8"/>
      <color indexed="9"/>
      <name val="Arial"/>
      <family val="2"/>
    </font>
    <font>
      <i/>
      <sz val="8"/>
      <color rgb="FFFF8585"/>
      <name val="Calibri"/>
      <family val="2"/>
      <scheme val="minor"/>
    </font>
    <font>
      <sz val="8"/>
      <color theme="3" tint="0.59999389629810485"/>
      <name val="Calibri"/>
      <family val="2"/>
      <scheme val="minor"/>
    </font>
    <font>
      <b/>
      <sz val="9"/>
      <color rgb="FFC00000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sz val="7"/>
      <color rgb="FFFFC0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indexed="9"/>
      <name val="Tahoma"/>
      <family val="2"/>
    </font>
    <font>
      <sz val="9"/>
      <color indexed="9"/>
      <name val="Tahom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9"/>
      <color rgb="FFFEFCB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rgb="FFFFFF00"/>
      <name val="Calibri"/>
      <family val="2"/>
      <scheme val="minor"/>
    </font>
    <font>
      <i/>
      <sz val="9"/>
      <color rgb="FFFF8585"/>
      <name val="Calibri"/>
      <family val="2"/>
      <scheme val="minor"/>
    </font>
    <font>
      <b/>
      <sz val="9"/>
      <color rgb="FFFF505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9"/>
      <color indexed="81"/>
      <name val="Tahoma"/>
      <family val="2"/>
    </font>
    <font>
      <b/>
      <sz val="8"/>
      <color rgb="FFFEFCB2"/>
      <name val="Calibri"/>
      <family val="2"/>
      <scheme val="minor"/>
    </font>
    <font>
      <sz val="9"/>
      <color theme="1"/>
      <name val="Arial"/>
      <family val="2"/>
    </font>
    <font>
      <sz val="8"/>
      <color theme="1"/>
      <name val="Arial"/>
      <family val="2"/>
    </font>
    <font>
      <sz val="8"/>
      <color rgb="FFC00000"/>
      <name val="Arial"/>
      <family val="2"/>
    </font>
    <font>
      <i/>
      <sz val="8"/>
      <color rgb="FFFF5050"/>
      <name val="Calibri"/>
      <family val="2"/>
      <scheme val="minor"/>
    </font>
    <font>
      <i/>
      <sz val="9"/>
      <color rgb="FFFF5050"/>
      <name val="Arial"/>
      <family val="2"/>
    </font>
    <font>
      <sz val="10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9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C00000"/>
      <name val="Calibri"/>
      <family val="2"/>
      <scheme val="minor"/>
    </font>
    <font>
      <sz val="10"/>
      <color theme="4"/>
      <name val="Calibri"/>
      <family val="2"/>
      <scheme val="minor"/>
    </font>
    <font>
      <sz val="8"/>
      <color theme="2"/>
      <name val="Arial"/>
      <family val="2"/>
    </font>
    <font>
      <sz val="11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theme="0" tint="-4.9989318521683403E-2"/>
      <name val="Calibri"/>
      <family val="2"/>
      <scheme val="minor"/>
    </font>
    <font>
      <sz val="9"/>
      <color rgb="FFC00000"/>
      <name val="Calibri"/>
      <family val="2"/>
      <scheme val="minor"/>
    </font>
    <font>
      <b/>
      <sz val="8"/>
      <name val="Calibri"/>
      <family val="2"/>
      <scheme val="minor"/>
    </font>
    <font>
      <b/>
      <i/>
      <sz val="8"/>
      <color rgb="FFFF0000"/>
      <name val="Calibri"/>
      <family val="2"/>
      <scheme val="minor"/>
    </font>
    <font>
      <sz val="9"/>
      <color theme="3" tint="-0.499984740745262"/>
      <name val="Calibri"/>
      <family val="2"/>
      <scheme val="minor"/>
    </font>
    <font>
      <sz val="8"/>
      <color theme="4" tint="-0.499984740745262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8"/>
      <color theme="0" tint="-0.249977111117893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8"/>
      <color rgb="FFC00000"/>
      <name val="Calibri"/>
      <family val="2"/>
      <scheme val="minor"/>
    </font>
    <font>
      <i/>
      <sz val="8"/>
      <color theme="4"/>
      <name val="Calibri"/>
      <family val="2"/>
      <scheme val="minor"/>
    </font>
    <font>
      <i/>
      <sz val="8"/>
      <color theme="1" tint="0.34998626667073579"/>
      <name val="Calibri"/>
      <family val="2"/>
      <scheme val="minor"/>
    </font>
    <font>
      <i/>
      <sz val="11"/>
      <color rgb="FFC00000"/>
      <name val="Calibri"/>
      <family val="2"/>
      <scheme val="minor"/>
    </font>
    <font>
      <i/>
      <sz val="10"/>
      <color rgb="FFC00000"/>
      <name val="Calibri"/>
      <family val="2"/>
      <scheme val="minor"/>
    </font>
    <font>
      <sz val="8"/>
      <color rgb="FF000000"/>
      <name val="Segoe UI"/>
      <family val="2"/>
    </font>
    <font>
      <b/>
      <sz val="8"/>
      <color rgb="FFC00000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i/>
      <sz val="8"/>
      <color rgb="FFC00000"/>
      <name val="Calibri"/>
      <family val="2"/>
      <scheme val="minor"/>
    </font>
    <font>
      <b/>
      <i/>
      <sz val="8"/>
      <color theme="1"/>
      <name val="Calibri"/>
      <family val="2"/>
      <scheme val="minor"/>
    </font>
    <font>
      <b/>
      <i/>
      <sz val="8"/>
      <color theme="1" tint="0.34998626667073579"/>
      <name val="Calibri"/>
      <family val="2"/>
      <scheme val="minor"/>
    </font>
    <font>
      <b/>
      <i/>
      <sz val="8"/>
      <color theme="4"/>
      <name val="Calibri"/>
      <family val="2"/>
      <scheme val="minor"/>
    </font>
    <font>
      <i/>
      <sz val="9"/>
      <color rgb="FFC00000"/>
      <name val="Calibri"/>
      <family val="2"/>
      <scheme val="minor"/>
    </font>
    <font>
      <b/>
      <i/>
      <sz val="9"/>
      <color rgb="FFC00000"/>
      <name val="Calibri"/>
      <family val="2"/>
      <scheme val="minor"/>
    </font>
    <font>
      <sz val="11"/>
      <color indexed="9"/>
      <name val="Calibri"/>
      <family val="2"/>
    </font>
    <font>
      <sz val="11"/>
      <name val="Calibri"/>
      <family val="2"/>
      <scheme val="minor"/>
    </font>
    <font>
      <b/>
      <sz val="20"/>
      <name val="Arial"/>
      <family val="2"/>
    </font>
    <font>
      <b/>
      <sz val="10"/>
      <name val="Arial"/>
      <family val="2"/>
    </font>
    <font>
      <sz val="10"/>
      <color indexed="9"/>
      <name val="Arial"/>
      <family val="2"/>
    </font>
    <font>
      <b/>
      <sz val="9"/>
      <name val="Arial"/>
      <family val="2"/>
    </font>
    <font>
      <sz val="10"/>
      <color theme="0"/>
      <name val="Arial"/>
      <family val="2"/>
    </font>
    <font>
      <sz val="10"/>
      <color indexed="8"/>
      <name val="Arial"/>
      <family val="2"/>
    </font>
    <font>
      <sz val="10"/>
      <color theme="1"/>
      <name val="Arial"/>
      <family val="2"/>
    </font>
    <font>
      <b/>
      <sz val="10"/>
      <color indexed="9"/>
      <name val="Arial"/>
      <family val="2"/>
    </font>
    <font>
      <sz val="11"/>
      <color indexed="9"/>
      <name val="Arial"/>
      <family val="2"/>
    </font>
    <font>
      <b/>
      <sz val="9"/>
      <color indexed="81"/>
      <name val="Tahoma"/>
      <family val="2"/>
    </font>
    <font>
      <b/>
      <sz val="14"/>
      <name val="Arial"/>
      <family val="2"/>
    </font>
    <font>
      <sz val="14"/>
      <name val="Arial"/>
      <family val="2"/>
    </font>
    <font>
      <b/>
      <sz val="14"/>
      <color theme="0"/>
      <name val="Arial"/>
      <family val="2"/>
    </font>
    <font>
      <b/>
      <sz val="10"/>
      <color theme="1"/>
      <name val="Calibri"/>
      <family val="2"/>
      <scheme val="minor"/>
    </font>
    <font>
      <sz val="10"/>
      <color theme="9"/>
      <name val="Arial"/>
      <family val="2"/>
    </font>
    <font>
      <b/>
      <sz val="9"/>
      <color theme="0"/>
      <name val="Arial"/>
      <family val="2"/>
    </font>
    <font>
      <sz val="10"/>
      <color theme="9" tint="0.39997558519241921"/>
      <name val="Arial"/>
      <family val="2"/>
    </font>
    <font>
      <b/>
      <sz val="9"/>
      <color theme="6" tint="-0.499984740745262"/>
      <name val="Arial"/>
      <family val="2"/>
    </font>
    <font>
      <b/>
      <sz val="10"/>
      <color indexed="10"/>
      <name val="Calibri"/>
      <family val="2"/>
      <scheme val="minor"/>
    </font>
    <font>
      <sz val="10"/>
      <color theme="5"/>
      <name val="Arial"/>
      <family val="2"/>
    </font>
    <font>
      <sz val="8"/>
      <color theme="0"/>
      <name val="Arial"/>
      <family val="2"/>
    </font>
    <font>
      <b/>
      <sz val="8"/>
      <color theme="0"/>
      <name val="Arial"/>
      <family val="2"/>
    </font>
    <font>
      <sz val="9"/>
      <color theme="0"/>
      <name val="Arial"/>
      <family val="2"/>
    </font>
    <font>
      <sz val="12"/>
      <color theme="1"/>
      <name val="Calibri"/>
      <family val="2"/>
      <scheme val="minor"/>
    </font>
    <font>
      <b/>
      <u/>
      <sz val="12"/>
      <name val="Calibri"/>
      <family val="2"/>
      <scheme val="minor"/>
    </font>
    <font>
      <sz val="9"/>
      <color theme="4" tint="-0.499984740745262"/>
      <name val="Calibri"/>
      <family val="2"/>
      <scheme val="minor"/>
    </font>
    <font>
      <sz val="8"/>
      <color theme="0" tint="-0.34998626667073579"/>
      <name val="Calibri"/>
      <family val="2"/>
      <scheme val="minor"/>
    </font>
    <font>
      <sz val="9"/>
      <color indexed="81"/>
      <name val="Tahoma"/>
      <charset val="1"/>
    </font>
  </fonts>
  <fills count="7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E1E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5E90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85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darkDown">
        <fgColor theme="0"/>
        <bgColor rgb="FFFF0000"/>
      </patternFill>
    </fill>
    <fill>
      <patternFill patternType="solid">
        <fgColor rgb="FFFF999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EE8EB"/>
        <bgColor indexed="64"/>
      </patternFill>
    </fill>
    <fill>
      <patternFill patternType="solid">
        <fgColor indexed="49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1"/>
        <bgColor rgb="FF969696"/>
      </patternFill>
    </fill>
    <fill>
      <patternFill patternType="solid">
        <fgColor indexed="24"/>
        <bgColor rgb="FF969696"/>
      </patternFill>
    </fill>
    <fill>
      <patternFill patternType="solid">
        <fgColor theme="0" tint="-0.249977111117893"/>
        <bgColor rgb="FF969696"/>
      </patternFill>
    </fill>
    <fill>
      <patternFill patternType="solid">
        <fgColor indexed="52"/>
        <bgColor rgb="FF969696"/>
      </patternFill>
    </fill>
    <fill>
      <patternFill patternType="solid">
        <fgColor rgb="FF7030A0"/>
        <bgColor indexed="64"/>
      </patternFill>
    </fill>
    <fill>
      <patternFill patternType="solid">
        <fgColor rgb="FFB58EB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8"/>
        <bgColor indexed="9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5822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0000"/>
        <bgColor indexed="64"/>
      </patternFill>
    </fill>
  </fills>
  <borders count="118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 style="thin">
        <color theme="0"/>
      </top>
      <bottom style="dotted">
        <color theme="0"/>
      </bottom>
      <diagonal/>
    </border>
    <border>
      <left/>
      <right/>
      <top style="thin">
        <color theme="0"/>
      </top>
      <bottom style="dotted">
        <color theme="0"/>
      </bottom>
      <diagonal/>
    </border>
    <border>
      <left style="thin">
        <color theme="0"/>
      </left>
      <right/>
      <top style="dotted">
        <color theme="0"/>
      </top>
      <bottom style="dotted">
        <color theme="0"/>
      </bottom>
      <diagonal/>
    </border>
    <border>
      <left/>
      <right/>
      <top style="dotted">
        <color theme="0"/>
      </top>
      <bottom style="dotted">
        <color theme="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4" tint="-0.24994659260841701"/>
      </right>
      <top/>
      <bottom style="thin">
        <color theme="4" tint="0.7999816888943144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-0.24994659260841701"/>
      </top>
      <bottom style="thin">
        <color theme="4" tint="-0.24994659260841701"/>
      </bottom>
      <diagonal/>
    </border>
    <border>
      <left/>
      <right/>
      <top style="thin">
        <color theme="4" tint="-0.24994659260841701"/>
      </top>
      <bottom style="hair">
        <color theme="4" tint="-0.24994659260841701"/>
      </bottom>
      <diagonal/>
    </border>
    <border>
      <left/>
      <right/>
      <top style="hair">
        <color theme="4" tint="-0.24994659260841701"/>
      </top>
      <bottom style="hair">
        <color theme="4" tint="-0.24994659260841701"/>
      </bottom>
      <diagonal/>
    </border>
    <border>
      <left/>
      <right/>
      <top style="hair">
        <color theme="4" tint="-0.24994659260841701"/>
      </top>
      <bottom style="thin">
        <color theme="4" tint="-0.2499465926084170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theme="0"/>
      </left>
      <right/>
      <top style="thin">
        <color theme="0"/>
      </top>
      <bottom style="dashed">
        <color rgb="FFFF7C80"/>
      </bottom>
      <diagonal/>
    </border>
    <border>
      <left/>
      <right style="thin">
        <color theme="4" tint="-0.24994659260841701"/>
      </right>
      <top style="thin">
        <color theme="4" tint="0.79998168889431442"/>
      </top>
      <bottom style="dashed">
        <color rgb="FFFF7C8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/>
      <diagonal/>
    </border>
    <border>
      <left style="thin">
        <color theme="3" tint="-0.499984740745262"/>
      </left>
      <right style="thin">
        <color theme="3" tint="-0.499984740745262"/>
      </right>
      <top style="thin">
        <color theme="3" tint="-0.499984740745262"/>
      </top>
      <bottom/>
      <diagonal/>
    </border>
    <border>
      <left style="thin">
        <color theme="3" tint="-0.499984740745262"/>
      </left>
      <right/>
      <top style="thin">
        <color theme="3" tint="-0.499984740745262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theme="4" tint="-0.499984740745262"/>
      </right>
      <top style="thin">
        <color theme="4" tint="-0.499984740745262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 style="thin">
        <color rgb="FFC00000"/>
      </left>
      <right style="thin">
        <color rgb="FFC00000"/>
      </right>
      <top style="thin">
        <color theme="0"/>
      </top>
      <bottom/>
      <diagonal/>
    </border>
    <border>
      <left style="thin">
        <color rgb="FFC00000"/>
      </left>
      <right style="thin">
        <color rgb="FFC00000"/>
      </right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theme="3" tint="-0.499984740745262"/>
      </top>
      <bottom/>
      <diagonal/>
    </border>
    <border>
      <left/>
      <right style="thin">
        <color theme="3" tint="-0.499984740745262"/>
      </right>
      <top style="thin">
        <color theme="3" tint="-0.499984740745262"/>
      </top>
      <bottom/>
      <diagonal/>
    </border>
    <border>
      <left style="thin">
        <color theme="3" tint="-0.499984740745262"/>
      </left>
      <right/>
      <top/>
      <bottom/>
      <diagonal/>
    </border>
    <border>
      <left/>
      <right/>
      <top/>
      <bottom style="hair">
        <color theme="4" tint="-0.24994659260841701"/>
      </bottom>
      <diagonal/>
    </border>
    <border>
      <left style="thin">
        <color rgb="FFC00000"/>
      </left>
      <right/>
      <top style="thin">
        <color rgb="FFC00000"/>
      </top>
      <bottom/>
      <diagonal/>
    </border>
    <border>
      <left style="thin">
        <color theme="0"/>
      </left>
      <right/>
      <top style="thin">
        <color rgb="FFC00000"/>
      </top>
      <bottom style="thin">
        <color theme="0"/>
      </bottom>
      <diagonal/>
    </border>
    <border>
      <left/>
      <right style="thin">
        <color theme="0"/>
      </right>
      <top style="thin">
        <color rgb="FFC00000"/>
      </top>
      <bottom style="thin">
        <color theme="0"/>
      </bottom>
      <diagonal/>
    </border>
    <border>
      <left/>
      <right style="thin">
        <color rgb="FFC00000"/>
      </right>
      <top style="thin">
        <color rgb="FFC00000"/>
      </top>
      <bottom style="thin">
        <color theme="0"/>
      </bottom>
      <diagonal/>
    </border>
    <border>
      <left style="thin">
        <color rgb="FFC00000"/>
      </left>
      <right/>
      <top/>
      <bottom/>
      <diagonal/>
    </border>
    <border>
      <left/>
      <right style="thin">
        <color rgb="FFC00000"/>
      </right>
      <top/>
      <bottom style="thin">
        <color theme="4" tint="0.79998168889431442"/>
      </bottom>
      <diagonal/>
    </border>
    <border>
      <left style="thin">
        <color rgb="FFC00000"/>
      </left>
      <right/>
      <top/>
      <bottom style="thin">
        <color rgb="FFC00000"/>
      </bottom>
      <diagonal/>
    </border>
    <border>
      <left style="thin">
        <color theme="0"/>
      </left>
      <right/>
      <top style="thin">
        <color theme="0"/>
      </top>
      <bottom style="thin">
        <color rgb="FFC00000"/>
      </bottom>
      <diagonal/>
    </border>
    <border>
      <left/>
      <right style="thin">
        <color theme="4" tint="-0.24994659260841701"/>
      </right>
      <top style="thin">
        <color theme="4" tint="0.79998168889431442"/>
      </top>
      <bottom style="thin">
        <color rgb="FFC00000"/>
      </bottom>
      <diagonal/>
    </border>
    <border>
      <left/>
      <right style="thin">
        <color rgb="FFC00000"/>
      </right>
      <top style="thin">
        <color theme="4" tint="0.79998168889431442"/>
      </top>
      <bottom style="thin">
        <color rgb="FFC00000"/>
      </bottom>
      <diagonal/>
    </border>
    <border>
      <left style="thin">
        <color theme="3" tint="-0.499984740745262"/>
      </left>
      <right style="thin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DashDot">
        <color theme="2" tint="-9.9948118533890809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4" tint="-0.24994659260841701"/>
      </right>
      <top style="thin">
        <color rgb="FFC00000"/>
      </top>
      <bottom style="thin">
        <color theme="4" tint="0.79998168889431442"/>
      </bottom>
      <diagonal/>
    </border>
    <border>
      <left/>
      <right style="thin">
        <color rgb="FFC00000"/>
      </right>
      <top style="thin">
        <color rgb="FFC00000"/>
      </top>
      <bottom style="thin">
        <color theme="4" tint="0.79998168889431442"/>
      </bottom>
      <diagonal/>
    </border>
    <border>
      <left style="thin">
        <color rgb="FFC00000"/>
      </left>
      <right style="thin">
        <color rgb="FFFF8585"/>
      </right>
      <top style="thin">
        <color rgb="FFC00000"/>
      </top>
      <bottom/>
      <diagonal/>
    </border>
    <border>
      <left style="thin">
        <color rgb="FFFF8585"/>
      </left>
      <right style="thin">
        <color rgb="FFC00000"/>
      </right>
      <top style="thin">
        <color rgb="FFC00000"/>
      </top>
      <bottom/>
      <diagonal/>
    </border>
    <border>
      <left style="thin">
        <color rgb="FFC00000"/>
      </left>
      <right style="thin">
        <color rgb="FFFF8585"/>
      </right>
      <top/>
      <bottom/>
      <diagonal/>
    </border>
    <border>
      <left style="thin">
        <color rgb="FFFF8585"/>
      </left>
      <right style="thin">
        <color rgb="FFC00000"/>
      </right>
      <top/>
      <bottom/>
      <diagonal/>
    </border>
    <border>
      <left style="thin">
        <color rgb="FFC00000"/>
      </left>
      <right style="thin">
        <color rgb="FFFF8585"/>
      </right>
      <top/>
      <bottom style="thin">
        <color rgb="FFC00000"/>
      </bottom>
      <diagonal/>
    </border>
    <border>
      <left style="thin">
        <color rgb="FFFF8585"/>
      </left>
      <right style="thin">
        <color rgb="FFC00000"/>
      </right>
      <top/>
      <bottom style="thin">
        <color rgb="FFC00000"/>
      </bottom>
      <diagonal/>
    </border>
    <border>
      <left style="thin">
        <color rgb="FFCCFF66"/>
      </left>
      <right/>
      <top style="thin">
        <color rgb="FFCCFF66"/>
      </top>
      <bottom style="thin">
        <color rgb="FFCCFF66"/>
      </bottom>
      <diagonal/>
    </border>
    <border>
      <left/>
      <right style="thin">
        <color rgb="FFCCFF66"/>
      </right>
      <top style="thin">
        <color rgb="FFCCFF66"/>
      </top>
      <bottom style="thin">
        <color rgb="FFCCFF66"/>
      </bottom>
      <diagonal/>
    </border>
  </borders>
  <cellStyleXfs count="13">
    <xf numFmtId="0" fontId="0" fillId="0" borderId="0"/>
    <xf numFmtId="0" fontId="6" fillId="0" borderId="0"/>
    <xf numFmtId="0" fontId="6" fillId="0" borderId="0"/>
    <xf numFmtId="9" fontId="20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38" fillId="0" borderId="0"/>
    <xf numFmtId="173" fontId="76" fillId="37" borderId="0" applyNumberFormat="0" applyBorder="0" applyAlignment="0" applyProtection="0"/>
    <xf numFmtId="0" fontId="20" fillId="0" borderId="0"/>
    <xf numFmtId="0" fontId="6" fillId="0" borderId="0"/>
    <xf numFmtId="0" fontId="20" fillId="0" borderId="0"/>
    <xf numFmtId="0" fontId="6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543">
    <xf numFmtId="0" fontId="0" fillId="0" borderId="0" xfId="0"/>
    <xf numFmtId="0" fontId="3" fillId="2" borderId="0" xfId="0" applyFont="1" applyFill="1"/>
    <xf numFmtId="0" fontId="4" fillId="2" borderId="0" xfId="0" applyFont="1" applyFill="1"/>
    <xf numFmtId="0" fontId="5" fillId="2" borderId="0" xfId="0" applyFont="1" applyFill="1"/>
    <xf numFmtId="0" fontId="2" fillId="3" borderId="0" xfId="0" applyFont="1" applyFill="1" applyAlignment="1">
      <alignment horizontal="center" vertical="center"/>
    </xf>
    <xf numFmtId="0" fontId="3" fillId="0" borderId="0" xfId="0" applyFont="1"/>
    <xf numFmtId="0" fontId="11" fillId="3" borderId="2" xfId="0" applyFont="1" applyFill="1" applyBorder="1" applyAlignment="1">
      <alignment horizontal="center" vertical="center"/>
    </xf>
    <xf numFmtId="0" fontId="11" fillId="3" borderId="8" xfId="0" applyFont="1" applyFill="1" applyBorder="1" applyAlignment="1">
      <alignment horizontal="center" vertical="center"/>
    </xf>
    <xf numFmtId="0" fontId="11" fillId="3" borderId="8" xfId="0" applyFont="1" applyFill="1" applyBorder="1"/>
    <xf numFmtId="0" fontId="11" fillId="3" borderId="3" xfId="0" applyFont="1" applyFill="1" applyBorder="1"/>
    <xf numFmtId="0" fontId="13" fillId="8" borderId="1" xfId="0" applyFont="1" applyFill="1" applyBorder="1" applyAlignment="1">
      <alignment horizontal="center" vertical="center"/>
    </xf>
    <xf numFmtId="0" fontId="13" fillId="8" borderId="5" xfId="0" applyFont="1" applyFill="1" applyBorder="1" applyAlignment="1">
      <alignment horizontal="left" vertical="center"/>
    </xf>
    <xf numFmtId="0" fontId="13" fillId="8" borderId="7" xfId="0" applyFont="1" applyFill="1" applyBorder="1" applyAlignment="1">
      <alignment horizontal="center" vertical="center"/>
    </xf>
    <xf numFmtId="0" fontId="14" fillId="8" borderId="7" xfId="0" applyFont="1" applyFill="1" applyBorder="1"/>
    <xf numFmtId="0" fontId="14" fillId="8" borderId="6" xfId="0" applyFont="1" applyFill="1" applyBorder="1"/>
    <xf numFmtId="167" fontId="17" fillId="13" borderId="18" xfId="0" applyNumberFormat="1" applyFont="1" applyFill="1" applyBorder="1" applyAlignment="1">
      <alignment horizontal="center" vertical="center"/>
    </xf>
    <xf numFmtId="0" fontId="10" fillId="5" borderId="3" xfId="0" applyFont="1" applyFill="1" applyBorder="1" applyAlignment="1" applyProtection="1">
      <alignment horizontal="right" vertical="center"/>
      <protection hidden="1"/>
    </xf>
    <xf numFmtId="0" fontId="3" fillId="2" borderId="0" xfId="0" applyFont="1" applyFill="1" applyAlignment="1">
      <alignment horizontal="right"/>
    </xf>
    <xf numFmtId="0" fontId="3" fillId="16" borderId="27" xfId="0" applyFont="1" applyFill="1" applyBorder="1" applyAlignment="1">
      <alignment horizontal="center"/>
    </xf>
    <xf numFmtId="0" fontId="2" fillId="17" borderId="29" xfId="0" applyFont="1" applyFill="1" applyBorder="1" applyAlignment="1">
      <alignment horizontal="center"/>
    </xf>
    <xf numFmtId="0" fontId="3" fillId="5" borderId="28" xfId="0" applyFont="1" applyFill="1" applyBorder="1" applyAlignment="1">
      <alignment horizontal="center"/>
    </xf>
    <xf numFmtId="0" fontId="3" fillId="5" borderId="29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9" fontId="5" fillId="5" borderId="27" xfId="3" applyFont="1" applyFill="1" applyBorder="1" applyAlignment="1">
      <alignment horizontal="center" vertical="center"/>
    </xf>
    <xf numFmtId="9" fontId="5" fillId="5" borderId="28" xfId="3" applyFont="1" applyFill="1" applyBorder="1" applyAlignment="1">
      <alignment horizontal="center" vertical="center"/>
    </xf>
    <xf numFmtId="9" fontId="5" fillId="5" borderId="29" xfId="3" applyFont="1" applyFill="1" applyBorder="1" applyAlignment="1">
      <alignment horizontal="center" vertical="center"/>
    </xf>
    <xf numFmtId="0" fontId="3" fillId="5" borderId="0" xfId="0" applyFont="1" applyFill="1"/>
    <xf numFmtId="0" fontId="3" fillId="13" borderId="26" xfId="0" applyFont="1" applyFill="1" applyBorder="1" applyAlignment="1">
      <alignment horizontal="center"/>
    </xf>
    <xf numFmtId="0" fontId="2" fillId="2" borderId="0" xfId="0" applyFont="1" applyFill="1"/>
    <xf numFmtId="0" fontId="23" fillId="10" borderId="0" xfId="0" applyFont="1" applyFill="1"/>
    <xf numFmtId="14" fontId="3" fillId="2" borderId="0" xfId="0" applyNumberFormat="1" applyFont="1" applyFill="1"/>
    <xf numFmtId="0" fontId="24" fillId="2" borderId="0" xfId="4" applyFill="1"/>
    <xf numFmtId="0" fontId="3" fillId="18" borderId="0" xfId="0" applyFont="1" applyFill="1"/>
    <xf numFmtId="0" fontId="26" fillId="5" borderId="3" xfId="0" applyFont="1" applyFill="1" applyBorder="1" applyAlignment="1" applyProtection="1">
      <alignment horizontal="right" vertical="center"/>
      <protection hidden="1"/>
    </xf>
    <xf numFmtId="0" fontId="3" fillId="10" borderId="0" xfId="0" applyFont="1" applyFill="1"/>
    <xf numFmtId="0" fontId="31" fillId="10" borderId="0" xfId="0" applyFont="1" applyFill="1" applyAlignment="1">
      <alignment horizontal="center" vertical="top"/>
    </xf>
    <xf numFmtId="166" fontId="3" fillId="4" borderId="36" xfId="0" applyNumberFormat="1" applyFont="1" applyFill="1" applyBorder="1" applyAlignment="1">
      <alignment horizontal="center" vertical="top"/>
    </xf>
    <xf numFmtId="0" fontId="9" fillId="21" borderId="4" xfId="0" applyFont="1" applyFill="1" applyBorder="1" applyAlignment="1" applyProtection="1">
      <alignment horizontal="center" vertical="center"/>
      <protection locked="0"/>
    </xf>
    <xf numFmtId="0" fontId="33" fillId="22" borderId="4" xfId="0" applyFont="1" applyFill="1" applyBorder="1" applyAlignment="1" applyProtection="1">
      <alignment horizontal="center" vertical="center"/>
      <protection locked="0"/>
    </xf>
    <xf numFmtId="0" fontId="27" fillId="4" borderId="16" xfId="0" applyFont="1" applyFill="1" applyBorder="1" applyAlignment="1" applyProtection="1">
      <alignment horizontal="center"/>
      <protection hidden="1"/>
    </xf>
    <xf numFmtId="0" fontId="2" fillId="4" borderId="17" xfId="0" applyFont="1" applyFill="1" applyBorder="1" applyAlignment="1" applyProtection="1">
      <alignment horizontal="center"/>
      <protection hidden="1"/>
    </xf>
    <xf numFmtId="0" fontId="37" fillId="23" borderId="0" xfId="1" applyFont="1" applyFill="1"/>
    <xf numFmtId="0" fontId="39" fillId="23" borderId="0" xfId="5" applyFont="1" applyFill="1" applyAlignment="1" applyProtection="1">
      <alignment vertical="center"/>
      <protection locked="0"/>
    </xf>
    <xf numFmtId="0" fontId="6" fillId="0" borderId="0" xfId="1"/>
    <xf numFmtId="17" fontId="37" fillId="23" borderId="0" xfId="1" applyNumberFormat="1" applyFont="1" applyFill="1"/>
    <xf numFmtId="0" fontId="37" fillId="0" borderId="0" xfId="1" applyFont="1"/>
    <xf numFmtId="0" fontId="37" fillId="0" borderId="0" xfId="1" applyFont="1" applyAlignment="1">
      <alignment horizontal="center" vertical="center"/>
    </xf>
    <xf numFmtId="0" fontId="6" fillId="0" borderId="0" xfId="1" applyAlignment="1">
      <alignment horizontal="center" vertical="center"/>
    </xf>
    <xf numFmtId="0" fontId="37" fillId="24" borderId="0" xfId="1" applyFont="1" applyFill="1" applyAlignment="1">
      <alignment horizontal="center" vertical="center"/>
    </xf>
    <xf numFmtId="16" fontId="37" fillId="0" borderId="0" xfId="1" applyNumberFormat="1" applyFont="1" applyAlignment="1">
      <alignment horizontal="center" vertical="center"/>
    </xf>
    <xf numFmtId="0" fontId="6" fillId="0" borderId="39" xfId="1" applyBorder="1"/>
    <xf numFmtId="0" fontId="6" fillId="24" borderId="39" xfId="1" applyFill="1" applyBorder="1"/>
    <xf numFmtId="0" fontId="3" fillId="7" borderId="34" xfId="0" applyFont="1" applyFill="1" applyBorder="1" applyAlignment="1" applyProtection="1">
      <alignment vertical="center"/>
      <protection locked="0"/>
    </xf>
    <xf numFmtId="0" fontId="3" fillId="7" borderId="2" xfId="0" applyFont="1" applyFill="1" applyBorder="1" applyAlignment="1" applyProtection="1">
      <alignment horizontal="center" vertical="center"/>
      <protection locked="0"/>
    </xf>
    <xf numFmtId="0" fontId="2" fillId="14" borderId="2" xfId="0" applyFont="1" applyFill="1" applyBorder="1" applyAlignment="1" applyProtection="1">
      <alignment vertical="center"/>
      <protection locked="0"/>
    </xf>
    <xf numFmtId="167" fontId="17" fillId="27" borderId="18" xfId="0" applyNumberFormat="1" applyFont="1" applyFill="1" applyBorder="1" applyAlignment="1">
      <alignment horizontal="center" vertical="center"/>
    </xf>
    <xf numFmtId="166" fontId="3" fillId="27" borderId="36" xfId="0" applyNumberFormat="1" applyFont="1" applyFill="1" applyBorder="1" applyAlignment="1">
      <alignment horizontal="center" vertical="top"/>
    </xf>
    <xf numFmtId="0" fontId="42" fillId="7" borderId="0" xfId="1" applyFont="1" applyFill="1"/>
    <xf numFmtId="0" fontId="43" fillId="7" borderId="0" xfId="1" applyFont="1" applyFill="1"/>
    <xf numFmtId="0" fontId="2" fillId="7" borderId="34" xfId="0" applyFont="1" applyFill="1" applyBorder="1" applyAlignment="1" applyProtection="1">
      <alignment vertical="center"/>
      <protection locked="0"/>
    </xf>
    <xf numFmtId="0" fontId="3" fillId="4" borderId="42" xfId="0" quotePrefix="1" applyFont="1" applyFill="1" applyBorder="1" applyAlignment="1">
      <alignment horizontal="center" vertical="top"/>
    </xf>
    <xf numFmtId="14" fontId="0" fillId="0" borderId="0" xfId="0" applyNumberFormat="1"/>
    <xf numFmtId="0" fontId="0" fillId="0" borderId="43" xfId="0" applyBorder="1"/>
    <xf numFmtId="166" fontId="3" fillId="4" borderId="42" xfId="0" quotePrefix="1" applyNumberFormat="1" applyFont="1" applyFill="1" applyBorder="1" applyAlignment="1">
      <alignment horizontal="center" vertical="top"/>
    </xf>
    <xf numFmtId="166" fontId="3" fillId="4" borderId="44" xfId="0" quotePrefix="1" applyNumberFormat="1" applyFont="1" applyFill="1" applyBorder="1" applyAlignment="1">
      <alignment horizontal="center" vertical="top"/>
    </xf>
    <xf numFmtId="0" fontId="0" fillId="0" borderId="45" xfId="0" applyBorder="1"/>
    <xf numFmtId="14" fontId="0" fillId="0" borderId="45" xfId="0" applyNumberFormat="1" applyBorder="1"/>
    <xf numFmtId="0" fontId="0" fillId="0" borderId="46" xfId="0" applyBorder="1"/>
    <xf numFmtId="0" fontId="14" fillId="29" borderId="0" xfId="0" applyFont="1" applyFill="1" applyAlignment="1">
      <alignment horizontal="center"/>
    </xf>
    <xf numFmtId="0" fontId="14" fillId="29" borderId="0" xfId="0" applyFont="1" applyFill="1"/>
    <xf numFmtId="49" fontId="1" fillId="0" borderId="47" xfId="0" applyNumberFormat="1" applyFont="1" applyBorder="1" applyAlignment="1">
      <alignment horizontal="center" vertical="center"/>
    </xf>
    <xf numFmtId="0" fontId="1" fillId="0" borderId="47" xfId="0" applyFont="1" applyBorder="1" applyAlignment="1">
      <alignment horizontal="center" vertical="center"/>
    </xf>
    <xf numFmtId="0" fontId="1" fillId="0" borderId="49" xfId="0" applyFont="1" applyBorder="1" applyAlignment="1">
      <alignment horizontal="center" vertical="center"/>
    </xf>
    <xf numFmtId="169" fontId="1" fillId="0" borderId="47" xfId="0" applyNumberFormat="1" applyFont="1" applyBorder="1" applyAlignment="1">
      <alignment horizontal="center"/>
    </xf>
    <xf numFmtId="49" fontId="1" fillId="0" borderId="47" xfId="0" quotePrefix="1" applyNumberFormat="1" applyFont="1" applyBorder="1" applyAlignment="1">
      <alignment horizontal="center" vertical="center"/>
    </xf>
    <xf numFmtId="0" fontId="1" fillId="14" borderId="0" xfId="0" applyFont="1" applyFill="1"/>
    <xf numFmtId="0" fontId="49" fillId="14" borderId="0" xfId="0" applyFont="1" applyFill="1" applyAlignment="1">
      <alignment horizontal="center"/>
    </xf>
    <xf numFmtId="170" fontId="49" fillId="14" borderId="0" xfId="0" applyNumberFormat="1" applyFont="1" applyFill="1" applyAlignment="1">
      <alignment horizontal="center"/>
    </xf>
    <xf numFmtId="171" fontId="1" fillId="0" borderId="48" xfId="0" applyNumberFormat="1" applyFont="1" applyBorder="1"/>
    <xf numFmtId="171" fontId="1" fillId="0" borderId="14" xfId="0" applyNumberFormat="1" applyFont="1" applyBorder="1"/>
    <xf numFmtId="171" fontId="1" fillId="0" borderId="50" xfId="0" applyNumberFormat="1" applyFont="1" applyBorder="1"/>
    <xf numFmtId="0" fontId="28" fillId="30" borderId="0" xfId="0" applyFont="1" applyFill="1"/>
    <xf numFmtId="0" fontId="13" fillId="30" borderId="0" xfId="0" applyFont="1" applyFill="1"/>
    <xf numFmtId="0" fontId="21" fillId="10" borderId="41" xfId="0" applyFont="1" applyFill="1" applyBorder="1" applyAlignment="1">
      <alignment horizontal="center"/>
    </xf>
    <xf numFmtId="0" fontId="1" fillId="0" borderId="48" xfId="0" applyFont="1" applyBorder="1" applyAlignment="1">
      <alignment horizontal="center" vertical="center"/>
    </xf>
    <xf numFmtId="0" fontId="1" fillId="0" borderId="48" xfId="0" applyFont="1" applyBorder="1" applyAlignment="1">
      <alignment horizontal="left" vertical="center"/>
    </xf>
    <xf numFmtId="0" fontId="1" fillId="0" borderId="14" xfId="0" applyFont="1" applyBorder="1" applyAlignment="1">
      <alignment horizontal="center" vertical="center"/>
    </xf>
    <xf numFmtId="0" fontId="1" fillId="0" borderId="14" xfId="0" applyFont="1" applyBorder="1" applyAlignment="1">
      <alignment horizontal="left" vertical="center"/>
    </xf>
    <xf numFmtId="0" fontId="50" fillId="0" borderId="14" xfId="0" applyFont="1" applyBorder="1" applyAlignment="1">
      <alignment horizontal="center" vertical="center"/>
    </xf>
    <xf numFmtId="0" fontId="50" fillId="0" borderId="14" xfId="0" applyFont="1" applyBorder="1" applyAlignment="1">
      <alignment horizontal="left" vertical="center"/>
    </xf>
    <xf numFmtId="0" fontId="1" fillId="0" borderId="50" xfId="0" applyFont="1" applyBorder="1" applyAlignment="1">
      <alignment horizontal="center" vertical="center"/>
    </xf>
    <xf numFmtId="0" fontId="1" fillId="0" borderId="50" xfId="0" applyFont="1" applyBorder="1" applyAlignment="1">
      <alignment horizontal="left" vertical="center"/>
    </xf>
    <xf numFmtId="17" fontId="1" fillId="0" borderId="47" xfId="0" applyNumberFormat="1" applyFont="1" applyBorder="1" applyAlignment="1">
      <alignment horizontal="center"/>
    </xf>
    <xf numFmtId="0" fontId="51" fillId="7" borderId="34" xfId="0" applyFont="1" applyFill="1" applyBorder="1" applyAlignment="1" applyProtection="1">
      <alignment vertical="center"/>
      <protection locked="0"/>
    </xf>
    <xf numFmtId="0" fontId="5" fillId="2" borderId="0" xfId="0" applyFont="1" applyFill="1" applyAlignment="1" applyProtection="1">
      <alignment horizontal="center"/>
      <protection hidden="1"/>
    </xf>
    <xf numFmtId="0" fontId="24" fillId="2" borderId="0" xfId="4" applyFill="1" applyProtection="1">
      <protection locked="0"/>
    </xf>
    <xf numFmtId="0" fontId="2" fillId="14" borderId="34" xfId="0" applyFont="1" applyFill="1" applyBorder="1" applyAlignment="1" applyProtection="1">
      <alignment vertical="center"/>
      <protection locked="0"/>
    </xf>
    <xf numFmtId="0" fontId="34" fillId="11" borderId="48" xfId="0" applyFont="1" applyFill="1" applyBorder="1" applyAlignment="1" applyProtection="1">
      <alignment horizontal="center" vertical="center"/>
      <protection locked="0"/>
    </xf>
    <xf numFmtId="0" fontId="44" fillId="28" borderId="48" xfId="0" applyFont="1" applyFill="1" applyBorder="1" applyAlignment="1" applyProtection="1">
      <alignment horizontal="center" vertical="center"/>
      <protection locked="0"/>
    </xf>
    <xf numFmtId="0" fontId="25" fillId="18" borderId="0" xfId="0" applyFont="1" applyFill="1"/>
    <xf numFmtId="167" fontId="55" fillId="32" borderId="18" xfId="0" applyNumberFormat="1" applyFont="1" applyFill="1" applyBorder="1" applyAlignment="1">
      <alignment horizontal="center" vertical="center"/>
    </xf>
    <xf numFmtId="166" fontId="56" fillId="32" borderId="36" xfId="0" applyNumberFormat="1" applyFont="1" applyFill="1" applyBorder="1" applyAlignment="1">
      <alignment horizontal="center" vertical="top"/>
    </xf>
    <xf numFmtId="167" fontId="54" fillId="32" borderId="18" xfId="0" applyNumberFormat="1" applyFont="1" applyFill="1" applyBorder="1" applyAlignment="1">
      <alignment horizontal="center" vertical="center"/>
    </xf>
    <xf numFmtId="166" fontId="57" fillId="32" borderId="36" xfId="0" applyNumberFormat="1" applyFont="1" applyFill="1" applyBorder="1" applyAlignment="1">
      <alignment horizontal="center" vertical="top"/>
    </xf>
    <xf numFmtId="0" fontId="3" fillId="7" borderId="34" xfId="0" applyFont="1" applyFill="1" applyBorder="1" applyAlignment="1" applyProtection="1">
      <alignment horizontal="center" vertical="center"/>
      <protection locked="0"/>
    </xf>
    <xf numFmtId="0" fontId="10" fillId="5" borderId="16" xfId="0" applyFont="1" applyFill="1" applyBorder="1" applyAlignment="1" applyProtection="1">
      <alignment horizontal="right" vertical="center"/>
      <protection hidden="1"/>
    </xf>
    <xf numFmtId="0" fontId="60" fillId="2" borderId="0" xfId="0" applyFont="1" applyFill="1" applyAlignment="1">
      <alignment horizontal="center"/>
    </xf>
    <xf numFmtId="0" fontId="3" fillId="2" borderId="0" xfId="0" applyFont="1" applyFill="1" applyProtection="1">
      <protection locked="0"/>
    </xf>
    <xf numFmtId="0" fontId="5" fillId="7" borderId="52" xfId="0" applyFont="1" applyFill="1" applyBorder="1" applyAlignment="1" applyProtection="1">
      <alignment horizontal="center" vertical="center"/>
      <protection locked="0"/>
    </xf>
    <xf numFmtId="0" fontId="10" fillId="5" borderId="53" xfId="0" applyFont="1" applyFill="1" applyBorder="1" applyAlignment="1" applyProtection="1">
      <alignment horizontal="center" vertical="center"/>
      <protection hidden="1"/>
    </xf>
    <xf numFmtId="0" fontId="2" fillId="34" borderId="34" xfId="0" applyFont="1" applyFill="1" applyBorder="1" applyAlignment="1" applyProtection="1">
      <alignment vertical="center"/>
      <protection locked="0"/>
    </xf>
    <xf numFmtId="170" fontId="2" fillId="14" borderId="51" xfId="0" applyNumberFormat="1" applyFont="1" applyFill="1" applyBorder="1" applyAlignment="1" applyProtection="1">
      <alignment vertical="center"/>
      <protection locked="0"/>
    </xf>
    <xf numFmtId="165" fontId="54" fillId="20" borderId="16" xfId="0" quotePrefix="1" applyNumberFormat="1" applyFont="1" applyFill="1" applyBorder="1" applyAlignment="1">
      <alignment horizontal="center" vertical="center"/>
    </xf>
    <xf numFmtId="0" fontId="2" fillId="6" borderId="34" xfId="0" applyFont="1" applyFill="1" applyBorder="1" applyAlignment="1" applyProtection="1">
      <alignment vertical="center"/>
      <protection locked="0"/>
    </xf>
    <xf numFmtId="0" fontId="3" fillId="5" borderId="58" xfId="0" applyFont="1" applyFill="1" applyBorder="1" applyAlignment="1">
      <alignment horizontal="center"/>
    </xf>
    <xf numFmtId="0" fontId="0" fillId="5" borderId="0" xfId="0" applyFill="1"/>
    <xf numFmtId="0" fontId="0" fillId="5" borderId="0" xfId="0" applyFill="1" applyAlignment="1">
      <alignment vertical="center"/>
    </xf>
    <xf numFmtId="2" fontId="0" fillId="5" borderId="0" xfId="0" applyNumberFormat="1" applyFill="1"/>
    <xf numFmtId="20" fontId="0" fillId="5" borderId="0" xfId="0" applyNumberFormat="1" applyFill="1"/>
    <xf numFmtId="2" fontId="0" fillId="5" borderId="0" xfId="0" applyNumberFormat="1" applyFill="1" applyAlignment="1">
      <alignment vertical="center"/>
    </xf>
    <xf numFmtId="0" fontId="0" fillId="0" borderId="0" xfId="0" applyAlignment="1">
      <alignment vertical="center"/>
    </xf>
    <xf numFmtId="0" fontId="8" fillId="0" borderId="43" xfId="1" applyFont="1" applyBorder="1" applyAlignment="1" applyProtection="1">
      <alignment horizontal="right" vertical="center"/>
      <protection locked="0"/>
    </xf>
    <xf numFmtId="0" fontId="7" fillId="19" borderId="4" xfId="0" applyFont="1" applyFill="1" applyBorder="1" applyAlignment="1" applyProtection="1">
      <alignment horizontal="center" vertical="center"/>
      <protection locked="0"/>
    </xf>
    <xf numFmtId="49" fontId="32" fillId="0" borderId="0" xfId="0" applyNumberFormat="1" applyFont="1" applyAlignment="1" applyProtection="1">
      <alignment horizontal="center" vertical="center"/>
      <protection locked="0"/>
    </xf>
    <xf numFmtId="1" fontId="8" fillId="0" borderId="0" xfId="1" applyNumberFormat="1" applyFont="1" applyAlignment="1" applyProtection="1">
      <alignment horizontal="center" vertical="center"/>
      <protection locked="0"/>
    </xf>
    <xf numFmtId="2" fontId="8" fillId="0" borderId="0" xfId="1" applyNumberFormat="1" applyFont="1" applyAlignment="1" applyProtection="1">
      <alignment horizontal="center" vertical="center"/>
      <protection locked="0"/>
    </xf>
    <xf numFmtId="2" fontId="32" fillId="16" borderId="0" xfId="0" applyNumberFormat="1" applyFont="1" applyFill="1" applyAlignment="1" applyProtection="1">
      <alignment vertical="center"/>
      <protection locked="0"/>
    </xf>
    <xf numFmtId="2" fontId="8" fillId="16" borderId="0" xfId="1" applyNumberFormat="1" applyFont="1" applyFill="1" applyAlignment="1" applyProtection="1">
      <alignment horizontal="center" vertical="center"/>
      <protection locked="0"/>
    </xf>
    <xf numFmtId="0" fontId="36" fillId="16" borderId="0" xfId="0" applyFont="1" applyFill="1" applyProtection="1">
      <protection locked="0"/>
    </xf>
    <xf numFmtId="0" fontId="0" fillId="0" borderId="0" xfId="0" applyProtection="1">
      <protection locked="0"/>
    </xf>
    <xf numFmtId="0" fontId="7" fillId="20" borderId="4" xfId="1" applyFont="1" applyFill="1" applyBorder="1" applyAlignment="1" applyProtection="1">
      <alignment horizontal="center" vertical="center"/>
      <protection locked="0"/>
    </xf>
    <xf numFmtId="2" fontId="8" fillId="0" borderId="0" xfId="0" applyNumberFormat="1" applyFont="1" applyAlignment="1" applyProtection="1">
      <alignment horizontal="center" vertical="center"/>
      <protection locked="0"/>
    </xf>
    <xf numFmtId="0" fontId="7" fillId="25" borderId="4" xfId="1" applyFont="1" applyFill="1" applyBorder="1" applyAlignment="1" applyProtection="1">
      <alignment horizontal="center" vertical="center"/>
      <protection locked="0"/>
    </xf>
    <xf numFmtId="0" fontId="7" fillId="22" borderId="4" xfId="1" applyFont="1" applyFill="1" applyBorder="1" applyAlignment="1" applyProtection="1">
      <alignment horizontal="center" vertical="center"/>
      <protection locked="0"/>
    </xf>
    <xf numFmtId="18" fontId="0" fillId="0" borderId="0" xfId="0" applyNumberFormat="1" applyProtection="1">
      <protection locked="0"/>
    </xf>
    <xf numFmtId="0" fontId="21" fillId="15" borderId="0" xfId="0" applyFont="1" applyFill="1" applyAlignment="1">
      <alignment horizontal="center" vertical="center" wrapText="1"/>
    </xf>
    <xf numFmtId="0" fontId="3" fillId="0" borderId="19" xfId="0" applyFont="1" applyBorder="1" applyAlignment="1">
      <alignment horizontal="center"/>
    </xf>
    <xf numFmtId="0" fontId="9" fillId="9" borderId="13" xfId="0" applyFont="1" applyFill="1" applyBorder="1" applyAlignment="1">
      <alignment horizontal="center" vertical="center"/>
    </xf>
    <xf numFmtId="0" fontId="7" fillId="0" borderId="20" xfId="0" applyFont="1" applyBorder="1" applyAlignment="1">
      <alignment horizontal="left" vertical="center"/>
    </xf>
    <xf numFmtId="0" fontId="35" fillId="13" borderId="0" xfId="0" applyFont="1" applyFill="1"/>
    <xf numFmtId="0" fontId="3" fillId="0" borderId="21" xfId="0" applyFont="1" applyBorder="1" applyAlignment="1">
      <alignment horizontal="center" vertical="center"/>
    </xf>
    <xf numFmtId="0" fontId="7" fillId="0" borderId="20" xfId="0" applyFont="1" applyBorder="1"/>
    <xf numFmtId="0" fontId="9" fillId="9" borderId="14" xfId="0" applyFont="1" applyFill="1" applyBorder="1" applyAlignment="1">
      <alignment horizontal="center" vertical="center"/>
    </xf>
    <xf numFmtId="0" fontId="7" fillId="0" borderId="22" xfId="0" applyFont="1" applyBorder="1"/>
    <xf numFmtId="0" fontId="53" fillId="31" borderId="0" xfId="0" applyFont="1" applyFill="1" applyAlignment="1">
      <alignment horizontal="center" vertical="center"/>
    </xf>
    <xf numFmtId="0" fontId="5" fillId="0" borderId="22" xfId="0" applyFont="1" applyBorder="1"/>
    <xf numFmtId="0" fontId="0" fillId="0" borderId="21" xfId="0" applyBorder="1"/>
    <xf numFmtId="0" fontId="5" fillId="0" borderId="0" xfId="0" applyFont="1"/>
    <xf numFmtId="0" fontId="7" fillId="0" borderId="22" xfId="0" applyFont="1" applyBorder="1" applyAlignment="1">
      <alignment horizontal="left" vertical="center"/>
    </xf>
    <xf numFmtId="0" fontId="9" fillId="9" borderId="0" xfId="0" applyFont="1" applyFill="1" applyAlignment="1">
      <alignment horizontal="center" vertical="center"/>
    </xf>
    <xf numFmtId="0" fontId="7" fillId="0" borderId="22" xfId="0" applyFont="1" applyBorder="1" applyAlignment="1">
      <alignment horizontal="left"/>
    </xf>
    <xf numFmtId="0" fontId="0" fillId="0" borderId="23" xfId="0" applyBorder="1"/>
    <xf numFmtId="0" fontId="5" fillId="0" borderId="15" xfId="0" applyFont="1" applyBorder="1"/>
    <xf numFmtId="0" fontId="5" fillId="0" borderId="25" xfId="0" applyFont="1" applyBorder="1"/>
    <xf numFmtId="0" fontId="3" fillId="0" borderId="23" xfId="0" applyFont="1" applyBorder="1" applyAlignment="1">
      <alignment horizontal="center" vertical="center"/>
    </xf>
    <xf numFmtId="0" fontId="9" fillId="9" borderId="24" xfId="0" applyFont="1" applyFill="1" applyBorder="1" applyAlignment="1">
      <alignment horizontal="center" vertical="center"/>
    </xf>
    <xf numFmtId="0" fontId="7" fillId="0" borderId="25" xfId="0" applyFont="1" applyBorder="1"/>
    <xf numFmtId="0" fontId="2" fillId="7" borderId="34" xfId="0" applyFont="1" applyFill="1" applyBorder="1" applyAlignment="1" applyProtection="1">
      <alignment horizontal="center" vertical="center"/>
      <protection locked="0"/>
    </xf>
    <xf numFmtId="0" fontId="22" fillId="18" borderId="30" xfId="0" applyFont="1" applyFill="1" applyBorder="1" applyAlignment="1">
      <alignment horizontal="left"/>
    </xf>
    <xf numFmtId="0" fontId="3" fillId="2" borderId="59" xfId="0" applyFont="1" applyFill="1" applyBorder="1"/>
    <xf numFmtId="165" fontId="16" fillId="8" borderId="60" xfId="0" quotePrefix="1" applyNumberFormat="1" applyFont="1" applyFill="1" applyBorder="1" applyAlignment="1">
      <alignment horizontal="center" vertical="top"/>
    </xf>
    <xf numFmtId="0" fontId="15" fillId="12" borderId="61" xfId="0" quotePrefix="1" applyFont="1" applyFill="1" applyBorder="1" applyAlignment="1">
      <alignment horizontal="right"/>
    </xf>
    <xf numFmtId="0" fontId="15" fillId="12" borderId="62" xfId="0" quotePrefix="1" applyFont="1" applyFill="1" applyBorder="1" applyAlignment="1">
      <alignment horizontal="right"/>
    </xf>
    <xf numFmtId="0" fontId="3" fillId="2" borderId="63" xfId="0" applyFont="1" applyFill="1" applyBorder="1"/>
    <xf numFmtId="0" fontId="2" fillId="4" borderId="64" xfId="0" applyFont="1" applyFill="1" applyBorder="1" applyAlignment="1" applyProtection="1">
      <alignment horizontal="center"/>
      <protection hidden="1"/>
    </xf>
    <xf numFmtId="165" fontId="16" fillId="15" borderId="16" xfId="0" quotePrefix="1" applyNumberFormat="1" applyFont="1" applyFill="1" applyBorder="1" applyAlignment="1">
      <alignment horizontal="center" vertical="center"/>
    </xf>
    <xf numFmtId="16" fontId="3" fillId="0" borderId="34" xfId="0" applyNumberFormat="1" applyFont="1" applyBorder="1" applyAlignment="1" applyProtection="1">
      <alignment horizontal="center" vertical="center"/>
      <protection locked="0"/>
    </xf>
    <xf numFmtId="165" fontId="16" fillId="10" borderId="16" xfId="0" quotePrefix="1" applyNumberFormat="1" applyFont="1" applyFill="1" applyBorder="1" applyAlignment="1">
      <alignment horizontal="center" vertical="center"/>
    </xf>
    <xf numFmtId="165" fontId="16" fillId="0" borderId="51" xfId="0" quotePrefix="1" applyNumberFormat="1" applyFont="1" applyBorder="1" applyAlignment="1">
      <alignment horizontal="center" vertical="center"/>
    </xf>
    <xf numFmtId="0" fontId="2" fillId="0" borderId="51" xfId="0" applyFont="1" applyBorder="1" applyAlignment="1" applyProtection="1">
      <alignment vertical="center"/>
      <protection locked="0"/>
    </xf>
    <xf numFmtId="0" fontId="5" fillId="2" borderId="0" xfId="0" applyFont="1" applyFill="1" applyProtection="1">
      <protection locked="0"/>
    </xf>
    <xf numFmtId="0" fontId="2" fillId="35" borderId="34" xfId="0" applyFont="1" applyFill="1" applyBorder="1" applyAlignment="1" applyProtection="1">
      <alignment vertical="center"/>
      <protection locked="0"/>
    </xf>
    <xf numFmtId="0" fontId="62" fillId="36" borderId="70" xfId="0" applyFont="1" applyFill="1" applyBorder="1" applyAlignment="1">
      <alignment horizontal="center" vertical="center"/>
    </xf>
    <xf numFmtId="0" fontId="65" fillId="7" borderId="70" xfId="0" applyFont="1" applyFill="1" applyBorder="1" applyAlignment="1">
      <alignment horizontal="center"/>
    </xf>
    <xf numFmtId="0" fontId="65" fillId="7" borderId="70" xfId="0" applyFont="1" applyFill="1" applyBorder="1" applyAlignment="1">
      <alignment horizontal="left"/>
    </xf>
    <xf numFmtId="0" fontId="0" fillId="0" borderId="0" xfId="0" applyAlignment="1">
      <alignment vertical="top"/>
    </xf>
    <xf numFmtId="0" fontId="5" fillId="0" borderId="70" xfId="0" applyFont="1" applyBorder="1" applyAlignment="1">
      <alignment horizontal="center" vertical="center"/>
    </xf>
    <xf numFmtId="0" fontId="66" fillId="7" borderId="70" xfId="0" applyFont="1" applyFill="1" applyBorder="1"/>
    <xf numFmtId="0" fontId="0" fillId="5" borderId="71" xfId="0" applyFill="1" applyBorder="1" applyAlignment="1">
      <alignment vertical="top"/>
    </xf>
    <xf numFmtId="0" fontId="0" fillId="5" borderId="72" xfId="0" applyFill="1" applyBorder="1" applyAlignment="1">
      <alignment vertical="top"/>
    </xf>
    <xf numFmtId="0" fontId="0" fillId="0" borderId="0" xfId="0" applyAlignment="1">
      <alignment horizontal="left" vertical="top"/>
    </xf>
    <xf numFmtId="0" fontId="0" fillId="5" borderId="73" xfId="0" applyFill="1" applyBorder="1" applyAlignment="1">
      <alignment vertical="top"/>
    </xf>
    <xf numFmtId="0" fontId="0" fillId="0" borderId="0" xfId="0" applyAlignment="1">
      <alignment horizontal="center"/>
    </xf>
    <xf numFmtId="0" fontId="28" fillId="0" borderId="0" xfId="0" applyFont="1"/>
    <xf numFmtId="0" fontId="69" fillId="6" borderId="70" xfId="0" applyFont="1" applyFill="1" applyBorder="1" applyAlignment="1">
      <alignment horizontal="center"/>
    </xf>
    <xf numFmtId="0" fontId="64" fillId="0" borderId="70" xfId="0" applyFont="1" applyBorder="1" applyAlignment="1">
      <alignment horizontal="center"/>
    </xf>
    <xf numFmtId="172" fontId="62" fillId="0" borderId="70" xfId="3" applyNumberFormat="1" applyFont="1" applyBorder="1" applyAlignment="1">
      <alignment horizontal="center"/>
    </xf>
    <xf numFmtId="0" fontId="63" fillId="4" borderId="75" xfId="0" applyFont="1" applyFill="1" applyBorder="1" applyAlignment="1">
      <alignment horizontal="center" vertical="center"/>
    </xf>
    <xf numFmtId="172" fontId="63" fillId="0" borderId="75" xfId="3" applyNumberFormat="1" applyFont="1" applyBorder="1" applyAlignment="1">
      <alignment horizontal="center"/>
    </xf>
    <xf numFmtId="0" fontId="71" fillId="6" borderId="70" xfId="0" applyFont="1" applyFill="1" applyBorder="1" applyAlignment="1">
      <alignment horizontal="center"/>
    </xf>
    <xf numFmtId="0" fontId="72" fillId="0" borderId="70" xfId="0" applyFont="1" applyBorder="1" applyAlignment="1">
      <alignment horizontal="center"/>
    </xf>
    <xf numFmtId="0" fontId="70" fillId="36" borderId="70" xfId="0" applyFont="1" applyFill="1" applyBorder="1" applyAlignment="1">
      <alignment horizontal="center" vertical="center"/>
    </xf>
    <xf numFmtId="172" fontId="70" fillId="0" borderId="70" xfId="3" applyNumberFormat="1" applyFont="1" applyBorder="1" applyAlignment="1">
      <alignment horizontal="center"/>
    </xf>
    <xf numFmtId="0" fontId="73" fillId="4" borderId="75" xfId="0" applyFont="1" applyFill="1" applyBorder="1" applyAlignment="1">
      <alignment horizontal="center" vertical="center"/>
    </xf>
    <xf numFmtId="172" fontId="73" fillId="0" borderId="75" xfId="3" applyNumberFormat="1" applyFont="1" applyBorder="1" applyAlignment="1">
      <alignment horizontal="center"/>
    </xf>
    <xf numFmtId="0" fontId="20" fillId="2" borderId="0" xfId="7" applyFill="1" applyAlignment="1">
      <alignment horizontal="center" wrapText="1"/>
    </xf>
    <xf numFmtId="168" fontId="77" fillId="6" borderId="76" xfId="6" applyNumberFormat="1" applyFont="1" applyFill="1" applyBorder="1" applyAlignment="1">
      <alignment horizontal="center" vertical="center"/>
    </xf>
    <xf numFmtId="168" fontId="20" fillId="5" borderId="0" xfId="7" applyNumberFormat="1" applyFill="1" applyAlignment="1">
      <alignment horizontal="right"/>
    </xf>
    <xf numFmtId="0" fontId="20" fillId="0" borderId="0" xfId="7"/>
    <xf numFmtId="0" fontId="28" fillId="38" borderId="76" xfId="1" applyFont="1" applyFill="1" applyBorder="1" applyAlignment="1">
      <alignment horizontal="center"/>
    </xf>
    <xf numFmtId="0" fontId="28" fillId="38" borderId="76" xfId="8" applyFont="1" applyFill="1" applyBorder="1" applyAlignment="1">
      <alignment horizontal="center"/>
    </xf>
    <xf numFmtId="173" fontId="77" fillId="6" borderId="76" xfId="6" applyFont="1" applyFill="1" applyBorder="1" applyAlignment="1">
      <alignment horizontal="center" vertical="center"/>
    </xf>
    <xf numFmtId="170" fontId="20" fillId="0" borderId="76" xfId="7" applyNumberFormat="1" applyBorder="1" applyAlignment="1">
      <alignment horizontal="center" vertical="center"/>
    </xf>
    <xf numFmtId="1" fontId="46" fillId="6" borderId="76" xfId="7" applyNumberFormat="1" applyFont="1" applyFill="1" applyBorder="1" applyAlignment="1">
      <alignment horizontal="right" vertical="center"/>
    </xf>
    <xf numFmtId="14" fontId="6" fillId="2" borderId="76" xfId="1" applyNumberFormat="1" applyFill="1" applyBorder="1"/>
    <xf numFmtId="14" fontId="6" fillId="2" borderId="76" xfId="8" applyNumberFormat="1" applyFill="1" applyBorder="1"/>
    <xf numFmtId="14" fontId="6" fillId="24" borderId="76" xfId="8" applyNumberFormat="1" applyFill="1" applyBorder="1"/>
    <xf numFmtId="1" fontId="6" fillId="2" borderId="76" xfId="1" applyNumberFormat="1" applyFill="1" applyBorder="1"/>
    <xf numFmtId="1" fontId="20" fillId="2" borderId="76" xfId="7" applyNumberFormat="1" applyFill="1" applyBorder="1"/>
    <xf numFmtId="1" fontId="20" fillId="2" borderId="76" xfId="9" applyNumberFormat="1" applyFill="1" applyBorder="1"/>
    <xf numFmtId="1" fontId="20" fillId="8" borderId="76" xfId="9" applyNumberFormat="1" applyFill="1" applyBorder="1"/>
    <xf numFmtId="1" fontId="20" fillId="39" borderId="76" xfId="9" applyNumberFormat="1" applyFill="1" applyBorder="1"/>
    <xf numFmtId="1" fontId="20" fillId="39" borderId="76" xfId="7" applyNumberFormat="1" applyFill="1" applyBorder="1"/>
    <xf numFmtId="1" fontId="20" fillId="8" borderId="76" xfId="7" applyNumberFormat="1" applyFill="1" applyBorder="1"/>
    <xf numFmtId="1" fontId="20" fillId="0" borderId="0" xfId="7" applyNumberFormat="1"/>
    <xf numFmtId="173" fontId="77" fillId="5" borderId="76" xfId="6" applyFont="1" applyFill="1" applyBorder="1" applyAlignment="1">
      <alignment vertical="center" wrapText="1"/>
    </xf>
    <xf numFmtId="173" fontId="77" fillId="5" borderId="76" xfId="6" applyFont="1" applyFill="1" applyBorder="1" applyAlignment="1">
      <alignment vertical="center"/>
    </xf>
    <xf numFmtId="14" fontId="77" fillId="6" borderId="76" xfId="6" applyNumberFormat="1" applyFont="1" applyFill="1" applyBorder="1" applyAlignment="1">
      <alignment horizontal="center" vertical="center"/>
    </xf>
    <xf numFmtId="1" fontId="46" fillId="2" borderId="76" xfId="1" applyNumberFormat="1" applyFont="1" applyFill="1" applyBorder="1"/>
    <xf numFmtId="0" fontId="79" fillId="24" borderId="0" xfId="10" applyFont="1" applyFill="1"/>
    <xf numFmtId="0" fontId="28" fillId="38" borderId="76" xfId="10" applyFont="1" applyFill="1" applyBorder="1" applyAlignment="1">
      <alignment horizontal="center"/>
    </xf>
    <xf numFmtId="0" fontId="6" fillId="0" borderId="0" xfId="10"/>
    <xf numFmtId="14" fontId="6" fillId="2" borderId="76" xfId="10" applyNumberFormat="1" applyFill="1" applyBorder="1"/>
    <xf numFmtId="1" fontId="6" fillId="2" borderId="76" xfId="10" applyNumberFormat="1" applyFill="1" applyBorder="1"/>
    <xf numFmtId="20" fontId="6" fillId="0" borderId="0" xfId="10" applyNumberFormat="1"/>
    <xf numFmtId="0" fontId="81" fillId="0" borderId="0" xfId="10" applyFont="1" applyAlignment="1">
      <alignment horizontal="center"/>
    </xf>
    <xf numFmtId="0" fontId="84" fillId="41" borderId="76" xfId="2" applyFont="1" applyFill="1" applyBorder="1" applyAlignment="1">
      <alignment horizontal="center"/>
    </xf>
    <xf numFmtId="0" fontId="83" fillId="42" borderId="50" xfId="10" applyFont="1" applyFill="1" applyBorder="1" applyAlignment="1" applyProtection="1">
      <alignment horizontal="center" vertical="center"/>
      <protection locked="0"/>
    </xf>
    <xf numFmtId="0" fontId="83" fillId="42" borderId="76" xfId="10" applyFont="1" applyFill="1" applyBorder="1" applyAlignment="1" applyProtection="1">
      <alignment horizontal="center" vertical="center"/>
      <protection locked="0"/>
    </xf>
    <xf numFmtId="0" fontId="83" fillId="43" borderId="76" xfId="2" applyFont="1" applyFill="1" applyBorder="1" applyAlignment="1">
      <alignment horizontal="center"/>
    </xf>
    <xf numFmtId="0" fontId="83" fillId="44" borderId="76" xfId="2" applyFont="1" applyFill="1" applyBorder="1" applyAlignment="1">
      <alignment horizontal="center"/>
    </xf>
    <xf numFmtId="0" fontId="83" fillId="26" borderId="76" xfId="10" applyFont="1" applyFill="1" applyBorder="1" applyAlignment="1" applyProtection="1">
      <alignment horizontal="center" vertical="center"/>
      <protection locked="0"/>
    </xf>
    <xf numFmtId="0" fontId="80" fillId="45" borderId="76" xfId="10" applyFont="1" applyFill="1" applyBorder="1" applyAlignment="1">
      <alignment horizontal="center" vertical="center"/>
    </xf>
    <xf numFmtId="0" fontId="82" fillId="39" borderId="76" xfId="10" applyFont="1" applyFill="1" applyBorder="1" applyAlignment="1">
      <alignment horizontal="center" vertical="center"/>
    </xf>
    <xf numFmtId="0" fontId="6" fillId="46" borderId="76" xfId="1" applyFill="1" applyBorder="1" applyAlignment="1">
      <alignment horizontal="center" vertical="center"/>
    </xf>
    <xf numFmtId="0" fontId="6" fillId="47" borderId="76" xfId="10" applyFill="1" applyBorder="1" applyAlignment="1">
      <alignment horizontal="center"/>
    </xf>
    <xf numFmtId="0" fontId="6" fillId="48" borderId="77" xfId="10" applyFill="1" applyBorder="1" applyAlignment="1">
      <alignment horizontal="center"/>
    </xf>
    <xf numFmtId="0" fontId="6" fillId="49" borderId="78" xfId="10" applyFill="1" applyBorder="1" applyAlignment="1">
      <alignment horizontal="center"/>
    </xf>
    <xf numFmtId="0" fontId="6" fillId="50" borderId="78" xfId="10" applyFill="1" applyBorder="1" applyAlignment="1">
      <alignment horizontal="center"/>
    </xf>
    <xf numFmtId="0" fontId="6" fillId="46" borderId="78" xfId="1" applyFill="1" applyBorder="1" applyAlignment="1">
      <alignment horizontal="center" vertical="center"/>
    </xf>
    <xf numFmtId="0" fontId="6" fillId="46" borderId="76" xfId="10" applyFill="1" applyBorder="1" applyAlignment="1" applyProtection="1">
      <alignment horizontal="center" vertical="center"/>
      <protection locked="0"/>
    </xf>
    <xf numFmtId="0" fontId="6" fillId="46" borderId="50" xfId="1" applyFill="1" applyBorder="1" applyAlignment="1">
      <alignment horizontal="center" vertical="center"/>
    </xf>
    <xf numFmtId="0" fontId="6" fillId="3" borderId="76" xfId="10" applyFill="1" applyBorder="1" applyAlignment="1">
      <alignment horizontal="center" vertical="center"/>
    </xf>
    <xf numFmtId="0" fontId="82" fillId="51" borderId="76" xfId="10" applyFont="1" applyFill="1" applyBorder="1" applyAlignment="1">
      <alignment horizontal="center" vertical="center"/>
    </xf>
    <xf numFmtId="0" fontId="6" fillId="52" borderId="76" xfId="10" applyFill="1" applyBorder="1" applyAlignment="1">
      <alignment horizontal="center" vertical="center"/>
    </xf>
    <xf numFmtId="0" fontId="6" fillId="53" borderId="76" xfId="10" applyFill="1" applyBorder="1" applyAlignment="1">
      <alignment horizontal="center" vertical="center"/>
    </xf>
    <xf numFmtId="0" fontId="28" fillId="54" borderId="76" xfId="10" applyFont="1" applyFill="1" applyBorder="1" applyAlignment="1">
      <alignment horizontal="center"/>
    </xf>
    <xf numFmtId="0" fontId="85" fillId="55" borderId="76" xfId="10" applyFont="1" applyFill="1" applyBorder="1" applyAlignment="1">
      <alignment horizontal="center" vertical="center"/>
    </xf>
    <xf numFmtId="0" fontId="6" fillId="56" borderId="76" xfId="10" applyFill="1" applyBorder="1" applyAlignment="1">
      <alignment horizontal="center" vertical="center"/>
    </xf>
    <xf numFmtId="0" fontId="6" fillId="57" borderId="76" xfId="10" applyFill="1" applyBorder="1" applyAlignment="1">
      <alignment horizontal="center" vertical="center"/>
    </xf>
    <xf numFmtId="0" fontId="82" fillId="10" borderId="76" xfId="10" applyFont="1" applyFill="1" applyBorder="1" applyAlignment="1">
      <alignment horizontal="center" vertical="center"/>
    </xf>
    <xf numFmtId="0" fontId="82" fillId="54" borderId="76" xfId="10" applyFont="1" applyFill="1" applyBorder="1" applyAlignment="1">
      <alignment horizontal="center" vertical="center"/>
    </xf>
    <xf numFmtId="0" fontId="86" fillId="58" borderId="0" xfId="10" applyFont="1" applyFill="1" applyAlignment="1" applyProtection="1">
      <alignment horizontal="center" vertical="center"/>
      <protection locked="0"/>
    </xf>
    <xf numFmtId="0" fontId="86" fillId="9" borderId="0" xfId="10" applyFont="1" applyFill="1" applyAlignment="1" applyProtection="1">
      <alignment horizontal="center" vertical="center"/>
      <protection locked="0"/>
    </xf>
    <xf numFmtId="0" fontId="82" fillId="59" borderId="0" xfId="10" applyFont="1" applyFill="1" applyAlignment="1">
      <alignment horizontal="center" vertical="center"/>
    </xf>
    <xf numFmtId="0" fontId="88" fillId="60" borderId="0" xfId="10" applyFont="1" applyFill="1" applyAlignment="1">
      <alignment horizontal="center"/>
    </xf>
    <xf numFmtId="0" fontId="89" fillId="60" borderId="0" xfId="10" applyFont="1" applyFill="1"/>
    <xf numFmtId="14" fontId="90" fillId="61" borderId="0" xfId="10" applyNumberFormat="1" applyFont="1" applyFill="1" applyAlignment="1">
      <alignment horizontal="center"/>
    </xf>
    <xf numFmtId="0" fontId="6" fillId="22" borderId="0" xfId="10" quotePrefix="1" applyFill="1" applyAlignment="1">
      <alignment horizontal="left" vertical="center"/>
    </xf>
    <xf numFmtId="0" fontId="6" fillId="22" borderId="0" xfId="10" applyFill="1" applyAlignment="1">
      <alignment horizontal="left" vertical="center"/>
    </xf>
    <xf numFmtId="0" fontId="6" fillId="5" borderId="0" xfId="10" applyFill="1"/>
    <xf numFmtId="0" fontId="6" fillId="62" borderId="79" xfId="10" applyFill="1" applyBorder="1"/>
    <xf numFmtId="0" fontId="6" fillId="62" borderId="80" xfId="10" applyFill="1" applyBorder="1"/>
    <xf numFmtId="0" fontId="6" fillId="62" borderId="81" xfId="10" applyFill="1" applyBorder="1"/>
    <xf numFmtId="14" fontId="6" fillId="62" borderId="79" xfId="10" applyNumberFormat="1" applyFill="1" applyBorder="1" applyAlignment="1">
      <alignment horizontal="center"/>
    </xf>
    <xf numFmtId="20" fontId="6" fillId="3" borderId="82" xfId="10" applyNumberFormat="1" applyFill="1" applyBorder="1" applyAlignment="1">
      <alignment horizontal="center"/>
    </xf>
    <xf numFmtId="20" fontId="6" fillId="3" borderId="79" xfId="10" applyNumberFormat="1" applyFill="1" applyBorder="1" applyAlignment="1">
      <alignment horizontal="center"/>
    </xf>
    <xf numFmtId="0" fontId="6" fillId="33" borderId="82" xfId="10" applyFill="1" applyBorder="1" applyAlignment="1">
      <alignment horizontal="center"/>
    </xf>
    <xf numFmtId="0" fontId="6" fillId="0" borderId="0" xfId="10" applyAlignment="1">
      <alignment horizontal="right"/>
    </xf>
    <xf numFmtId="0" fontId="6" fillId="0" borderId="0" xfId="10" applyAlignment="1">
      <alignment horizontal="left"/>
    </xf>
    <xf numFmtId="0" fontId="6" fillId="0" borderId="13" xfId="10" applyBorder="1" applyAlignment="1">
      <alignment horizontal="center"/>
    </xf>
    <xf numFmtId="0" fontId="8" fillId="0" borderId="86" xfId="10" applyFont="1" applyBorder="1" applyAlignment="1">
      <alignment horizontal="center"/>
    </xf>
    <xf numFmtId="0" fontId="8" fillId="0" borderId="82" xfId="10" applyFont="1" applyBorder="1" applyAlignment="1">
      <alignment horizontal="center"/>
    </xf>
    <xf numFmtId="0" fontId="8" fillId="0" borderId="13" xfId="10" applyFont="1" applyBorder="1" applyAlignment="1">
      <alignment horizontal="center"/>
    </xf>
    <xf numFmtId="0" fontId="8" fillId="0" borderId="85" xfId="10" applyFont="1" applyBorder="1" applyAlignment="1">
      <alignment horizontal="center"/>
    </xf>
    <xf numFmtId="0" fontId="6" fillId="33" borderId="82" xfId="10" applyFill="1" applyBorder="1" applyAlignment="1">
      <alignment horizontal="center" vertical="center"/>
    </xf>
    <xf numFmtId="0" fontId="6" fillId="0" borderId="87" xfId="10" applyBorder="1"/>
    <xf numFmtId="0" fontId="8" fillId="0" borderId="90" xfId="10" applyFont="1" applyBorder="1" applyAlignment="1">
      <alignment horizontal="center"/>
    </xf>
    <xf numFmtId="0" fontId="6" fillId="0" borderId="93" xfId="10" applyBorder="1" applyAlignment="1">
      <alignment horizontal="center"/>
    </xf>
    <xf numFmtId="0" fontId="8" fillId="0" borderId="93" xfId="10" applyFont="1" applyBorder="1" applyAlignment="1">
      <alignment horizontal="center"/>
    </xf>
    <xf numFmtId="0" fontId="82" fillId="0" borderId="0" xfId="10" applyFont="1" applyAlignment="1">
      <alignment horizontal="center"/>
    </xf>
    <xf numFmtId="0" fontId="82" fillId="64" borderId="0" xfId="10" applyFont="1" applyFill="1" applyAlignment="1">
      <alignment horizontal="right"/>
    </xf>
    <xf numFmtId="0" fontId="92" fillId="64" borderId="0" xfId="10" applyFont="1" applyFill="1" applyAlignment="1">
      <alignment horizontal="right"/>
    </xf>
    <xf numFmtId="1" fontId="93" fillId="64" borderId="82" xfId="10" applyNumberFormat="1" applyFont="1" applyFill="1" applyBorder="1" applyAlignment="1">
      <alignment horizontal="center"/>
    </xf>
    <xf numFmtId="1" fontId="93" fillId="35" borderId="82" xfId="10" applyNumberFormat="1" applyFont="1" applyFill="1" applyBorder="1" applyAlignment="1">
      <alignment horizontal="center"/>
    </xf>
    <xf numFmtId="0" fontId="6" fillId="63" borderId="96" xfId="10" applyFill="1" applyBorder="1" applyAlignment="1">
      <alignment horizontal="center" vertical="center"/>
    </xf>
    <xf numFmtId="9" fontId="6" fillId="63" borderId="97" xfId="10" applyNumberFormat="1" applyFill="1" applyBorder="1" applyAlignment="1">
      <alignment horizontal="center" vertical="center"/>
    </xf>
    <xf numFmtId="0" fontId="6" fillId="65" borderId="0" xfId="10" applyFill="1" applyAlignment="1">
      <alignment horizontal="right"/>
    </xf>
    <xf numFmtId="0" fontId="94" fillId="65" borderId="0" xfId="10" applyFont="1" applyFill="1" applyAlignment="1">
      <alignment horizontal="right"/>
    </xf>
    <xf numFmtId="1" fontId="95" fillId="65" borderId="82" xfId="10" applyNumberFormat="1" applyFont="1" applyFill="1" applyBorder="1" applyAlignment="1">
      <alignment horizontal="center"/>
    </xf>
    <xf numFmtId="1" fontId="95" fillId="35" borderId="82" xfId="10" applyNumberFormat="1" applyFont="1" applyFill="1" applyBorder="1" applyAlignment="1">
      <alignment horizontal="center"/>
    </xf>
    <xf numFmtId="174" fontId="96" fillId="24" borderId="97" xfId="10" applyNumberFormat="1" applyFont="1" applyFill="1" applyBorder="1" applyAlignment="1">
      <alignment horizontal="center" vertical="center"/>
    </xf>
    <xf numFmtId="0" fontId="6" fillId="6" borderId="0" xfId="10" applyFill="1" applyAlignment="1">
      <alignment horizontal="right"/>
    </xf>
    <xf numFmtId="0" fontId="82" fillId="6" borderId="0" xfId="10" applyFont="1" applyFill="1" applyAlignment="1">
      <alignment horizontal="right"/>
    </xf>
    <xf numFmtId="1" fontId="95" fillId="6" borderId="82" xfId="10" applyNumberFormat="1" applyFont="1" applyFill="1" applyBorder="1" applyAlignment="1">
      <alignment horizontal="center"/>
    </xf>
    <xf numFmtId="0" fontId="6" fillId="63" borderId="98" xfId="10" applyFill="1" applyBorder="1" applyAlignment="1">
      <alignment horizontal="center" vertical="center"/>
    </xf>
    <xf numFmtId="9" fontId="96" fillId="24" borderId="99" xfId="11" applyFont="1" applyFill="1" applyBorder="1" applyAlignment="1">
      <alignment horizontal="center" vertical="center"/>
    </xf>
    <xf numFmtId="0" fontId="6" fillId="5" borderId="100" xfId="10" applyFill="1" applyBorder="1" applyAlignment="1">
      <alignment horizontal="center" vertical="center"/>
    </xf>
    <xf numFmtId="9" fontId="96" fillId="5" borderId="100" xfId="11" applyFont="1" applyFill="1" applyBorder="1" applyAlignment="1">
      <alignment horizontal="center" vertical="center"/>
    </xf>
    <xf numFmtId="0" fontId="6" fillId="5" borderId="0" xfId="10" applyFill="1" applyAlignment="1">
      <alignment horizontal="center" vertical="center"/>
    </xf>
    <xf numFmtId="9" fontId="96" fillId="5" borderId="0" xfId="11" applyFont="1" applyFill="1" applyBorder="1" applyAlignment="1">
      <alignment horizontal="center" vertical="center"/>
    </xf>
    <xf numFmtId="0" fontId="82" fillId="22" borderId="0" xfId="10" applyFont="1" applyFill="1" applyAlignment="1">
      <alignment horizontal="right"/>
    </xf>
    <xf numFmtId="0" fontId="6" fillId="22" borderId="0" xfId="10" applyFill="1"/>
    <xf numFmtId="1" fontId="93" fillId="22" borderId="82" xfId="10" applyNumberFormat="1" applyFont="1" applyFill="1" applyBorder="1" applyAlignment="1">
      <alignment horizontal="center"/>
    </xf>
    <xf numFmtId="0" fontId="6" fillId="0" borderId="0" xfId="10" applyAlignment="1">
      <alignment horizontal="center" vertical="center"/>
    </xf>
    <xf numFmtId="9" fontId="6" fillId="0" borderId="0" xfId="10" applyNumberFormat="1" applyAlignment="1">
      <alignment horizontal="center" vertical="center"/>
    </xf>
    <xf numFmtId="0" fontId="6" fillId="35" borderId="0" xfId="10" applyFill="1" applyAlignment="1">
      <alignment horizontal="right"/>
    </xf>
    <xf numFmtId="0" fontId="8" fillId="35" borderId="82" xfId="10" applyFont="1" applyFill="1" applyBorder="1" applyAlignment="1">
      <alignment horizontal="center"/>
    </xf>
    <xf numFmtId="0" fontId="8" fillId="0" borderId="101" xfId="10" applyFont="1" applyBorder="1" applyAlignment="1">
      <alignment horizontal="center"/>
    </xf>
    <xf numFmtId="0" fontId="6" fillId="66" borderId="0" xfId="10" applyFill="1" applyAlignment="1">
      <alignment horizontal="right"/>
    </xf>
    <xf numFmtId="1" fontId="8" fillId="66" borderId="82" xfId="10" applyNumberFormat="1" applyFont="1" applyFill="1" applyBorder="1" applyAlignment="1">
      <alignment horizontal="center"/>
    </xf>
    <xf numFmtId="1" fontId="6" fillId="5" borderId="0" xfId="10" applyNumberFormat="1" applyFill="1"/>
    <xf numFmtId="0" fontId="6" fillId="39" borderId="0" xfId="10" applyFill="1" applyAlignment="1">
      <alignment horizontal="right"/>
    </xf>
    <xf numFmtId="170" fontId="8" fillId="39" borderId="82" xfId="10" applyNumberFormat="1" applyFont="1" applyFill="1" applyBorder="1" applyAlignment="1">
      <alignment horizontal="center"/>
    </xf>
    <xf numFmtId="170" fontId="8" fillId="66" borderId="82" xfId="10" applyNumberFormat="1" applyFont="1" applyFill="1" applyBorder="1" applyAlignment="1">
      <alignment horizontal="center"/>
    </xf>
    <xf numFmtId="0" fontId="82" fillId="67" borderId="0" xfId="10" applyFont="1" applyFill="1" applyAlignment="1">
      <alignment horizontal="right"/>
    </xf>
    <xf numFmtId="0" fontId="97" fillId="67" borderId="0" xfId="10" applyFont="1" applyFill="1" applyAlignment="1">
      <alignment horizontal="right"/>
    </xf>
    <xf numFmtId="170" fontId="98" fillId="67" borderId="82" xfId="10" applyNumberFormat="1" applyFont="1" applyFill="1" applyBorder="1" applyAlignment="1">
      <alignment horizontal="center"/>
    </xf>
    <xf numFmtId="1" fontId="98" fillId="67" borderId="82" xfId="10" applyNumberFormat="1" applyFont="1" applyFill="1" applyBorder="1" applyAlignment="1">
      <alignment horizontal="center"/>
    </xf>
    <xf numFmtId="0" fontId="6" fillId="53" borderId="0" xfId="10" applyFill="1" applyAlignment="1">
      <alignment horizontal="right"/>
    </xf>
    <xf numFmtId="170" fontId="6" fillId="53" borderId="82" xfId="10" applyNumberFormat="1" applyFill="1" applyBorder="1" applyAlignment="1">
      <alignment horizontal="center"/>
    </xf>
    <xf numFmtId="170" fontId="8" fillId="53" borderId="82" xfId="10" applyNumberFormat="1" applyFont="1" applyFill="1" applyBorder="1" applyAlignment="1">
      <alignment horizontal="center"/>
    </xf>
    <xf numFmtId="0" fontId="6" fillId="63" borderId="0" xfId="10" applyFill="1" applyAlignment="1">
      <alignment horizontal="right"/>
    </xf>
    <xf numFmtId="170" fontId="7" fillId="63" borderId="79" xfId="10" applyNumberFormat="1" applyFont="1" applyFill="1" applyBorder="1" applyAlignment="1">
      <alignment horizontal="center"/>
    </xf>
    <xf numFmtId="170" fontId="7" fillId="63" borderId="82" xfId="10" applyNumberFormat="1" applyFont="1" applyFill="1" applyBorder="1" applyAlignment="1">
      <alignment horizontal="center"/>
    </xf>
    <xf numFmtId="170" fontId="6" fillId="5" borderId="0" xfId="10" applyNumberFormat="1" applyFill="1"/>
    <xf numFmtId="14" fontId="29" fillId="28" borderId="82" xfId="10" applyNumberFormat="1" applyFont="1" applyFill="1" applyBorder="1" applyAlignment="1">
      <alignment horizontal="right"/>
    </xf>
    <xf numFmtId="170" fontId="99" fillId="28" borderId="82" xfId="10" applyNumberFormat="1" applyFont="1" applyFill="1" applyBorder="1" applyAlignment="1">
      <alignment horizontal="center" vertical="center"/>
    </xf>
    <xf numFmtId="1" fontId="100" fillId="28" borderId="82" xfId="10" applyNumberFormat="1" applyFont="1" applyFill="1" applyBorder="1" applyAlignment="1">
      <alignment horizontal="center"/>
    </xf>
    <xf numFmtId="170" fontId="100" fillId="28" borderId="82" xfId="10" applyNumberFormat="1" applyFont="1" applyFill="1" applyBorder="1" applyAlignment="1">
      <alignment horizontal="center"/>
    </xf>
    <xf numFmtId="0" fontId="6" fillId="68" borderId="83" xfId="10" applyFill="1" applyBorder="1" applyAlignment="1">
      <alignment horizontal="right"/>
    </xf>
    <xf numFmtId="0" fontId="6" fillId="68" borderId="84" xfId="10" applyFill="1" applyBorder="1" applyAlignment="1">
      <alignment horizontal="right"/>
    </xf>
    <xf numFmtId="1" fontId="7" fillId="68" borderId="13" xfId="10" applyNumberFormat="1" applyFont="1" applyFill="1" applyBorder="1" applyAlignment="1">
      <alignment horizontal="center"/>
    </xf>
    <xf numFmtId="1" fontId="7" fillId="68" borderId="85" xfId="10" applyNumberFormat="1" applyFont="1" applyFill="1" applyBorder="1" applyAlignment="1">
      <alignment horizontal="center"/>
    </xf>
    <xf numFmtId="0" fontId="6" fillId="68" borderId="88" xfId="10" applyFill="1" applyBorder="1" applyAlignment="1">
      <alignment horizontal="right"/>
    </xf>
    <xf numFmtId="0" fontId="6" fillId="68" borderId="86" xfId="10" applyFill="1" applyBorder="1" applyAlignment="1">
      <alignment horizontal="right"/>
    </xf>
    <xf numFmtId="9" fontId="7" fillId="68" borderId="82" xfId="10" applyNumberFormat="1" applyFont="1" applyFill="1" applyBorder="1" applyAlignment="1">
      <alignment horizontal="center" vertical="center"/>
    </xf>
    <xf numFmtId="9" fontId="7" fillId="68" borderId="89" xfId="10" applyNumberFormat="1" applyFont="1" applyFill="1" applyBorder="1" applyAlignment="1">
      <alignment horizontal="center" vertical="center"/>
    </xf>
    <xf numFmtId="0" fontId="6" fillId="69" borderId="102" xfId="10" applyFill="1" applyBorder="1" applyAlignment="1">
      <alignment horizontal="center"/>
    </xf>
    <xf numFmtId="0" fontId="6" fillId="68" borderId="91" xfId="10" applyFill="1" applyBorder="1" applyAlignment="1">
      <alignment horizontal="right"/>
    </xf>
    <xf numFmtId="0" fontId="6" fillId="68" borderId="92" xfId="10" applyFill="1" applyBorder="1" applyAlignment="1">
      <alignment horizontal="right"/>
    </xf>
    <xf numFmtId="9" fontId="7" fillId="68" borderId="93" xfId="11" applyFont="1" applyFill="1" applyBorder="1" applyAlignment="1">
      <alignment horizontal="center"/>
    </xf>
    <xf numFmtId="9" fontId="7" fillId="68" borderId="90" xfId="11" applyFont="1" applyFill="1" applyBorder="1" applyAlignment="1">
      <alignment horizontal="center"/>
    </xf>
    <xf numFmtId="0" fontId="6" fillId="5" borderId="0" xfId="10" applyFill="1" applyAlignment="1">
      <alignment horizontal="center"/>
    </xf>
    <xf numFmtId="0" fontId="7" fillId="0" borderId="0" xfId="10" applyFont="1" applyAlignment="1">
      <alignment horizontal="center"/>
    </xf>
    <xf numFmtId="0" fontId="78" fillId="5" borderId="0" xfId="10" applyFont="1" applyFill="1" applyAlignment="1">
      <alignment vertical="center"/>
    </xf>
    <xf numFmtId="0" fontId="82" fillId="5" borderId="0" xfId="10" applyFont="1" applyFill="1" applyAlignment="1">
      <alignment horizontal="right"/>
    </xf>
    <xf numFmtId="0" fontId="6" fillId="21" borderId="0" xfId="10" applyFill="1"/>
    <xf numFmtId="0" fontId="82" fillId="21" borderId="0" xfId="10" applyFont="1" applyFill="1" applyAlignment="1">
      <alignment horizontal="right"/>
    </xf>
    <xf numFmtId="170" fontId="6" fillId="5" borderId="0" xfId="10" applyNumberFormat="1" applyFill="1" applyAlignment="1">
      <alignment horizontal="center"/>
    </xf>
    <xf numFmtId="0" fontId="82" fillId="5" borderId="0" xfId="10" applyFont="1" applyFill="1"/>
    <xf numFmtId="0" fontId="96" fillId="24" borderId="97" xfId="10" applyFont="1" applyFill="1" applyBorder="1" applyAlignment="1">
      <alignment horizontal="center" vertical="center"/>
    </xf>
    <xf numFmtId="9" fontId="96" fillId="24" borderId="99" xfId="12" applyFont="1" applyFill="1" applyBorder="1" applyAlignment="1">
      <alignment horizontal="center" vertical="center"/>
    </xf>
    <xf numFmtId="9" fontId="7" fillId="68" borderId="93" xfId="12" applyFont="1" applyFill="1" applyBorder="1" applyAlignment="1">
      <alignment horizontal="center"/>
    </xf>
    <xf numFmtId="9" fontId="7" fillId="68" borderId="90" xfId="12" applyFont="1" applyFill="1" applyBorder="1" applyAlignment="1">
      <alignment horizontal="center"/>
    </xf>
    <xf numFmtId="0" fontId="6" fillId="0" borderId="105" xfId="10" applyBorder="1"/>
    <xf numFmtId="20" fontId="6" fillId="3" borderId="50" xfId="10" applyNumberFormat="1" applyFill="1" applyBorder="1" applyAlignment="1">
      <alignment horizontal="center"/>
    </xf>
    <xf numFmtId="0" fontId="6" fillId="0" borderId="13" xfId="10" applyBorder="1"/>
    <xf numFmtId="0" fontId="6" fillId="0" borderId="106" xfId="10" applyBorder="1"/>
    <xf numFmtId="0" fontId="6" fillId="0" borderId="106" xfId="10" applyBorder="1" applyAlignment="1">
      <alignment horizontal="center"/>
    </xf>
    <xf numFmtId="0" fontId="8" fillId="0" borderId="106" xfId="10" applyFont="1" applyBorder="1" applyAlignment="1">
      <alignment horizontal="center"/>
    </xf>
    <xf numFmtId="0" fontId="8" fillId="0" borderId="107" xfId="10" applyFont="1" applyBorder="1" applyAlignment="1">
      <alignment horizontal="center"/>
    </xf>
    <xf numFmtId="14" fontId="6" fillId="0" borderId="91" xfId="10" applyNumberFormat="1" applyBorder="1"/>
    <xf numFmtId="0" fontId="6" fillId="0" borderId="93" xfId="10" applyBorder="1"/>
    <xf numFmtId="0" fontId="0" fillId="0" borderId="83" xfId="0" applyBorder="1"/>
    <xf numFmtId="0" fontId="0" fillId="0" borderId="88" xfId="0" applyBorder="1"/>
    <xf numFmtId="14" fontId="0" fillId="0" borderId="88" xfId="0" applyNumberFormat="1" applyBorder="1"/>
    <xf numFmtId="171" fontId="1" fillId="0" borderId="79" xfId="0" applyNumberFormat="1" applyFont="1" applyBorder="1"/>
    <xf numFmtId="0" fontId="16" fillId="15" borderId="16" xfId="0" quotePrefix="1" applyFont="1" applyFill="1" applyBorder="1" applyAlignment="1">
      <alignment horizontal="center" vertical="center"/>
    </xf>
    <xf numFmtId="0" fontId="2" fillId="14" borderId="34" xfId="0" applyFont="1" applyFill="1" applyBorder="1" applyAlignment="1" applyProtection="1">
      <alignment horizontal="center" vertical="center"/>
      <protection locked="0"/>
    </xf>
    <xf numFmtId="0" fontId="2" fillId="0" borderId="51" xfId="0" applyFont="1" applyBorder="1" applyAlignment="1" applyProtection="1">
      <alignment horizontal="center" vertical="center"/>
      <protection locked="0"/>
    </xf>
    <xf numFmtId="0" fontId="103" fillId="5" borderId="31" xfId="0" applyFont="1" applyFill="1" applyBorder="1" applyProtection="1">
      <protection hidden="1"/>
    </xf>
    <xf numFmtId="0" fontId="48" fillId="0" borderId="32" xfId="0" applyFont="1" applyFill="1" applyBorder="1" applyProtection="1">
      <protection hidden="1"/>
    </xf>
    <xf numFmtId="0" fontId="27" fillId="4" borderId="60" xfId="0" applyFont="1" applyFill="1" applyBorder="1" applyAlignment="1" applyProtection="1">
      <alignment horizontal="center"/>
      <protection hidden="1"/>
    </xf>
    <xf numFmtId="0" fontId="2" fillId="4" borderId="108" xfId="0" applyFont="1" applyFill="1" applyBorder="1" applyAlignment="1" applyProtection="1">
      <alignment horizontal="center"/>
      <protection hidden="1"/>
    </xf>
    <xf numFmtId="0" fontId="2" fillId="4" borderId="109" xfId="0" applyFont="1" applyFill="1" applyBorder="1" applyAlignment="1" applyProtection="1">
      <alignment horizontal="center"/>
      <protection hidden="1"/>
    </xf>
    <xf numFmtId="0" fontId="103" fillId="5" borderId="66" xfId="0" applyFont="1" applyFill="1" applyBorder="1" applyProtection="1">
      <protection hidden="1"/>
    </xf>
    <xf numFmtId="0" fontId="48" fillId="0" borderId="67" xfId="0" applyFont="1" applyFill="1" applyBorder="1" applyProtection="1">
      <protection hidden="1"/>
    </xf>
    <xf numFmtId="0" fontId="48" fillId="0" borderId="68" xfId="0" applyFont="1" applyFill="1" applyBorder="1" applyProtection="1">
      <protection hidden="1"/>
    </xf>
    <xf numFmtId="0" fontId="104" fillId="2" borderId="65" xfId="0" applyFont="1" applyFill="1" applyBorder="1" applyAlignment="1">
      <alignment horizontal="left"/>
    </xf>
    <xf numFmtId="0" fontId="104" fillId="2" borderId="63" xfId="0" applyFont="1" applyFill="1" applyBorder="1" applyAlignment="1">
      <alignment horizontal="left"/>
    </xf>
    <xf numFmtId="0" fontId="53" fillId="14" borderId="2" xfId="0" applyFont="1" applyFill="1" applyBorder="1" applyAlignment="1" applyProtection="1">
      <alignment vertical="center"/>
      <protection locked="0"/>
    </xf>
    <xf numFmtId="0" fontId="5" fillId="13" borderId="38" xfId="0" applyNumberFormat="1" applyFont="1" applyFill="1" applyBorder="1" applyAlignment="1" applyProtection="1">
      <alignment horizontal="center" vertical="center"/>
      <protection locked="0"/>
    </xf>
    <xf numFmtId="0" fontId="5" fillId="13" borderId="69" xfId="0" applyNumberFormat="1" applyFont="1" applyFill="1" applyBorder="1" applyAlignment="1" applyProtection="1">
      <alignment horizontal="center" vertical="center"/>
      <protection locked="0"/>
    </xf>
    <xf numFmtId="0" fontId="5" fillId="13" borderId="55" xfId="0" applyNumberFormat="1" applyFont="1" applyFill="1" applyBorder="1" applyAlignment="1" applyProtection="1">
      <alignment horizontal="center" vertical="center"/>
      <protection locked="0"/>
    </xf>
    <xf numFmtId="0" fontId="5" fillId="13" borderId="56" xfId="0" applyNumberFormat="1" applyFont="1" applyFill="1" applyBorder="1" applyAlignment="1" applyProtection="1">
      <alignment horizontal="center" vertical="center"/>
      <protection locked="0"/>
    </xf>
    <xf numFmtId="0" fontId="5" fillId="13" borderId="74" xfId="0" applyNumberFormat="1" applyFont="1" applyFill="1" applyBorder="1" applyAlignment="1" applyProtection="1">
      <alignment horizontal="center" vertical="center"/>
      <protection locked="0"/>
    </xf>
    <xf numFmtId="0" fontId="5" fillId="13" borderId="57" xfId="0" applyNumberFormat="1" applyFont="1" applyFill="1" applyBorder="1" applyAlignment="1" applyProtection="1">
      <alignment horizontal="center" vertical="center"/>
      <protection locked="0"/>
    </xf>
    <xf numFmtId="0" fontId="5" fillId="13" borderId="37" xfId="0" applyNumberFormat="1" applyFont="1" applyFill="1" applyBorder="1" applyAlignment="1" applyProtection="1">
      <alignment horizontal="center" vertical="center"/>
      <protection locked="0"/>
    </xf>
    <xf numFmtId="0" fontId="5" fillId="61" borderId="0" xfId="0" applyFont="1" applyFill="1"/>
    <xf numFmtId="0" fontId="4" fillId="61" borderId="0" xfId="0" applyFont="1" applyFill="1"/>
    <xf numFmtId="0" fontId="1" fillId="7" borderId="52" xfId="0" applyFont="1" applyFill="1" applyBorder="1" applyAlignment="1" applyProtection="1">
      <alignment horizontal="center" vertical="center"/>
      <protection locked="0"/>
    </xf>
    <xf numFmtId="0" fontId="39" fillId="7" borderId="2" xfId="0" applyFont="1" applyFill="1" applyBorder="1" applyAlignment="1" applyProtection="1">
      <alignment horizontal="center" vertical="center"/>
      <protection locked="0"/>
    </xf>
    <xf numFmtId="0" fontId="39" fillId="7" borderId="34" xfId="0" applyFont="1" applyFill="1" applyBorder="1" applyAlignment="1" applyProtection="1">
      <alignment horizontal="center" vertical="center"/>
      <protection locked="0"/>
    </xf>
    <xf numFmtId="0" fontId="39" fillId="7" borderId="2" xfId="0" quotePrefix="1" applyFont="1" applyFill="1" applyBorder="1" applyAlignment="1" applyProtection="1">
      <alignment vertical="center"/>
      <protection locked="0"/>
    </xf>
    <xf numFmtId="0" fontId="12" fillId="7" borderId="2" xfId="0" quotePrefix="1" applyFont="1" applyFill="1" applyBorder="1" applyAlignment="1" applyProtection="1">
      <alignment vertical="center"/>
      <protection locked="0"/>
    </xf>
    <xf numFmtId="0" fontId="4" fillId="71" borderId="9" xfId="0" applyFont="1" applyFill="1" applyBorder="1" applyAlignment="1" applyProtection="1">
      <alignment horizontal="left"/>
      <protection locked="0"/>
    </xf>
    <xf numFmtId="0" fontId="4" fillId="71" borderId="10" xfId="0" applyFont="1" applyFill="1" applyBorder="1" applyAlignment="1" applyProtection="1">
      <alignment horizontal="left"/>
      <protection locked="0"/>
    </xf>
    <xf numFmtId="0" fontId="4" fillId="71" borderId="10" xfId="0" applyFont="1" applyFill="1" applyBorder="1" applyProtection="1">
      <protection locked="0"/>
    </xf>
    <xf numFmtId="0" fontId="59" fillId="4" borderId="11" xfId="0" applyFont="1" applyFill="1" applyBorder="1" applyAlignment="1" applyProtection="1">
      <alignment horizontal="left"/>
      <protection locked="0"/>
    </xf>
    <xf numFmtId="0" fontId="5" fillId="4" borderId="12" xfId="0" applyFont="1" applyFill="1" applyBorder="1" applyAlignment="1" applyProtection="1">
      <alignment horizontal="left"/>
      <protection locked="0"/>
    </xf>
    <xf numFmtId="0" fontId="59" fillId="13" borderId="11" xfId="0" applyFont="1" applyFill="1" applyBorder="1" applyAlignment="1" applyProtection="1">
      <alignment horizontal="left"/>
    </xf>
    <xf numFmtId="0" fontId="59" fillId="13" borderId="12" xfId="0" applyFont="1" applyFill="1" applyBorder="1" applyAlignment="1" applyProtection="1">
      <alignment horizontal="left"/>
    </xf>
    <xf numFmtId="0" fontId="4" fillId="8" borderId="11" xfId="0" applyFont="1" applyFill="1" applyBorder="1" applyAlignment="1" applyProtection="1">
      <alignment horizontal="left"/>
    </xf>
    <xf numFmtId="0" fontId="4" fillId="8" borderId="12" xfId="0" applyFont="1" applyFill="1" applyBorder="1" applyAlignment="1" applyProtection="1">
      <alignment horizontal="left"/>
    </xf>
    <xf numFmtId="0" fontId="4" fillId="8" borderId="12" xfId="0" applyFont="1" applyFill="1" applyBorder="1" applyProtection="1"/>
    <xf numFmtId="0" fontId="0" fillId="0" borderId="0" xfId="0" applyProtection="1"/>
    <xf numFmtId="0" fontId="61" fillId="30" borderId="0" xfId="0" applyFont="1" applyFill="1" applyAlignment="1" applyProtection="1">
      <alignment horizontal="centerContinuous"/>
    </xf>
    <xf numFmtId="0" fontId="101" fillId="0" borderId="0" xfId="0" applyFont="1" applyProtection="1"/>
    <xf numFmtId="0" fontId="61" fillId="70" borderId="0" xfId="0" applyFont="1" applyFill="1" applyAlignment="1" applyProtection="1">
      <alignment horizontal="centerContinuous"/>
    </xf>
    <xf numFmtId="0" fontId="61" fillId="29" borderId="0" xfId="0" applyFont="1" applyFill="1" applyAlignment="1" applyProtection="1">
      <alignment horizontal="centerContinuous"/>
    </xf>
    <xf numFmtId="0" fontId="61" fillId="10" borderId="0" xfId="0" applyFont="1" applyFill="1" applyAlignment="1" applyProtection="1">
      <alignment horizontal="centerContinuous"/>
    </xf>
    <xf numFmtId="0" fontId="46" fillId="4" borderId="0" xfId="0" applyFont="1" applyFill="1" applyAlignment="1" applyProtection="1">
      <alignment horizontal="center"/>
    </xf>
    <xf numFmtId="0" fontId="46" fillId="20" borderId="0" xfId="0" applyFont="1" applyFill="1" applyAlignment="1" applyProtection="1">
      <alignment horizontal="center"/>
    </xf>
    <xf numFmtId="0" fontId="46" fillId="11" borderId="0" xfId="0" applyFont="1" applyFill="1" applyAlignment="1" applyProtection="1">
      <alignment horizontal="center"/>
    </xf>
    <xf numFmtId="0" fontId="46" fillId="14" borderId="0" xfId="0" applyFont="1" applyFill="1" applyAlignment="1" applyProtection="1">
      <alignment horizontal="center"/>
    </xf>
    <xf numFmtId="0" fontId="46" fillId="40" borderId="0" xfId="0" applyFont="1" applyFill="1" applyAlignment="1" applyProtection="1">
      <alignment horizontal="center"/>
    </xf>
    <xf numFmtId="165" fontId="16" fillId="18" borderId="16" xfId="0" quotePrefix="1" applyNumberFormat="1" applyFont="1" applyFill="1" applyBorder="1" applyAlignment="1" applyProtection="1">
      <alignment horizontal="left" vertical="top"/>
    </xf>
    <xf numFmtId="0" fontId="0" fillId="0" borderId="0" xfId="0" applyAlignment="1" applyProtection="1">
      <alignment horizontal="left"/>
    </xf>
    <xf numFmtId="165" fontId="16" fillId="70" borderId="16" xfId="0" quotePrefix="1" applyNumberFormat="1" applyFont="1" applyFill="1" applyBorder="1" applyAlignment="1" applyProtection="1">
      <alignment horizontal="left" vertical="top"/>
    </xf>
    <xf numFmtId="165" fontId="16" fillId="29" borderId="16" xfId="0" quotePrefix="1" applyNumberFormat="1" applyFont="1" applyFill="1" applyBorder="1" applyAlignment="1" applyProtection="1">
      <alignment horizontal="left" vertical="top"/>
    </xf>
    <xf numFmtId="165" fontId="16" fillId="10" borderId="16" xfId="0" quotePrefix="1" applyNumberFormat="1" applyFont="1" applyFill="1" applyBorder="1" applyAlignment="1" applyProtection="1">
      <alignment horizontal="left" vertical="top"/>
    </xf>
    <xf numFmtId="165" fontId="16" fillId="8" borderId="16" xfId="0" quotePrefix="1" applyNumberFormat="1" applyFont="1" applyFill="1" applyBorder="1" applyAlignment="1" applyProtection="1">
      <alignment horizontal="center" vertical="top"/>
    </xf>
    <xf numFmtId="0" fontId="15" fillId="12" borderId="40" xfId="0" quotePrefix="1" applyFont="1" applyFill="1" applyBorder="1" applyAlignment="1" applyProtection="1">
      <alignment horizontal="right"/>
    </xf>
    <xf numFmtId="0" fontId="47" fillId="12" borderId="40" xfId="0" quotePrefix="1" applyFont="1" applyFill="1" applyBorder="1" applyAlignment="1" applyProtection="1">
      <alignment horizontal="right"/>
    </xf>
    <xf numFmtId="0" fontId="47" fillId="12" borderId="33" xfId="0" quotePrefix="1" applyFont="1" applyFill="1" applyBorder="1" applyAlignment="1" applyProtection="1">
      <alignment horizontal="right"/>
    </xf>
    <xf numFmtId="0" fontId="13" fillId="8" borderId="16" xfId="0" quotePrefix="1" applyFont="1" applyFill="1" applyBorder="1" applyAlignment="1" applyProtection="1">
      <alignment horizontal="right" vertical="center"/>
    </xf>
    <xf numFmtId="0" fontId="0" fillId="0" borderId="0" xfId="0" applyAlignment="1" applyProtection="1">
      <alignment horizontal="right"/>
    </xf>
    <xf numFmtId="0" fontId="13" fillId="70" borderId="16" xfId="0" quotePrefix="1" applyFont="1" applyFill="1" applyBorder="1" applyAlignment="1" applyProtection="1">
      <alignment horizontal="right" vertical="center"/>
    </xf>
    <xf numFmtId="0" fontId="13" fillId="29" borderId="16" xfId="0" quotePrefix="1" applyFont="1" applyFill="1" applyBorder="1" applyAlignment="1" applyProtection="1">
      <alignment horizontal="right" vertical="center"/>
    </xf>
    <xf numFmtId="0" fontId="13" fillId="10" borderId="16" xfId="0" quotePrefix="1" applyFont="1" applyFill="1" applyBorder="1" applyAlignment="1" applyProtection="1">
      <alignment horizontal="right" vertical="center"/>
    </xf>
    <xf numFmtId="0" fontId="46" fillId="3" borderId="1" xfId="0" applyFont="1" applyFill="1" applyBorder="1" applyAlignment="1" applyProtection="1">
      <alignment horizontal="center"/>
    </xf>
    <xf numFmtId="0" fontId="45" fillId="3" borderId="1" xfId="0" applyFont="1" applyFill="1" applyBorder="1" applyAlignment="1" applyProtection="1">
      <alignment horizontal="center"/>
    </xf>
    <xf numFmtId="0" fontId="45" fillId="2" borderId="1" xfId="0" applyFont="1" applyFill="1" applyBorder="1" applyAlignment="1" applyProtection="1">
      <alignment horizontal="center"/>
    </xf>
    <xf numFmtId="0" fontId="45" fillId="2" borderId="2" xfId="0" applyFont="1" applyFill="1" applyBorder="1" applyAlignment="1" applyProtection="1">
      <alignment horizontal="center"/>
    </xf>
    <xf numFmtId="0" fontId="3" fillId="7" borderId="34" xfId="0" applyFont="1" applyFill="1" applyBorder="1" applyAlignment="1" applyProtection="1">
      <alignment vertical="center"/>
    </xf>
    <xf numFmtId="0" fontId="51" fillId="7" borderId="34" xfId="0" applyFont="1" applyFill="1" applyBorder="1" applyAlignment="1" applyProtection="1">
      <alignment vertical="center"/>
    </xf>
    <xf numFmtId="0" fontId="2" fillId="13" borderId="34" xfId="0" applyFont="1" applyFill="1" applyBorder="1" applyAlignment="1" applyProtection="1">
      <alignment horizontal="center" vertical="center"/>
    </xf>
    <xf numFmtId="0" fontId="48" fillId="13" borderId="34" xfId="0" applyFont="1" applyFill="1" applyBorder="1" applyAlignment="1" applyProtection="1">
      <alignment horizontal="center" vertical="center"/>
    </xf>
    <xf numFmtId="0" fontId="3" fillId="5" borderId="110" xfId="0" applyFont="1" applyFill="1" applyBorder="1" applyAlignment="1" applyProtection="1">
      <alignment horizontal="center"/>
    </xf>
    <xf numFmtId="0" fontId="3" fillId="5" borderId="111" xfId="0" applyFont="1" applyFill="1" applyBorder="1" applyAlignment="1" applyProtection="1">
      <alignment horizontal="center"/>
    </xf>
    <xf numFmtId="0" fontId="3" fillId="0" borderId="0" xfId="0" applyFont="1" applyProtection="1"/>
    <xf numFmtId="0" fontId="3" fillId="5" borderId="112" xfId="0" applyFont="1" applyFill="1" applyBorder="1" applyAlignment="1" applyProtection="1">
      <alignment horizontal="center"/>
    </xf>
    <xf numFmtId="0" fontId="3" fillId="5" borderId="113" xfId="0" applyFont="1" applyFill="1" applyBorder="1" applyAlignment="1" applyProtection="1">
      <alignment horizontal="center"/>
    </xf>
    <xf numFmtId="0" fontId="3" fillId="5" borderId="114" xfId="0" applyFont="1" applyFill="1" applyBorder="1" applyAlignment="1" applyProtection="1">
      <alignment horizontal="center"/>
    </xf>
    <xf numFmtId="0" fontId="3" fillId="5" borderId="115" xfId="0" applyFont="1" applyFill="1" applyBorder="1" applyAlignment="1" applyProtection="1">
      <alignment horizontal="center"/>
    </xf>
    <xf numFmtId="0" fontId="2" fillId="34" borderId="34" xfId="0" applyFont="1" applyFill="1" applyBorder="1" applyAlignment="1" applyProtection="1">
      <alignment vertical="center"/>
    </xf>
    <xf numFmtId="170" fontId="2" fillId="14" borderId="51" xfId="0" applyNumberFormat="1" applyFont="1" applyFill="1" applyBorder="1" applyAlignment="1" applyProtection="1">
      <alignment vertical="center"/>
    </xf>
    <xf numFmtId="175" fontId="61" fillId="10" borderId="41" xfId="0" applyNumberFormat="1" applyFont="1" applyFill="1" applyBorder="1" applyAlignment="1" applyProtection="1">
      <alignment horizontal="center"/>
      <protection locked="0"/>
    </xf>
    <xf numFmtId="0" fontId="52" fillId="0" borderId="0" xfId="0" applyFont="1" applyProtection="1">
      <protection locked="0"/>
    </xf>
    <xf numFmtId="165" fontId="16" fillId="15" borderId="16" xfId="0" quotePrefix="1" applyNumberFormat="1" applyFont="1" applyFill="1" applyBorder="1" applyAlignment="1" applyProtection="1">
      <alignment horizontal="center" vertical="top"/>
      <protection locked="0"/>
    </xf>
    <xf numFmtId="165" fontId="16" fillId="70" borderId="16" xfId="0" quotePrefix="1" applyNumberFormat="1" applyFont="1" applyFill="1" applyBorder="1" applyAlignment="1" applyProtection="1">
      <alignment horizontal="center" vertical="top"/>
      <protection locked="0"/>
    </xf>
    <xf numFmtId="0" fontId="3" fillId="2" borderId="0" xfId="0" applyFont="1" applyFill="1" applyProtection="1"/>
    <xf numFmtId="0" fontId="0" fillId="2" borderId="0" xfId="0" applyFill="1" applyProtection="1"/>
    <xf numFmtId="167" fontId="17" fillId="13" borderId="18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/>
    <xf numFmtId="0" fontId="2" fillId="0" borderId="0" xfId="0" applyFont="1" applyFill="1"/>
    <xf numFmtId="0" fontId="0" fillId="0" borderId="0" xfId="0" applyFill="1" applyProtection="1"/>
    <xf numFmtId="0" fontId="3" fillId="0" borderId="0" xfId="0" applyFont="1" applyFill="1" applyProtection="1"/>
    <xf numFmtId="9" fontId="59" fillId="13" borderId="12" xfId="3" applyFont="1" applyFill="1" applyBorder="1" applyAlignment="1" applyProtection="1">
      <alignment horizontal="left"/>
      <protection locked="0"/>
    </xf>
    <xf numFmtId="0" fontId="10" fillId="5" borderId="3" xfId="0" applyFont="1" applyFill="1" applyBorder="1" applyAlignment="1" applyProtection="1">
      <alignment horizontal="right" vertical="center"/>
      <protection locked="0" hidden="1"/>
    </xf>
    <xf numFmtId="0" fontId="29" fillId="10" borderId="0" xfId="1" applyFont="1" applyFill="1" applyAlignment="1" applyProtection="1">
      <alignment horizontal="center" vertical="center"/>
      <protection locked="0"/>
    </xf>
    <xf numFmtId="0" fontId="29" fillId="10" borderId="0" xfId="0" applyFont="1" applyFill="1" applyAlignment="1" applyProtection="1">
      <alignment horizontal="center" vertical="center"/>
      <protection locked="0"/>
    </xf>
    <xf numFmtId="49" fontId="28" fillId="10" borderId="0" xfId="0" applyNumberFormat="1" applyFont="1" applyFill="1" applyAlignment="1" applyProtection="1">
      <alignment horizontal="center" vertical="center"/>
      <protection locked="0"/>
    </xf>
    <xf numFmtId="168" fontId="29" fillId="10" borderId="0" xfId="1" applyNumberFormat="1" applyFont="1" applyFill="1" applyAlignment="1" applyProtection="1">
      <alignment horizontal="center" vertical="center"/>
      <protection locked="0"/>
    </xf>
    <xf numFmtId="2" fontId="29" fillId="10" borderId="0" xfId="1" applyNumberFormat="1" applyFont="1" applyFill="1" applyAlignment="1" applyProtection="1">
      <alignment horizontal="center" vertical="center"/>
      <protection locked="0"/>
    </xf>
    <xf numFmtId="0" fontId="2" fillId="2" borderId="0" xfId="0" applyFont="1" applyFill="1" applyAlignment="1">
      <alignment horizontal="right"/>
    </xf>
    <xf numFmtId="0" fontId="21" fillId="10" borderId="0" xfId="0" applyFont="1" applyFill="1" applyAlignment="1" applyProtection="1">
      <alignment horizontal="center" vertical="center" wrapText="1"/>
    </xf>
    <xf numFmtId="0" fontId="8" fillId="13" borderId="43" xfId="1" applyFont="1" applyFill="1" applyBorder="1" applyAlignment="1" applyProtection="1">
      <alignment horizontal="right" vertical="center"/>
    </xf>
    <xf numFmtId="0" fontId="9" fillId="9" borderId="14" xfId="0" applyFont="1" applyFill="1" applyBorder="1" applyAlignment="1" applyProtection="1">
      <alignment horizontal="center" vertical="center"/>
    </xf>
    <xf numFmtId="49" fontId="32" fillId="13" borderId="0" xfId="0" applyNumberFormat="1" applyFont="1" applyFill="1" applyAlignment="1" applyProtection="1">
      <alignment horizontal="center" vertical="center"/>
    </xf>
    <xf numFmtId="1" fontId="8" fillId="13" borderId="0" xfId="1" applyNumberFormat="1" applyFont="1" applyFill="1" applyAlignment="1" applyProtection="1">
      <alignment horizontal="center" vertical="center"/>
    </xf>
    <xf numFmtId="2" fontId="8" fillId="13" borderId="0" xfId="1" applyNumberFormat="1" applyFont="1" applyFill="1" applyAlignment="1" applyProtection="1">
      <alignment horizontal="center" vertical="center"/>
    </xf>
    <xf numFmtId="2" fontId="32" fillId="16" borderId="0" xfId="0" applyNumberFormat="1" applyFont="1" applyFill="1" applyAlignment="1" applyProtection="1">
      <alignment vertical="center"/>
    </xf>
    <xf numFmtId="2" fontId="8" fillId="16" borderId="0" xfId="1" applyNumberFormat="1" applyFont="1" applyFill="1" applyAlignment="1" applyProtection="1">
      <alignment horizontal="center" vertical="center"/>
    </xf>
    <xf numFmtId="0" fontId="36" fillId="16" borderId="0" xfId="0" applyFont="1" applyFill="1" applyProtection="1"/>
    <xf numFmtId="0" fontId="3" fillId="2" borderId="0" xfId="0" applyFont="1" applyFill="1" applyAlignment="1">
      <alignment horizontal="center"/>
    </xf>
    <xf numFmtId="0" fontId="3" fillId="2" borderId="0" xfId="0" applyFont="1" applyFill="1" applyBorder="1"/>
    <xf numFmtId="0" fontId="3" fillId="2" borderId="0" xfId="0" applyFont="1" applyFill="1" applyBorder="1" applyAlignment="1">
      <alignment horizontal="right"/>
    </xf>
    <xf numFmtId="0" fontId="3" fillId="2" borderId="0" xfId="0" applyFont="1" applyFill="1" applyBorder="1" applyProtection="1">
      <protection locked="0"/>
    </xf>
    <xf numFmtId="18" fontId="0" fillId="0" borderId="0" xfId="0" applyNumberFormat="1" applyProtection="1"/>
    <xf numFmtId="0" fontId="21" fillId="15" borderId="0" xfId="0" applyFont="1" applyFill="1" applyAlignment="1">
      <alignment horizontal="center"/>
    </xf>
    <xf numFmtId="0" fontId="5" fillId="13" borderId="38" xfId="0" applyFont="1" applyFill="1" applyBorder="1" applyAlignment="1" applyProtection="1">
      <alignment horizontal="center" vertical="center"/>
      <protection locked="0"/>
    </xf>
    <xf numFmtId="0" fontId="5" fillId="13" borderId="37" xfId="0" applyFont="1" applyFill="1" applyBorder="1" applyAlignment="1" applyProtection="1">
      <alignment horizontal="center" vertical="center"/>
      <protection locked="0"/>
    </xf>
    <xf numFmtId="0" fontId="9" fillId="72" borderId="69" xfId="0" applyFont="1" applyFill="1" applyBorder="1" applyAlignment="1" applyProtection="1">
      <alignment horizontal="center" vertical="center"/>
      <protection locked="0"/>
    </xf>
    <xf numFmtId="0" fontId="5" fillId="13" borderId="57" xfId="0" applyFont="1" applyFill="1" applyBorder="1" applyAlignment="1" applyProtection="1">
      <alignment horizontal="center" vertical="center"/>
      <protection locked="0"/>
    </xf>
    <xf numFmtId="0" fontId="5" fillId="13" borderId="55" xfId="0" applyFont="1" applyFill="1" applyBorder="1" applyAlignment="1" applyProtection="1">
      <alignment horizontal="center" vertical="center"/>
      <protection locked="0"/>
    </xf>
    <xf numFmtId="0" fontId="5" fillId="13" borderId="69" xfId="0" applyFont="1" applyFill="1" applyBorder="1" applyAlignment="1" applyProtection="1">
      <alignment horizontal="center" vertical="center"/>
      <protection locked="0"/>
    </xf>
    <xf numFmtId="0" fontId="26" fillId="5" borderId="3" xfId="0" applyFont="1" applyFill="1" applyBorder="1" applyAlignment="1" applyProtection="1">
      <alignment horizontal="right" vertical="center"/>
      <protection locked="0" hidden="1"/>
    </xf>
    <xf numFmtId="0" fontId="7" fillId="19" borderId="106" xfId="0" applyFont="1" applyFill="1" applyBorder="1" applyAlignment="1" applyProtection="1">
      <alignment horizontal="center" vertical="center"/>
      <protection locked="0"/>
    </xf>
    <xf numFmtId="0" fontId="7" fillId="20" borderId="106" xfId="1" applyFont="1" applyFill="1" applyBorder="1" applyAlignment="1" applyProtection="1">
      <alignment horizontal="center" vertical="center"/>
      <protection locked="0"/>
    </xf>
    <xf numFmtId="0" fontId="7" fillId="25" borderId="106" xfId="1" applyFont="1" applyFill="1" applyBorder="1" applyAlignment="1" applyProtection="1">
      <alignment horizontal="center" vertical="center"/>
      <protection locked="0"/>
    </xf>
    <xf numFmtId="0" fontId="7" fillId="22" borderId="106" xfId="1" applyFont="1" applyFill="1" applyBorder="1" applyAlignment="1" applyProtection="1">
      <alignment horizontal="center" vertical="center"/>
      <protection locked="0"/>
    </xf>
    <xf numFmtId="0" fontId="33" fillId="22" borderId="106" xfId="0" applyFont="1" applyFill="1" applyBorder="1" applyAlignment="1" applyProtection="1">
      <alignment horizontal="center" vertical="center"/>
      <protection locked="0"/>
    </xf>
    <xf numFmtId="0" fontId="9" fillId="21" borderId="106" xfId="0" applyFont="1" applyFill="1" applyBorder="1" applyAlignment="1" applyProtection="1">
      <alignment horizontal="center" vertical="center"/>
      <protection locked="0"/>
    </xf>
    <xf numFmtId="0" fontId="34" fillId="11" borderId="79" xfId="0" applyFont="1" applyFill="1" applyBorder="1" applyAlignment="1" applyProtection="1">
      <alignment horizontal="center" vertical="center"/>
      <protection locked="0"/>
    </xf>
    <xf numFmtId="0" fontId="9" fillId="10" borderId="106" xfId="0" applyFont="1" applyFill="1" applyBorder="1" applyAlignment="1">
      <alignment horizontal="center" vertical="center"/>
    </xf>
    <xf numFmtId="0" fontId="9" fillId="9" borderId="106" xfId="0" applyFont="1" applyFill="1" applyBorder="1" applyAlignment="1">
      <alignment horizontal="center" vertical="center"/>
    </xf>
    <xf numFmtId="0" fontId="12" fillId="5" borderId="116" xfId="0" applyFont="1" applyFill="1" applyBorder="1" applyAlignment="1">
      <alignment horizontal="center"/>
    </xf>
    <xf numFmtId="0" fontId="12" fillId="5" borderId="117" xfId="0" applyFont="1" applyFill="1" applyBorder="1" applyAlignment="1">
      <alignment horizontal="center"/>
    </xf>
    <xf numFmtId="0" fontId="3" fillId="33" borderId="0" xfId="0" applyFont="1" applyFill="1" applyAlignment="1">
      <alignment horizontal="center" vertical="center"/>
    </xf>
    <xf numFmtId="0" fontId="68" fillId="3" borderId="5" xfId="0" applyFont="1" applyFill="1" applyBorder="1" applyAlignment="1">
      <alignment horizontal="center"/>
    </xf>
    <xf numFmtId="0" fontId="68" fillId="3" borderId="7" xfId="0" applyFont="1" applyFill="1" applyBorder="1" applyAlignment="1">
      <alignment horizontal="center"/>
    </xf>
    <xf numFmtId="0" fontId="68" fillId="3" borderId="6" xfId="0" applyFont="1" applyFill="1" applyBorder="1" applyAlignment="1">
      <alignment horizontal="center"/>
    </xf>
    <xf numFmtId="0" fontId="12" fillId="3" borderId="5" xfId="0" applyFont="1" applyFill="1" applyBorder="1" applyAlignment="1">
      <alignment horizontal="center"/>
    </xf>
    <xf numFmtId="0" fontId="12" fillId="3" borderId="7" xfId="0" applyFont="1" applyFill="1" applyBorder="1" applyAlignment="1">
      <alignment horizontal="center"/>
    </xf>
    <xf numFmtId="0" fontId="12" fillId="3" borderId="6" xfId="0" applyFont="1" applyFill="1" applyBorder="1" applyAlignment="1">
      <alignment horizontal="center"/>
    </xf>
    <xf numFmtId="164" fontId="5" fillId="3" borderId="5" xfId="0" applyNumberFormat="1" applyFont="1" applyFill="1" applyBorder="1" applyAlignment="1" applyProtection="1">
      <alignment horizontal="center"/>
      <protection locked="0"/>
    </xf>
    <xf numFmtId="164" fontId="5" fillId="3" borderId="7" xfId="0" applyNumberFormat="1" applyFont="1" applyFill="1" applyBorder="1" applyAlignment="1" applyProtection="1">
      <alignment horizontal="center"/>
      <protection locked="0"/>
    </xf>
    <xf numFmtId="164" fontId="5" fillId="3" borderId="6" xfId="0" applyNumberFormat="1" applyFont="1" applyFill="1" applyBorder="1" applyAlignment="1" applyProtection="1">
      <alignment horizontal="center"/>
      <protection locked="0"/>
    </xf>
    <xf numFmtId="0" fontId="5" fillId="3" borderId="5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/>
    </xf>
    <xf numFmtId="175" fontId="1" fillId="3" borderId="5" xfId="0" applyNumberFormat="1" applyFont="1" applyFill="1" applyBorder="1" applyAlignment="1">
      <alignment horizontal="center"/>
    </xf>
    <xf numFmtId="175" fontId="1" fillId="3" borderId="7" xfId="0" applyNumberFormat="1" applyFont="1" applyFill="1" applyBorder="1" applyAlignment="1">
      <alignment horizontal="center"/>
    </xf>
    <xf numFmtId="175" fontId="1" fillId="3" borderId="6" xfId="0" applyNumberFormat="1" applyFont="1" applyFill="1" applyBorder="1" applyAlignment="1">
      <alignment horizontal="center"/>
    </xf>
    <xf numFmtId="14" fontId="5" fillId="3" borderId="5" xfId="0" applyNumberFormat="1" applyFont="1" applyFill="1" applyBorder="1" applyAlignment="1">
      <alignment horizontal="center"/>
    </xf>
    <xf numFmtId="14" fontId="5" fillId="3" borderId="7" xfId="0" applyNumberFormat="1" applyFont="1" applyFill="1" applyBorder="1" applyAlignment="1">
      <alignment horizontal="center"/>
    </xf>
    <xf numFmtId="14" fontId="5" fillId="3" borderId="6" xfId="0" applyNumberFormat="1" applyFont="1" applyFill="1" applyBorder="1" applyAlignment="1">
      <alignment horizontal="center"/>
    </xf>
    <xf numFmtId="0" fontId="0" fillId="34" borderId="40" xfId="0" applyFill="1" applyBorder="1" applyAlignment="1" applyProtection="1">
      <alignment horizontal="right"/>
      <protection locked="0"/>
    </xf>
    <xf numFmtId="0" fontId="0" fillId="34" borderId="33" xfId="0" applyFill="1" applyBorder="1" applyAlignment="1" applyProtection="1">
      <alignment horizontal="right"/>
      <protection locked="0"/>
    </xf>
    <xf numFmtId="0" fontId="0" fillId="14" borderId="54" xfId="0" applyFill="1" applyBorder="1" applyAlignment="1" applyProtection="1">
      <alignment horizontal="right"/>
      <protection locked="0"/>
    </xf>
    <xf numFmtId="0" fontId="0" fillId="14" borderId="35" xfId="0" applyFill="1" applyBorder="1" applyAlignment="1" applyProtection="1">
      <alignment horizontal="right"/>
      <protection locked="0"/>
    </xf>
    <xf numFmtId="0" fontId="58" fillId="7" borderId="0" xfId="0" applyFont="1" applyFill="1" applyAlignment="1">
      <alignment horizontal="center"/>
    </xf>
    <xf numFmtId="0" fontId="21" fillId="15" borderId="0" xfId="0" applyFont="1" applyFill="1" applyAlignment="1">
      <alignment horizontal="center"/>
    </xf>
    <xf numFmtId="0" fontId="74" fillId="7" borderId="70" xfId="0" applyFont="1" applyFill="1" applyBorder="1" applyAlignment="1">
      <alignment horizontal="center" vertical="center"/>
    </xf>
    <xf numFmtId="0" fontId="74" fillId="7" borderId="75" xfId="0" applyFont="1" applyFill="1" applyBorder="1" applyAlignment="1">
      <alignment horizontal="center" vertical="center"/>
    </xf>
    <xf numFmtId="0" fontId="0" fillId="5" borderId="72" xfId="0" applyFill="1" applyBorder="1" applyAlignment="1">
      <alignment horizontal="left" vertical="top" wrapText="1"/>
    </xf>
    <xf numFmtId="0" fontId="0" fillId="5" borderId="72" xfId="0" applyFill="1" applyBorder="1" applyAlignment="1">
      <alignment vertical="top" wrapText="1"/>
    </xf>
    <xf numFmtId="0" fontId="75" fillId="7" borderId="70" xfId="0" applyFont="1" applyFill="1" applyBorder="1" applyAlignment="1">
      <alignment horizontal="center" vertical="center"/>
    </xf>
    <xf numFmtId="0" fontId="75" fillId="7" borderId="75" xfId="0" applyFont="1" applyFill="1" applyBorder="1" applyAlignment="1">
      <alignment horizontal="center" vertical="center"/>
    </xf>
    <xf numFmtId="0" fontId="91" fillId="63" borderId="94" xfId="10" applyFont="1" applyFill="1" applyBorder="1" applyAlignment="1">
      <alignment horizontal="center" vertical="center"/>
    </xf>
    <xf numFmtId="0" fontId="91" fillId="63" borderId="95" xfId="10" applyFont="1" applyFill="1" applyBorder="1" applyAlignment="1">
      <alignment horizontal="center" vertical="center"/>
    </xf>
    <xf numFmtId="9" fontId="78" fillId="5" borderId="103" xfId="10" applyNumberFormat="1" applyFont="1" applyFill="1" applyBorder="1" applyAlignment="1">
      <alignment horizontal="center" vertical="center"/>
    </xf>
    <xf numFmtId="9" fontId="78" fillId="5" borderId="104" xfId="10" applyNumberFormat="1" applyFont="1" applyFill="1" applyBorder="1" applyAlignment="1">
      <alignment horizontal="center" vertical="center"/>
    </xf>
    <xf numFmtId="0" fontId="6" fillId="3" borderId="0" xfId="10" applyFill="1" applyAlignment="1">
      <alignment horizontal="center" wrapText="1"/>
    </xf>
    <xf numFmtId="173" fontId="77" fillId="4" borderId="76" xfId="6" applyFont="1" applyFill="1" applyBorder="1" applyAlignment="1">
      <alignment horizontal="center" vertical="center" wrapText="1"/>
    </xf>
    <xf numFmtId="173" fontId="77" fillId="4" borderId="76" xfId="6" applyFont="1" applyFill="1" applyBorder="1" applyAlignment="1">
      <alignment horizontal="center" vertical="center"/>
    </xf>
    <xf numFmtId="0" fontId="78" fillId="40" borderId="0" xfId="1" applyFont="1" applyFill="1" applyAlignment="1">
      <alignment horizontal="center" vertical="center" wrapText="1"/>
    </xf>
    <xf numFmtId="0" fontId="1" fillId="0" borderId="48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50" xfId="0" applyFont="1" applyBorder="1" applyAlignment="1">
      <alignment horizontal="center" vertical="center"/>
    </xf>
    <xf numFmtId="0" fontId="9" fillId="72" borderId="74" xfId="0" applyFont="1" applyFill="1" applyBorder="1" applyAlignment="1" applyProtection="1">
      <alignment horizontal="center" vertical="center"/>
      <protection locked="0"/>
    </xf>
  </cellXfs>
  <cellStyles count="13">
    <cellStyle name="Accent5 2 2" xfId="6" xr:uid="{03CA64D0-AA5D-4D16-98B3-2B78A4856FE6}"/>
    <cellStyle name="Lien hypertexte" xfId="4" builtinId="8"/>
    <cellStyle name="Normal" xfId="0" builtinId="0"/>
    <cellStyle name="Normal 10 2 2" xfId="10" xr:uid="{25F70618-EBFA-4ADC-9BC1-18418F4043C4}"/>
    <cellStyle name="Normal 13" xfId="8" xr:uid="{247B5B86-4BB4-413D-97BC-2E0114ECC272}"/>
    <cellStyle name="Normal 2" xfId="1" xr:uid="{BD863171-46D0-4049-BBA6-D1DF2913BCED}"/>
    <cellStyle name="Normal 2 2 2 2 2 2 2 2" xfId="2" xr:uid="{F7CBDC14-4CCA-481D-BDE0-B19C67592BCF}"/>
    <cellStyle name="Normal 2 8" xfId="7" xr:uid="{691A162A-2DFD-4DE6-B454-18AD6D6DCADC}"/>
    <cellStyle name="Normal 2 8 2" xfId="9" xr:uid="{B3B77B54-7919-4938-B638-4D118F851E67}"/>
    <cellStyle name="Normal 7" xfId="5" xr:uid="{FBE3334C-5AB6-4A9C-B804-0CE90A385C12}"/>
    <cellStyle name="Pourcentage" xfId="3" builtinId="5"/>
    <cellStyle name="Pourcentage 10" xfId="11" xr:uid="{A66D80C8-E4BD-4D3D-9C7B-20787BDEB423}"/>
    <cellStyle name="Pourcentage 10 2 2 2 2" xfId="12" xr:uid="{964B4A12-CB2F-4D15-A000-488D99215635}"/>
  </cellStyles>
  <dxfs count="147">
    <dxf>
      <fill>
        <patternFill patternType="solid">
          <bgColor theme="0" tint="-4.9989318521683403E-2"/>
        </patternFill>
      </fill>
      <border>
        <left style="thin">
          <color rgb="FFFF8585"/>
        </left>
        <right style="thin">
          <color rgb="FFFF8585"/>
        </right>
        <top style="thin">
          <color rgb="FFFF8585"/>
        </top>
        <bottom style="thin">
          <color rgb="FFFF8585"/>
        </bottom>
      </border>
    </dxf>
    <dxf>
      <fill>
        <patternFill patternType="solid">
          <bgColor theme="0" tint="-4.9989318521683403E-2"/>
        </patternFill>
      </fill>
      <border>
        <left style="thin">
          <color rgb="FFFF8585"/>
        </left>
        <right style="thin">
          <color rgb="FFFF8585"/>
        </right>
        <top style="thin">
          <color rgb="FFFF8585"/>
        </top>
        <bottom style="thin">
          <color rgb="FFFF8585"/>
        </bottom>
      </border>
    </dxf>
    <dxf>
      <fill>
        <patternFill patternType="solid">
          <bgColor theme="0" tint="-4.9989318521683403E-2"/>
        </patternFill>
      </fill>
      <border>
        <left style="thin">
          <color rgb="FFFF8585"/>
        </left>
        <right style="thin">
          <color rgb="FFFF8585"/>
        </right>
        <top style="thin">
          <color rgb="FFFF8585"/>
        </top>
        <bottom style="thin">
          <color rgb="FFFF8585"/>
        </bottom>
      </border>
    </dxf>
    <dxf>
      <font>
        <b/>
        <i val="0"/>
        <color rgb="FFFFFF00"/>
      </font>
      <fill>
        <patternFill>
          <bgColor rgb="FFC00000"/>
        </patternFill>
      </fill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ill>
        <patternFill patternType="solid">
          <bgColor theme="0" tint="-4.9989318521683403E-2"/>
        </patternFill>
      </fill>
      <border>
        <left style="thin">
          <color rgb="FFFF8585"/>
        </left>
        <right style="thin">
          <color rgb="FFFF8585"/>
        </right>
        <top style="thin">
          <color rgb="FFFF8585"/>
        </top>
        <bottom style="thin">
          <color rgb="FFFF8585"/>
        </bottom>
      </border>
    </dxf>
    <dxf>
      <fill>
        <patternFill>
          <bgColor rgb="FFFFBDBD"/>
        </patternFill>
      </fill>
    </dxf>
    <dxf>
      <fill>
        <patternFill patternType="solid">
          <bgColor theme="0" tint="-4.9989318521683403E-2"/>
        </patternFill>
      </fill>
      <border>
        <left style="thin">
          <color rgb="FFFF8585"/>
        </left>
        <right style="thin">
          <color rgb="FFFF8585"/>
        </right>
        <top style="thin">
          <color rgb="FFFF8585"/>
        </top>
        <bottom style="thin">
          <color rgb="FFFF8585"/>
        </bottom>
      </border>
    </dxf>
    <dxf>
      <fill>
        <patternFill>
          <bgColor rgb="FFFFBDBD"/>
        </patternFill>
      </fill>
    </dxf>
    <dxf>
      <fill>
        <patternFill>
          <bgColor rgb="FFFFBDBD"/>
        </patternFill>
      </fill>
    </dxf>
    <dxf>
      <fill>
        <patternFill patternType="none">
          <bgColor auto="1"/>
        </patternFill>
      </fill>
      <border>
        <left style="thin">
          <color theme="1"/>
        </left>
        <vertical/>
        <horizontal/>
      </border>
    </dxf>
    <dxf>
      <font>
        <b val="0"/>
        <i val="0"/>
        <color theme="1" tint="0.499984740745262"/>
      </font>
    </dxf>
    <dxf>
      <font>
        <b val="0"/>
        <i val="0"/>
        <color theme="1" tint="0.499984740745262"/>
      </font>
    </dxf>
    <dxf>
      <font>
        <b val="0"/>
        <i val="0"/>
        <color theme="1" tint="0.499984740745262"/>
      </font>
    </dxf>
    <dxf>
      <font>
        <b val="0"/>
        <i val="0"/>
        <color theme="1" tint="0.499984740745262"/>
      </font>
    </dxf>
    <dxf>
      <font>
        <b val="0"/>
        <i val="0"/>
        <color theme="1" tint="0.499984740745262"/>
      </font>
    </dxf>
    <dxf>
      <font>
        <b val="0"/>
        <i val="0"/>
        <color theme="1" tint="0.499984740745262"/>
      </font>
    </dxf>
    <dxf>
      <font>
        <b val="0"/>
        <i val="0"/>
        <color theme="1" tint="0.499984740745262"/>
      </font>
    </dxf>
    <dxf>
      <fill>
        <patternFill patternType="none">
          <bgColor auto="1"/>
        </patternFill>
      </fill>
      <border>
        <left style="thin">
          <color theme="1"/>
        </left>
        <vertical/>
        <horizontal/>
      </border>
    </dxf>
    <dxf>
      <fill>
        <patternFill patternType="none">
          <bgColor auto="1"/>
        </patternFill>
      </fill>
      <border>
        <left style="thin">
          <color theme="1"/>
        </left>
        <vertical/>
        <horizontal/>
      </border>
    </dxf>
    <dxf>
      <font>
        <b val="0"/>
        <i val="0"/>
        <color theme="1" tint="0.499984740745262"/>
      </font>
    </dxf>
    <dxf>
      <font>
        <color theme="7" tint="0.79998168889431442"/>
      </font>
      <fill>
        <patternFill>
          <bgColor theme="4" tint="0.39994506668294322"/>
        </patternFill>
      </fill>
    </dxf>
    <dxf>
      <font>
        <color theme="7" tint="0.79998168889431442"/>
      </font>
      <fill>
        <patternFill>
          <bgColor theme="4" tint="-0.499984740745262"/>
        </patternFill>
      </fill>
    </dxf>
    <dxf>
      <font>
        <b/>
        <i val="0"/>
        <color rgb="FFFFFF00"/>
      </font>
      <fill>
        <patternFill>
          <bgColor rgb="FFC00000"/>
        </patternFill>
      </fill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lor theme="7" tint="0.79998168889431442"/>
      </font>
      <fill>
        <patternFill>
          <bgColor theme="4" tint="0.39994506668294322"/>
        </patternFill>
      </fill>
    </dxf>
    <dxf>
      <font>
        <color theme="7" tint="0.79998168889431442"/>
      </font>
      <fill>
        <patternFill>
          <bgColor theme="4" tint="-0.499984740745262"/>
        </patternFill>
      </fill>
    </dxf>
    <dxf>
      <font>
        <b/>
        <i val="0"/>
        <color rgb="FFFFFF00"/>
      </font>
      <fill>
        <patternFill>
          <bgColor rgb="FFC00000"/>
        </patternFill>
      </fill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lor theme="7" tint="0.79998168889431442"/>
      </font>
      <fill>
        <patternFill>
          <bgColor theme="4" tint="0.39994506668294322"/>
        </patternFill>
      </fill>
    </dxf>
    <dxf>
      <font>
        <color theme="7" tint="0.79998168889431442"/>
      </font>
      <fill>
        <patternFill>
          <bgColor theme="4" tint="-0.499984740745262"/>
        </patternFill>
      </fill>
    </dxf>
    <dxf>
      <font>
        <b/>
        <i val="0"/>
        <color rgb="FFFFFF00"/>
      </font>
      <fill>
        <patternFill>
          <bgColor rgb="FFC00000"/>
        </patternFill>
      </fill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lor theme="7" tint="0.79998168889431442"/>
      </font>
      <fill>
        <patternFill>
          <bgColor theme="4" tint="0.39994506668294322"/>
        </patternFill>
      </fill>
    </dxf>
    <dxf>
      <font>
        <color theme="7" tint="0.79998168889431442"/>
      </font>
      <fill>
        <patternFill>
          <bgColor theme="4" tint="-0.499984740745262"/>
        </patternFill>
      </fill>
    </dxf>
    <dxf>
      <font>
        <b/>
        <i val="0"/>
        <color rgb="FFFFFF00"/>
      </font>
      <fill>
        <patternFill>
          <bgColor rgb="FFC00000"/>
        </patternFill>
      </fill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b val="0"/>
        <i val="0"/>
        <color theme="1" tint="0.499984740745262"/>
      </font>
    </dxf>
    <dxf>
      <font>
        <color theme="7" tint="0.79998168889431442"/>
      </font>
      <fill>
        <patternFill>
          <bgColor theme="4" tint="0.39994506668294322"/>
        </patternFill>
      </fill>
    </dxf>
    <dxf>
      <font>
        <color theme="7" tint="0.79998168889431442"/>
      </font>
      <fill>
        <patternFill>
          <bgColor theme="4" tint="-0.499984740745262"/>
        </patternFill>
      </fill>
    </dxf>
    <dxf>
      <font>
        <b/>
        <i val="0"/>
        <color rgb="FFFFFF00"/>
      </font>
      <fill>
        <patternFill>
          <bgColor rgb="FFC00000"/>
        </patternFill>
      </fill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6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6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FF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color rgb="FFFF0000"/>
      </font>
    </dxf>
    <dxf>
      <font>
        <b/>
        <i val="0"/>
      </font>
    </dxf>
    <dxf>
      <font>
        <color rgb="FFFF0000"/>
      </font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6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FF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color rgb="FFFF0000"/>
      </font>
    </dxf>
    <dxf>
      <font>
        <b/>
        <i val="0"/>
      </font>
    </dxf>
    <dxf>
      <font>
        <color theme="4"/>
      </font>
      <fill>
        <patternFill>
          <bgColor theme="8" tint="0.79998168889431442"/>
        </patternFill>
      </fill>
    </dxf>
    <dxf>
      <font>
        <color theme="4"/>
      </font>
      <fill>
        <patternFill>
          <bgColor theme="8" tint="0.79998168889431442"/>
        </patternFill>
      </fill>
    </dxf>
    <dxf>
      <font>
        <color rgb="FFC00000"/>
      </font>
      <fill>
        <patternFill>
          <bgColor rgb="FFFFDDDD"/>
        </patternFill>
      </fill>
    </dxf>
    <dxf>
      <font>
        <color theme="4"/>
      </font>
      <fill>
        <patternFill>
          <bgColor theme="8" tint="0.79998168889431442"/>
        </patternFill>
      </fill>
    </dxf>
    <dxf>
      <font>
        <color theme="4"/>
      </font>
      <fill>
        <patternFill>
          <bgColor theme="8" tint="0.79998168889431442"/>
        </patternFill>
      </fill>
    </dxf>
    <dxf>
      <font>
        <color rgb="FFC00000"/>
      </font>
      <fill>
        <patternFill>
          <bgColor rgb="FFFFDDDD"/>
        </patternFill>
      </fill>
    </dxf>
    <dxf>
      <font>
        <color theme="4"/>
      </font>
      <fill>
        <patternFill>
          <bgColor theme="8" tint="0.79998168889431442"/>
        </patternFill>
      </fill>
    </dxf>
    <dxf>
      <font>
        <color theme="4"/>
      </font>
      <fill>
        <patternFill>
          <bgColor theme="8" tint="0.79998168889431442"/>
        </patternFill>
      </fill>
    </dxf>
    <dxf>
      <font>
        <color rgb="FFC00000"/>
      </font>
      <fill>
        <patternFill>
          <bgColor rgb="FFFFDDDD"/>
        </patternFill>
      </fill>
    </dxf>
    <dxf>
      <font>
        <color theme="4"/>
      </font>
      <fill>
        <patternFill>
          <bgColor theme="8" tint="0.79998168889431442"/>
        </patternFill>
      </fill>
    </dxf>
    <dxf>
      <font>
        <color theme="4"/>
      </font>
      <fill>
        <patternFill>
          <bgColor theme="8" tint="0.79998168889431442"/>
        </patternFill>
      </fill>
    </dxf>
    <dxf>
      <font>
        <color theme="4"/>
      </font>
      <fill>
        <patternFill>
          <bgColor theme="8" tint="0.79998168889431442"/>
        </patternFill>
      </fill>
    </dxf>
    <dxf>
      <font>
        <color rgb="FFC00000"/>
      </font>
      <fill>
        <patternFill>
          <bgColor rgb="FFFFDDDD"/>
        </patternFill>
      </fill>
    </dxf>
    <dxf>
      <font>
        <color theme="4"/>
      </font>
      <fill>
        <patternFill>
          <bgColor theme="8" tint="0.79998168889431442"/>
        </patternFill>
      </fill>
    </dxf>
    <dxf>
      <font>
        <color rgb="FFC00000"/>
      </font>
      <fill>
        <patternFill>
          <bgColor rgb="FFFFDDDD"/>
        </patternFill>
      </fill>
    </dxf>
    <dxf>
      <font>
        <color theme="4"/>
      </font>
      <fill>
        <patternFill>
          <bgColor theme="8" tint="0.79998168889431442"/>
        </patternFill>
      </fill>
    </dxf>
    <dxf>
      <font>
        <color theme="4"/>
      </font>
      <fill>
        <patternFill>
          <bgColor theme="8" tint="0.79998168889431442"/>
        </patternFill>
      </fill>
    </dxf>
    <dxf>
      <font>
        <color rgb="FFC00000"/>
      </font>
      <fill>
        <patternFill>
          <bgColor rgb="FFFFDDDD"/>
        </patternFill>
      </fill>
    </dxf>
    <dxf>
      <font>
        <color theme="4"/>
      </font>
      <fill>
        <patternFill>
          <bgColor theme="8" tint="0.79998168889431442"/>
        </patternFill>
      </fill>
    </dxf>
    <dxf>
      <font>
        <color theme="4"/>
      </font>
      <fill>
        <patternFill>
          <bgColor theme="8" tint="0.79998168889431442"/>
        </patternFill>
      </fill>
    </dxf>
    <dxf>
      <font>
        <color rgb="FFC00000"/>
      </font>
      <fill>
        <patternFill>
          <bgColor rgb="FFFFDDDD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ill>
        <patternFill>
          <bgColor rgb="FFCCFF66"/>
        </patternFill>
      </fill>
    </dxf>
    <dxf>
      <fill>
        <patternFill>
          <bgColor rgb="FFCCFF66"/>
        </patternFill>
      </fill>
    </dxf>
    <dxf>
      <fill>
        <patternFill>
          <bgColor rgb="FFCCFF66"/>
        </patternFill>
      </fill>
    </dxf>
    <dxf>
      <fill>
        <patternFill>
          <bgColor rgb="FFCCFF66"/>
        </patternFill>
      </fill>
    </dxf>
    <dxf>
      <font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ill>
        <patternFill patternType="solid">
          <bgColor theme="0" tint="-4.9989318521683403E-2"/>
        </patternFill>
      </fill>
      <border>
        <left style="thin">
          <color rgb="FFFF8585"/>
        </left>
        <right style="thin">
          <color rgb="FFFF8585"/>
        </right>
        <top style="thin">
          <color rgb="FFFF8585"/>
        </top>
        <bottom style="thin">
          <color rgb="FFFF8585"/>
        </bottom>
      </border>
    </dxf>
    <dxf>
      <fill>
        <patternFill patternType="solid">
          <bgColor theme="0" tint="-4.9989318521683403E-2"/>
        </patternFill>
      </fill>
      <border>
        <left style="thin">
          <color rgb="FFFF8585"/>
        </left>
        <right style="thin">
          <color rgb="FFFF8585"/>
        </right>
        <top style="thin">
          <color rgb="FFFF8585"/>
        </top>
        <bottom style="thin">
          <color rgb="FFFF8585"/>
        </bottom>
      </border>
    </dxf>
    <dxf>
      <fill>
        <patternFill patternType="solid">
          <bgColor theme="0" tint="-4.9989318521683403E-2"/>
        </patternFill>
      </fill>
      <border>
        <left style="thin">
          <color rgb="FFFF8585"/>
        </left>
        <right style="thin">
          <color rgb="FFFF8585"/>
        </right>
        <top style="thin">
          <color rgb="FFFF8585"/>
        </top>
        <bottom style="thin">
          <color rgb="FFFF8585"/>
        </bottom>
      </border>
    </dxf>
    <dxf>
      <fill>
        <patternFill patternType="solid">
          <bgColor theme="0" tint="-4.9989318521683403E-2"/>
        </patternFill>
      </fill>
      <border>
        <left style="thin">
          <color rgb="FFFF8585"/>
        </left>
        <right style="thin">
          <color rgb="FFFF8585"/>
        </right>
        <top style="thin">
          <color rgb="FFFF8585"/>
        </top>
        <bottom style="thin">
          <color rgb="FFFF8585"/>
        </bottom>
      </border>
    </dxf>
    <dxf>
      <fill>
        <patternFill patternType="solid">
          <bgColor theme="0" tint="-4.9989318521683403E-2"/>
        </patternFill>
      </fill>
      <border>
        <left style="thin">
          <color rgb="FFFF8585"/>
        </left>
        <right style="thin">
          <color rgb="FFFF8585"/>
        </right>
        <top style="thin">
          <color rgb="FFFF8585"/>
        </top>
        <bottom style="thin">
          <color rgb="FFFF8585"/>
        </bottom>
      </border>
    </dxf>
    <dxf>
      <fill>
        <patternFill patternType="solid">
          <bgColor theme="0" tint="-4.9989318521683403E-2"/>
        </patternFill>
      </fill>
      <border>
        <left style="thin">
          <color rgb="FFFF8585"/>
        </left>
        <right style="thin">
          <color rgb="FFFF8585"/>
        </right>
        <top style="thin">
          <color rgb="FFFF8585"/>
        </top>
        <bottom style="thin">
          <color rgb="FFFF8585"/>
        </bottom>
      </border>
    </dxf>
    <dxf>
      <fill>
        <patternFill patternType="solid">
          <bgColor theme="0" tint="-4.9989318521683403E-2"/>
        </patternFill>
      </fill>
      <border>
        <left style="thin">
          <color rgb="FFFF8585"/>
        </left>
        <right style="thin">
          <color rgb="FFFF8585"/>
        </right>
        <top style="thin">
          <color rgb="FFFF8585"/>
        </top>
        <bottom style="thin">
          <color rgb="FFFF8585"/>
        </bottom>
      </border>
    </dxf>
    <dxf>
      <fill>
        <patternFill patternType="solid">
          <bgColor theme="0" tint="-4.9989318521683403E-2"/>
        </patternFill>
      </fill>
      <border>
        <left style="thin">
          <color rgb="FFFF8585"/>
        </left>
        <right style="thin">
          <color rgb="FFFF8585"/>
        </right>
        <top style="thin">
          <color rgb="FFFF8585"/>
        </top>
        <bottom style="thin">
          <color rgb="FFFF8585"/>
        </bottom>
      </border>
    </dxf>
    <dxf>
      <fill>
        <patternFill patternType="solid">
          <bgColor theme="0" tint="-4.9989318521683403E-2"/>
        </patternFill>
      </fill>
      <border>
        <left style="thin">
          <color rgb="FFFF8585"/>
        </left>
        <right style="thin">
          <color rgb="FFFF8585"/>
        </right>
        <top style="thin">
          <color rgb="FFFF8585"/>
        </top>
        <bottom style="thin">
          <color rgb="FFFF8585"/>
        </bottom>
      </border>
    </dxf>
    <dxf>
      <fill>
        <patternFill patternType="solid">
          <bgColor theme="0" tint="-4.9989318521683403E-2"/>
        </patternFill>
      </fill>
      <border>
        <left style="thin">
          <color rgb="FFFF8585"/>
        </left>
        <right style="thin">
          <color rgb="FFFF8585"/>
        </right>
        <top style="thin">
          <color rgb="FFFF8585"/>
        </top>
        <bottom style="thin">
          <color rgb="FFFF8585"/>
        </bottom>
      </border>
    </dxf>
    <dxf>
      <fill>
        <patternFill patternType="solid">
          <bgColor theme="0" tint="-4.9989318521683403E-2"/>
        </patternFill>
      </fill>
      <border>
        <left style="thin">
          <color rgb="FFFF8585"/>
        </left>
        <right style="thin">
          <color rgb="FFFF8585"/>
        </right>
        <top style="thin">
          <color rgb="FFFF8585"/>
        </top>
        <bottom style="thin">
          <color rgb="FFFF8585"/>
        </bottom>
      </border>
    </dxf>
    <dxf>
      <fill>
        <patternFill>
          <bgColor rgb="FFFFFF99"/>
        </patternFill>
      </fill>
    </dxf>
    <dxf>
      <fill>
        <patternFill>
          <bgColor rgb="FFFFBDBD"/>
        </patternFill>
      </fill>
    </dxf>
    <dxf>
      <fill>
        <patternFill patternType="solid">
          <bgColor theme="0" tint="-4.9989318521683403E-2"/>
        </patternFill>
      </fill>
      <border>
        <left style="thin">
          <color rgb="FFFF8585"/>
        </left>
        <right style="thin">
          <color rgb="FFFF8585"/>
        </right>
        <top style="thin">
          <color rgb="FFFF8585"/>
        </top>
        <bottom style="thin">
          <color rgb="FFFF8585"/>
        </bottom>
      </border>
    </dxf>
    <dxf>
      <font>
        <b val="0"/>
        <i val="0"/>
        <color theme="1" tint="0.499984740745262"/>
      </font>
    </dxf>
    <dxf>
      <font>
        <b val="0"/>
        <i val="0"/>
        <color theme="1" tint="0.499984740745262"/>
      </font>
    </dxf>
    <dxf>
      <font>
        <b val="0"/>
        <i val="0"/>
        <color theme="1" tint="0.499984740745262"/>
      </font>
    </dxf>
    <dxf>
      <font>
        <b val="0"/>
        <i val="0"/>
        <color theme="1" tint="0.499984740745262"/>
      </font>
    </dxf>
    <dxf>
      <font>
        <b val="0"/>
        <i val="0"/>
        <color theme="1" tint="0.499984740745262"/>
      </font>
    </dxf>
    <dxf>
      <font>
        <b val="0"/>
        <i val="0"/>
        <color theme="1" tint="0.499984740745262"/>
      </font>
    </dxf>
    <dxf>
      <font>
        <b val="0"/>
        <i val="0"/>
        <color theme="1" tint="0.499984740745262"/>
      </font>
    </dxf>
    <dxf>
      <font>
        <b val="0"/>
        <i val="0"/>
        <color theme="1" tint="0.499984740745262"/>
      </font>
    </dxf>
    <dxf>
      <font>
        <b val="0"/>
        <i val="0"/>
        <color theme="1" tint="0.499984740745262"/>
      </font>
    </dxf>
    <dxf>
      <font>
        <b val="0"/>
        <i val="0"/>
        <color theme="1" tint="0.499984740745262"/>
      </font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 val="0"/>
        <i val="0"/>
        <color theme="1" tint="0.499984740745262"/>
      </font>
    </dxf>
    <dxf>
      <fill>
        <patternFill>
          <bgColor rgb="FFFFFF99"/>
        </patternFill>
      </fill>
    </dxf>
    <dxf>
      <fill>
        <patternFill>
          <bgColor rgb="FFFFBDBD"/>
        </patternFill>
      </fill>
    </dxf>
    <dxf>
      <font>
        <b val="0"/>
        <i val="0"/>
        <color theme="1" tint="0.499984740745262"/>
      </font>
    </dxf>
    <dxf>
      <fill>
        <patternFill patternType="solid">
          <bgColor theme="0" tint="-4.9989318521683403E-2"/>
        </patternFill>
      </fill>
      <border>
        <left style="thin">
          <color rgb="FFFF8585"/>
        </left>
        <right style="thin">
          <color rgb="FFFF8585"/>
        </right>
        <top style="thin">
          <color rgb="FFFF8585"/>
        </top>
        <bottom style="thin">
          <color rgb="FFFF8585"/>
        </bottom>
      </border>
    </dxf>
    <dxf>
      <fill>
        <patternFill patternType="none">
          <bgColor auto="1"/>
        </patternFill>
      </fill>
      <border>
        <left style="thin">
          <color theme="1"/>
        </left>
        <vertical/>
        <horizontal/>
      </border>
    </dxf>
    <dxf>
      <font>
        <b val="0"/>
        <i val="0"/>
        <color theme="1" tint="0.499984740745262"/>
      </font>
    </dxf>
    <dxf>
      <font>
        <b val="0"/>
        <i val="0"/>
        <color theme="1" tint="0.499984740745262"/>
      </font>
    </dxf>
    <dxf>
      <font>
        <b val="0"/>
        <i val="0"/>
        <color theme="1" tint="0.499984740745262"/>
      </font>
    </dxf>
    <dxf>
      <font>
        <b val="0"/>
        <i val="0"/>
        <color theme="1" tint="0.499984740745262"/>
      </font>
    </dxf>
    <dxf>
      <font>
        <b val="0"/>
        <i val="0"/>
        <color theme="1" tint="0.499984740745262"/>
      </font>
    </dxf>
    <dxf>
      <font>
        <b val="0"/>
        <i val="0"/>
        <color theme="1" tint="0.499984740745262"/>
      </font>
    </dxf>
    <dxf>
      <font>
        <b val="0"/>
        <i val="0"/>
        <color theme="1" tint="0.499984740745262"/>
      </font>
    </dxf>
    <dxf>
      <fill>
        <patternFill patternType="none">
          <bgColor auto="1"/>
        </patternFill>
      </fill>
      <border>
        <left style="thin">
          <color theme="1"/>
        </left>
        <vertical/>
        <horizontal/>
      </border>
    </dxf>
    <dxf>
      <fill>
        <patternFill patternType="none">
          <bgColor auto="1"/>
        </patternFill>
      </fill>
      <border>
        <left style="thin">
          <color theme="1"/>
        </left>
        <vertical/>
        <horizontal/>
      </border>
    </dxf>
    <dxf>
      <fill>
        <patternFill patternType="none">
          <bgColor auto="1"/>
        </patternFill>
      </fill>
      <border>
        <left style="thin">
          <color theme="1"/>
        </left>
        <vertical/>
        <horizontal/>
      </border>
    </dxf>
    <dxf>
      <font>
        <b val="0"/>
        <i val="0"/>
        <color theme="1" tint="0.499984740745262"/>
      </font>
    </dxf>
    <dxf>
      <font>
        <color theme="7" tint="0.79998168889431442"/>
      </font>
      <fill>
        <patternFill>
          <bgColor theme="4" tint="0.39994506668294322"/>
        </patternFill>
      </fill>
    </dxf>
    <dxf>
      <font>
        <color theme="7" tint="0.79998168889431442"/>
      </font>
      <fill>
        <patternFill>
          <bgColor theme="4" tint="-0.499984740745262"/>
        </patternFill>
      </fill>
    </dxf>
    <dxf>
      <font>
        <b/>
        <i val="0"/>
        <color rgb="FFFFFF00"/>
      </font>
      <fill>
        <patternFill>
          <bgColor rgb="FFC00000"/>
        </patternFill>
      </fill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lor theme="7" tint="0.79998168889431442"/>
      </font>
      <fill>
        <patternFill>
          <bgColor theme="4" tint="0.39994506668294322"/>
        </patternFill>
      </fill>
    </dxf>
    <dxf>
      <font>
        <color theme="7" tint="0.79998168889431442"/>
      </font>
      <fill>
        <patternFill>
          <bgColor theme="4" tint="-0.499984740745262"/>
        </patternFill>
      </fill>
    </dxf>
    <dxf>
      <font>
        <b/>
        <i val="0"/>
        <color rgb="FFFFFF00"/>
      </font>
      <fill>
        <patternFill>
          <bgColor rgb="FFC00000"/>
        </patternFill>
      </fill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lor theme="7" tint="0.79998168889431442"/>
      </font>
      <fill>
        <patternFill>
          <bgColor theme="4" tint="0.39994506668294322"/>
        </patternFill>
      </fill>
    </dxf>
    <dxf>
      <font>
        <color theme="7" tint="0.79998168889431442"/>
      </font>
      <fill>
        <patternFill>
          <bgColor theme="4" tint="-0.499984740745262"/>
        </patternFill>
      </fill>
    </dxf>
    <dxf>
      <font>
        <b/>
        <i val="0"/>
        <color rgb="FFFFFF00"/>
      </font>
      <fill>
        <patternFill>
          <bgColor rgb="FFC00000"/>
        </patternFill>
      </fill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lor theme="7" tint="0.79998168889431442"/>
      </font>
      <fill>
        <patternFill>
          <bgColor theme="4" tint="0.39994506668294322"/>
        </patternFill>
      </fill>
    </dxf>
    <dxf>
      <font>
        <color theme="7" tint="0.79998168889431442"/>
      </font>
      <fill>
        <patternFill>
          <bgColor theme="4" tint="-0.499984740745262"/>
        </patternFill>
      </fill>
    </dxf>
    <dxf>
      <font>
        <b/>
        <i val="0"/>
        <color rgb="FFFFFF00"/>
      </font>
      <fill>
        <patternFill>
          <bgColor rgb="FFC00000"/>
        </patternFill>
      </fill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b val="0"/>
        <i val="0"/>
        <color theme="1" tint="0.499984740745262"/>
      </font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theme="7" tint="0.79998168889431442"/>
      </font>
      <fill>
        <patternFill>
          <bgColor theme="4" tint="0.39994506668294322"/>
        </patternFill>
      </fill>
    </dxf>
    <dxf>
      <font>
        <color theme="7" tint="0.79998168889431442"/>
      </font>
      <fill>
        <patternFill>
          <bgColor theme="4" tint="-0.499984740745262"/>
        </patternFill>
      </fill>
    </dxf>
    <dxf>
      <font>
        <b/>
        <i val="0"/>
        <color rgb="FFFFFF00"/>
      </font>
      <fill>
        <patternFill>
          <bgColor rgb="FFC00000"/>
        </patternFill>
      </fill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ill>
        <patternFill patternType="solid">
          <fgColor rgb="FFFFBDBD"/>
          <bgColor rgb="FF000000"/>
        </patternFill>
      </fill>
    </dxf>
  </dxfs>
  <tableStyles count="0" defaultTableStyle="TableStyleMedium2" defaultPivotStyle="PivotStyleLight16"/>
  <colors>
    <mruColors>
      <color rgb="FFCCFF66"/>
      <color rgb="FFFFFF99"/>
      <color rgb="FFCCFF99"/>
      <color rgb="FFFFFFDD"/>
      <color rgb="FFFEFCB2"/>
      <color rgb="FFFF8585"/>
      <color rgb="FFFFE1E1"/>
      <color rgb="FFFFC5C5"/>
      <color rgb="FFFF9999"/>
      <color rgb="FFFFBD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3305661118846858E-2"/>
          <c:y val="6.9352288724223818E-2"/>
          <c:w val="0.94374042233825972"/>
          <c:h val="0.78904423400022239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'Staffing Jour'!$D$86</c:f>
              <c:strCache>
                <c:ptCount val="1"/>
                <c:pt idx="0">
                  <c:v>Capacité Décroché Réel en défaut</c:v>
                </c:pt>
              </c:strCache>
            </c:strRef>
          </c:tx>
          <c:spPr>
            <a:gradFill>
              <a:gsLst>
                <a:gs pos="0">
                  <a:srgbClr val="FF0000"/>
                </a:gs>
                <a:gs pos="80000">
                  <a:srgbClr val="FF0000">
                    <a:lumMod val="70000"/>
                    <a:lumOff val="30000"/>
                  </a:srgbClr>
                </a:gs>
                <a:gs pos="100000">
                  <a:srgbClr val="FF0000">
                    <a:lumMod val="70000"/>
                    <a:lumOff val="30000"/>
                  </a:srgbClr>
                </a:gs>
              </a:gsLst>
              <a:lin ang="16200000" scaled="0"/>
            </a:gradFill>
          </c:spPr>
          <c:invertIfNegative val="0"/>
          <c:dLbls>
            <c:numFmt formatCode="#&quot;&quot;" sourceLinked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rgbClr val="FF0000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'Staffing Jour'!$U$72:$AN$72</c:f>
              <c:numCache>
                <c:formatCode>h:mm</c:formatCode>
                <c:ptCount val="20"/>
                <c:pt idx="0">
                  <c:v>0.3125</c:v>
                </c:pt>
                <c:pt idx="1">
                  <c:v>0.33333333333333298</c:v>
                </c:pt>
                <c:pt idx="2">
                  <c:v>0.35416666666666702</c:v>
                </c:pt>
                <c:pt idx="3">
                  <c:v>0.375</c:v>
                </c:pt>
                <c:pt idx="4">
                  <c:v>0.39583333333333298</c:v>
                </c:pt>
                <c:pt idx="5">
                  <c:v>0.41666666666666702</c:v>
                </c:pt>
                <c:pt idx="6">
                  <c:v>0.4375</c:v>
                </c:pt>
                <c:pt idx="7">
                  <c:v>0.45833333333333298</c:v>
                </c:pt>
                <c:pt idx="8">
                  <c:v>0.47916666666666702</c:v>
                </c:pt>
                <c:pt idx="9">
                  <c:v>0.5</c:v>
                </c:pt>
                <c:pt idx="10">
                  <c:v>0.52083333333333304</c:v>
                </c:pt>
                <c:pt idx="11">
                  <c:v>0.54166666666666696</c:v>
                </c:pt>
                <c:pt idx="12">
                  <c:v>0.5625</c:v>
                </c:pt>
                <c:pt idx="13">
                  <c:v>0.58333333333333304</c:v>
                </c:pt>
                <c:pt idx="14">
                  <c:v>0.60416666666666696</c:v>
                </c:pt>
                <c:pt idx="15">
                  <c:v>0.625</c:v>
                </c:pt>
                <c:pt idx="16">
                  <c:v>0.64583333333333304</c:v>
                </c:pt>
                <c:pt idx="17">
                  <c:v>0.66666666666666696</c:v>
                </c:pt>
                <c:pt idx="18">
                  <c:v>0.6875</c:v>
                </c:pt>
                <c:pt idx="19">
                  <c:v>0.70833333333333304</c:v>
                </c:pt>
              </c:numCache>
            </c:numRef>
          </c:cat>
          <c:val>
            <c:numRef>
              <c:f>'Staffing Jour'!$U$86:$AN$86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7E-454F-882E-BD326FB68DC5}"/>
            </c:ext>
          </c:extLst>
        </c:ser>
        <c:ser>
          <c:idx val="2"/>
          <c:order val="1"/>
          <c:tx>
            <c:strRef>
              <c:f>'Staffing Jour'!$D$91</c:f>
              <c:strCache>
                <c:ptCount val="1"/>
                <c:pt idx="0">
                  <c:v>Capacité Décroché Nécessaire</c:v>
                </c:pt>
              </c:strCache>
            </c:strRef>
          </c:tx>
          <c:spPr>
            <a:gradFill rotWithShape="1">
              <a:gsLst>
                <a:gs pos="0">
                  <a:schemeClr val="accent1"/>
                </a:gs>
                <a:gs pos="80000">
                  <a:schemeClr val="accent1">
                    <a:lumMod val="80000"/>
                    <a:lumOff val="20000"/>
                  </a:schemeClr>
                </a:gs>
                <a:gs pos="100000">
                  <a:schemeClr val="accent1">
                    <a:lumMod val="80000"/>
                    <a:lumOff val="20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'Staffing Jour'!$U$72:$AN$72</c:f>
              <c:numCache>
                <c:formatCode>h:mm</c:formatCode>
                <c:ptCount val="20"/>
                <c:pt idx="0">
                  <c:v>0.3125</c:v>
                </c:pt>
                <c:pt idx="1">
                  <c:v>0.33333333333333298</c:v>
                </c:pt>
                <c:pt idx="2">
                  <c:v>0.35416666666666702</c:v>
                </c:pt>
                <c:pt idx="3">
                  <c:v>0.375</c:v>
                </c:pt>
                <c:pt idx="4">
                  <c:v>0.39583333333333298</c:v>
                </c:pt>
                <c:pt idx="5">
                  <c:v>0.41666666666666702</c:v>
                </c:pt>
                <c:pt idx="6">
                  <c:v>0.4375</c:v>
                </c:pt>
                <c:pt idx="7">
                  <c:v>0.45833333333333298</c:v>
                </c:pt>
                <c:pt idx="8">
                  <c:v>0.47916666666666702</c:v>
                </c:pt>
                <c:pt idx="9">
                  <c:v>0.5</c:v>
                </c:pt>
                <c:pt idx="10">
                  <c:v>0.52083333333333304</c:v>
                </c:pt>
                <c:pt idx="11">
                  <c:v>0.54166666666666696</c:v>
                </c:pt>
                <c:pt idx="12">
                  <c:v>0.5625</c:v>
                </c:pt>
                <c:pt idx="13">
                  <c:v>0.58333333333333304</c:v>
                </c:pt>
                <c:pt idx="14">
                  <c:v>0.60416666666666696</c:v>
                </c:pt>
                <c:pt idx="15">
                  <c:v>0.625</c:v>
                </c:pt>
                <c:pt idx="16">
                  <c:v>0.64583333333333304</c:v>
                </c:pt>
                <c:pt idx="17">
                  <c:v>0.66666666666666696</c:v>
                </c:pt>
                <c:pt idx="18">
                  <c:v>0.6875</c:v>
                </c:pt>
                <c:pt idx="19">
                  <c:v>0.70833333333333304</c:v>
                </c:pt>
              </c:numCache>
            </c:numRef>
          </c:cat>
          <c:val>
            <c:numRef>
              <c:f>'Staffing Jour'!$U$91:$AN$91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7E-454F-882E-BD326FB68DC5}"/>
            </c:ext>
          </c:extLst>
        </c:ser>
        <c:ser>
          <c:idx val="0"/>
          <c:order val="3"/>
          <c:tx>
            <c:strRef>
              <c:f>'Staffing Jour'!$D$87</c:f>
              <c:strCache>
                <c:ptCount val="1"/>
                <c:pt idx="0">
                  <c:v>Capacité Décroché Réel</c:v>
                </c:pt>
              </c:strCache>
            </c:strRef>
          </c:tx>
          <c:spPr>
            <a:gradFill rotWithShape="1">
              <a:gsLst>
                <a:gs pos="0">
                  <a:srgbClr val="00B050"/>
                </a:gs>
                <a:gs pos="80000">
                  <a:srgbClr val="00B050">
                    <a:lumMod val="90000"/>
                    <a:lumOff val="10000"/>
                  </a:srgbClr>
                </a:gs>
                <a:gs pos="100000">
                  <a:srgbClr val="00B050">
                    <a:lumMod val="90000"/>
                    <a:lumOff val="10000"/>
                  </a:srgb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numFmt formatCode="#&quot;&quot;" sourceLinked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rgbClr val="00B050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0" i="0" u="none" strike="noStrike" baseline="0">
                    <a:solidFill>
                      <a:srgbClr val="003366"/>
                    </a:solidFill>
                    <a:latin typeface="Calibri"/>
                    <a:ea typeface="Calibri"/>
                    <a:cs typeface="Calibri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'Staffing Jour'!$U$72:$AN$72</c:f>
              <c:numCache>
                <c:formatCode>h:mm</c:formatCode>
                <c:ptCount val="20"/>
                <c:pt idx="0">
                  <c:v>0.3125</c:v>
                </c:pt>
                <c:pt idx="1">
                  <c:v>0.33333333333333298</c:v>
                </c:pt>
                <c:pt idx="2">
                  <c:v>0.35416666666666702</c:v>
                </c:pt>
                <c:pt idx="3">
                  <c:v>0.375</c:v>
                </c:pt>
                <c:pt idx="4">
                  <c:v>0.39583333333333298</c:v>
                </c:pt>
                <c:pt idx="5">
                  <c:v>0.41666666666666702</c:v>
                </c:pt>
                <c:pt idx="6">
                  <c:v>0.4375</c:v>
                </c:pt>
                <c:pt idx="7">
                  <c:v>0.45833333333333298</c:v>
                </c:pt>
                <c:pt idx="8">
                  <c:v>0.47916666666666702</c:v>
                </c:pt>
                <c:pt idx="9">
                  <c:v>0.5</c:v>
                </c:pt>
                <c:pt idx="10">
                  <c:v>0.52083333333333304</c:v>
                </c:pt>
                <c:pt idx="11">
                  <c:v>0.54166666666666696</c:v>
                </c:pt>
                <c:pt idx="12">
                  <c:v>0.5625</c:v>
                </c:pt>
                <c:pt idx="13">
                  <c:v>0.58333333333333304</c:v>
                </c:pt>
                <c:pt idx="14">
                  <c:v>0.60416666666666696</c:v>
                </c:pt>
                <c:pt idx="15">
                  <c:v>0.625</c:v>
                </c:pt>
                <c:pt idx="16">
                  <c:v>0.64583333333333304</c:v>
                </c:pt>
                <c:pt idx="17">
                  <c:v>0.66666666666666696</c:v>
                </c:pt>
                <c:pt idx="18">
                  <c:v>0.6875</c:v>
                </c:pt>
                <c:pt idx="19">
                  <c:v>0.70833333333333304</c:v>
                </c:pt>
              </c:numCache>
            </c:numRef>
          </c:cat>
          <c:val>
            <c:numRef>
              <c:f>'Staffing Jour'!$U$87:$AN$87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57E-454F-882E-BD326FB68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1665064"/>
        <c:axId val="501668592"/>
      </c:barChart>
      <c:lineChart>
        <c:grouping val="standard"/>
        <c:varyColors val="0"/>
        <c:ser>
          <c:idx val="1"/>
          <c:order val="2"/>
          <c:tx>
            <c:strRef>
              <c:f>'Staffing Jour'!$D$89</c:f>
              <c:strCache>
                <c:ptCount val="1"/>
                <c:pt idx="0">
                  <c:v>Nb d'appels (prévision)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12700">
                <a:solidFill>
                  <a:schemeClr val="l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cat>
            <c:numLit>
              <c:formatCode>General</c:formatCode>
              <c:ptCount val="49"/>
              <c:pt idx="0">
                <c:v>0</c:v>
              </c:pt>
              <c:pt idx="1">
                <c:v>2.0833333333333301E-2</c:v>
              </c:pt>
              <c:pt idx="2">
                <c:v>4.1666666666666602E-2</c:v>
              </c:pt>
              <c:pt idx="3">
                <c:v>6.25E-2</c:v>
              </c:pt>
              <c:pt idx="4">
                <c:v>8.3333333333333301E-2</c:v>
              </c:pt>
              <c:pt idx="5">
                <c:v>0.104166666666667</c:v>
              </c:pt>
              <c:pt idx="6">
                <c:v>0.125</c:v>
              </c:pt>
              <c:pt idx="7">
                <c:v>0.14583333333333301</c:v>
              </c:pt>
              <c:pt idx="8">
                <c:v>0.16666666666666399</c:v>
              </c:pt>
              <c:pt idx="9">
                <c:v>0.1875</c:v>
              </c:pt>
              <c:pt idx="10">
                <c:v>0.20833333333333301</c:v>
              </c:pt>
              <c:pt idx="11">
                <c:v>0.22916666666666399</c:v>
              </c:pt>
              <c:pt idx="12">
                <c:v>0.25</c:v>
              </c:pt>
              <c:pt idx="13">
                <c:v>0.27083333333332998</c:v>
              </c:pt>
              <c:pt idx="14">
                <c:v>0.29166666666666702</c:v>
              </c:pt>
              <c:pt idx="15">
                <c:v>0.3125</c:v>
              </c:pt>
              <c:pt idx="16">
                <c:v>0.33333333333332998</c:v>
              </c:pt>
              <c:pt idx="17">
                <c:v>0.35416666666666702</c:v>
              </c:pt>
              <c:pt idx="18">
                <c:v>0.375</c:v>
              </c:pt>
              <c:pt idx="19">
                <c:v>0.39583333333332998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</c:numLit>
          </c:cat>
          <c:val>
            <c:numRef>
              <c:f>'Staffing Jour'!$U$89:$AN$89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57E-454F-882E-BD326FB68DC5}"/>
            </c:ext>
          </c:extLst>
        </c:ser>
        <c:ser>
          <c:idx val="4"/>
          <c:order val="4"/>
          <c:tx>
            <c:v>Nb d'appels réel</c:v>
          </c:tx>
          <c:spPr>
            <a:ln>
              <a:solidFill>
                <a:schemeClr val="accent4"/>
              </a:solidFill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7"/>
            <c:spPr>
              <a:solidFill>
                <a:schemeClr val="accent4"/>
              </a:solidFill>
              <a:ln>
                <a:solidFill>
                  <a:schemeClr val="bg1"/>
                </a:solidFill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</c:marker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157E-454F-882E-BD326FB68DC5}"/>
              </c:ext>
            </c:extLst>
          </c:dPt>
          <c:val>
            <c:numRef>
              <c:f>'Staffing Jour'!$U$93:$AN$93</c:f>
              <c:numCache>
                <c:formatCode>0.0</c:formatCode>
                <c:ptCount val="2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57E-454F-882E-BD326FB68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665064"/>
        <c:axId val="501668592"/>
      </c:lineChart>
      <c:catAx>
        <c:axId val="50166506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501668592"/>
        <c:crosses val="autoZero"/>
        <c:auto val="1"/>
        <c:lblAlgn val="ctr"/>
        <c:lblOffset val="100"/>
        <c:noMultiLvlLbl val="0"/>
      </c:catAx>
      <c:valAx>
        <c:axId val="50166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50166506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8.4866077191170786E-2"/>
          <c:y val="0.91543405864589522"/>
          <c:w val="0.90000000000000013"/>
          <c:h val="7.305245935167195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333399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0"/>
    <c:dispBlanksAs val="zero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2072004796507065E-2"/>
          <c:y val="3.7917959324370906E-2"/>
          <c:w val="0.94374042233825972"/>
          <c:h val="0.78904423400022239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'Staffing Jour'!$D$134</c:f>
              <c:strCache>
                <c:ptCount val="1"/>
                <c:pt idx="0">
                  <c:v>Capacité Décroché Réel en défaut</c:v>
                </c:pt>
              </c:strCache>
            </c:strRef>
          </c:tx>
          <c:spPr>
            <a:gradFill>
              <a:gsLst>
                <a:gs pos="0">
                  <a:srgbClr val="FF0000"/>
                </a:gs>
                <a:gs pos="80000">
                  <a:srgbClr val="FF0000">
                    <a:lumMod val="70000"/>
                    <a:lumOff val="30000"/>
                  </a:srgbClr>
                </a:gs>
                <a:gs pos="100000">
                  <a:srgbClr val="FF0000">
                    <a:lumMod val="70000"/>
                    <a:lumOff val="30000"/>
                  </a:srgbClr>
                </a:gs>
              </a:gsLst>
              <a:lin ang="16200000" scaled="0"/>
            </a:gradFill>
          </c:spPr>
          <c:invertIfNegative val="0"/>
          <c:dLbls>
            <c:numFmt formatCode="#&quot;&quot;" sourceLinked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rgbClr val="FF0000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'Staffing Jour'!$U$72:$AN$72</c:f>
              <c:numCache>
                <c:formatCode>h:mm</c:formatCode>
                <c:ptCount val="20"/>
                <c:pt idx="0">
                  <c:v>0.3125</c:v>
                </c:pt>
                <c:pt idx="1">
                  <c:v>0.33333333333333298</c:v>
                </c:pt>
                <c:pt idx="2">
                  <c:v>0.35416666666666702</c:v>
                </c:pt>
                <c:pt idx="3">
                  <c:v>0.375</c:v>
                </c:pt>
                <c:pt idx="4">
                  <c:v>0.39583333333333298</c:v>
                </c:pt>
                <c:pt idx="5">
                  <c:v>0.41666666666666702</c:v>
                </c:pt>
                <c:pt idx="6">
                  <c:v>0.4375</c:v>
                </c:pt>
                <c:pt idx="7">
                  <c:v>0.45833333333333298</c:v>
                </c:pt>
                <c:pt idx="8">
                  <c:v>0.47916666666666702</c:v>
                </c:pt>
                <c:pt idx="9">
                  <c:v>0.5</c:v>
                </c:pt>
                <c:pt idx="10">
                  <c:v>0.52083333333333304</c:v>
                </c:pt>
                <c:pt idx="11">
                  <c:v>0.54166666666666696</c:v>
                </c:pt>
                <c:pt idx="12">
                  <c:v>0.5625</c:v>
                </c:pt>
                <c:pt idx="13">
                  <c:v>0.58333333333333304</c:v>
                </c:pt>
                <c:pt idx="14">
                  <c:v>0.60416666666666696</c:v>
                </c:pt>
                <c:pt idx="15">
                  <c:v>0.625</c:v>
                </c:pt>
                <c:pt idx="16">
                  <c:v>0.64583333333333304</c:v>
                </c:pt>
                <c:pt idx="17">
                  <c:v>0.66666666666666696</c:v>
                </c:pt>
                <c:pt idx="18">
                  <c:v>0.6875</c:v>
                </c:pt>
                <c:pt idx="19">
                  <c:v>0.70833333333333304</c:v>
                </c:pt>
              </c:numCache>
            </c:numRef>
          </c:cat>
          <c:val>
            <c:numRef>
              <c:f>'Staffing Jour'!$U$134:$AN$134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EC5-8C0C-DDBB49775B72}"/>
            </c:ext>
          </c:extLst>
        </c:ser>
        <c:ser>
          <c:idx val="2"/>
          <c:order val="1"/>
          <c:tx>
            <c:strRef>
              <c:f>'Staffing Jour'!$D$139</c:f>
              <c:strCache>
                <c:ptCount val="1"/>
                <c:pt idx="0">
                  <c:v>Capacité Décroché Nécessaire</c:v>
                </c:pt>
              </c:strCache>
            </c:strRef>
          </c:tx>
          <c:spPr>
            <a:gradFill rotWithShape="1">
              <a:gsLst>
                <a:gs pos="0">
                  <a:schemeClr val="accent1"/>
                </a:gs>
                <a:gs pos="80000">
                  <a:schemeClr val="accent1">
                    <a:lumMod val="80000"/>
                    <a:lumOff val="20000"/>
                  </a:schemeClr>
                </a:gs>
                <a:gs pos="100000">
                  <a:schemeClr val="accent1">
                    <a:lumMod val="80000"/>
                    <a:lumOff val="20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'Staffing Jour'!$U$72:$AN$72</c:f>
              <c:numCache>
                <c:formatCode>h:mm</c:formatCode>
                <c:ptCount val="20"/>
                <c:pt idx="0">
                  <c:v>0.3125</c:v>
                </c:pt>
                <c:pt idx="1">
                  <c:v>0.33333333333333298</c:v>
                </c:pt>
                <c:pt idx="2">
                  <c:v>0.35416666666666702</c:v>
                </c:pt>
                <c:pt idx="3">
                  <c:v>0.375</c:v>
                </c:pt>
                <c:pt idx="4">
                  <c:v>0.39583333333333298</c:v>
                </c:pt>
                <c:pt idx="5">
                  <c:v>0.41666666666666702</c:v>
                </c:pt>
                <c:pt idx="6">
                  <c:v>0.4375</c:v>
                </c:pt>
                <c:pt idx="7">
                  <c:v>0.45833333333333298</c:v>
                </c:pt>
                <c:pt idx="8">
                  <c:v>0.47916666666666702</c:v>
                </c:pt>
                <c:pt idx="9">
                  <c:v>0.5</c:v>
                </c:pt>
                <c:pt idx="10">
                  <c:v>0.52083333333333304</c:v>
                </c:pt>
                <c:pt idx="11">
                  <c:v>0.54166666666666696</c:v>
                </c:pt>
                <c:pt idx="12">
                  <c:v>0.5625</c:v>
                </c:pt>
                <c:pt idx="13">
                  <c:v>0.58333333333333304</c:v>
                </c:pt>
                <c:pt idx="14">
                  <c:v>0.60416666666666696</c:v>
                </c:pt>
                <c:pt idx="15">
                  <c:v>0.625</c:v>
                </c:pt>
                <c:pt idx="16">
                  <c:v>0.64583333333333304</c:v>
                </c:pt>
                <c:pt idx="17">
                  <c:v>0.66666666666666696</c:v>
                </c:pt>
                <c:pt idx="18">
                  <c:v>0.6875</c:v>
                </c:pt>
                <c:pt idx="19">
                  <c:v>0.70833333333333304</c:v>
                </c:pt>
              </c:numCache>
            </c:numRef>
          </c:cat>
          <c:val>
            <c:numRef>
              <c:f>'Staffing Jour'!$U$139:$AN$139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26-4EC5-8C0C-DDBB49775B72}"/>
            </c:ext>
          </c:extLst>
        </c:ser>
        <c:ser>
          <c:idx val="0"/>
          <c:order val="3"/>
          <c:tx>
            <c:strRef>
              <c:f>'Staffing Jour'!$D$133</c:f>
              <c:strCache>
                <c:ptCount val="1"/>
                <c:pt idx="0">
                  <c:v>Capacité Décroché Réel</c:v>
                </c:pt>
              </c:strCache>
            </c:strRef>
          </c:tx>
          <c:spPr>
            <a:gradFill rotWithShape="1">
              <a:gsLst>
                <a:gs pos="0">
                  <a:srgbClr val="00B050"/>
                </a:gs>
                <a:gs pos="80000">
                  <a:srgbClr val="00B050">
                    <a:lumMod val="90000"/>
                    <a:lumOff val="10000"/>
                  </a:srgbClr>
                </a:gs>
                <a:gs pos="100000">
                  <a:srgbClr val="00B050">
                    <a:lumMod val="90000"/>
                    <a:lumOff val="10000"/>
                  </a:srgb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numFmt formatCode="#&quot;&quot;" sourceLinked="0"/>
            <c:spPr>
              <a:solidFill>
                <a:schemeClr val="accent3">
                  <a:lumMod val="40000"/>
                  <a:lumOff val="60000"/>
                </a:schemeClr>
              </a:solidFill>
              <a:ln>
                <a:solidFill>
                  <a:srgbClr val="00B050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0" i="0" u="none" strike="noStrike" baseline="0">
                    <a:solidFill>
                      <a:srgbClr val="003366"/>
                    </a:solidFill>
                    <a:latin typeface="Calibri"/>
                    <a:ea typeface="Calibri"/>
                    <a:cs typeface="Calibri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'Staffing Jour'!$U$72:$AN$72</c:f>
              <c:numCache>
                <c:formatCode>h:mm</c:formatCode>
                <c:ptCount val="20"/>
                <c:pt idx="0">
                  <c:v>0.3125</c:v>
                </c:pt>
                <c:pt idx="1">
                  <c:v>0.33333333333333298</c:v>
                </c:pt>
                <c:pt idx="2">
                  <c:v>0.35416666666666702</c:v>
                </c:pt>
                <c:pt idx="3">
                  <c:v>0.375</c:v>
                </c:pt>
                <c:pt idx="4">
                  <c:v>0.39583333333333298</c:v>
                </c:pt>
                <c:pt idx="5">
                  <c:v>0.41666666666666702</c:v>
                </c:pt>
                <c:pt idx="6">
                  <c:v>0.4375</c:v>
                </c:pt>
                <c:pt idx="7">
                  <c:v>0.45833333333333298</c:v>
                </c:pt>
                <c:pt idx="8">
                  <c:v>0.47916666666666702</c:v>
                </c:pt>
                <c:pt idx="9">
                  <c:v>0.5</c:v>
                </c:pt>
                <c:pt idx="10">
                  <c:v>0.52083333333333304</c:v>
                </c:pt>
                <c:pt idx="11">
                  <c:v>0.54166666666666696</c:v>
                </c:pt>
                <c:pt idx="12">
                  <c:v>0.5625</c:v>
                </c:pt>
                <c:pt idx="13">
                  <c:v>0.58333333333333304</c:v>
                </c:pt>
                <c:pt idx="14">
                  <c:v>0.60416666666666696</c:v>
                </c:pt>
                <c:pt idx="15">
                  <c:v>0.625</c:v>
                </c:pt>
                <c:pt idx="16">
                  <c:v>0.64583333333333304</c:v>
                </c:pt>
                <c:pt idx="17">
                  <c:v>0.66666666666666696</c:v>
                </c:pt>
                <c:pt idx="18">
                  <c:v>0.6875</c:v>
                </c:pt>
                <c:pt idx="19">
                  <c:v>0.70833333333333304</c:v>
                </c:pt>
              </c:numCache>
            </c:numRef>
          </c:cat>
          <c:val>
            <c:numRef>
              <c:f>'Staffing Jour'!$U$133:$AN$133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326-4EC5-8C0C-DDBB49775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1672904"/>
        <c:axId val="501673688"/>
      </c:barChart>
      <c:lineChart>
        <c:grouping val="standard"/>
        <c:varyColors val="0"/>
        <c:ser>
          <c:idx val="1"/>
          <c:order val="2"/>
          <c:tx>
            <c:strRef>
              <c:f>'Staffing Jour'!$D$137</c:f>
              <c:strCache>
                <c:ptCount val="1"/>
                <c:pt idx="0">
                  <c:v>Nb de tchats (prévision)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12700">
                <a:solidFill>
                  <a:schemeClr val="l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cat>
            <c:numLit>
              <c:formatCode>General</c:formatCode>
              <c:ptCount val="49"/>
              <c:pt idx="0">
                <c:v>0</c:v>
              </c:pt>
              <c:pt idx="1">
                <c:v>2.0833333333333301E-2</c:v>
              </c:pt>
              <c:pt idx="2">
                <c:v>4.1666666666666602E-2</c:v>
              </c:pt>
              <c:pt idx="3">
                <c:v>6.25E-2</c:v>
              </c:pt>
              <c:pt idx="4">
                <c:v>8.3333333333333301E-2</c:v>
              </c:pt>
              <c:pt idx="5">
                <c:v>0.104166666666667</c:v>
              </c:pt>
              <c:pt idx="6">
                <c:v>0.125</c:v>
              </c:pt>
              <c:pt idx="7">
                <c:v>0.14583333333333301</c:v>
              </c:pt>
              <c:pt idx="8">
                <c:v>0.16666666666666399</c:v>
              </c:pt>
              <c:pt idx="9">
                <c:v>0.1875</c:v>
              </c:pt>
              <c:pt idx="10">
                <c:v>0.20833333333333301</c:v>
              </c:pt>
              <c:pt idx="11">
                <c:v>0.22916666666666399</c:v>
              </c:pt>
              <c:pt idx="12">
                <c:v>0.25</c:v>
              </c:pt>
              <c:pt idx="13">
                <c:v>0.27083333333332998</c:v>
              </c:pt>
              <c:pt idx="14">
                <c:v>0.29166666666666702</c:v>
              </c:pt>
              <c:pt idx="15">
                <c:v>0.3125</c:v>
              </c:pt>
              <c:pt idx="16">
                <c:v>0.33333333333332998</c:v>
              </c:pt>
              <c:pt idx="17">
                <c:v>0.35416666666666702</c:v>
              </c:pt>
              <c:pt idx="18">
                <c:v>0.375</c:v>
              </c:pt>
              <c:pt idx="19">
                <c:v>0.39583333333332998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</c:numLit>
          </c:cat>
          <c:val>
            <c:numRef>
              <c:f>'Staffing Jour'!$U$137:$AN$137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26-4EC5-8C0C-DDBB49775B72}"/>
            </c:ext>
          </c:extLst>
        </c:ser>
        <c:ser>
          <c:idx val="4"/>
          <c:order val="4"/>
          <c:tx>
            <c:v>Nb d'appels réel</c:v>
          </c:tx>
          <c:spPr>
            <a:ln>
              <a:solidFill>
                <a:schemeClr val="accent4"/>
              </a:solidFill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7"/>
            <c:spPr>
              <a:solidFill>
                <a:schemeClr val="accent4"/>
              </a:solidFill>
              <a:ln>
                <a:solidFill>
                  <a:schemeClr val="bg1"/>
                </a:solidFill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</c:marker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4326-4EC5-8C0C-DDBB49775B72}"/>
              </c:ext>
            </c:extLst>
          </c:dPt>
          <c:val>
            <c:numRef>
              <c:f>'Staffing Jour'!$U$93:$AN$93</c:f>
              <c:numCache>
                <c:formatCode>0.0</c:formatCode>
                <c:ptCount val="2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326-4EC5-8C0C-DDBB49775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672904"/>
        <c:axId val="501673688"/>
      </c:lineChart>
      <c:catAx>
        <c:axId val="50167290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501673688"/>
        <c:crosses val="autoZero"/>
        <c:auto val="1"/>
        <c:lblAlgn val="ctr"/>
        <c:lblOffset val="100"/>
        <c:noMultiLvlLbl val="0"/>
      </c:catAx>
      <c:valAx>
        <c:axId val="501673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50167290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8.4866077191170786E-2"/>
          <c:y val="0.91543405864589522"/>
          <c:w val="0.90000000000000013"/>
          <c:h val="7.305245935167195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333399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0"/>
    <c:dispBlanksAs val="zero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CheckBox" checked="Checked" fmlaLink="$G$2" lockText="1" noThreeD="1"/>
</file>

<file path=xl/ctrlProps/ctrlProp2.xml><?xml version="1.0" encoding="utf-8"?>
<formControlPr xmlns="http://schemas.microsoft.com/office/spreadsheetml/2009/9/main" objectType="CheckBox" fmlaLink="$G$3" lockText="1" noThreeD="1"/>
</file>

<file path=xl/ctrlProps/ctrlProp3.xml><?xml version="1.0" encoding="utf-8"?>
<formControlPr xmlns="http://schemas.microsoft.com/office/spreadsheetml/2009/9/main" objectType="CheckBox" fmlaLink="$G$4" lockText="1" noThreeD="1"/>
</file>

<file path=xl/ctrlProps/ctrlProp4.xml><?xml version="1.0" encoding="utf-8"?>
<formControlPr xmlns="http://schemas.microsoft.com/office/spreadsheetml/2009/9/main" objectType="CheckBox" fmlaLink="$G$5" lockText="1" noThreeD="1"/>
</file>

<file path=xl/ctrlProps/ctrlProp5.xml><?xml version="1.0" encoding="utf-8"?>
<formControlPr xmlns="http://schemas.microsoft.com/office/spreadsheetml/2009/9/main" objectType="CheckBox" fmlaLink="$G$7" lockText="1" noThreeD="1"/>
</file>

<file path=xl/ctrlProps/ctrlProp6.xml><?xml version="1.0" encoding="utf-8"?>
<formControlPr xmlns="http://schemas.microsoft.com/office/spreadsheetml/2009/9/main" objectType="CheckBox" fmlaLink="$G$6" lockText="1" noThreeD="1"/>
</file>

<file path=xl/ctrlProps/ctrlProp7.xml><?xml version="1.0" encoding="utf-8"?>
<formControlPr xmlns="http://schemas.microsoft.com/office/spreadsheetml/2009/9/main" objectType="CheckBox" fmlaLink="E74" lockText="1" noThreeD="1"/>
</file>

<file path=xl/ctrlProps/ctrlProp8.xml><?xml version="1.0" encoding="utf-8"?>
<formControlPr xmlns="http://schemas.microsoft.com/office/spreadsheetml/2009/9/main" objectType="CheckBox" fmlaLink="E75" lockText="1" noThreeD="1"/>
</file>

<file path=xl/ctrlProps/ctrlProp9.xml><?xml version="1.0" encoding="utf-8"?>
<formControlPr xmlns="http://schemas.microsoft.com/office/spreadsheetml/2009/9/main" objectType="CheckBox" fmlaLink="E76" lockText="1" noThreeD="1"/>
</file>

<file path=xl/ctrlProps/ctrlProp10.xml><?xml version="1.0" encoding="utf-8"?>
<formControlPr xmlns="http://schemas.microsoft.com/office/spreadsheetml/2009/9/main" objectType="CheckBox" fmlaLink="E77" lockText="1" noThreeD="1"/>
</file>

<file path=xl/ctrlProps/ctrlProp11.xml><?xml version="1.0" encoding="utf-8"?>
<formControlPr xmlns="http://schemas.microsoft.com/office/spreadsheetml/2009/9/main" objectType="CheckBox" fmlaLink="E78" lockText="1" noThreeD="1"/>
</file>

<file path=xl/ctrlProps/ctrlProp12.xml><?xml version="1.0" encoding="utf-8"?>
<formControlPr xmlns="http://schemas.microsoft.com/office/spreadsheetml/2009/9/main" objectType="CheckBox" fmlaLink="E79" lockText="1" noThreeD="1"/>
</file>

<file path=xl/ctrlProps/ctrlProp13.xml><?xml version="1.0" encoding="utf-8"?>
<formControlPr xmlns="http://schemas.microsoft.com/office/spreadsheetml/2009/9/main" objectType="CheckBox" fmlaLink="E80" lockText="1" noThreeD="1"/>
</file>

<file path=xl/ctrlProps/ctrlProp14.xml><?xml version="1.0" encoding="utf-8"?>
<formControlPr xmlns="http://schemas.microsoft.com/office/spreadsheetml/2009/9/main" objectType="CheckBox" fmlaLink="$E$89" lockText="1" noThreeD="1"/>
</file>

<file path=xl/ctrlProps/ctrlProp15.xml><?xml version="1.0" encoding="utf-8"?>
<formControlPr xmlns="http://schemas.microsoft.com/office/spreadsheetml/2009/9/main" objectType="CheckBox" fmlaLink="BF74" lockText="1" noThreeD="1"/>
</file>

<file path=xl/ctrlProps/ctrlProp16.xml><?xml version="1.0" encoding="utf-8"?>
<formControlPr xmlns="http://schemas.microsoft.com/office/spreadsheetml/2009/9/main" objectType="CheckBox" fmlaLink="BF75" lockText="1" noThreeD="1"/>
</file>

<file path=xl/ctrlProps/ctrlProp17.xml><?xml version="1.0" encoding="utf-8"?>
<formControlPr xmlns="http://schemas.microsoft.com/office/spreadsheetml/2009/9/main" objectType="CheckBox" fmlaLink="BF76" lockText="1" noThreeD="1"/>
</file>

<file path=xl/ctrlProps/ctrlProp18.xml><?xml version="1.0" encoding="utf-8"?>
<formControlPr xmlns="http://schemas.microsoft.com/office/spreadsheetml/2009/9/main" objectType="CheckBox" fmlaLink="BF77" lockText="1" noThreeD="1"/>
</file>

<file path=xl/ctrlProps/ctrlProp19.xml><?xml version="1.0" encoding="utf-8"?>
<formControlPr xmlns="http://schemas.microsoft.com/office/spreadsheetml/2009/9/main" objectType="CheckBox" fmlaLink="BF78" lockText="1" noThreeD="1"/>
</file>

<file path=xl/ctrlProps/ctrlProp20.xml><?xml version="1.0" encoding="utf-8"?>
<formControlPr xmlns="http://schemas.microsoft.com/office/spreadsheetml/2009/9/main" objectType="CheckBox" fmlaLink="BF79" lockText="1" noThreeD="1"/>
</file>

<file path=xl/ctrlProps/ctrlProp21.xml><?xml version="1.0" encoding="utf-8"?>
<formControlPr xmlns="http://schemas.microsoft.com/office/spreadsheetml/2009/9/main" objectType="CheckBox" fmlaLink="BF80" lockText="1" noThreeD="1"/>
</file>

<file path=xl/ctrlProps/ctrlProp22.xml><?xml version="1.0" encoding="utf-8"?>
<formControlPr xmlns="http://schemas.microsoft.com/office/spreadsheetml/2009/9/main" objectType="CheckBox" fmlaLink="BG74" lockText="1" noThreeD="1"/>
</file>

<file path=xl/ctrlProps/ctrlProp23.xml><?xml version="1.0" encoding="utf-8"?>
<formControlPr xmlns="http://schemas.microsoft.com/office/spreadsheetml/2009/9/main" objectType="CheckBox" fmlaLink="BG75" lockText="1" noThreeD="1"/>
</file>

<file path=xl/ctrlProps/ctrlProp24.xml><?xml version="1.0" encoding="utf-8"?>
<formControlPr xmlns="http://schemas.microsoft.com/office/spreadsheetml/2009/9/main" objectType="CheckBox" fmlaLink="BG76" lockText="1" noThreeD="1"/>
</file>

<file path=xl/ctrlProps/ctrlProp25.xml><?xml version="1.0" encoding="utf-8"?>
<formControlPr xmlns="http://schemas.microsoft.com/office/spreadsheetml/2009/9/main" objectType="CheckBox" fmlaLink="BG77" lockText="1" noThreeD="1"/>
</file>

<file path=xl/ctrlProps/ctrlProp26.xml><?xml version="1.0" encoding="utf-8"?>
<formControlPr xmlns="http://schemas.microsoft.com/office/spreadsheetml/2009/9/main" objectType="CheckBox" fmlaLink="BG78" lockText="1" noThreeD="1"/>
</file>

<file path=xl/ctrlProps/ctrlProp27.xml><?xml version="1.0" encoding="utf-8"?>
<formControlPr xmlns="http://schemas.microsoft.com/office/spreadsheetml/2009/9/main" objectType="CheckBox" fmlaLink="BG79" lockText="1" noThreeD="1"/>
</file>

<file path=xl/ctrlProps/ctrlProp28.xml><?xml version="1.0" encoding="utf-8"?>
<formControlPr xmlns="http://schemas.microsoft.com/office/spreadsheetml/2009/9/main" objectType="CheckBox" fmlaLink="BG80" lockText="1" noThreeD="1"/>
</file>

<file path=xl/ctrlProps/ctrlProp29.xml><?xml version="1.0" encoding="utf-8"?>
<formControlPr xmlns="http://schemas.microsoft.com/office/spreadsheetml/2009/9/main" objectType="CheckBox" fmlaLink="BH74" lockText="1" noThreeD="1"/>
</file>

<file path=xl/ctrlProps/ctrlProp30.xml><?xml version="1.0" encoding="utf-8"?>
<formControlPr xmlns="http://schemas.microsoft.com/office/spreadsheetml/2009/9/main" objectType="CheckBox" fmlaLink="BH75" lockText="1" noThreeD="1"/>
</file>

<file path=xl/ctrlProps/ctrlProp31.xml><?xml version="1.0" encoding="utf-8"?>
<formControlPr xmlns="http://schemas.microsoft.com/office/spreadsheetml/2009/9/main" objectType="CheckBox" fmlaLink="BH76" lockText="1" noThreeD="1"/>
</file>

<file path=xl/ctrlProps/ctrlProp32.xml><?xml version="1.0" encoding="utf-8"?>
<formControlPr xmlns="http://schemas.microsoft.com/office/spreadsheetml/2009/9/main" objectType="CheckBox" fmlaLink="BH77" lockText="1" noThreeD="1"/>
</file>

<file path=xl/ctrlProps/ctrlProp33.xml><?xml version="1.0" encoding="utf-8"?>
<formControlPr xmlns="http://schemas.microsoft.com/office/spreadsheetml/2009/9/main" objectType="CheckBox" fmlaLink="BH78" lockText="1" noThreeD="1"/>
</file>

<file path=xl/ctrlProps/ctrlProp34.xml><?xml version="1.0" encoding="utf-8"?>
<formControlPr xmlns="http://schemas.microsoft.com/office/spreadsheetml/2009/9/main" objectType="CheckBox" fmlaLink="BH79" lockText="1" noThreeD="1"/>
</file>

<file path=xl/ctrlProps/ctrlProp35.xml><?xml version="1.0" encoding="utf-8"?>
<formControlPr xmlns="http://schemas.microsoft.com/office/spreadsheetml/2009/9/main" objectType="CheckBox" fmlaLink="BH80" lockText="1" noThreeD="1"/>
</file>

<file path=xl/ctrlProps/ctrlProp36.xml><?xml version="1.0" encoding="utf-8"?>
<formControlPr xmlns="http://schemas.microsoft.com/office/spreadsheetml/2009/9/main" objectType="CheckBox" fmlaLink="BI74" lockText="1" noThreeD="1"/>
</file>

<file path=xl/ctrlProps/ctrlProp37.xml><?xml version="1.0" encoding="utf-8"?>
<formControlPr xmlns="http://schemas.microsoft.com/office/spreadsheetml/2009/9/main" objectType="CheckBox" fmlaLink="BI75" lockText="1" noThreeD="1"/>
</file>

<file path=xl/ctrlProps/ctrlProp38.xml><?xml version="1.0" encoding="utf-8"?>
<formControlPr xmlns="http://schemas.microsoft.com/office/spreadsheetml/2009/9/main" objectType="CheckBox" fmlaLink="BI76" lockText="1" noThreeD="1"/>
</file>

<file path=xl/ctrlProps/ctrlProp39.xml><?xml version="1.0" encoding="utf-8"?>
<formControlPr xmlns="http://schemas.microsoft.com/office/spreadsheetml/2009/9/main" objectType="CheckBox" fmlaLink="BI77" lockText="1" noThreeD="1"/>
</file>

<file path=xl/ctrlProps/ctrlProp40.xml><?xml version="1.0" encoding="utf-8"?>
<formControlPr xmlns="http://schemas.microsoft.com/office/spreadsheetml/2009/9/main" objectType="CheckBox" fmlaLink="BI78" lockText="1" noThreeD="1"/>
</file>

<file path=xl/ctrlProps/ctrlProp41.xml><?xml version="1.0" encoding="utf-8"?>
<formControlPr xmlns="http://schemas.microsoft.com/office/spreadsheetml/2009/9/main" objectType="CheckBox" fmlaLink="BI79" lockText="1" noThreeD="1"/>
</file>

<file path=xl/ctrlProps/ctrlProp42.xml><?xml version="1.0" encoding="utf-8"?>
<formControlPr xmlns="http://schemas.microsoft.com/office/spreadsheetml/2009/9/main" objectType="CheckBox" fmlaLink="BI80" lockText="1" noThreeD="1"/>
</file>

<file path=xl/ctrlProps/ctrlProp43.xml><?xml version="1.0" encoding="utf-8"?>
<formControlPr xmlns="http://schemas.microsoft.com/office/spreadsheetml/2009/9/main" objectType="CheckBox" fmlaLink="BJ74" lockText="1" noThreeD="1"/>
</file>

<file path=xl/ctrlProps/ctrlProp44.xml><?xml version="1.0" encoding="utf-8"?>
<formControlPr xmlns="http://schemas.microsoft.com/office/spreadsheetml/2009/9/main" objectType="CheckBox" fmlaLink="BJ75" lockText="1" noThreeD="1"/>
</file>

<file path=xl/ctrlProps/ctrlProp45.xml><?xml version="1.0" encoding="utf-8"?>
<formControlPr xmlns="http://schemas.microsoft.com/office/spreadsheetml/2009/9/main" objectType="CheckBox" fmlaLink="BJ76" lockText="1" noThreeD="1"/>
</file>

<file path=xl/ctrlProps/ctrlProp46.xml><?xml version="1.0" encoding="utf-8"?>
<formControlPr xmlns="http://schemas.microsoft.com/office/spreadsheetml/2009/9/main" objectType="CheckBox" fmlaLink="BJ77" lockText="1" noThreeD="1"/>
</file>

<file path=xl/ctrlProps/ctrlProp47.xml><?xml version="1.0" encoding="utf-8"?>
<formControlPr xmlns="http://schemas.microsoft.com/office/spreadsheetml/2009/9/main" objectType="CheckBox" fmlaLink="BJ78" lockText="1" noThreeD="1"/>
</file>

<file path=xl/ctrlProps/ctrlProp48.xml><?xml version="1.0" encoding="utf-8"?>
<formControlPr xmlns="http://schemas.microsoft.com/office/spreadsheetml/2009/9/main" objectType="CheckBox" fmlaLink="BJ79" lockText="1" noThreeD="1"/>
</file>

<file path=xl/ctrlProps/ctrlProp49.xml><?xml version="1.0" encoding="utf-8"?>
<formControlPr xmlns="http://schemas.microsoft.com/office/spreadsheetml/2009/9/main" objectType="CheckBox" fmlaLink="BJ80" lockText="1" noThreeD="1"/>
</file>

<file path=xl/ctrlProps/ctrlProp50.xml><?xml version="1.0" encoding="utf-8"?>
<formControlPr xmlns="http://schemas.microsoft.com/office/spreadsheetml/2009/9/main" objectType="CheckBox" fmlaLink="BK74" lockText="1" noThreeD="1"/>
</file>

<file path=xl/ctrlProps/ctrlProp51.xml><?xml version="1.0" encoding="utf-8"?>
<formControlPr xmlns="http://schemas.microsoft.com/office/spreadsheetml/2009/9/main" objectType="CheckBox" fmlaLink="BK75" lockText="1" noThreeD="1"/>
</file>

<file path=xl/ctrlProps/ctrlProp52.xml><?xml version="1.0" encoding="utf-8"?>
<formControlPr xmlns="http://schemas.microsoft.com/office/spreadsheetml/2009/9/main" objectType="CheckBox" fmlaLink="BK76" lockText="1" noThreeD="1"/>
</file>

<file path=xl/ctrlProps/ctrlProp53.xml><?xml version="1.0" encoding="utf-8"?>
<formControlPr xmlns="http://schemas.microsoft.com/office/spreadsheetml/2009/9/main" objectType="CheckBox" fmlaLink="BK77" lockText="1" noThreeD="1"/>
</file>

<file path=xl/ctrlProps/ctrlProp54.xml><?xml version="1.0" encoding="utf-8"?>
<formControlPr xmlns="http://schemas.microsoft.com/office/spreadsheetml/2009/9/main" objectType="CheckBox" fmlaLink="BK78" lockText="1" noThreeD="1"/>
</file>

<file path=xl/ctrlProps/ctrlProp55.xml><?xml version="1.0" encoding="utf-8"?>
<formControlPr xmlns="http://schemas.microsoft.com/office/spreadsheetml/2009/9/main" objectType="CheckBox" fmlaLink="BK79" lockText="1" noThreeD="1"/>
</file>

<file path=xl/ctrlProps/ctrlProp56.xml><?xml version="1.0" encoding="utf-8"?>
<formControlPr xmlns="http://schemas.microsoft.com/office/spreadsheetml/2009/9/main" objectType="CheckBox" fmlaLink="BK80" lockText="1" noThreeD="1"/>
</file>

<file path=xl/ctrlProps/ctrlProp57.xml><?xml version="1.0" encoding="utf-8"?>
<formControlPr xmlns="http://schemas.microsoft.com/office/spreadsheetml/2009/9/main" objectType="CheckBox" fmlaLink="BL74" lockText="1" noThreeD="1"/>
</file>

<file path=xl/ctrlProps/ctrlProp58.xml><?xml version="1.0" encoding="utf-8"?>
<formControlPr xmlns="http://schemas.microsoft.com/office/spreadsheetml/2009/9/main" objectType="CheckBox" fmlaLink="BL75" lockText="1" noThreeD="1"/>
</file>

<file path=xl/ctrlProps/ctrlProp59.xml><?xml version="1.0" encoding="utf-8"?>
<formControlPr xmlns="http://schemas.microsoft.com/office/spreadsheetml/2009/9/main" objectType="CheckBox" fmlaLink="BL76" lockText="1" noThreeD="1"/>
</file>

<file path=xl/ctrlProps/ctrlProp60.xml><?xml version="1.0" encoding="utf-8"?>
<formControlPr xmlns="http://schemas.microsoft.com/office/spreadsheetml/2009/9/main" objectType="CheckBox" fmlaLink="BL77" lockText="1" noThreeD="1"/>
</file>

<file path=xl/ctrlProps/ctrlProp61.xml><?xml version="1.0" encoding="utf-8"?>
<formControlPr xmlns="http://schemas.microsoft.com/office/spreadsheetml/2009/9/main" objectType="CheckBox" fmlaLink="BL78" lockText="1" noThreeD="1"/>
</file>

<file path=xl/ctrlProps/ctrlProp62.xml><?xml version="1.0" encoding="utf-8"?>
<formControlPr xmlns="http://schemas.microsoft.com/office/spreadsheetml/2009/9/main" objectType="CheckBox" fmlaLink="BL79" lockText="1" noThreeD="1"/>
</file>

<file path=xl/ctrlProps/ctrlProp63.xml><?xml version="1.0" encoding="utf-8"?>
<formControlPr xmlns="http://schemas.microsoft.com/office/spreadsheetml/2009/9/main" objectType="CheckBox" fmlaLink="BL80" lockText="1" noThreeD="1"/>
</file>

<file path=xl/ctrlProps/ctrlProp64.xml><?xml version="1.0" encoding="utf-8"?>
<formControlPr xmlns="http://schemas.microsoft.com/office/spreadsheetml/2009/9/main" objectType="CheckBox" fmlaLink="BM74" lockText="1" noThreeD="1"/>
</file>

<file path=xl/ctrlProps/ctrlProp65.xml><?xml version="1.0" encoding="utf-8"?>
<formControlPr xmlns="http://schemas.microsoft.com/office/spreadsheetml/2009/9/main" objectType="CheckBox" fmlaLink="BM75" lockText="1" noThreeD="1"/>
</file>

<file path=xl/ctrlProps/ctrlProp66.xml><?xml version="1.0" encoding="utf-8"?>
<formControlPr xmlns="http://schemas.microsoft.com/office/spreadsheetml/2009/9/main" objectType="CheckBox" fmlaLink="BM76" lockText="1" noThreeD="1"/>
</file>

<file path=xl/ctrlProps/ctrlProp67.xml><?xml version="1.0" encoding="utf-8"?>
<formControlPr xmlns="http://schemas.microsoft.com/office/spreadsheetml/2009/9/main" objectType="CheckBox" fmlaLink="BM77" lockText="1" noThreeD="1"/>
</file>

<file path=xl/ctrlProps/ctrlProp68.xml><?xml version="1.0" encoding="utf-8"?>
<formControlPr xmlns="http://schemas.microsoft.com/office/spreadsheetml/2009/9/main" objectType="CheckBox" fmlaLink="BM78" lockText="1" noThreeD="1"/>
</file>

<file path=xl/ctrlProps/ctrlProp69.xml><?xml version="1.0" encoding="utf-8"?>
<formControlPr xmlns="http://schemas.microsoft.com/office/spreadsheetml/2009/9/main" objectType="CheckBox" fmlaLink="BM79" lockText="1" noThreeD="1"/>
</file>

<file path=xl/ctrlProps/ctrlProp70.xml><?xml version="1.0" encoding="utf-8"?>
<formControlPr xmlns="http://schemas.microsoft.com/office/spreadsheetml/2009/9/main" objectType="CheckBox" fmlaLink="BM80" lockText="1" noThreeD="1"/>
</file>

<file path=xl/ctrlProps/ctrlProp71.xml><?xml version="1.0" encoding="utf-8"?>
<formControlPr xmlns="http://schemas.microsoft.com/office/spreadsheetml/2009/9/main" objectType="CheckBox" fmlaLink="BO74" lockText="1" noThreeD="1"/>
</file>

<file path=xl/ctrlProps/ctrlProp72.xml><?xml version="1.0" encoding="utf-8"?>
<formControlPr xmlns="http://schemas.microsoft.com/office/spreadsheetml/2009/9/main" objectType="CheckBox" fmlaLink="BO75" lockText="1" noThreeD="1"/>
</file>

<file path=xl/ctrlProps/ctrlProp73.xml><?xml version="1.0" encoding="utf-8"?>
<formControlPr xmlns="http://schemas.microsoft.com/office/spreadsheetml/2009/9/main" objectType="CheckBox" fmlaLink="BO76" lockText="1" noThreeD="1"/>
</file>

<file path=xl/ctrlProps/ctrlProp74.xml><?xml version="1.0" encoding="utf-8"?>
<formControlPr xmlns="http://schemas.microsoft.com/office/spreadsheetml/2009/9/main" objectType="CheckBox" fmlaLink="BO77" lockText="1" noThreeD="1"/>
</file>

<file path=xl/ctrlProps/ctrlProp75.xml><?xml version="1.0" encoding="utf-8"?>
<formControlPr xmlns="http://schemas.microsoft.com/office/spreadsheetml/2009/9/main" objectType="CheckBox" fmlaLink="BO78" lockText="1" noThreeD="1"/>
</file>

<file path=xl/ctrlProps/ctrlProp76.xml><?xml version="1.0" encoding="utf-8"?>
<formControlPr xmlns="http://schemas.microsoft.com/office/spreadsheetml/2009/9/main" objectType="CheckBox" fmlaLink="BO79" lockText="1" noThreeD="1"/>
</file>

<file path=xl/ctrlProps/ctrlProp77.xml><?xml version="1.0" encoding="utf-8"?>
<formControlPr xmlns="http://schemas.microsoft.com/office/spreadsheetml/2009/9/main" objectType="CheckBox" fmlaLink="BO80" lockText="1" noThreeD="1"/>
</file>

<file path=xl/ctrlProps/ctrlProp78.xml><?xml version="1.0" encoding="utf-8"?>
<formControlPr xmlns="http://schemas.microsoft.com/office/spreadsheetml/2009/9/main" objectType="CheckBox" fmlaLink="BN74" lockText="1" noThreeD="1"/>
</file>

<file path=xl/ctrlProps/ctrlProp79.xml><?xml version="1.0" encoding="utf-8"?>
<formControlPr xmlns="http://schemas.microsoft.com/office/spreadsheetml/2009/9/main" objectType="CheckBox" fmlaLink="BN75" lockText="1" noThreeD="1"/>
</file>

<file path=xl/ctrlProps/ctrlProp80.xml><?xml version="1.0" encoding="utf-8"?>
<formControlPr xmlns="http://schemas.microsoft.com/office/spreadsheetml/2009/9/main" objectType="CheckBox" fmlaLink="BN76" lockText="1" noThreeD="1"/>
</file>

<file path=xl/ctrlProps/ctrlProp81.xml><?xml version="1.0" encoding="utf-8"?>
<formControlPr xmlns="http://schemas.microsoft.com/office/spreadsheetml/2009/9/main" objectType="CheckBox" fmlaLink="BN77" lockText="1" noThreeD="1"/>
</file>

<file path=xl/ctrlProps/ctrlProp82.xml><?xml version="1.0" encoding="utf-8"?>
<formControlPr xmlns="http://schemas.microsoft.com/office/spreadsheetml/2009/9/main" objectType="CheckBox" fmlaLink="BN78" lockText="1" noThreeD="1"/>
</file>

<file path=xl/ctrlProps/ctrlProp83.xml><?xml version="1.0" encoding="utf-8"?>
<formControlPr xmlns="http://schemas.microsoft.com/office/spreadsheetml/2009/9/main" objectType="CheckBox" fmlaLink="BN79" lockText="1" noThreeD="1"/>
</file>

<file path=xl/ctrlProps/ctrlProp84.xml><?xml version="1.0" encoding="utf-8"?>
<formControlPr xmlns="http://schemas.microsoft.com/office/spreadsheetml/2009/9/main" objectType="CheckBox" fmlaLink="BN80" lockText="1" noThreeD="1"/>
</file>

<file path=xl/ctrlProps/ctrlProp85.xml><?xml version="1.0" encoding="utf-8"?>
<formControlPr xmlns="http://schemas.microsoft.com/office/spreadsheetml/2009/9/main" objectType="CheckBox" fmlaLink="BP74" lockText="1" noThreeD="1"/>
</file>

<file path=xl/ctrlProps/ctrlProp86.xml><?xml version="1.0" encoding="utf-8"?>
<formControlPr xmlns="http://schemas.microsoft.com/office/spreadsheetml/2009/9/main" objectType="CheckBox" fmlaLink="BP75" lockText="1" noThreeD="1"/>
</file>

<file path=xl/ctrlProps/ctrlProp87.xml><?xml version="1.0" encoding="utf-8"?>
<formControlPr xmlns="http://schemas.microsoft.com/office/spreadsheetml/2009/9/main" objectType="CheckBox" fmlaLink="BP76" lockText="1" noThreeD="1"/>
</file>

<file path=xl/ctrlProps/ctrlProp88.xml><?xml version="1.0" encoding="utf-8"?>
<formControlPr xmlns="http://schemas.microsoft.com/office/spreadsheetml/2009/9/main" objectType="CheckBox" fmlaLink="BP77" lockText="1" noThreeD="1"/>
</file>

<file path=xl/ctrlProps/ctrlProp89.xml><?xml version="1.0" encoding="utf-8"?>
<formControlPr xmlns="http://schemas.microsoft.com/office/spreadsheetml/2009/9/main" objectType="CheckBox" fmlaLink="BP78" lockText="1" noThreeD="1"/>
</file>

<file path=xl/ctrlProps/ctrlProp90.xml><?xml version="1.0" encoding="utf-8"?>
<formControlPr xmlns="http://schemas.microsoft.com/office/spreadsheetml/2009/9/main" objectType="CheckBox" fmlaLink="BP79" lockText="1" noThreeD="1"/>
</file>

<file path=xl/ctrlProps/ctrlProp91.xml><?xml version="1.0" encoding="utf-8"?>
<formControlPr xmlns="http://schemas.microsoft.com/office/spreadsheetml/2009/9/main" objectType="CheckBox" fmlaLink="BP80" lockText="1" noThreeD="1"/>
</file>

<file path=xl/ctrlProps/ctrlProp92.xml><?xml version="1.0" encoding="utf-8"?>
<formControlPr xmlns="http://schemas.microsoft.com/office/spreadsheetml/2009/9/main" objectType="CheckBox" fmlaLink="BQ74" lockText="1" noThreeD="1"/>
</file>

<file path=xl/ctrlProps/ctrlProp93.xml><?xml version="1.0" encoding="utf-8"?>
<formControlPr xmlns="http://schemas.microsoft.com/office/spreadsheetml/2009/9/main" objectType="CheckBox" fmlaLink="BQ75" lockText="1" noThreeD="1"/>
</file>

<file path=xl/ctrlProps/ctrlProp94.xml><?xml version="1.0" encoding="utf-8"?>
<formControlPr xmlns="http://schemas.microsoft.com/office/spreadsheetml/2009/9/main" objectType="CheckBox" fmlaLink="BQ76" lockText="1" noThreeD="1"/>
</file>

<file path=xl/ctrlProps/ctrlProp95.xml><?xml version="1.0" encoding="utf-8"?>
<formControlPr xmlns="http://schemas.microsoft.com/office/spreadsheetml/2009/9/main" objectType="CheckBox" fmlaLink="BQ77" lockText="1" noThreeD="1"/>
</file>

<file path=xl/ctrlProps/ctrlProp96.xml><?xml version="1.0" encoding="utf-8"?>
<formControlPr xmlns="http://schemas.microsoft.com/office/spreadsheetml/2009/9/main" objectType="CheckBox" fmlaLink="BQ78" lockText="1" noThreeD="1"/>
</file>

<file path=xl/ctrlProps/ctrlProp97.xml><?xml version="1.0" encoding="utf-8"?>
<formControlPr xmlns="http://schemas.microsoft.com/office/spreadsheetml/2009/9/main" objectType="CheckBox" fmlaLink="BQ79" lockText="1" noThreeD="1"/>
</file>

<file path=xl/ctrlProps/ctrlProp98.xml><?xml version="1.0" encoding="utf-8"?>
<formControlPr xmlns="http://schemas.microsoft.com/office/spreadsheetml/2009/9/main" objectType="CheckBox" fmlaLink="BQ80" lockText="1" noThreeD="1"/>
</file>

<file path=xl/ctrlProps/ctrlProp99.xml><?xml version="1.0" encoding="utf-8"?>
<formControlPr xmlns="http://schemas.microsoft.com/office/spreadsheetml/2009/9/main" objectType="CheckBox" fmlaLink="BR74" lockText="1" noThreeD="1"/>
</file>

<file path=xl/ctrlProps/ctrlProp100.xml><?xml version="1.0" encoding="utf-8"?>
<formControlPr xmlns="http://schemas.microsoft.com/office/spreadsheetml/2009/9/main" objectType="CheckBox" fmlaLink="BR75" lockText="1" noThreeD="1"/>
</file>

<file path=xl/ctrlProps/ctrlProp101.xml><?xml version="1.0" encoding="utf-8"?>
<formControlPr xmlns="http://schemas.microsoft.com/office/spreadsheetml/2009/9/main" objectType="CheckBox" fmlaLink="BR76" lockText="1" noThreeD="1"/>
</file>

<file path=xl/ctrlProps/ctrlProp102.xml><?xml version="1.0" encoding="utf-8"?>
<formControlPr xmlns="http://schemas.microsoft.com/office/spreadsheetml/2009/9/main" objectType="CheckBox" fmlaLink="BR77" lockText="1" noThreeD="1"/>
</file>

<file path=xl/ctrlProps/ctrlProp103.xml><?xml version="1.0" encoding="utf-8"?>
<formControlPr xmlns="http://schemas.microsoft.com/office/spreadsheetml/2009/9/main" objectType="CheckBox" fmlaLink="BR78" lockText="1" noThreeD="1"/>
</file>

<file path=xl/ctrlProps/ctrlProp104.xml><?xml version="1.0" encoding="utf-8"?>
<formControlPr xmlns="http://schemas.microsoft.com/office/spreadsheetml/2009/9/main" objectType="CheckBox" fmlaLink="BR79" lockText="1" noThreeD="1"/>
</file>

<file path=xl/ctrlProps/ctrlProp105.xml><?xml version="1.0" encoding="utf-8"?>
<formControlPr xmlns="http://schemas.microsoft.com/office/spreadsheetml/2009/9/main" objectType="CheckBox" fmlaLink="BR80" lockText="1" noThreeD="1"/>
</file>

<file path=xl/ctrlProps/ctrlProp106.xml><?xml version="1.0" encoding="utf-8"?>
<formControlPr xmlns="http://schemas.microsoft.com/office/spreadsheetml/2009/9/main" objectType="CheckBox" fmlaLink="BS74" lockText="1" noThreeD="1"/>
</file>

<file path=xl/ctrlProps/ctrlProp107.xml><?xml version="1.0" encoding="utf-8"?>
<formControlPr xmlns="http://schemas.microsoft.com/office/spreadsheetml/2009/9/main" objectType="CheckBox" fmlaLink="BS75" lockText="1" noThreeD="1"/>
</file>

<file path=xl/ctrlProps/ctrlProp108.xml><?xml version="1.0" encoding="utf-8"?>
<formControlPr xmlns="http://schemas.microsoft.com/office/spreadsheetml/2009/9/main" objectType="CheckBox" fmlaLink="BS76" lockText="1" noThreeD="1"/>
</file>

<file path=xl/ctrlProps/ctrlProp109.xml><?xml version="1.0" encoding="utf-8"?>
<formControlPr xmlns="http://schemas.microsoft.com/office/spreadsheetml/2009/9/main" objectType="CheckBox" fmlaLink="BS77" lockText="1" noThreeD="1"/>
</file>

<file path=xl/ctrlProps/ctrlProp110.xml><?xml version="1.0" encoding="utf-8"?>
<formControlPr xmlns="http://schemas.microsoft.com/office/spreadsheetml/2009/9/main" objectType="CheckBox" fmlaLink="BS78" lockText="1" noThreeD="1"/>
</file>

<file path=xl/ctrlProps/ctrlProp111.xml><?xml version="1.0" encoding="utf-8"?>
<formControlPr xmlns="http://schemas.microsoft.com/office/spreadsheetml/2009/9/main" objectType="CheckBox" fmlaLink="BS79" lockText="1" noThreeD="1"/>
</file>

<file path=xl/ctrlProps/ctrlProp112.xml><?xml version="1.0" encoding="utf-8"?>
<formControlPr xmlns="http://schemas.microsoft.com/office/spreadsheetml/2009/9/main" objectType="CheckBox" fmlaLink="BS80" lockText="1" noThreeD="1"/>
</file>

<file path=xl/ctrlProps/ctrlProp113.xml><?xml version="1.0" encoding="utf-8"?>
<formControlPr xmlns="http://schemas.microsoft.com/office/spreadsheetml/2009/9/main" objectType="CheckBox" fmlaLink="BT74" lockText="1" noThreeD="1"/>
</file>

<file path=xl/ctrlProps/ctrlProp114.xml><?xml version="1.0" encoding="utf-8"?>
<formControlPr xmlns="http://schemas.microsoft.com/office/spreadsheetml/2009/9/main" objectType="CheckBox" fmlaLink="BT75" lockText="1" noThreeD="1"/>
</file>

<file path=xl/ctrlProps/ctrlProp115.xml><?xml version="1.0" encoding="utf-8"?>
<formControlPr xmlns="http://schemas.microsoft.com/office/spreadsheetml/2009/9/main" objectType="CheckBox" fmlaLink="BT76" lockText="1" noThreeD="1"/>
</file>

<file path=xl/ctrlProps/ctrlProp116.xml><?xml version="1.0" encoding="utf-8"?>
<formControlPr xmlns="http://schemas.microsoft.com/office/spreadsheetml/2009/9/main" objectType="CheckBox" fmlaLink="BT77" lockText="1" noThreeD="1"/>
</file>

<file path=xl/ctrlProps/ctrlProp117.xml><?xml version="1.0" encoding="utf-8"?>
<formControlPr xmlns="http://schemas.microsoft.com/office/spreadsheetml/2009/9/main" objectType="CheckBox" fmlaLink="BT78" lockText="1" noThreeD="1"/>
</file>

<file path=xl/ctrlProps/ctrlProp118.xml><?xml version="1.0" encoding="utf-8"?>
<formControlPr xmlns="http://schemas.microsoft.com/office/spreadsheetml/2009/9/main" objectType="CheckBox" fmlaLink="BT79" lockText="1" noThreeD="1"/>
</file>

<file path=xl/ctrlProps/ctrlProp119.xml><?xml version="1.0" encoding="utf-8"?>
<formControlPr xmlns="http://schemas.microsoft.com/office/spreadsheetml/2009/9/main" objectType="CheckBox" fmlaLink="BT80" lockText="1" noThreeD="1"/>
</file>

<file path=xl/ctrlProps/ctrlProp120.xml><?xml version="1.0" encoding="utf-8"?>
<formControlPr xmlns="http://schemas.microsoft.com/office/spreadsheetml/2009/9/main" objectType="CheckBox" fmlaLink="BU74" lockText="1" noThreeD="1"/>
</file>

<file path=xl/ctrlProps/ctrlProp121.xml><?xml version="1.0" encoding="utf-8"?>
<formControlPr xmlns="http://schemas.microsoft.com/office/spreadsheetml/2009/9/main" objectType="CheckBox" fmlaLink="BU75" lockText="1" noThreeD="1"/>
</file>

<file path=xl/ctrlProps/ctrlProp122.xml><?xml version="1.0" encoding="utf-8"?>
<formControlPr xmlns="http://schemas.microsoft.com/office/spreadsheetml/2009/9/main" objectType="CheckBox" fmlaLink="BU76" lockText="1" noThreeD="1"/>
</file>

<file path=xl/ctrlProps/ctrlProp123.xml><?xml version="1.0" encoding="utf-8"?>
<formControlPr xmlns="http://schemas.microsoft.com/office/spreadsheetml/2009/9/main" objectType="CheckBox" fmlaLink="BU77" lockText="1" noThreeD="1"/>
</file>

<file path=xl/ctrlProps/ctrlProp124.xml><?xml version="1.0" encoding="utf-8"?>
<formControlPr xmlns="http://schemas.microsoft.com/office/spreadsheetml/2009/9/main" objectType="CheckBox" fmlaLink="BU78" lockText="1" noThreeD="1"/>
</file>

<file path=xl/ctrlProps/ctrlProp125.xml><?xml version="1.0" encoding="utf-8"?>
<formControlPr xmlns="http://schemas.microsoft.com/office/spreadsheetml/2009/9/main" objectType="CheckBox" fmlaLink="BU79" lockText="1" noThreeD="1"/>
</file>

<file path=xl/ctrlProps/ctrlProp126.xml><?xml version="1.0" encoding="utf-8"?>
<formControlPr xmlns="http://schemas.microsoft.com/office/spreadsheetml/2009/9/main" objectType="CheckBox" fmlaLink="BU80" lockText="1" noThreeD="1"/>
</file>

<file path=xl/ctrlProps/ctrlProp127.xml><?xml version="1.0" encoding="utf-8"?>
<formControlPr xmlns="http://schemas.microsoft.com/office/spreadsheetml/2009/9/main" objectType="CheckBox" fmlaLink="BV74" lockText="1" noThreeD="1"/>
</file>

<file path=xl/ctrlProps/ctrlProp128.xml><?xml version="1.0" encoding="utf-8"?>
<formControlPr xmlns="http://schemas.microsoft.com/office/spreadsheetml/2009/9/main" objectType="CheckBox" fmlaLink="BV75" lockText="1" noThreeD="1"/>
</file>

<file path=xl/ctrlProps/ctrlProp129.xml><?xml version="1.0" encoding="utf-8"?>
<formControlPr xmlns="http://schemas.microsoft.com/office/spreadsheetml/2009/9/main" objectType="CheckBox" fmlaLink="BV76" lockText="1" noThreeD="1"/>
</file>

<file path=xl/ctrlProps/ctrlProp130.xml><?xml version="1.0" encoding="utf-8"?>
<formControlPr xmlns="http://schemas.microsoft.com/office/spreadsheetml/2009/9/main" objectType="CheckBox" fmlaLink="BV77" lockText="1" noThreeD="1"/>
</file>

<file path=xl/ctrlProps/ctrlProp131.xml><?xml version="1.0" encoding="utf-8"?>
<formControlPr xmlns="http://schemas.microsoft.com/office/spreadsheetml/2009/9/main" objectType="CheckBox" fmlaLink="BV78" lockText="1" noThreeD="1"/>
</file>

<file path=xl/ctrlProps/ctrlProp132.xml><?xml version="1.0" encoding="utf-8"?>
<formControlPr xmlns="http://schemas.microsoft.com/office/spreadsheetml/2009/9/main" objectType="CheckBox" fmlaLink="BV79" lockText="1" noThreeD="1"/>
</file>

<file path=xl/ctrlProps/ctrlProp133.xml><?xml version="1.0" encoding="utf-8"?>
<formControlPr xmlns="http://schemas.microsoft.com/office/spreadsheetml/2009/9/main" objectType="CheckBox" fmlaLink="BV80" lockText="1" noThreeD="1"/>
</file>

<file path=xl/ctrlProps/ctrlProp134.xml><?xml version="1.0" encoding="utf-8"?>
<formControlPr xmlns="http://schemas.microsoft.com/office/spreadsheetml/2009/9/main" objectType="CheckBox" fmlaLink="BW74" lockText="1" noThreeD="1"/>
</file>

<file path=xl/ctrlProps/ctrlProp135.xml><?xml version="1.0" encoding="utf-8"?>
<formControlPr xmlns="http://schemas.microsoft.com/office/spreadsheetml/2009/9/main" objectType="CheckBox" fmlaLink="BW75" lockText="1" noThreeD="1"/>
</file>

<file path=xl/ctrlProps/ctrlProp136.xml><?xml version="1.0" encoding="utf-8"?>
<formControlPr xmlns="http://schemas.microsoft.com/office/spreadsheetml/2009/9/main" objectType="CheckBox" fmlaLink="BW76" lockText="1" noThreeD="1"/>
</file>

<file path=xl/ctrlProps/ctrlProp137.xml><?xml version="1.0" encoding="utf-8"?>
<formControlPr xmlns="http://schemas.microsoft.com/office/spreadsheetml/2009/9/main" objectType="CheckBox" fmlaLink="BW77" lockText="1" noThreeD="1"/>
</file>

<file path=xl/ctrlProps/ctrlProp138.xml><?xml version="1.0" encoding="utf-8"?>
<formControlPr xmlns="http://schemas.microsoft.com/office/spreadsheetml/2009/9/main" objectType="CheckBox" fmlaLink="BW78" lockText="1" noThreeD="1"/>
</file>

<file path=xl/ctrlProps/ctrlProp139.xml><?xml version="1.0" encoding="utf-8"?>
<formControlPr xmlns="http://schemas.microsoft.com/office/spreadsheetml/2009/9/main" objectType="CheckBox" fmlaLink="BW79" lockText="1" noThreeD="1"/>
</file>

<file path=xl/ctrlProps/ctrlProp140.xml><?xml version="1.0" encoding="utf-8"?>
<formControlPr xmlns="http://schemas.microsoft.com/office/spreadsheetml/2009/9/main" objectType="CheckBox" fmlaLink="BW80" lockText="1" noThreeD="1"/>
</file>

<file path=xl/ctrlProps/ctrlProp141.xml><?xml version="1.0" encoding="utf-8"?>
<formControlPr xmlns="http://schemas.microsoft.com/office/spreadsheetml/2009/9/main" objectType="CheckBox" fmlaLink="BX74" lockText="1" noThreeD="1"/>
</file>

<file path=xl/ctrlProps/ctrlProp142.xml><?xml version="1.0" encoding="utf-8"?>
<formControlPr xmlns="http://schemas.microsoft.com/office/spreadsheetml/2009/9/main" objectType="CheckBox" fmlaLink="BX75" lockText="1" noThreeD="1"/>
</file>

<file path=xl/ctrlProps/ctrlProp143.xml><?xml version="1.0" encoding="utf-8"?>
<formControlPr xmlns="http://schemas.microsoft.com/office/spreadsheetml/2009/9/main" objectType="CheckBox" fmlaLink="BX76" lockText="1" noThreeD="1"/>
</file>

<file path=xl/ctrlProps/ctrlProp144.xml><?xml version="1.0" encoding="utf-8"?>
<formControlPr xmlns="http://schemas.microsoft.com/office/spreadsheetml/2009/9/main" objectType="CheckBox" fmlaLink="BX77" lockText="1" noThreeD="1"/>
</file>

<file path=xl/ctrlProps/ctrlProp145.xml><?xml version="1.0" encoding="utf-8"?>
<formControlPr xmlns="http://schemas.microsoft.com/office/spreadsheetml/2009/9/main" objectType="CheckBox" fmlaLink="BX78" lockText="1" noThreeD="1"/>
</file>

<file path=xl/ctrlProps/ctrlProp146.xml><?xml version="1.0" encoding="utf-8"?>
<formControlPr xmlns="http://schemas.microsoft.com/office/spreadsheetml/2009/9/main" objectType="CheckBox" fmlaLink="BX79" lockText="1" noThreeD="1"/>
</file>

<file path=xl/ctrlProps/ctrlProp147.xml><?xml version="1.0" encoding="utf-8"?>
<formControlPr xmlns="http://schemas.microsoft.com/office/spreadsheetml/2009/9/main" objectType="CheckBox" fmlaLink="BX80" lockText="1" noThreeD="1"/>
</file>

<file path=xl/ctrlProps/ctrlProp148.xml><?xml version="1.0" encoding="utf-8"?>
<formControlPr xmlns="http://schemas.microsoft.com/office/spreadsheetml/2009/9/main" objectType="CheckBox" checked="Checked" fmlaLink="E73" lockText="1" noThreeD="1"/>
</file>

<file path=xl/ctrlProps/ctrlProp149.xml><?xml version="1.0" encoding="utf-8"?>
<formControlPr xmlns="http://schemas.microsoft.com/office/spreadsheetml/2009/9/main" objectType="CheckBox" fmlaLink="E74" lockText="1" noThreeD="1"/>
</file>

<file path=xl/ctrlProps/ctrlProp150.xml><?xml version="1.0" encoding="utf-8"?>
<formControlPr xmlns="http://schemas.microsoft.com/office/spreadsheetml/2009/9/main" objectType="CheckBox" fmlaLink="E75" lockText="1" noThreeD="1"/>
</file>

<file path=xl/ctrlProps/ctrlProp151.xml><?xml version="1.0" encoding="utf-8"?>
<formControlPr xmlns="http://schemas.microsoft.com/office/spreadsheetml/2009/9/main" objectType="CheckBox" fmlaLink="E76" lockText="1" noThreeD="1"/>
</file>

<file path=xl/ctrlProps/ctrlProp152.xml><?xml version="1.0" encoding="utf-8"?>
<formControlPr xmlns="http://schemas.microsoft.com/office/spreadsheetml/2009/9/main" objectType="CheckBox" fmlaLink="E77" lockText="1" noThreeD="1"/>
</file>

<file path=xl/ctrlProps/ctrlProp153.xml><?xml version="1.0" encoding="utf-8"?>
<formControlPr xmlns="http://schemas.microsoft.com/office/spreadsheetml/2009/9/main" objectType="CheckBox" fmlaLink="E78" lockText="1" noThreeD="1"/>
</file>

<file path=xl/ctrlProps/ctrlProp154.xml><?xml version="1.0" encoding="utf-8"?>
<formControlPr xmlns="http://schemas.microsoft.com/office/spreadsheetml/2009/9/main" objectType="CheckBox" fmlaLink="E79" lockText="1" noThreeD="1"/>
</file>

<file path=xl/ctrlProps/ctrlProp155.xml><?xml version="1.0" encoding="utf-8"?>
<formControlPr xmlns="http://schemas.microsoft.com/office/spreadsheetml/2009/9/main" objectType="CheckBox" fmlaLink="E80" lockText="1" noThreeD="1"/>
</file>

<file path=xl/ctrlProps/ctrlProp156.xml><?xml version="1.0" encoding="utf-8"?>
<formControlPr xmlns="http://schemas.microsoft.com/office/spreadsheetml/2009/9/main" objectType="CheckBox" fmlaLink="$E$89" lockText="1" noThreeD="1"/>
</file>

<file path=xl/ctrlProps/ctrlProp157.xml><?xml version="1.0" encoding="utf-8"?>
<formControlPr xmlns="http://schemas.microsoft.com/office/spreadsheetml/2009/9/main" objectType="CheckBox" fmlaLink="$G$2" lockText="1" noThreeD="1"/>
</file>

<file path=xl/ctrlProps/ctrlProp158.xml><?xml version="1.0" encoding="utf-8"?>
<formControlPr xmlns="http://schemas.microsoft.com/office/spreadsheetml/2009/9/main" objectType="CheckBox" fmlaLink="$G$3" lockText="1" noThreeD="1"/>
</file>

<file path=xl/ctrlProps/ctrlProp159.xml><?xml version="1.0" encoding="utf-8"?>
<formControlPr xmlns="http://schemas.microsoft.com/office/spreadsheetml/2009/9/main" objectType="CheckBox" fmlaLink="$G$4" lockText="1" noThreeD="1"/>
</file>

<file path=xl/ctrlProps/ctrlProp160.xml><?xml version="1.0" encoding="utf-8"?>
<formControlPr xmlns="http://schemas.microsoft.com/office/spreadsheetml/2009/9/main" objectType="CheckBox" fmlaLink="$G$5" lockText="1" noThreeD="1"/>
</file>

<file path=xl/ctrlProps/ctrlProp161.xml><?xml version="1.0" encoding="utf-8"?>
<formControlPr xmlns="http://schemas.microsoft.com/office/spreadsheetml/2009/9/main" objectType="CheckBox" fmlaLink="$G$7" lockText="1" noThreeD="1"/>
</file>

<file path=xl/ctrlProps/ctrlProp162.xml><?xml version="1.0" encoding="utf-8"?>
<formControlPr xmlns="http://schemas.microsoft.com/office/spreadsheetml/2009/9/main" objectType="CheckBox" fmlaLink="$G$6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25400</xdr:colOff>
          <xdr:row>1</xdr:row>
          <xdr:rowOff>6350</xdr:rowOff>
        </xdr:from>
        <xdr:to>
          <xdr:col>6</xdr:col>
          <xdr:colOff>482600</xdr:colOff>
          <xdr:row>1</xdr:row>
          <xdr:rowOff>120650</xdr:rowOff>
        </xdr:to>
        <xdr:sp macro="" textlink="">
          <xdr:nvSpPr>
            <xdr:cNvPr id="1113" name="Check Box 89" descr="SU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BDCDE1"/>
                  </a:solidFill>
                </a14:hiddenFill>
              </a:ext>
              <a:ext uri="{91240B29-F687-4F45-9708-019B960494DF}">
                <a14:hiddenLine w="9525">
                  <a:solidFill>
                    <a:srgbClr val="FF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25400</xdr:colOff>
          <xdr:row>2</xdr:row>
          <xdr:rowOff>0</xdr:rowOff>
        </xdr:from>
        <xdr:to>
          <xdr:col>6</xdr:col>
          <xdr:colOff>482600</xdr:colOff>
          <xdr:row>3</xdr:row>
          <xdr:rowOff>0</xdr:rowOff>
        </xdr:to>
        <xdr:sp macro="" textlink="">
          <xdr:nvSpPr>
            <xdr:cNvPr id="1114" name="Check Box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BDCDE1"/>
                  </a:solidFill>
                </a14:hiddenFill>
              </a:ext>
              <a:ext uri="{91240B29-F687-4F45-9708-019B960494DF}">
                <a14:hiddenLine w="9525">
                  <a:solidFill>
                    <a:srgbClr val="FF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25400</xdr:colOff>
          <xdr:row>3</xdr:row>
          <xdr:rowOff>6350</xdr:rowOff>
        </xdr:from>
        <xdr:to>
          <xdr:col>6</xdr:col>
          <xdr:colOff>482600</xdr:colOff>
          <xdr:row>3</xdr:row>
          <xdr:rowOff>120650</xdr:rowOff>
        </xdr:to>
        <xdr:sp macro="" textlink="">
          <xdr:nvSpPr>
            <xdr:cNvPr id="1115" name="Check Box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BDCDE1"/>
                  </a:solidFill>
                </a14:hiddenFill>
              </a:ext>
              <a:ext uri="{91240B29-F687-4F45-9708-019B960494DF}">
                <a14:hiddenLine w="9525">
                  <a:solidFill>
                    <a:srgbClr val="FF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25400</xdr:colOff>
          <xdr:row>4</xdr:row>
          <xdr:rowOff>6350</xdr:rowOff>
        </xdr:from>
        <xdr:to>
          <xdr:col>6</xdr:col>
          <xdr:colOff>482600</xdr:colOff>
          <xdr:row>4</xdr:row>
          <xdr:rowOff>120650</xdr:rowOff>
        </xdr:to>
        <xdr:sp macro="" textlink="">
          <xdr:nvSpPr>
            <xdr:cNvPr id="1116" name="Check Box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BDCDE1"/>
                  </a:solidFill>
                </a14:hiddenFill>
              </a:ext>
              <a:ext uri="{91240B29-F687-4F45-9708-019B960494DF}">
                <a14:hiddenLine w="9525">
                  <a:solidFill>
                    <a:srgbClr val="FF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25400</xdr:colOff>
          <xdr:row>6</xdr:row>
          <xdr:rowOff>6350</xdr:rowOff>
        </xdr:from>
        <xdr:to>
          <xdr:col>6</xdr:col>
          <xdr:colOff>482600</xdr:colOff>
          <xdr:row>7</xdr:row>
          <xdr:rowOff>0</xdr:rowOff>
        </xdr:to>
        <xdr:sp macro="" textlink="">
          <xdr:nvSpPr>
            <xdr:cNvPr id="1117" name="Check Box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BDCDE1"/>
                  </a:solidFill>
                </a14:hiddenFill>
              </a:ext>
              <a:ext uri="{91240B29-F687-4F45-9708-019B960494DF}">
                <a14:hiddenLine w="9525">
                  <a:solidFill>
                    <a:srgbClr val="FF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25400</xdr:colOff>
          <xdr:row>5</xdr:row>
          <xdr:rowOff>6350</xdr:rowOff>
        </xdr:from>
        <xdr:to>
          <xdr:col>6</xdr:col>
          <xdr:colOff>482600</xdr:colOff>
          <xdr:row>6</xdr:row>
          <xdr:rowOff>0</xdr:rowOff>
        </xdr:to>
        <xdr:sp macro="" textlink="">
          <xdr:nvSpPr>
            <xdr:cNvPr id="1418" name="Check Box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0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BDCDE1"/>
                  </a:solidFill>
                </a14:hiddenFill>
              </a:ext>
              <a:ext uri="{91240B29-F687-4F45-9708-019B960494DF}">
                <a14:hiddenLine w="9525">
                  <a:solidFill>
                    <a:srgbClr val="FF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25400</xdr:colOff>
          <xdr:row>8</xdr:row>
          <xdr:rowOff>114300</xdr:rowOff>
        </xdr:from>
        <xdr:to>
          <xdr:col>1</xdr:col>
          <xdr:colOff>1320800</xdr:colOff>
          <xdr:row>10</xdr:row>
          <xdr:rowOff>0</xdr:rowOff>
        </xdr:to>
        <xdr:sp macro="" textlink="">
          <xdr:nvSpPr>
            <xdr:cNvPr id="1670" name="L_Collab" hidden="1">
              <a:extLst>
                <a:ext uri="{63B3BB69-23CF-44E3-9099-C40C66FF867C}">
                  <a14:compatExt spid="_x0000_s1670"/>
                </a:ext>
                <a:ext uri="{FF2B5EF4-FFF2-40B4-BE49-F238E27FC236}">
                  <a16:creationId xmlns:a16="http://schemas.microsoft.com/office/drawing/2014/main" id="{00000000-0008-0000-0000-00008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8</xdr:row>
          <xdr:rowOff>107950</xdr:rowOff>
        </xdr:from>
        <xdr:to>
          <xdr:col>3</xdr:col>
          <xdr:colOff>539750</xdr:colOff>
          <xdr:row>10</xdr:row>
          <xdr:rowOff>6350</xdr:rowOff>
        </xdr:to>
        <xdr:sp macro="" textlink="">
          <xdr:nvSpPr>
            <xdr:cNvPr id="1671" name="L_mois" hidden="1">
              <a:extLst>
                <a:ext uri="{63B3BB69-23CF-44E3-9099-C40C66FF867C}">
                  <a14:compatExt spid="_x0000_s1671"/>
                </a:ext>
                <a:ext uri="{FF2B5EF4-FFF2-40B4-BE49-F238E27FC236}">
                  <a16:creationId xmlns:a16="http://schemas.microsoft.com/office/drawing/2014/main" id="{00000000-0008-0000-0000-00008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215900</xdr:colOff>
          <xdr:row>8</xdr:row>
          <xdr:rowOff>114300</xdr:rowOff>
        </xdr:from>
        <xdr:to>
          <xdr:col>1</xdr:col>
          <xdr:colOff>0</xdr:colOff>
          <xdr:row>10</xdr:row>
          <xdr:rowOff>0</xdr:rowOff>
        </xdr:to>
        <xdr:sp macro="" textlink="">
          <xdr:nvSpPr>
            <xdr:cNvPr id="1672" name="BT_Recharge" hidden="1">
              <a:extLst>
                <a:ext uri="{63B3BB69-23CF-44E3-9099-C40C66FF867C}">
                  <a14:compatExt spid="_x0000_s1672"/>
                </a:ext>
                <a:ext uri="{FF2B5EF4-FFF2-40B4-BE49-F238E27FC236}">
                  <a16:creationId xmlns:a16="http://schemas.microsoft.com/office/drawing/2014/main" id="{00000000-0008-0000-0000-00008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114300</xdr:rowOff>
        </xdr:from>
        <xdr:to>
          <xdr:col>0</xdr:col>
          <xdr:colOff>196850</xdr:colOff>
          <xdr:row>10</xdr:row>
          <xdr:rowOff>0</xdr:rowOff>
        </xdr:to>
        <xdr:sp macro="" textlink="">
          <xdr:nvSpPr>
            <xdr:cNvPr id="1673" name="BT_Ajout_Collab" hidden="1">
              <a:extLst>
                <a:ext uri="{63B3BB69-23CF-44E3-9099-C40C66FF867C}">
                  <a14:compatExt spid="_x0000_s1673"/>
                </a:ext>
                <a:ext uri="{FF2B5EF4-FFF2-40B4-BE49-F238E27FC236}">
                  <a16:creationId xmlns:a16="http://schemas.microsoft.com/office/drawing/2014/main" id="{00000000-0008-0000-0000-00008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8</xdr:row>
          <xdr:rowOff>107950</xdr:rowOff>
        </xdr:from>
        <xdr:to>
          <xdr:col>6</xdr:col>
          <xdr:colOff>349250</xdr:colOff>
          <xdr:row>10</xdr:row>
          <xdr:rowOff>0</xdr:rowOff>
        </xdr:to>
        <xdr:sp macro="" textlink="">
          <xdr:nvSpPr>
            <xdr:cNvPr id="1750" name="BT_commentaire" hidden="1">
              <a:extLst>
                <a:ext uri="{63B3BB69-23CF-44E3-9099-C40C66FF867C}">
                  <a14:compatExt spid="_x0000_s1750"/>
                </a:ext>
                <a:ext uri="{FF2B5EF4-FFF2-40B4-BE49-F238E27FC236}">
                  <a16:creationId xmlns:a16="http://schemas.microsoft.com/office/drawing/2014/main" id="{00000000-0008-0000-0000-0000D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368300</xdr:colOff>
          <xdr:row>8</xdr:row>
          <xdr:rowOff>107950</xdr:rowOff>
        </xdr:from>
        <xdr:to>
          <xdr:col>5</xdr:col>
          <xdr:colOff>44450</xdr:colOff>
          <xdr:row>10</xdr:row>
          <xdr:rowOff>0</xdr:rowOff>
        </xdr:to>
        <xdr:sp macro="" textlink="">
          <xdr:nvSpPr>
            <xdr:cNvPr id="11424" name="Bt_Protect_OnOff" hidden="1">
              <a:extLst>
                <a:ext uri="{63B3BB69-23CF-44E3-9099-C40C66FF867C}">
                  <a14:compatExt spid="_x0000_s11424"/>
                </a:ext>
                <a:ext uri="{FF2B5EF4-FFF2-40B4-BE49-F238E27FC236}">
                  <a16:creationId xmlns:a16="http://schemas.microsoft.com/office/drawing/2014/main" id="{00000000-0008-0000-0000-0000A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368300</xdr:colOff>
          <xdr:row>8</xdr:row>
          <xdr:rowOff>107950</xdr:rowOff>
        </xdr:from>
        <xdr:to>
          <xdr:col>8</xdr:col>
          <xdr:colOff>6350</xdr:colOff>
          <xdr:row>10</xdr:row>
          <xdr:rowOff>0</xdr:rowOff>
        </xdr:to>
        <xdr:sp macro="" textlink="">
          <xdr:nvSpPr>
            <xdr:cNvPr id="22959" name="MAJ_NOTE_Ex" hidden="1">
              <a:extLst>
                <a:ext uri="{63B3BB69-23CF-44E3-9099-C40C66FF867C}">
                  <a14:compatExt spid="_x0000_s22959"/>
                </a:ext>
                <a:ext uri="{FF2B5EF4-FFF2-40B4-BE49-F238E27FC236}">
                  <a16:creationId xmlns:a16="http://schemas.microsoft.com/office/drawing/2014/main" id="{00000000-0008-0000-0000-0000AF5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50800</xdr:colOff>
          <xdr:row>8</xdr:row>
          <xdr:rowOff>107950</xdr:rowOff>
        </xdr:from>
        <xdr:to>
          <xdr:col>5</xdr:col>
          <xdr:colOff>254000</xdr:colOff>
          <xdr:row>10</xdr:row>
          <xdr:rowOff>0</xdr:rowOff>
        </xdr:to>
        <xdr:sp macro="" textlink="">
          <xdr:nvSpPr>
            <xdr:cNvPr id="33713" name="BT_TRI" hidden="1">
              <a:extLst>
                <a:ext uri="{63B3BB69-23CF-44E3-9099-C40C66FF867C}">
                  <a14:compatExt spid="_x0000_s33713"/>
                </a:ext>
                <a:ext uri="{FF2B5EF4-FFF2-40B4-BE49-F238E27FC236}">
                  <a16:creationId xmlns:a16="http://schemas.microsoft.com/office/drawing/2014/main" id="{00000000-0008-0000-0000-0000B18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8</xdr:row>
          <xdr:rowOff>107950</xdr:rowOff>
        </xdr:from>
        <xdr:to>
          <xdr:col>4</xdr:col>
          <xdr:colOff>368300</xdr:colOff>
          <xdr:row>10</xdr:row>
          <xdr:rowOff>0</xdr:rowOff>
        </xdr:to>
        <xdr:sp macro="" textlink="">
          <xdr:nvSpPr>
            <xdr:cNvPr id="45604" name="Bt_masque_F" hidden="1">
              <a:extLst>
                <a:ext uri="{63B3BB69-23CF-44E3-9099-C40C66FF867C}">
                  <a14:compatExt spid="_x0000_s45604"/>
                </a:ext>
                <a:ext uri="{FF2B5EF4-FFF2-40B4-BE49-F238E27FC236}">
                  <a16:creationId xmlns:a16="http://schemas.microsoft.com/office/drawing/2014/main" id="{00000000-0008-0000-0000-000024B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762000</xdr:colOff>
      <xdr:row>22</xdr:row>
      <xdr:rowOff>97155</xdr:rowOff>
    </xdr:from>
    <xdr:to>
      <xdr:col>10</xdr:col>
      <xdr:colOff>405765</xdr:colOff>
      <xdr:row>34</xdr:row>
      <xdr:rowOff>64770</xdr:rowOff>
    </xdr:to>
    <xdr:pic>
      <xdr:nvPicPr>
        <xdr:cNvPr id="2" name="Image 1" descr="cid:image002.png@01D6927F.3DBAC300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3940" y="3983355"/>
          <a:ext cx="7682865" cy="2162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8043</xdr:colOff>
      <xdr:row>99</xdr:row>
      <xdr:rowOff>10584</xdr:rowOff>
    </xdr:from>
    <xdr:to>
      <xdr:col>38</xdr:col>
      <xdr:colOff>95251</xdr:colOff>
      <xdr:row>115</xdr:row>
      <xdr:rowOff>52917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1802678</xdr:colOff>
          <xdr:row>72</xdr:row>
          <xdr:rowOff>120125</xdr:rowOff>
        </xdr:from>
        <xdr:to>
          <xdr:col>5</xdr:col>
          <xdr:colOff>3767</xdr:colOff>
          <xdr:row>80</xdr:row>
          <xdr:rowOff>52170</xdr:rowOff>
        </xdr:to>
        <xdr:grpSp>
          <xdr:nvGrpSpPr>
            <xdr:cNvPr id="3" name="Groupe 2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:cNvPr>
            <xdr:cNvGrpSpPr/>
          </xdr:nvGrpSpPr>
          <xdr:grpSpPr>
            <a:xfrm>
              <a:off x="4495078" y="13366225"/>
              <a:ext cx="302939" cy="1303645"/>
              <a:chOff x="4564725" y="13439209"/>
              <a:chExt cx="229180" cy="1290405"/>
            </a:xfrm>
          </xdr:grpSpPr>
          <xdr:sp macro="" textlink="">
            <xdr:nvSpPr>
              <xdr:cNvPr id="56321" name="Check Box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600-000001DC0000}"/>
                  </a:ext>
                </a:extLst>
              </xdr:cNvPr>
              <xdr:cNvSpPr/>
            </xdr:nvSpPr>
            <xdr:spPr bwMode="auto">
              <a:xfrm>
                <a:off x="4565558" y="13439209"/>
                <a:ext cx="217457" cy="26374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22" name="Check Box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600-000002DC0000}"/>
                  </a:ext>
                </a:extLst>
              </xdr:cNvPr>
              <xdr:cNvSpPr/>
            </xdr:nvSpPr>
            <xdr:spPr bwMode="auto">
              <a:xfrm>
                <a:off x="4564725" y="13617947"/>
                <a:ext cx="229180" cy="26376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23" name="Check Box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600-000003DC0000}"/>
                  </a:ext>
                </a:extLst>
              </xdr:cNvPr>
              <xdr:cNvSpPr/>
            </xdr:nvSpPr>
            <xdr:spPr bwMode="auto">
              <a:xfrm>
                <a:off x="4565558" y="13796643"/>
                <a:ext cx="217460" cy="25614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24" name="Check Box 4" hidden="1">
                <a:extLst>
                  <a:ext uri="{63B3BB69-23CF-44E3-9099-C40C66FF867C}">
                    <a14:compatExt spid="_x0000_s56324"/>
                  </a:ext>
                  <a:ext uri="{FF2B5EF4-FFF2-40B4-BE49-F238E27FC236}">
                    <a16:creationId xmlns:a16="http://schemas.microsoft.com/office/drawing/2014/main" id="{00000000-0008-0000-0600-000004DC0000}"/>
                  </a:ext>
                </a:extLst>
              </xdr:cNvPr>
              <xdr:cNvSpPr/>
            </xdr:nvSpPr>
            <xdr:spPr bwMode="auto">
              <a:xfrm>
                <a:off x="4565558" y="13967716"/>
                <a:ext cx="199876" cy="248528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25" name="Check Box 5" hidden="1">
                <a:extLst>
                  <a:ext uri="{63B3BB69-23CF-44E3-9099-C40C66FF867C}">
                    <a14:compatExt spid="_x0000_s56325"/>
                  </a:ext>
                  <a:ext uri="{FF2B5EF4-FFF2-40B4-BE49-F238E27FC236}">
                    <a16:creationId xmlns:a16="http://schemas.microsoft.com/office/drawing/2014/main" id="{00000000-0008-0000-0600-000005DC0000}"/>
                  </a:ext>
                </a:extLst>
              </xdr:cNvPr>
              <xdr:cNvSpPr/>
            </xdr:nvSpPr>
            <xdr:spPr bwMode="auto">
              <a:xfrm>
                <a:off x="4565558" y="14131167"/>
                <a:ext cx="188149" cy="26376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26" name="Check Box 6" hidden="1">
                <a:extLst>
                  <a:ext uri="{63B3BB69-23CF-44E3-9099-C40C66FF867C}">
                    <a14:compatExt spid="_x0000_s56326"/>
                  </a:ext>
                  <a:ext uri="{FF2B5EF4-FFF2-40B4-BE49-F238E27FC236}">
                    <a16:creationId xmlns:a16="http://schemas.microsoft.com/office/drawing/2014/main" id="{00000000-0008-0000-0600-000006DC0000}"/>
                  </a:ext>
                </a:extLst>
              </xdr:cNvPr>
              <xdr:cNvSpPr/>
            </xdr:nvSpPr>
            <xdr:spPr bwMode="auto">
              <a:xfrm>
                <a:off x="4565558" y="14309860"/>
                <a:ext cx="188149" cy="248530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27" name="Check Box 7" hidden="1">
                <a:extLst>
                  <a:ext uri="{63B3BB69-23CF-44E3-9099-C40C66FF867C}">
                    <a14:compatExt spid="_x0000_s56327"/>
                  </a:ext>
                  <a:ext uri="{FF2B5EF4-FFF2-40B4-BE49-F238E27FC236}">
                    <a16:creationId xmlns:a16="http://schemas.microsoft.com/office/drawing/2014/main" id="{00000000-0008-0000-0600-000007DC0000}"/>
                  </a:ext>
                </a:extLst>
              </xdr:cNvPr>
              <xdr:cNvSpPr/>
            </xdr:nvSpPr>
            <xdr:spPr bwMode="auto">
              <a:xfrm>
                <a:off x="4565558" y="14473465"/>
                <a:ext cx="188149" cy="25614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</xdr:grpSp>
        <xdr:clientData/>
      </xdr:twoCellAnchor>
    </mc:Choice>
    <mc:Fallback/>
  </mc:AlternateContent>
  <xdr:twoCellAnchor>
    <xdr:from>
      <xdr:col>0</xdr:col>
      <xdr:colOff>577215</xdr:colOff>
      <xdr:row>102</xdr:row>
      <xdr:rowOff>94403</xdr:rowOff>
    </xdr:from>
    <xdr:to>
      <xdr:col>1</xdr:col>
      <xdr:colOff>114102</xdr:colOff>
      <xdr:row>104</xdr:row>
      <xdr:rowOff>2680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 txBox="1"/>
      </xdr:nvSpPr>
      <xdr:spPr>
        <a:xfrm>
          <a:off x="577215" y="16372628"/>
          <a:ext cx="422712" cy="2321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>
              <a:solidFill>
                <a:srgbClr val="FFFF00"/>
              </a:solidFill>
            </a:rPr>
            <a:t>*</a:t>
          </a:r>
        </a:p>
      </xdr:txBody>
    </xdr:sp>
    <xdr:clientData/>
  </xdr:twoCellAnchor>
  <xdr:twoCellAnchor>
    <xdr:from>
      <xdr:col>3</xdr:col>
      <xdr:colOff>1790699</xdr:colOff>
      <xdr:row>86</xdr:row>
      <xdr:rowOff>129540</xdr:rowOff>
    </xdr:from>
    <xdr:to>
      <xdr:col>4</xdr:col>
      <xdr:colOff>15240</xdr:colOff>
      <xdr:row>89</xdr:row>
      <xdr:rowOff>857</xdr:rowOff>
    </xdr:to>
    <xdr:sp macro="" textlink="">
      <xdr:nvSpPr>
        <xdr:cNvPr id="12" name="ZoneTexte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 txBox="1"/>
      </xdr:nvSpPr>
      <xdr:spPr>
        <a:xfrm>
          <a:off x="4362449" y="14074140"/>
          <a:ext cx="53341" cy="2523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>
              <a:solidFill>
                <a:srgbClr val="FFFF00"/>
              </a:solidFill>
            </a:rPr>
            <a:t>*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6350</xdr:colOff>
          <xdr:row>87</xdr:row>
          <xdr:rowOff>0</xdr:rowOff>
        </xdr:from>
        <xdr:to>
          <xdr:col>5</xdr:col>
          <xdr:colOff>25400</xdr:colOff>
          <xdr:row>89</xdr:row>
          <xdr:rowOff>63500</xdr:rowOff>
        </xdr:to>
        <xdr:sp macro="" textlink="">
          <xdr:nvSpPr>
            <xdr:cNvPr id="56328" name="Check Box 8" descr="En activant la case vous remplacer les valeurs prévisionnelles par les valeurs réelles, vous permettant ainsi d'avoir une idée sur l'évolution du nombre d'agents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06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228600</xdr:colOff>
          <xdr:row>72</xdr:row>
          <xdr:rowOff>121920</xdr:rowOff>
        </xdr:from>
        <xdr:to>
          <xdr:col>22</xdr:col>
          <xdr:colOff>7029</xdr:colOff>
          <xdr:row>80</xdr:row>
          <xdr:rowOff>53965</xdr:rowOff>
        </xdr:to>
        <xdr:grpSp>
          <xdr:nvGrpSpPr>
            <xdr:cNvPr id="14" name="Groupe 13">
              <a:extLst>
                <a:ext uri="{FF2B5EF4-FFF2-40B4-BE49-F238E27FC236}">
                  <a16:creationId xmlns:a16="http://schemas.microsoft.com/office/drawing/2014/main" id="{00000000-0008-0000-0600-00000E000000}"/>
                </a:ext>
              </a:extLst>
            </xdr:cNvPr>
            <xdr:cNvGrpSpPr/>
          </xdr:nvGrpSpPr>
          <xdr:grpSpPr>
            <a:xfrm>
              <a:off x="12134850" y="13368020"/>
              <a:ext cx="222929" cy="1303645"/>
              <a:chOff x="4975847" y="13592411"/>
              <a:chExt cx="212770" cy="1273160"/>
            </a:xfrm>
          </xdr:grpSpPr>
          <xdr:sp macro="" textlink="">
            <xdr:nvSpPr>
              <xdr:cNvPr id="56329" name="Check Box 9" hidden="1">
                <a:extLst>
                  <a:ext uri="{63B3BB69-23CF-44E3-9099-C40C66FF867C}">
                    <a14:compatExt spid="_x0000_s56329"/>
                  </a:ext>
                  <a:ext uri="{FF2B5EF4-FFF2-40B4-BE49-F238E27FC236}">
                    <a16:creationId xmlns:a16="http://schemas.microsoft.com/office/drawing/2014/main" id="{00000000-0008-0000-0600-000009DC0000}"/>
                  </a:ext>
                </a:extLst>
              </xdr:cNvPr>
              <xdr:cNvSpPr/>
            </xdr:nvSpPr>
            <xdr:spPr bwMode="auto">
              <a:xfrm>
                <a:off x="4976536" y="13592411"/>
                <a:ext cx="201887" cy="260261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30" name="Check Box 10" hidden="1">
                <a:extLst>
                  <a:ext uri="{63B3BB69-23CF-44E3-9099-C40C66FF867C}">
                    <a14:compatExt spid="_x0000_s56330"/>
                  </a:ext>
                  <a:ext uri="{FF2B5EF4-FFF2-40B4-BE49-F238E27FC236}">
                    <a16:creationId xmlns:a16="http://schemas.microsoft.com/office/drawing/2014/main" id="{00000000-0008-0000-0600-00000ADC0000}"/>
                  </a:ext>
                </a:extLst>
              </xdr:cNvPr>
              <xdr:cNvSpPr/>
            </xdr:nvSpPr>
            <xdr:spPr bwMode="auto">
              <a:xfrm>
                <a:off x="4975847" y="13768604"/>
                <a:ext cx="212770" cy="260264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31" name="Check Box 11" hidden="1">
                <a:extLst>
                  <a:ext uri="{63B3BB69-23CF-44E3-9099-C40C66FF867C}">
                    <a14:compatExt spid="_x0000_s56331"/>
                  </a:ext>
                  <a:ext uri="{FF2B5EF4-FFF2-40B4-BE49-F238E27FC236}">
                    <a16:creationId xmlns:a16="http://schemas.microsoft.com/office/drawing/2014/main" id="{00000000-0008-0000-0600-00000BDC0000}"/>
                  </a:ext>
                </a:extLst>
              </xdr:cNvPr>
              <xdr:cNvSpPr/>
            </xdr:nvSpPr>
            <xdr:spPr bwMode="auto">
              <a:xfrm>
                <a:off x="4976536" y="13944924"/>
                <a:ext cx="201886" cy="252746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32" name="Check Box 12" hidden="1">
                <a:extLst>
                  <a:ext uri="{63B3BB69-23CF-44E3-9099-C40C66FF867C}">
                    <a14:compatExt spid="_x0000_s56332"/>
                  </a:ext>
                  <a:ext uri="{FF2B5EF4-FFF2-40B4-BE49-F238E27FC236}">
                    <a16:creationId xmlns:a16="http://schemas.microsoft.com/office/drawing/2014/main" id="{00000000-0008-0000-0600-00000CDC0000}"/>
                  </a:ext>
                </a:extLst>
              </xdr:cNvPr>
              <xdr:cNvSpPr/>
            </xdr:nvSpPr>
            <xdr:spPr bwMode="auto">
              <a:xfrm>
                <a:off x="4976536" y="14113724"/>
                <a:ext cx="185562" cy="245227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33" name="Check Box 13" hidden="1">
                <a:extLst>
                  <a:ext uri="{63B3BB69-23CF-44E3-9099-C40C66FF867C}">
                    <a14:compatExt spid="_x0000_s56333"/>
                  </a:ext>
                  <a:ext uri="{FF2B5EF4-FFF2-40B4-BE49-F238E27FC236}">
                    <a16:creationId xmlns:a16="http://schemas.microsoft.com/office/drawing/2014/main" id="{00000000-0008-0000-0600-00000DDC0000}"/>
                  </a:ext>
                </a:extLst>
              </xdr:cNvPr>
              <xdr:cNvSpPr/>
            </xdr:nvSpPr>
            <xdr:spPr bwMode="auto">
              <a:xfrm>
                <a:off x="4976536" y="14275005"/>
                <a:ext cx="174678" cy="260264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34" name="Check Box 14" hidden="1">
                <a:extLst>
                  <a:ext uri="{63B3BB69-23CF-44E3-9099-C40C66FF867C}">
                    <a14:compatExt spid="_x0000_s56334"/>
                  </a:ext>
                  <a:ext uri="{FF2B5EF4-FFF2-40B4-BE49-F238E27FC236}">
                    <a16:creationId xmlns:a16="http://schemas.microsoft.com/office/drawing/2014/main" id="{00000000-0008-0000-0600-00000EDC0000}"/>
                  </a:ext>
                </a:extLst>
              </xdr:cNvPr>
              <xdr:cNvSpPr/>
            </xdr:nvSpPr>
            <xdr:spPr bwMode="auto">
              <a:xfrm>
                <a:off x="4976536" y="14451323"/>
                <a:ext cx="174678" cy="245228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35" name="Check Box 15" hidden="1">
                <a:extLst>
                  <a:ext uri="{63B3BB69-23CF-44E3-9099-C40C66FF867C}">
                    <a14:compatExt spid="_x0000_s56335"/>
                  </a:ext>
                  <a:ext uri="{FF2B5EF4-FFF2-40B4-BE49-F238E27FC236}">
                    <a16:creationId xmlns:a16="http://schemas.microsoft.com/office/drawing/2014/main" id="{00000000-0008-0000-0600-00000FDC0000}"/>
                  </a:ext>
                </a:extLst>
              </xdr:cNvPr>
              <xdr:cNvSpPr/>
            </xdr:nvSpPr>
            <xdr:spPr bwMode="auto">
              <a:xfrm>
                <a:off x="4976536" y="14612819"/>
                <a:ext cx="174678" cy="252752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225449</xdr:colOff>
          <xdr:row>72</xdr:row>
          <xdr:rowOff>120125</xdr:rowOff>
        </xdr:from>
        <xdr:to>
          <xdr:col>23</xdr:col>
          <xdr:colOff>3878</xdr:colOff>
          <xdr:row>80</xdr:row>
          <xdr:rowOff>52170</xdr:rowOff>
        </xdr:to>
        <xdr:grpSp>
          <xdr:nvGrpSpPr>
            <xdr:cNvPr id="22" name="Groupe 21">
              <a:extLst>
                <a:ext uri="{FF2B5EF4-FFF2-40B4-BE49-F238E27FC236}">
                  <a16:creationId xmlns:a16="http://schemas.microsoft.com/office/drawing/2014/main" id="{00000000-0008-0000-0600-000016000000}"/>
                </a:ext>
              </a:extLst>
            </xdr:cNvPr>
            <xdr:cNvGrpSpPr/>
          </xdr:nvGrpSpPr>
          <xdr:grpSpPr>
            <a:xfrm>
              <a:off x="12576199" y="13366225"/>
              <a:ext cx="222929" cy="1303645"/>
              <a:chOff x="4975554" y="13592411"/>
              <a:chExt cx="212771" cy="1273160"/>
            </a:xfrm>
          </xdr:grpSpPr>
          <xdr:sp macro="" textlink="">
            <xdr:nvSpPr>
              <xdr:cNvPr id="56336" name="Check Box 16" hidden="1">
                <a:extLst>
                  <a:ext uri="{63B3BB69-23CF-44E3-9099-C40C66FF867C}">
                    <a14:compatExt spid="_x0000_s56336"/>
                  </a:ext>
                  <a:ext uri="{FF2B5EF4-FFF2-40B4-BE49-F238E27FC236}">
                    <a16:creationId xmlns:a16="http://schemas.microsoft.com/office/drawing/2014/main" id="{00000000-0008-0000-0600-000010DC0000}"/>
                  </a:ext>
                </a:extLst>
              </xdr:cNvPr>
              <xdr:cNvSpPr/>
            </xdr:nvSpPr>
            <xdr:spPr bwMode="auto">
              <a:xfrm>
                <a:off x="4976536" y="13592411"/>
                <a:ext cx="201886" cy="260261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37" name="Check Box 17" hidden="1">
                <a:extLst>
                  <a:ext uri="{63B3BB69-23CF-44E3-9099-C40C66FF867C}">
                    <a14:compatExt spid="_x0000_s56337"/>
                  </a:ext>
                  <a:ext uri="{FF2B5EF4-FFF2-40B4-BE49-F238E27FC236}">
                    <a16:creationId xmlns:a16="http://schemas.microsoft.com/office/drawing/2014/main" id="{00000000-0008-0000-0600-000011DC0000}"/>
                  </a:ext>
                </a:extLst>
              </xdr:cNvPr>
              <xdr:cNvSpPr/>
            </xdr:nvSpPr>
            <xdr:spPr bwMode="auto">
              <a:xfrm>
                <a:off x="4975554" y="13768604"/>
                <a:ext cx="212771" cy="260264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38" name="Check Box 18" hidden="1">
                <a:extLst>
                  <a:ext uri="{63B3BB69-23CF-44E3-9099-C40C66FF867C}">
                    <a14:compatExt spid="_x0000_s56338"/>
                  </a:ext>
                  <a:ext uri="{FF2B5EF4-FFF2-40B4-BE49-F238E27FC236}">
                    <a16:creationId xmlns:a16="http://schemas.microsoft.com/office/drawing/2014/main" id="{00000000-0008-0000-0600-000012DC0000}"/>
                  </a:ext>
                </a:extLst>
              </xdr:cNvPr>
              <xdr:cNvSpPr/>
            </xdr:nvSpPr>
            <xdr:spPr bwMode="auto">
              <a:xfrm>
                <a:off x="4976538" y="13944924"/>
                <a:ext cx="201886" cy="252746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39" name="Check Box 19" hidden="1">
                <a:extLst>
                  <a:ext uri="{63B3BB69-23CF-44E3-9099-C40C66FF867C}">
                    <a14:compatExt spid="_x0000_s56339"/>
                  </a:ext>
                  <a:ext uri="{FF2B5EF4-FFF2-40B4-BE49-F238E27FC236}">
                    <a16:creationId xmlns:a16="http://schemas.microsoft.com/office/drawing/2014/main" id="{00000000-0008-0000-0600-000013DC0000}"/>
                  </a:ext>
                </a:extLst>
              </xdr:cNvPr>
              <xdr:cNvSpPr/>
            </xdr:nvSpPr>
            <xdr:spPr bwMode="auto">
              <a:xfrm>
                <a:off x="4976538" y="14113724"/>
                <a:ext cx="185562" cy="245227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40" name="Check Box 20" hidden="1">
                <a:extLst>
                  <a:ext uri="{63B3BB69-23CF-44E3-9099-C40C66FF867C}">
                    <a14:compatExt spid="_x0000_s56340"/>
                  </a:ext>
                  <a:ext uri="{FF2B5EF4-FFF2-40B4-BE49-F238E27FC236}">
                    <a16:creationId xmlns:a16="http://schemas.microsoft.com/office/drawing/2014/main" id="{00000000-0008-0000-0600-000014DC0000}"/>
                  </a:ext>
                </a:extLst>
              </xdr:cNvPr>
              <xdr:cNvSpPr/>
            </xdr:nvSpPr>
            <xdr:spPr bwMode="auto">
              <a:xfrm>
                <a:off x="4976538" y="14275005"/>
                <a:ext cx="174678" cy="260264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41" name="Check Box 21" hidden="1">
                <a:extLst>
                  <a:ext uri="{63B3BB69-23CF-44E3-9099-C40C66FF867C}">
                    <a14:compatExt spid="_x0000_s56341"/>
                  </a:ext>
                  <a:ext uri="{FF2B5EF4-FFF2-40B4-BE49-F238E27FC236}">
                    <a16:creationId xmlns:a16="http://schemas.microsoft.com/office/drawing/2014/main" id="{00000000-0008-0000-0600-000015DC0000}"/>
                  </a:ext>
                </a:extLst>
              </xdr:cNvPr>
              <xdr:cNvSpPr/>
            </xdr:nvSpPr>
            <xdr:spPr bwMode="auto">
              <a:xfrm>
                <a:off x="4976538" y="14451323"/>
                <a:ext cx="174678" cy="245228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42" name="Check Box 22" hidden="1">
                <a:extLst>
                  <a:ext uri="{63B3BB69-23CF-44E3-9099-C40C66FF867C}">
                    <a14:compatExt spid="_x0000_s56342"/>
                  </a:ext>
                  <a:ext uri="{FF2B5EF4-FFF2-40B4-BE49-F238E27FC236}">
                    <a16:creationId xmlns:a16="http://schemas.microsoft.com/office/drawing/2014/main" id="{00000000-0008-0000-0600-000016DC0000}"/>
                  </a:ext>
                </a:extLst>
              </xdr:cNvPr>
              <xdr:cNvSpPr/>
            </xdr:nvSpPr>
            <xdr:spPr bwMode="auto">
              <a:xfrm>
                <a:off x="4976538" y="14612819"/>
                <a:ext cx="174678" cy="252752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231174</xdr:colOff>
          <xdr:row>72</xdr:row>
          <xdr:rowOff>121920</xdr:rowOff>
        </xdr:from>
        <xdr:to>
          <xdr:col>24</xdr:col>
          <xdr:colOff>9603</xdr:colOff>
          <xdr:row>80</xdr:row>
          <xdr:rowOff>53965</xdr:rowOff>
        </xdr:to>
        <xdr:grpSp>
          <xdr:nvGrpSpPr>
            <xdr:cNvPr id="30" name="Groupe 29">
              <a:extLst>
                <a:ext uri="{FF2B5EF4-FFF2-40B4-BE49-F238E27FC236}">
                  <a16:creationId xmlns:a16="http://schemas.microsoft.com/office/drawing/2014/main" id="{00000000-0008-0000-0600-00001E000000}"/>
                </a:ext>
              </a:extLst>
            </xdr:cNvPr>
            <xdr:cNvGrpSpPr/>
          </xdr:nvGrpSpPr>
          <xdr:grpSpPr>
            <a:xfrm>
              <a:off x="13026424" y="13368020"/>
              <a:ext cx="222929" cy="1303645"/>
              <a:chOff x="4975183" y="13592411"/>
              <a:chExt cx="212770" cy="1273160"/>
            </a:xfrm>
          </xdr:grpSpPr>
          <xdr:sp macro="" textlink="">
            <xdr:nvSpPr>
              <xdr:cNvPr id="56343" name="Check Box 23" hidden="1">
                <a:extLst>
                  <a:ext uri="{63B3BB69-23CF-44E3-9099-C40C66FF867C}">
                    <a14:compatExt spid="_x0000_s56343"/>
                  </a:ext>
                  <a:ext uri="{FF2B5EF4-FFF2-40B4-BE49-F238E27FC236}">
                    <a16:creationId xmlns:a16="http://schemas.microsoft.com/office/drawing/2014/main" id="{00000000-0008-0000-0600-000017DC0000}"/>
                  </a:ext>
                </a:extLst>
              </xdr:cNvPr>
              <xdr:cNvSpPr/>
            </xdr:nvSpPr>
            <xdr:spPr bwMode="auto">
              <a:xfrm>
                <a:off x="4976535" y="13592411"/>
                <a:ext cx="201887" cy="260261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44" name="Check Box 24" hidden="1">
                <a:extLst>
                  <a:ext uri="{63B3BB69-23CF-44E3-9099-C40C66FF867C}">
                    <a14:compatExt spid="_x0000_s56344"/>
                  </a:ext>
                  <a:ext uri="{FF2B5EF4-FFF2-40B4-BE49-F238E27FC236}">
                    <a16:creationId xmlns:a16="http://schemas.microsoft.com/office/drawing/2014/main" id="{00000000-0008-0000-0600-000018DC0000}"/>
                  </a:ext>
                </a:extLst>
              </xdr:cNvPr>
              <xdr:cNvSpPr/>
            </xdr:nvSpPr>
            <xdr:spPr bwMode="auto">
              <a:xfrm>
                <a:off x="4975183" y="13768604"/>
                <a:ext cx="212770" cy="260264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45" name="Check Box 25" hidden="1">
                <a:extLst>
                  <a:ext uri="{63B3BB69-23CF-44E3-9099-C40C66FF867C}">
                    <a14:compatExt spid="_x0000_s56345"/>
                  </a:ext>
                  <a:ext uri="{FF2B5EF4-FFF2-40B4-BE49-F238E27FC236}">
                    <a16:creationId xmlns:a16="http://schemas.microsoft.com/office/drawing/2014/main" id="{00000000-0008-0000-0600-000019DC0000}"/>
                  </a:ext>
                </a:extLst>
              </xdr:cNvPr>
              <xdr:cNvSpPr/>
            </xdr:nvSpPr>
            <xdr:spPr bwMode="auto">
              <a:xfrm>
                <a:off x="4976535" y="13944924"/>
                <a:ext cx="201885" cy="252746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46" name="Check Box 26" hidden="1">
                <a:extLst>
                  <a:ext uri="{63B3BB69-23CF-44E3-9099-C40C66FF867C}">
                    <a14:compatExt spid="_x0000_s56346"/>
                  </a:ext>
                  <a:ext uri="{FF2B5EF4-FFF2-40B4-BE49-F238E27FC236}">
                    <a16:creationId xmlns:a16="http://schemas.microsoft.com/office/drawing/2014/main" id="{00000000-0008-0000-0600-00001ADC0000}"/>
                  </a:ext>
                </a:extLst>
              </xdr:cNvPr>
              <xdr:cNvSpPr/>
            </xdr:nvSpPr>
            <xdr:spPr bwMode="auto">
              <a:xfrm>
                <a:off x="4976535" y="14113724"/>
                <a:ext cx="185563" cy="245227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47" name="Check Box 27" hidden="1">
                <a:extLst>
                  <a:ext uri="{63B3BB69-23CF-44E3-9099-C40C66FF867C}">
                    <a14:compatExt spid="_x0000_s56347"/>
                  </a:ext>
                  <a:ext uri="{FF2B5EF4-FFF2-40B4-BE49-F238E27FC236}">
                    <a16:creationId xmlns:a16="http://schemas.microsoft.com/office/drawing/2014/main" id="{00000000-0008-0000-0600-00001BDC0000}"/>
                  </a:ext>
                </a:extLst>
              </xdr:cNvPr>
              <xdr:cNvSpPr/>
            </xdr:nvSpPr>
            <xdr:spPr bwMode="auto">
              <a:xfrm>
                <a:off x="4976535" y="14275005"/>
                <a:ext cx="174678" cy="260264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48" name="Check Box 28" hidden="1">
                <a:extLst>
                  <a:ext uri="{63B3BB69-23CF-44E3-9099-C40C66FF867C}">
                    <a14:compatExt spid="_x0000_s56348"/>
                  </a:ext>
                  <a:ext uri="{FF2B5EF4-FFF2-40B4-BE49-F238E27FC236}">
                    <a16:creationId xmlns:a16="http://schemas.microsoft.com/office/drawing/2014/main" id="{00000000-0008-0000-0600-00001CDC0000}"/>
                  </a:ext>
                </a:extLst>
              </xdr:cNvPr>
              <xdr:cNvSpPr/>
            </xdr:nvSpPr>
            <xdr:spPr bwMode="auto">
              <a:xfrm>
                <a:off x="4976535" y="14451323"/>
                <a:ext cx="174678" cy="245228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49" name="Check Box 29" hidden="1">
                <a:extLst>
                  <a:ext uri="{63B3BB69-23CF-44E3-9099-C40C66FF867C}">
                    <a14:compatExt spid="_x0000_s56349"/>
                  </a:ext>
                  <a:ext uri="{FF2B5EF4-FFF2-40B4-BE49-F238E27FC236}">
                    <a16:creationId xmlns:a16="http://schemas.microsoft.com/office/drawing/2014/main" id="{00000000-0008-0000-0600-00001DDC0000}"/>
                  </a:ext>
                </a:extLst>
              </xdr:cNvPr>
              <xdr:cNvSpPr/>
            </xdr:nvSpPr>
            <xdr:spPr bwMode="auto">
              <a:xfrm>
                <a:off x="4976535" y="14612819"/>
                <a:ext cx="174678" cy="252752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240060</xdr:colOff>
          <xdr:row>72</xdr:row>
          <xdr:rowOff>121920</xdr:rowOff>
        </xdr:from>
        <xdr:to>
          <xdr:col>25</xdr:col>
          <xdr:colOff>18489</xdr:colOff>
          <xdr:row>80</xdr:row>
          <xdr:rowOff>53965</xdr:rowOff>
        </xdr:to>
        <xdr:grpSp>
          <xdr:nvGrpSpPr>
            <xdr:cNvPr id="38" name="Groupe 37">
              <a:extLst>
                <a:ext uri="{FF2B5EF4-FFF2-40B4-BE49-F238E27FC236}">
                  <a16:creationId xmlns:a16="http://schemas.microsoft.com/office/drawing/2014/main" id="{00000000-0008-0000-0600-000026000000}"/>
                </a:ext>
              </a:extLst>
            </xdr:cNvPr>
            <xdr:cNvGrpSpPr/>
          </xdr:nvGrpSpPr>
          <xdr:grpSpPr>
            <a:xfrm>
              <a:off x="13479810" y="13368020"/>
              <a:ext cx="222929" cy="1303645"/>
              <a:chOff x="4975384" y="13592411"/>
              <a:chExt cx="212770" cy="1273160"/>
            </a:xfrm>
          </xdr:grpSpPr>
          <xdr:sp macro="" textlink="">
            <xdr:nvSpPr>
              <xdr:cNvPr id="56350" name="Check Box 30" hidden="1">
                <a:extLst>
                  <a:ext uri="{63B3BB69-23CF-44E3-9099-C40C66FF867C}">
                    <a14:compatExt spid="_x0000_s56350"/>
                  </a:ext>
                  <a:ext uri="{FF2B5EF4-FFF2-40B4-BE49-F238E27FC236}">
                    <a16:creationId xmlns:a16="http://schemas.microsoft.com/office/drawing/2014/main" id="{00000000-0008-0000-0600-00001EDC0000}"/>
                  </a:ext>
                </a:extLst>
              </xdr:cNvPr>
              <xdr:cNvSpPr/>
            </xdr:nvSpPr>
            <xdr:spPr bwMode="auto">
              <a:xfrm>
                <a:off x="4976536" y="13592411"/>
                <a:ext cx="201887" cy="260261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51" name="Check Box 31" hidden="1">
                <a:extLst>
                  <a:ext uri="{63B3BB69-23CF-44E3-9099-C40C66FF867C}">
                    <a14:compatExt spid="_x0000_s56351"/>
                  </a:ext>
                  <a:ext uri="{FF2B5EF4-FFF2-40B4-BE49-F238E27FC236}">
                    <a16:creationId xmlns:a16="http://schemas.microsoft.com/office/drawing/2014/main" id="{00000000-0008-0000-0600-00001FDC0000}"/>
                  </a:ext>
                </a:extLst>
              </xdr:cNvPr>
              <xdr:cNvSpPr/>
            </xdr:nvSpPr>
            <xdr:spPr bwMode="auto">
              <a:xfrm>
                <a:off x="4975384" y="13768604"/>
                <a:ext cx="212770" cy="260264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52" name="Check Box 32" hidden="1">
                <a:extLst>
                  <a:ext uri="{63B3BB69-23CF-44E3-9099-C40C66FF867C}">
                    <a14:compatExt spid="_x0000_s56352"/>
                  </a:ext>
                  <a:ext uri="{FF2B5EF4-FFF2-40B4-BE49-F238E27FC236}">
                    <a16:creationId xmlns:a16="http://schemas.microsoft.com/office/drawing/2014/main" id="{00000000-0008-0000-0600-000020DC0000}"/>
                  </a:ext>
                </a:extLst>
              </xdr:cNvPr>
              <xdr:cNvSpPr/>
            </xdr:nvSpPr>
            <xdr:spPr bwMode="auto">
              <a:xfrm>
                <a:off x="4976536" y="13944924"/>
                <a:ext cx="201885" cy="252746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53" name="Check Box 33" hidden="1">
                <a:extLst>
                  <a:ext uri="{63B3BB69-23CF-44E3-9099-C40C66FF867C}">
                    <a14:compatExt spid="_x0000_s56353"/>
                  </a:ext>
                  <a:ext uri="{FF2B5EF4-FFF2-40B4-BE49-F238E27FC236}">
                    <a16:creationId xmlns:a16="http://schemas.microsoft.com/office/drawing/2014/main" id="{00000000-0008-0000-0600-000021DC0000}"/>
                  </a:ext>
                </a:extLst>
              </xdr:cNvPr>
              <xdr:cNvSpPr/>
            </xdr:nvSpPr>
            <xdr:spPr bwMode="auto">
              <a:xfrm>
                <a:off x="4976536" y="14113724"/>
                <a:ext cx="185561" cy="245227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54" name="Check Box 34" hidden="1">
                <a:extLst>
                  <a:ext uri="{63B3BB69-23CF-44E3-9099-C40C66FF867C}">
                    <a14:compatExt spid="_x0000_s56354"/>
                  </a:ext>
                  <a:ext uri="{FF2B5EF4-FFF2-40B4-BE49-F238E27FC236}">
                    <a16:creationId xmlns:a16="http://schemas.microsoft.com/office/drawing/2014/main" id="{00000000-0008-0000-0600-000022DC0000}"/>
                  </a:ext>
                </a:extLst>
              </xdr:cNvPr>
              <xdr:cNvSpPr/>
            </xdr:nvSpPr>
            <xdr:spPr bwMode="auto">
              <a:xfrm>
                <a:off x="4976536" y="14275005"/>
                <a:ext cx="174678" cy="260264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55" name="Check Box 35" hidden="1">
                <a:extLst>
                  <a:ext uri="{63B3BB69-23CF-44E3-9099-C40C66FF867C}">
                    <a14:compatExt spid="_x0000_s56355"/>
                  </a:ext>
                  <a:ext uri="{FF2B5EF4-FFF2-40B4-BE49-F238E27FC236}">
                    <a16:creationId xmlns:a16="http://schemas.microsoft.com/office/drawing/2014/main" id="{00000000-0008-0000-0600-000023DC0000}"/>
                  </a:ext>
                </a:extLst>
              </xdr:cNvPr>
              <xdr:cNvSpPr/>
            </xdr:nvSpPr>
            <xdr:spPr bwMode="auto">
              <a:xfrm>
                <a:off x="4976536" y="14451323"/>
                <a:ext cx="174678" cy="245228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56" name="Check Box 36" hidden="1">
                <a:extLst>
                  <a:ext uri="{63B3BB69-23CF-44E3-9099-C40C66FF867C}">
                    <a14:compatExt spid="_x0000_s56356"/>
                  </a:ext>
                  <a:ext uri="{FF2B5EF4-FFF2-40B4-BE49-F238E27FC236}">
                    <a16:creationId xmlns:a16="http://schemas.microsoft.com/office/drawing/2014/main" id="{00000000-0008-0000-0600-000024DC0000}"/>
                  </a:ext>
                </a:extLst>
              </xdr:cNvPr>
              <xdr:cNvSpPr/>
            </xdr:nvSpPr>
            <xdr:spPr bwMode="auto">
              <a:xfrm>
                <a:off x="4976536" y="14612819"/>
                <a:ext cx="174678" cy="252752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239283</xdr:colOff>
          <xdr:row>72</xdr:row>
          <xdr:rowOff>120125</xdr:rowOff>
        </xdr:from>
        <xdr:to>
          <xdr:col>26</xdr:col>
          <xdr:colOff>17712</xdr:colOff>
          <xdr:row>80</xdr:row>
          <xdr:rowOff>52170</xdr:rowOff>
        </xdr:to>
        <xdr:grpSp>
          <xdr:nvGrpSpPr>
            <xdr:cNvPr id="46" name="Groupe 45">
              <a:extLst>
                <a:ext uri="{FF2B5EF4-FFF2-40B4-BE49-F238E27FC236}">
                  <a16:creationId xmlns:a16="http://schemas.microsoft.com/office/drawing/2014/main" id="{00000000-0008-0000-0600-00002E000000}"/>
                </a:ext>
              </a:extLst>
            </xdr:cNvPr>
            <xdr:cNvGrpSpPr/>
          </xdr:nvGrpSpPr>
          <xdr:grpSpPr>
            <a:xfrm>
              <a:off x="13923533" y="13366225"/>
              <a:ext cx="222929" cy="1303645"/>
              <a:chOff x="4976266" y="13592411"/>
              <a:chExt cx="212771" cy="1273160"/>
            </a:xfrm>
          </xdr:grpSpPr>
          <xdr:sp macro="" textlink="">
            <xdr:nvSpPr>
              <xdr:cNvPr id="56357" name="Check Box 37" hidden="1">
                <a:extLst>
                  <a:ext uri="{63B3BB69-23CF-44E3-9099-C40C66FF867C}">
                    <a14:compatExt spid="_x0000_s56357"/>
                  </a:ext>
                  <a:ext uri="{FF2B5EF4-FFF2-40B4-BE49-F238E27FC236}">
                    <a16:creationId xmlns:a16="http://schemas.microsoft.com/office/drawing/2014/main" id="{00000000-0008-0000-0600-000025DC0000}"/>
                  </a:ext>
                </a:extLst>
              </xdr:cNvPr>
              <xdr:cNvSpPr/>
            </xdr:nvSpPr>
            <xdr:spPr bwMode="auto">
              <a:xfrm>
                <a:off x="4976537" y="13592411"/>
                <a:ext cx="201886" cy="260261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58" name="Check Box 38" hidden="1">
                <a:extLst>
                  <a:ext uri="{63B3BB69-23CF-44E3-9099-C40C66FF867C}">
                    <a14:compatExt spid="_x0000_s56358"/>
                  </a:ext>
                  <a:ext uri="{FF2B5EF4-FFF2-40B4-BE49-F238E27FC236}">
                    <a16:creationId xmlns:a16="http://schemas.microsoft.com/office/drawing/2014/main" id="{00000000-0008-0000-0600-000026DC0000}"/>
                  </a:ext>
                </a:extLst>
              </xdr:cNvPr>
              <xdr:cNvSpPr/>
            </xdr:nvSpPr>
            <xdr:spPr bwMode="auto">
              <a:xfrm>
                <a:off x="4976266" y="13768604"/>
                <a:ext cx="212771" cy="260264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59" name="Check Box 39" hidden="1">
                <a:extLst>
                  <a:ext uri="{63B3BB69-23CF-44E3-9099-C40C66FF867C}">
                    <a14:compatExt spid="_x0000_s56359"/>
                  </a:ext>
                  <a:ext uri="{FF2B5EF4-FFF2-40B4-BE49-F238E27FC236}">
                    <a16:creationId xmlns:a16="http://schemas.microsoft.com/office/drawing/2014/main" id="{00000000-0008-0000-0600-000027DC0000}"/>
                  </a:ext>
                </a:extLst>
              </xdr:cNvPr>
              <xdr:cNvSpPr/>
            </xdr:nvSpPr>
            <xdr:spPr bwMode="auto">
              <a:xfrm>
                <a:off x="4976536" y="13944924"/>
                <a:ext cx="201886" cy="252746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60" name="Check Box 40" hidden="1">
                <a:extLst>
                  <a:ext uri="{63B3BB69-23CF-44E3-9099-C40C66FF867C}">
                    <a14:compatExt spid="_x0000_s56360"/>
                  </a:ext>
                  <a:ext uri="{FF2B5EF4-FFF2-40B4-BE49-F238E27FC236}">
                    <a16:creationId xmlns:a16="http://schemas.microsoft.com/office/drawing/2014/main" id="{00000000-0008-0000-0600-000028DC0000}"/>
                  </a:ext>
                </a:extLst>
              </xdr:cNvPr>
              <xdr:cNvSpPr/>
            </xdr:nvSpPr>
            <xdr:spPr bwMode="auto">
              <a:xfrm>
                <a:off x="4976536" y="14113724"/>
                <a:ext cx="185562" cy="245227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61" name="Check Box 41" hidden="1">
                <a:extLst>
                  <a:ext uri="{63B3BB69-23CF-44E3-9099-C40C66FF867C}">
                    <a14:compatExt spid="_x0000_s56361"/>
                  </a:ext>
                  <a:ext uri="{FF2B5EF4-FFF2-40B4-BE49-F238E27FC236}">
                    <a16:creationId xmlns:a16="http://schemas.microsoft.com/office/drawing/2014/main" id="{00000000-0008-0000-0600-000029DC0000}"/>
                  </a:ext>
                </a:extLst>
              </xdr:cNvPr>
              <xdr:cNvSpPr/>
            </xdr:nvSpPr>
            <xdr:spPr bwMode="auto">
              <a:xfrm>
                <a:off x="4976536" y="14275005"/>
                <a:ext cx="174678" cy="260264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62" name="Check Box 42" hidden="1">
                <a:extLst>
                  <a:ext uri="{63B3BB69-23CF-44E3-9099-C40C66FF867C}">
                    <a14:compatExt spid="_x0000_s56362"/>
                  </a:ext>
                  <a:ext uri="{FF2B5EF4-FFF2-40B4-BE49-F238E27FC236}">
                    <a16:creationId xmlns:a16="http://schemas.microsoft.com/office/drawing/2014/main" id="{00000000-0008-0000-0600-00002ADC0000}"/>
                  </a:ext>
                </a:extLst>
              </xdr:cNvPr>
              <xdr:cNvSpPr/>
            </xdr:nvSpPr>
            <xdr:spPr bwMode="auto">
              <a:xfrm>
                <a:off x="4976536" y="14451323"/>
                <a:ext cx="174678" cy="245228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63" name="Check Box 43" hidden="1">
                <a:extLst>
                  <a:ext uri="{63B3BB69-23CF-44E3-9099-C40C66FF867C}">
                    <a14:compatExt spid="_x0000_s56363"/>
                  </a:ext>
                  <a:ext uri="{FF2B5EF4-FFF2-40B4-BE49-F238E27FC236}">
                    <a16:creationId xmlns:a16="http://schemas.microsoft.com/office/drawing/2014/main" id="{00000000-0008-0000-0600-00002BDC0000}"/>
                  </a:ext>
                </a:extLst>
              </xdr:cNvPr>
              <xdr:cNvSpPr/>
            </xdr:nvSpPr>
            <xdr:spPr bwMode="auto">
              <a:xfrm>
                <a:off x="4976536" y="14612819"/>
                <a:ext cx="174678" cy="252752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230446</xdr:colOff>
          <xdr:row>72</xdr:row>
          <xdr:rowOff>120125</xdr:rowOff>
        </xdr:from>
        <xdr:to>
          <xdr:col>27</xdr:col>
          <xdr:colOff>8875</xdr:colOff>
          <xdr:row>80</xdr:row>
          <xdr:rowOff>52170</xdr:rowOff>
        </xdr:to>
        <xdr:grpSp>
          <xdr:nvGrpSpPr>
            <xdr:cNvPr id="54" name="Groupe 53">
              <a:extLst>
                <a:ext uri="{FF2B5EF4-FFF2-40B4-BE49-F238E27FC236}">
                  <a16:creationId xmlns:a16="http://schemas.microsoft.com/office/drawing/2014/main" id="{00000000-0008-0000-0600-000036000000}"/>
                </a:ext>
              </a:extLst>
            </xdr:cNvPr>
            <xdr:cNvGrpSpPr/>
          </xdr:nvGrpSpPr>
          <xdr:grpSpPr>
            <a:xfrm>
              <a:off x="14359196" y="13366225"/>
              <a:ext cx="222929" cy="1303645"/>
              <a:chOff x="4975124" y="13592411"/>
              <a:chExt cx="212770" cy="1273160"/>
            </a:xfrm>
          </xdr:grpSpPr>
          <xdr:sp macro="" textlink="">
            <xdr:nvSpPr>
              <xdr:cNvPr id="56364" name="Check Box 44" hidden="1">
                <a:extLst>
                  <a:ext uri="{63B3BB69-23CF-44E3-9099-C40C66FF867C}">
                    <a14:compatExt spid="_x0000_s56364"/>
                  </a:ext>
                  <a:ext uri="{FF2B5EF4-FFF2-40B4-BE49-F238E27FC236}">
                    <a16:creationId xmlns:a16="http://schemas.microsoft.com/office/drawing/2014/main" id="{00000000-0008-0000-0600-00002CDC0000}"/>
                  </a:ext>
                </a:extLst>
              </xdr:cNvPr>
              <xdr:cNvSpPr/>
            </xdr:nvSpPr>
            <xdr:spPr bwMode="auto">
              <a:xfrm>
                <a:off x="4976536" y="13592411"/>
                <a:ext cx="201887" cy="260261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65" name="Check Box 45" hidden="1">
                <a:extLst>
                  <a:ext uri="{63B3BB69-23CF-44E3-9099-C40C66FF867C}">
                    <a14:compatExt spid="_x0000_s56365"/>
                  </a:ext>
                  <a:ext uri="{FF2B5EF4-FFF2-40B4-BE49-F238E27FC236}">
                    <a16:creationId xmlns:a16="http://schemas.microsoft.com/office/drawing/2014/main" id="{00000000-0008-0000-0600-00002DDC0000}"/>
                  </a:ext>
                </a:extLst>
              </xdr:cNvPr>
              <xdr:cNvSpPr/>
            </xdr:nvSpPr>
            <xdr:spPr bwMode="auto">
              <a:xfrm>
                <a:off x="4975124" y="13768604"/>
                <a:ext cx="212770" cy="260264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66" name="Check Box 46" hidden="1">
                <a:extLst>
                  <a:ext uri="{63B3BB69-23CF-44E3-9099-C40C66FF867C}">
                    <a14:compatExt spid="_x0000_s56366"/>
                  </a:ext>
                  <a:ext uri="{FF2B5EF4-FFF2-40B4-BE49-F238E27FC236}">
                    <a16:creationId xmlns:a16="http://schemas.microsoft.com/office/drawing/2014/main" id="{00000000-0008-0000-0600-00002EDC0000}"/>
                  </a:ext>
                </a:extLst>
              </xdr:cNvPr>
              <xdr:cNvSpPr/>
            </xdr:nvSpPr>
            <xdr:spPr bwMode="auto">
              <a:xfrm>
                <a:off x="4976536" y="13944924"/>
                <a:ext cx="201886" cy="252746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67" name="Check Box 47" hidden="1">
                <a:extLst>
                  <a:ext uri="{63B3BB69-23CF-44E3-9099-C40C66FF867C}">
                    <a14:compatExt spid="_x0000_s56367"/>
                  </a:ext>
                  <a:ext uri="{FF2B5EF4-FFF2-40B4-BE49-F238E27FC236}">
                    <a16:creationId xmlns:a16="http://schemas.microsoft.com/office/drawing/2014/main" id="{00000000-0008-0000-0600-00002FDC0000}"/>
                  </a:ext>
                </a:extLst>
              </xdr:cNvPr>
              <xdr:cNvSpPr/>
            </xdr:nvSpPr>
            <xdr:spPr bwMode="auto">
              <a:xfrm>
                <a:off x="4976536" y="14113724"/>
                <a:ext cx="185563" cy="245227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68" name="Check Box 48" hidden="1">
                <a:extLst>
                  <a:ext uri="{63B3BB69-23CF-44E3-9099-C40C66FF867C}">
                    <a14:compatExt spid="_x0000_s56368"/>
                  </a:ext>
                  <a:ext uri="{FF2B5EF4-FFF2-40B4-BE49-F238E27FC236}">
                    <a16:creationId xmlns:a16="http://schemas.microsoft.com/office/drawing/2014/main" id="{00000000-0008-0000-0600-000030DC0000}"/>
                  </a:ext>
                </a:extLst>
              </xdr:cNvPr>
              <xdr:cNvSpPr/>
            </xdr:nvSpPr>
            <xdr:spPr bwMode="auto">
              <a:xfrm>
                <a:off x="4976536" y="14275005"/>
                <a:ext cx="174678" cy="260264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69" name="Check Box 49" hidden="1">
                <a:extLst>
                  <a:ext uri="{63B3BB69-23CF-44E3-9099-C40C66FF867C}">
                    <a14:compatExt spid="_x0000_s56369"/>
                  </a:ext>
                  <a:ext uri="{FF2B5EF4-FFF2-40B4-BE49-F238E27FC236}">
                    <a16:creationId xmlns:a16="http://schemas.microsoft.com/office/drawing/2014/main" id="{00000000-0008-0000-0600-000031DC0000}"/>
                  </a:ext>
                </a:extLst>
              </xdr:cNvPr>
              <xdr:cNvSpPr/>
            </xdr:nvSpPr>
            <xdr:spPr bwMode="auto">
              <a:xfrm>
                <a:off x="4976536" y="14451323"/>
                <a:ext cx="174678" cy="245228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70" name="Check Box 50" hidden="1">
                <a:extLst>
                  <a:ext uri="{63B3BB69-23CF-44E3-9099-C40C66FF867C}">
                    <a14:compatExt spid="_x0000_s56370"/>
                  </a:ext>
                  <a:ext uri="{FF2B5EF4-FFF2-40B4-BE49-F238E27FC236}">
                    <a16:creationId xmlns:a16="http://schemas.microsoft.com/office/drawing/2014/main" id="{00000000-0008-0000-0600-000032DC0000}"/>
                  </a:ext>
                </a:extLst>
              </xdr:cNvPr>
              <xdr:cNvSpPr/>
            </xdr:nvSpPr>
            <xdr:spPr bwMode="auto">
              <a:xfrm>
                <a:off x="4976536" y="14612819"/>
                <a:ext cx="174678" cy="252752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230987</xdr:colOff>
          <xdr:row>72</xdr:row>
          <xdr:rowOff>124244</xdr:rowOff>
        </xdr:from>
        <xdr:to>
          <xdr:col>28</xdr:col>
          <xdr:colOff>9416</xdr:colOff>
          <xdr:row>80</xdr:row>
          <xdr:rowOff>56289</xdr:rowOff>
        </xdr:to>
        <xdr:grpSp>
          <xdr:nvGrpSpPr>
            <xdr:cNvPr id="62" name="Groupe 61">
              <a:extLst>
                <a:ext uri="{FF2B5EF4-FFF2-40B4-BE49-F238E27FC236}">
                  <a16:creationId xmlns:a16="http://schemas.microsoft.com/office/drawing/2014/main" id="{00000000-0008-0000-0600-00003E000000}"/>
                </a:ext>
              </a:extLst>
            </xdr:cNvPr>
            <xdr:cNvGrpSpPr/>
          </xdr:nvGrpSpPr>
          <xdr:grpSpPr>
            <a:xfrm>
              <a:off x="14804237" y="13370344"/>
              <a:ext cx="222929" cy="1303645"/>
              <a:chOff x="4975384" y="13592411"/>
              <a:chExt cx="212770" cy="1273160"/>
            </a:xfrm>
          </xdr:grpSpPr>
          <xdr:sp macro="" textlink="">
            <xdr:nvSpPr>
              <xdr:cNvPr id="56371" name="Check Box 51" hidden="1">
                <a:extLst>
                  <a:ext uri="{63B3BB69-23CF-44E3-9099-C40C66FF867C}">
                    <a14:compatExt spid="_x0000_s56371"/>
                  </a:ext>
                  <a:ext uri="{FF2B5EF4-FFF2-40B4-BE49-F238E27FC236}">
                    <a16:creationId xmlns:a16="http://schemas.microsoft.com/office/drawing/2014/main" id="{00000000-0008-0000-0600-000033DC0000}"/>
                  </a:ext>
                </a:extLst>
              </xdr:cNvPr>
              <xdr:cNvSpPr/>
            </xdr:nvSpPr>
            <xdr:spPr bwMode="auto">
              <a:xfrm>
                <a:off x="4976536" y="13592411"/>
                <a:ext cx="201887" cy="260261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72" name="Check Box 52" hidden="1">
                <a:extLst>
                  <a:ext uri="{63B3BB69-23CF-44E3-9099-C40C66FF867C}">
                    <a14:compatExt spid="_x0000_s56372"/>
                  </a:ext>
                  <a:ext uri="{FF2B5EF4-FFF2-40B4-BE49-F238E27FC236}">
                    <a16:creationId xmlns:a16="http://schemas.microsoft.com/office/drawing/2014/main" id="{00000000-0008-0000-0600-000034DC0000}"/>
                  </a:ext>
                </a:extLst>
              </xdr:cNvPr>
              <xdr:cNvSpPr/>
            </xdr:nvSpPr>
            <xdr:spPr bwMode="auto">
              <a:xfrm>
                <a:off x="4975384" y="13768604"/>
                <a:ext cx="212770" cy="260264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73" name="Check Box 53" hidden="1">
                <a:extLst>
                  <a:ext uri="{63B3BB69-23CF-44E3-9099-C40C66FF867C}">
                    <a14:compatExt spid="_x0000_s56373"/>
                  </a:ext>
                  <a:ext uri="{FF2B5EF4-FFF2-40B4-BE49-F238E27FC236}">
                    <a16:creationId xmlns:a16="http://schemas.microsoft.com/office/drawing/2014/main" id="{00000000-0008-0000-0600-000035DC0000}"/>
                  </a:ext>
                </a:extLst>
              </xdr:cNvPr>
              <xdr:cNvSpPr/>
            </xdr:nvSpPr>
            <xdr:spPr bwMode="auto">
              <a:xfrm>
                <a:off x="4976536" y="13944924"/>
                <a:ext cx="201885" cy="252746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74" name="Check Box 54" hidden="1">
                <a:extLst>
                  <a:ext uri="{63B3BB69-23CF-44E3-9099-C40C66FF867C}">
                    <a14:compatExt spid="_x0000_s56374"/>
                  </a:ext>
                  <a:ext uri="{FF2B5EF4-FFF2-40B4-BE49-F238E27FC236}">
                    <a16:creationId xmlns:a16="http://schemas.microsoft.com/office/drawing/2014/main" id="{00000000-0008-0000-0600-000036DC0000}"/>
                  </a:ext>
                </a:extLst>
              </xdr:cNvPr>
              <xdr:cNvSpPr/>
            </xdr:nvSpPr>
            <xdr:spPr bwMode="auto">
              <a:xfrm>
                <a:off x="4976536" y="14113724"/>
                <a:ext cx="185561" cy="245227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75" name="Check Box 55" hidden="1">
                <a:extLst>
                  <a:ext uri="{63B3BB69-23CF-44E3-9099-C40C66FF867C}">
                    <a14:compatExt spid="_x0000_s56375"/>
                  </a:ext>
                  <a:ext uri="{FF2B5EF4-FFF2-40B4-BE49-F238E27FC236}">
                    <a16:creationId xmlns:a16="http://schemas.microsoft.com/office/drawing/2014/main" id="{00000000-0008-0000-0600-000037DC0000}"/>
                  </a:ext>
                </a:extLst>
              </xdr:cNvPr>
              <xdr:cNvSpPr/>
            </xdr:nvSpPr>
            <xdr:spPr bwMode="auto">
              <a:xfrm>
                <a:off x="4976536" y="14275005"/>
                <a:ext cx="174678" cy="260264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76" name="Check Box 56" hidden="1">
                <a:extLst>
                  <a:ext uri="{63B3BB69-23CF-44E3-9099-C40C66FF867C}">
                    <a14:compatExt spid="_x0000_s56376"/>
                  </a:ext>
                  <a:ext uri="{FF2B5EF4-FFF2-40B4-BE49-F238E27FC236}">
                    <a16:creationId xmlns:a16="http://schemas.microsoft.com/office/drawing/2014/main" id="{00000000-0008-0000-0600-000038DC0000}"/>
                  </a:ext>
                </a:extLst>
              </xdr:cNvPr>
              <xdr:cNvSpPr/>
            </xdr:nvSpPr>
            <xdr:spPr bwMode="auto">
              <a:xfrm>
                <a:off x="4976536" y="14451323"/>
                <a:ext cx="174678" cy="245228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77" name="Check Box 57" hidden="1">
                <a:extLst>
                  <a:ext uri="{63B3BB69-23CF-44E3-9099-C40C66FF867C}">
                    <a14:compatExt spid="_x0000_s56377"/>
                  </a:ext>
                  <a:ext uri="{FF2B5EF4-FFF2-40B4-BE49-F238E27FC236}">
                    <a16:creationId xmlns:a16="http://schemas.microsoft.com/office/drawing/2014/main" id="{00000000-0008-0000-0600-000039DC0000}"/>
                  </a:ext>
                </a:extLst>
              </xdr:cNvPr>
              <xdr:cNvSpPr/>
            </xdr:nvSpPr>
            <xdr:spPr bwMode="auto">
              <a:xfrm>
                <a:off x="4976536" y="14612819"/>
                <a:ext cx="174678" cy="252752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239445</xdr:colOff>
          <xdr:row>72</xdr:row>
          <xdr:rowOff>124244</xdr:rowOff>
        </xdr:from>
        <xdr:to>
          <xdr:col>29</xdr:col>
          <xdr:colOff>17874</xdr:colOff>
          <xdr:row>80</xdr:row>
          <xdr:rowOff>56289</xdr:rowOff>
        </xdr:to>
        <xdr:grpSp>
          <xdr:nvGrpSpPr>
            <xdr:cNvPr id="70" name="Groupe 69">
              <a:extLst>
                <a:ext uri="{FF2B5EF4-FFF2-40B4-BE49-F238E27FC236}">
                  <a16:creationId xmlns:a16="http://schemas.microsoft.com/office/drawing/2014/main" id="{00000000-0008-0000-0600-000046000000}"/>
                </a:ext>
              </a:extLst>
            </xdr:cNvPr>
            <xdr:cNvGrpSpPr/>
          </xdr:nvGrpSpPr>
          <xdr:grpSpPr>
            <a:xfrm>
              <a:off x="15257195" y="13370344"/>
              <a:ext cx="222929" cy="1303645"/>
              <a:chOff x="4976048" y="13592411"/>
              <a:chExt cx="212770" cy="1273160"/>
            </a:xfrm>
          </xdr:grpSpPr>
          <xdr:sp macro="" textlink="">
            <xdr:nvSpPr>
              <xdr:cNvPr id="56378" name="Check Box 58" hidden="1">
                <a:extLst>
                  <a:ext uri="{63B3BB69-23CF-44E3-9099-C40C66FF867C}">
                    <a14:compatExt spid="_x0000_s56378"/>
                  </a:ext>
                  <a:ext uri="{FF2B5EF4-FFF2-40B4-BE49-F238E27FC236}">
                    <a16:creationId xmlns:a16="http://schemas.microsoft.com/office/drawing/2014/main" id="{00000000-0008-0000-0600-00003ADC0000}"/>
                  </a:ext>
                </a:extLst>
              </xdr:cNvPr>
              <xdr:cNvSpPr/>
            </xdr:nvSpPr>
            <xdr:spPr bwMode="auto">
              <a:xfrm>
                <a:off x="4976536" y="13592411"/>
                <a:ext cx="201887" cy="260261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79" name="Check Box 59" hidden="1">
                <a:extLst>
                  <a:ext uri="{63B3BB69-23CF-44E3-9099-C40C66FF867C}">
                    <a14:compatExt spid="_x0000_s56379"/>
                  </a:ext>
                  <a:ext uri="{FF2B5EF4-FFF2-40B4-BE49-F238E27FC236}">
                    <a16:creationId xmlns:a16="http://schemas.microsoft.com/office/drawing/2014/main" id="{00000000-0008-0000-0600-00003BDC0000}"/>
                  </a:ext>
                </a:extLst>
              </xdr:cNvPr>
              <xdr:cNvSpPr/>
            </xdr:nvSpPr>
            <xdr:spPr bwMode="auto">
              <a:xfrm>
                <a:off x="4976048" y="13768604"/>
                <a:ext cx="212770" cy="260264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80" name="Check Box 60" hidden="1">
                <a:extLst>
                  <a:ext uri="{63B3BB69-23CF-44E3-9099-C40C66FF867C}">
                    <a14:compatExt spid="_x0000_s56380"/>
                  </a:ext>
                  <a:ext uri="{FF2B5EF4-FFF2-40B4-BE49-F238E27FC236}">
                    <a16:creationId xmlns:a16="http://schemas.microsoft.com/office/drawing/2014/main" id="{00000000-0008-0000-0600-00003CDC0000}"/>
                  </a:ext>
                </a:extLst>
              </xdr:cNvPr>
              <xdr:cNvSpPr/>
            </xdr:nvSpPr>
            <xdr:spPr bwMode="auto">
              <a:xfrm>
                <a:off x="4976536" y="13944924"/>
                <a:ext cx="201885" cy="252746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81" name="Check Box 61" hidden="1">
                <a:extLst>
                  <a:ext uri="{63B3BB69-23CF-44E3-9099-C40C66FF867C}">
                    <a14:compatExt spid="_x0000_s56381"/>
                  </a:ext>
                  <a:ext uri="{FF2B5EF4-FFF2-40B4-BE49-F238E27FC236}">
                    <a16:creationId xmlns:a16="http://schemas.microsoft.com/office/drawing/2014/main" id="{00000000-0008-0000-0600-00003DDC0000}"/>
                  </a:ext>
                </a:extLst>
              </xdr:cNvPr>
              <xdr:cNvSpPr/>
            </xdr:nvSpPr>
            <xdr:spPr bwMode="auto">
              <a:xfrm>
                <a:off x="4976536" y="14113724"/>
                <a:ext cx="185561" cy="245227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82" name="Check Box 62" hidden="1">
                <a:extLst>
                  <a:ext uri="{63B3BB69-23CF-44E3-9099-C40C66FF867C}">
                    <a14:compatExt spid="_x0000_s56382"/>
                  </a:ext>
                  <a:ext uri="{FF2B5EF4-FFF2-40B4-BE49-F238E27FC236}">
                    <a16:creationId xmlns:a16="http://schemas.microsoft.com/office/drawing/2014/main" id="{00000000-0008-0000-0600-00003EDC0000}"/>
                  </a:ext>
                </a:extLst>
              </xdr:cNvPr>
              <xdr:cNvSpPr/>
            </xdr:nvSpPr>
            <xdr:spPr bwMode="auto">
              <a:xfrm>
                <a:off x="4976536" y="14275005"/>
                <a:ext cx="174678" cy="260264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83" name="Check Box 63" hidden="1">
                <a:extLst>
                  <a:ext uri="{63B3BB69-23CF-44E3-9099-C40C66FF867C}">
                    <a14:compatExt spid="_x0000_s56383"/>
                  </a:ext>
                  <a:ext uri="{FF2B5EF4-FFF2-40B4-BE49-F238E27FC236}">
                    <a16:creationId xmlns:a16="http://schemas.microsoft.com/office/drawing/2014/main" id="{00000000-0008-0000-0600-00003FDC0000}"/>
                  </a:ext>
                </a:extLst>
              </xdr:cNvPr>
              <xdr:cNvSpPr/>
            </xdr:nvSpPr>
            <xdr:spPr bwMode="auto">
              <a:xfrm>
                <a:off x="4976536" y="14451323"/>
                <a:ext cx="174678" cy="245228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84" name="Check Box 64" hidden="1">
                <a:extLst>
                  <a:ext uri="{63B3BB69-23CF-44E3-9099-C40C66FF867C}">
                    <a14:compatExt spid="_x0000_s56384"/>
                  </a:ext>
                  <a:ext uri="{FF2B5EF4-FFF2-40B4-BE49-F238E27FC236}">
                    <a16:creationId xmlns:a16="http://schemas.microsoft.com/office/drawing/2014/main" id="{00000000-0008-0000-0600-000040DC0000}"/>
                  </a:ext>
                </a:extLst>
              </xdr:cNvPr>
              <xdr:cNvSpPr/>
            </xdr:nvSpPr>
            <xdr:spPr bwMode="auto">
              <a:xfrm>
                <a:off x="4976536" y="14612819"/>
                <a:ext cx="174678" cy="252752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230351</xdr:colOff>
          <xdr:row>72</xdr:row>
          <xdr:rowOff>120125</xdr:rowOff>
        </xdr:from>
        <xdr:to>
          <xdr:col>31</xdr:col>
          <xdr:colOff>8780</xdr:colOff>
          <xdr:row>80</xdr:row>
          <xdr:rowOff>52170</xdr:rowOff>
        </xdr:to>
        <xdr:grpSp>
          <xdr:nvGrpSpPr>
            <xdr:cNvPr id="78" name="Groupe 77">
              <a:extLst>
                <a:ext uri="{FF2B5EF4-FFF2-40B4-BE49-F238E27FC236}">
                  <a16:creationId xmlns:a16="http://schemas.microsoft.com/office/drawing/2014/main" id="{00000000-0008-0000-0600-00004E000000}"/>
                </a:ext>
              </a:extLst>
            </xdr:cNvPr>
            <xdr:cNvGrpSpPr/>
          </xdr:nvGrpSpPr>
          <xdr:grpSpPr>
            <a:xfrm>
              <a:off x="16137101" y="13366225"/>
              <a:ext cx="222929" cy="1303645"/>
              <a:chOff x="4975217" y="13592346"/>
              <a:chExt cx="212770" cy="1273086"/>
            </a:xfrm>
          </xdr:grpSpPr>
          <xdr:sp macro="" textlink="">
            <xdr:nvSpPr>
              <xdr:cNvPr id="56385" name="Check Box 65" hidden="1">
                <a:extLst>
                  <a:ext uri="{63B3BB69-23CF-44E3-9099-C40C66FF867C}">
                    <a14:compatExt spid="_x0000_s56385"/>
                  </a:ext>
                  <a:ext uri="{FF2B5EF4-FFF2-40B4-BE49-F238E27FC236}">
                    <a16:creationId xmlns:a16="http://schemas.microsoft.com/office/drawing/2014/main" id="{00000000-0008-0000-0600-000041DC0000}"/>
                  </a:ext>
                </a:extLst>
              </xdr:cNvPr>
              <xdr:cNvSpPr/>
            </xdr:nvSpPr>
            <xdr:spPr bwMode="auto">
              <a:xfrm>
                <a:off x="4976535" y="13592346"/>
                <a:ext cx="201887" cy="26026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86" name="Check Box 66" hidden="1">
                <a:extLst>
                  <a:ext uri="{63B3BB69-23CF-44E3-9099-C40C66FF867C}">
                    <a14:compatExt spid="_x0000_s56386"/>
                  </a:ext>
                  <a:ext uri="{FF2B5EF4-FFF2-40B4-BE49-F238E27FC236}">
                    <a16:creationId xmlns:a16="http://schemas.microsoft.com/office/drawing/2014/main" id="{00000000-0008-0000-0600-000042DC0000}"/>
                  </a:ext>
                </a:extLst>
              </xdr:cNvPr>
              <xdr:cNvSpPr/>
            </xdr:nvSpPr>
            <xdr:spPr bwMode="auto">
              <a:xfrm>
                <a:off x="4975217" y="13768604"/>
                <a:ext cx="212770" cy="260264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87" name="Check Box 67" hidden="1">
                <a:extLst>
                  <a:ext uri="{63B3BB69-23CF-44E3-9099-C40C66FF867C}">
                    <a14:compatExt spid="_x0000_s56387"/>
                  </a:ext>
                  <a:ext uri="{FF2B5EF4-FFF2-40B4-BE49-F238E27FC236}">
                    <a16:creationId xmlns:a16="http://schemas.microsoft.com/office/drawing/2014/main" id="{00000000-0008-0000-0600-000043DC0000}"/>
                  </a:ext>
                </a:extLst>
              </xdr:cNvPr>
              <xdr:cNvSpPr/>
            </xdr:nvSpPr>
            <xdr:spPr bwMode="auto">
              <a:xfrm>
                <a:off x="4976535" y="13944924"/>
                <a:ext cx="201885" cy="252746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88" name="Check Box 68" hidden="1">
                <a:extLst>
                  <a:ext uri="{63B3BB69-23CF-44E3-9099-C40C66FF867C}">
                    <a14:compatExt spid="_x0000_s56388"/>
                  </a:ext>
                  <a:ext uri="{FF2B5EF4-FFF2-40B4-BE49-F238E27FC236}">
                    <a16:creationId xmlns:a16="http://schemas.microsoft.com/office/drawing/2014/main" id="{00000000-0008-0000-0600-000044DC0000}"/>
                  </a:ext>
                </a:extLst>
              </xdr:cNvPr>
              <xdr:cNvSpPr/>
            </xdr:nvSpPr>
            <xdr:spPr bwMode="auto">
              <a:xfrm>
                <a:off x="4976535" y="14113724"/>
                <a:ext cx="185561" cy="245227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89" name="Check Box 69" hidden="1">
                <a:extLst>
                  <a:ext uri="{63B3BB69-23CF-44E3-9099-C40C66FF867C}">
                    <a14:compatExt spid="_x0000_s56389"/>
                  </a:ext>
                  <a:ext uri="{FF2B5EF4-FFF2-40B4-BE49-F238E27FC236}">
                    <a16:creationId xmlns:a16="http://schemas.microsoft.com/office/drawing/2014/main" id="{00000000-0008-0000-0600-000045DC0000}"/>
                  </a:ext>
                </a:extLst>
              </xdr:cNvPr>
              <xdr:cNvSpPr/>
            </xdr:nvSpPr>
            <xdr:spPr bwMode="auto">
              <a:xfrm>
                <a:off x="4976535" y="14275005"/>
                <a:ext cx="174678" cy="260264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90" name="Check Box 70" hidden="1">
                <a:extLst>
                  <a:ext uri="{63B3BB69-23CF-44E3-9099-C40C66FF867C}">
                    <a14:compatExt spid="_x0000_s56390"/>
                  </a:ext>
                  <a:ext uri="{FF2B5EF4-FFF2-40B4-BE49-F238E27FC236}">
                    <a16:creationId xmlns:a16="http://schemas.microsoft.com/office/drawing/2014/main" id="{00000000-0008-0000-0600-000046DC0000}"/>
                  </a:ext>
                </a:extLst>
              </xdr:cNvPr>
              <xdr:cNvSpPr/>
            </xdr:nvSpPr>
            <xdr:spPr bwMode="auto">
              <a:xfrm>
                <a:off x="4976535" y="14451323"/>
                <a:ext cx="174678" cy="245228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91" name="Check Box 71" hidden="1">
                <a:extLst>
                  <a:ext uri="{63B3BB69-23CF-44E3-9099-C40C66FF867C}">
                    <a14:compatExt spid="_x0000_s56391"/>
                  </a:ext>
                  <a:ext uri="{FF2B5EF4-FFF2-40B4-BE49-F238E27FC236}">
                    <a16:creationId xmlns:a16="http://schemas.microsoft.com/office/drawing/2014/main" id="{00000000-0008-0000-0600-000047DC0000}"/>
                  </a:ext>
                </a:extLst>
              </xdr:cNvPr>
              <xdr:cNvSpPr/>
            </xdr:nvSpPr>
            <xdr:spPr bwMode="auto">
              <a:xfrm>
                <a:off x="4976535" y="14612683"/>
                <a:ext cx="174678" cy="25274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226804</xdr:colOff>
          <xdr:row>72</xdr:row>
          <xdr:rowOff>124244</xdr:rowOff>
        </xdr:from>
        <xdr:to>
          <xdr:col>30</xdr:col>
          <xdr:colOff>5233</xdr:colOff>
          <xdr:row>80</xdr:row>
          <xdr:rowOff>56289</xdr:rowOff>
        </xdr:to>
        <xdr:grpSp>
          <xdr:nvGrpSpPr>
            <xdr:cNvPr id="86" name="Groupe 85">
              <a:extLst>
                <a:ext uri="{FF2B5EF4-FFF2-40B4-BE49-F238E27FC236}">
                  <a16:creationId xmlns:a16="http://schemas.microsoft.com/office/drawing/2014/main" id="{00000000-0008-0000-0600-000056000000}"/>
                </a:ext>
              </a:extLst>
            </xdr:cNvPr>
            <xdr:cNvGrpSpPr/>
          </xdr:nvGrpSpPr>
          <xdr:grpSpPr>
            <a:xfrm>
              <a:off x="15689054" y="13370344"/>
              <a:ext cx="222929" cy="1303645"/>
              <a:chOff x="4975285" y="13592346"/>
              <a:chExt cx="212770" cy="1273086"/>
            </a:xfrm>
          </xdr:grpSpPr>
          <xdr:sp macro="" textlink="">
            <xdr:nvSpPr>
              <xdr:cNvPr id="56392" name="Check Box 72" hidden="1">
                <a:extLst>
                  <a:ext uri="{63B3BB69-23CF-44E3-9099-C40C66FF867C}">
                    <a14:compatExt spid="_x0000_s56392"/>
                  </a:ext>
                  <a:ext uri="{FF2B5EF4-FFF2-40B4-BE49-F238E27FC236}">
                    <a16:creationId xmlns:a16="http://schemas.microsoft.com/office/drawing/2014/main" id="{00000000-0008-0000-0600-000048DC0000}"/>
                  </a:ext>
                </a:extLst>
              </xdr:cNvPr>
              <xdr:cNvSpPr/>
            </xdr:nvSpPr>
            <xdr:spPr bwMode="auto">
              <a:xfrm>
                <a:off x="4976536" y="13592346"/>
                <a:ext cx="201887" cy="26026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93" name="Check Box 73" hidden="1">
                <a:extLst>
                  <a:ext uri="{63B3BB69-23CF-44E3-9099-C40C66FF867C}">
                    <a14:compatExt spid="_x0000_s56393"/>
                  </a:ext>
                  <a:ext uri="{FF2B5EF4-FFF2-40B4-BE49-F238E27FC236}">
                    <a16:creationId xmlns:a16="http://schemas.microsoft.com/office/drawing/2014/main" id="{00000000-0008-0000-0600-000049DC0000}"/>
                  </a:ext>
                </a:extLst>
              </xdr:cNvPr>
              <xdr:cNvSpPr/>
            </xdr:nvSpPr>
            <xdr:spPr bwMode="auto">
              <a:xfrm>
                <a:off x="4975285" y="13768604"/>
                <a:ext cx="212770" cy="260264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94" name="Check Box 74" hidden="1">
                <a:extLst>
                  <a:ext uri="{63B3BB69-23CF-44E3-9099-C40C66FF867C}">
                    <a14:compatExt spid="_x0000_s56394"/>
                  </a:ext>
                  <a:ext uri="{FF2B5EF4-FFF2-40B4-BE49-F238E27FC236}">
                    <a16:creationId xmlns:a16="http://schemas.microsoft.com/office/drawing/2014/main" id="{00000000-0008-0000-0600-00004ADC0000}"/>
                  </a:ext>
                </a:extLst>
              </xdr:cNvPr>
              <xdr:cNvSpPr/>
            </xdr:nvSpPr>
            <xdr:spPr bwMode="auto">
              <a:xfrm>
                <a:off x="4976536" y="13944924"/>
                <a:ext cx="201886" cy="252746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95" name="Check Box 75" hidden="1">
                <a:extLst>
                  <a:ext uri="{63B3BB69-23CF-44E3-9099-C40C66FF867C}">
                    <a14:compatExt spid="_x0000_s56395"/>
                  </a:ext>
                  <a:ext uri="{FF2B5EF4-FFF2-40B4-BE49-F238E27FC236}">
                    <a16:creationId xmlns:a16="http://schemas.microsoft.com/office/drawing/2014/main" id="{00000000-0008-0000-0600-00004BDC0000}"/>
                  </a:ext>
                </a:extLst>
              </xdr:cNvPr>
              <xdr:cNvSpPr/>
            </xdr:nvSpPr>
            <xdr:spPr bwMode="auto">
              <a:xfrm>
                <a:off x="4976536" y="14113724"/>
                <a:ext cx="185563" cy="245227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96" name="Check Box 76" hidden="1">
                <a:extLst>
                  <a:ext uri="{63B3BB69-23CF-44E3-9099-C40C66FF867C}">
                    <a14:compatExt spid="_x0000_s56396"/>
                  </a:ext>
                  <a:ext uri="{FF2B5EF4-FFF2-40B4-BE49-F238E27FC236}">
                    <a16:creationId xmlns:a16="http://schemas.microsoft.com/office/drawing/2014/main" id="{00000000-0008-0000-0600-00004CDC0000}"/>
                  </a:ext>
                </a:extLst>
              </xdr:cNvPr>
              <xdr:cNvSpPr/>
            </xdr:nvSpPr>
            <xdr:spPr bwMode="auto">
              <a:xfrm>
                <a:off x="4976536" y="14275005"/>
                <a:ext cx="174678" cy="260264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97" name="Check Box 77" hidden="1">
                <a:extLst>
                  <a:ext uri="{63B3BB69-23CF-44E3-9099-C40C66FF867C}">
                    <a14:compatExt spid="_x0000_s56397"/>
                  </a:ext>
                  <a:ext uri="{FF2B5EF4-FFF2-40B4-BE49-F238E27FC236}">
                    <a16:creationId xmlns:a16="http://schemas.microsoft.com/office/drawing/2014/main" id="{00000000-0008-0000-0600-00004DDC0000}"/>
                  </a:ext>
                </a:extLst>
              </xdr:cNvPr>
              <xdr:cNvSpPr/>
            </xdr:nvSpPr>
            <xdr:spPr bwMode="auto">
              <a:xfrm>
                <a:off x="4976536" y="14451323"/>
                <a:ext cx="174678" cy="245228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398" name="Check Box 78" hidden="1">
                <a:extLst>
                  <a:ext uri="{63B3BB69-23CF-44E3-9099-C40C66FF867C}">
                    <a14:compatExt spid="_x0000_s56398"/>
                  </a:ext>
                  <a:ext uri="{FF2B5EF4-FFF2-40B4-BE49-F238E27FC236}">
                    <a16:creationId xmlns:a16="http://schemas.microsoft.com/office/drawing/2014/main" id="{00000000-0008-0000-0600-00004EDC0000}"/>
                  </a:ext>
                </a:extLst>
              </xdr:cNvPr>
              <xdr:cNvSpPr/>
            </xdr:nvSpPr>
            <xdr:spPr bwMode="auto">
              <a:xfrm>
                <a:off x="4976536" y="14612683"/>
                <a:ext cx="174678" cy="25274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229832</xdr:colOff>
          <xdr:row>72</xdr:row>
          <xdr:rowOff>124244</xdr:rowOff>
        </xdr:from>
        <xdr:to>
          <xdr:col>32</xdr:col>
          <xdr:colOff>8261</xdr:colOff>
          <xdr:row>80</xdr:row>
          <xdr:rowOff>56289</xdr:rowOff>
        </xdr:to>
        <xdr:grpSp>
          <xdr:nvGrpSpPr>
            <xdr:cNvPr id="94" name="Groupe 93">
              <a:extLst>
                <a:ext uri="{FF2B5EF4-FFF2-40B4-BE49-F238E27FC236}">
                  <a16:creationId xmlns:a16="http://schemas.microsoft.com/office/drawing/2014/main" id="{00000000-0008-0000-0600-00005E000000}"/>
                </a:ext>
              </a:extLst>
            </xdr:cNvPr>
            <xdr:cNvGrpSpPr/>
          </xdr:nvGrpSpPr>
          <xdr:grpSpPr>
            <a:xfrm>
              <a:off x="16581082" y="13370344"/>
              <a:ext cx="222929" cy="1303645"/>
              <a:chOff x="4975778" y="13592346"/>
              <a:chExt cx="212770" cy="1273086"/>
            </a:xfrm>
          </xdr:grpSpPr>
          <xdr:sp macro="" textlink="">
            <xdr:nvSpPr>
              <xdr:cNvPr id="56399" name="Check Box 79" hidden="1">
                <a:extLst>
                  <a:ext uri="{63B3BB69-23CF-44E3-9099-C40C66FF867C}">
                    <a14:compatExt spid="_x0000_s56399"/>
                  </a:ext>
                  <a:ext uri="{FF2B5EF4-FFF2-40B4-BE49-F238E27FC236}">
                    <a16:creationId xmlns:a16="http://schemas.microsoft.com/office/drawing/2014/main" id="{00000000-0008-0000-0600-00004FDC0000}"/>
                  </a:ext>
                </a:extLst>
              </xdr:cNvPr>
              <xdr:cNvSpPr/>
            </xdr:nvSpPr>
            <xdr:spPr bwMode="auto">
              <a:xfrm>
                <a:off x="4976537" y="13592346"/>
                <a:ext cx="201887" cy="26026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00" name="Check Box 80" hidden="1">
                <a:extLst>
                  <a:ext uri="{63B3BB69-23CF-44E3-9099-C40C66FF867C}">
                    <a14:compatExt spid="_x0000_s56400"/>
                  </a:ext>
                  <a:ext uri="{FF2B5EF4-FFF2-40B4-BE49-F238E27FC236}">
                    <a16:creationId xmlns:a16="http://schemas.microsoft.com/office/drawing/2014/main" id="{00000000-0008-0000-0600-000050DC0000}"/>
                  </a:ext>
                </a:extLst>
              </xdr:cNvPr>
              <xdr:cNvSpPr/>
            </xdr:nvSpPr>
            <xdr:spPr bwMode="auto">
              <a:xfrm>
                <a:off x="4975778" y="13768604"/>
                <a:ext cx="212770" cy="260264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01" name="Check Box 81" hidden="1">
                <a:extLst>
                  <a:ext uri="{63B3BB69-23CF-44E3-9099-C40C66FF867C}">
                    <a14:compatExt spid="_x0000_s56401"/>
                  </a:ext>
                  <a:ext uri="{FF2B5EF4-FFF2-40B4-BE49-F238E27FC236}">
                    <a16:creationId xmlns:a16="http://schemas.microsoft.com/office/drawing/2014/main" id="{00000000-0008-0000-0600-000051DC0000}"/>
                  </a:ext>
                </a:extLst>
              </xdr:cNvPr>
              <xdr:cNvSpPr/>
            </xdr:nvSpPr>
            <xdr:spPr bwMode="auto">
              <a:xfrm>
                <a:off x="4976537" y="13944924"/>
                <a:ext cx="201886" cy="252746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02" name="Check Box 82" hidden="1">
                <a:extLst>
                  <a:ext uri="{63B3BB69-23CF-44E3-9099-C40C66FF867C}">
                    <a14:compatExt spid="_x0000_s56402"/>
                  </a:ext>
                  <a:ext uri="{FF2B5EF4-FFF2-40B4-BE49-F238E27FC236}">
                    <a16:creationId xmlns:a16="http://schemas.microsoft.com/office/drawing/2014/main" id="{00000000-0008-0000-0600-000052DC0000}"/>
                  </a:ext>
                </a:extLst>
              </xdr:cNvPr>
              <xdr:cNvSpPr/>
            </xdr:nvSpPr>
            <xdr:spPr bwMode="auto">
              <a:xfrm>
                <a:off x="4976537" y="14113724"/>
                <a:ext cx="185561" cy="245227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03" name="Check Box 83" hidden="1">
                <a:extLst>
                  <a:ext uri="{63B3BB69-23CF-44E3-9099-C40C66FF867C}">
                    <a14:compatExt spid="_x0000_s56403"/>
                  </a:ext>
                  <a:ext uri="{FF2B5EF4-FFF2-40B4-BE49-F238E27FC236}">
                    <a16:creationId xmlns:a16="http://schemas.microsoft.com/office/drawing/2014/main" id="{00000000-0008-0000-0600-000053DC0000}"/>
                  </a:ext>
                </a:extLst>
              </xdr:cNvPr>
              <xdr:cNvSpPr/>
            </xdr:nvSpPr>
            <xdr:spPr bwMode="auto">
              <a:xfrm>
                <a:off x="4976537" y="14275005"/>
                <a:ext cx="174678" cy="260264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04" name="Check Box 84" hidden="1">
                <a:extLst>
                  <a:ext uri="{63B3BB69-23CF-44E3-9099-C40C66FF867C}">
                    <a14:compatExt spid="_x0000_s56404"/>
                  </a:ext>
                  <a:ext uri="{FF2B5EF4-FFF2-40B4-BE49-F238E27FC236}">
                    <a16:creationId xmlns:a16="http://schemas.microsoft.com/office/drawing/2014/main" id="{00000000-0008-0000-0600-000054DC0000}"/>
                  </a:ext>
                </a:extLst>
              </xdr:cNvPr>
              <xdr:cNvSpPr/>
            </xdr:nvSpPr>
            <xdr:spPr bwMode="auto">
              <a:xfrm>
                <a:off x="4976537" y="14451323"/>
                <a:ext cx="174678" cy="245228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05" name="Check Box 85" hidden="1">
                <a:extLst>
                  <a:ext uri="{63B3BB69-23CF-44E3-9099-C40C66FF867C}">
                    <a14:compatExt spid="_x0000_s56405"/>
                  </a:ext>
                  <a:ext uri="{FF2B5EF4-FFF2-40B4-BE49-F238E27FC236}">
                    <a16:creationId xmlns:a16="http://schemas.microsoft.com/office/drawing/2014/main" id="{00000000-0008-0000-0600-000055DC0000}"/>
                  </a:ext>
                </a:extLst>
              </xdr:cNvPr>
              <xdr:cNvSpPr/>
            </xdr:nvSpPr>
            <xdr:spPr bwMode="auto">
              <a:xfrm>
                <a:off x="4976537" y="14612683"/>
                <a:ext cx="174678" cy="25274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240131</xdr:colOff>
          <xdr:row>72</xdr:row>
          <xdr:rowOff>124244</xdr:rowOff>
        </xdr:from>
        <xdr:to>
          <xdr:col>33</xdr:col>
          <xdr:colOff>18560</xdr:colOff>
          <xdr:row>80</xdr:row>
          <xdr:rowOff>56289</xdr:rowOff>
        </xdr:to>
        <xdr:grpSp>
          <xdr:nvGrpSpPr>
            <xdr:cNvPr id="102" name="Groupe 101">
              <a:extLst>
                <a:ext uri="{FF2B5EF4-FFF2-40B4-BE49-F238E27FC236}">
                  <a16:creationId xmlns:a16="http://schemas.microsoft.com/office/drawing/2014/main" id="{00000000-0008-0000-0600-000066000000}"/>
                </a:ext>
              </a:extLst>
            </xdr:cNvPr>
            <xdr:cNvGrpSpPr/>
          </xdr:nvGrpSpPr>
          <xdr:grpSpPr>
            <a:xfrm>
              <a:off x="17035881" y="13370344"/>
              <a:ext cx="222929" cy="1303645"/>
              <a:chOff x="4975304" y="13592346"/>
              <a:chExt cx="212770" cy="1273086"/>
            </a:xfrm>
          </xdr:grpSpPr>
          <xdr:sp macro="" textlink="">
            <xdr:nvSpPr>
              <xdr:cNvPr id="56406" name="Check Box 86" hidden="1">
                <a:extLst>
                  <a:ext uri="{63B3BB69-23CF-44E3-9099-C40C66FF867C}">
                    <a14:compatExt spid="_x0000_s56406"/>
                  </a:ext>
                  <a:ext uri="{FF2B5EF4-FFF2-40B4-BE49-F238E27FC236}">
                    <a16:creationId xmlns:a16="http://schemas.microsoft.com/office/drawing/2014/main" id="{00000000-0008-0000-0600-000056DC0000}"/>
                  </a:ext>
                </a:extLst>
              </xdr:cNvPr>
              <xdr:cNvSpPr/>
            </xdr:nvSpPr>
            <xdr:spPr bwMode="auto">
              <a:xfrm>
                <a:off x="4976537" y="13592346"/>
                <a:ext cx="201887" cy="26026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07" name="Check Box 87" hidden="1">
                <a:extLst>
                  <a:ext uri="{63B3BB69-23CF-44E3-9099-C40C66FF867C}">
                    <a14:compatExt spid="_x0000_s56407"/>
                  </a:ext>
                  <a:ext uri="{FF2B5EF4-FFF2-40B4-BE49-F238E27FC236}">
                    <a16:creationId xmlns:a16="http://schemas.microsoft.com/office/drawing/2014/main" id="{00000000-0008-0000-0600-000057DC0000}"/>
                  </a:ext>
                </a:extLst>
              </xdr:cNvPr>
              <xdr:cNvSpPr/>
            </xdr:nvSpPr>
            <xdr:spPr bwMode="auto">
              <a:xfrm>
                <a:off x="4975304" y="13768604"/>
                <a:ext cx="212770" cy="260264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08" name="Check Box 88" hidden="1">
                <a:extLst>
                  <a:ext uri="{63B3BB69-23CF-44E3-9099-C40C66FF867C}">
                    <a14:compatExt spid="_x0000_s56408"/>
                  </a:ext>
                  <a:ext uri="{FF2B5EF4-FFF2-40B4-BE49-F238E27FC236}">
                    <a16:creationId xmlns:a16="http://schemas.microsoft.com/office/drawing/2014/main" id="{00000000-0008-0000-0600-000058DC0000}"/>
                  </a:ext>
                </a:extLst>
              </xdr:cNvPr>
              <xdr:cNvSpPr/>
            </xdr:nvSpPr>
            <xdr:spPr bwMode="auto">
              <a:xfrm>
                <a:off x="4976537" y="13944924"/>
                <a:ext cx="201885" cy="252746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09" name="Check Box 89" hidden="1">
                <a:extLst>
                  <a:ext uri="{63B3BB69-23CF-44E3-9099-C40C66FF867C}">
                    <a14:compatExt spid="_x0000_s56409"/>
                  </a:ext>
                  <a:ext uri="{FF2B5EF4-FFF2-40B4-BE49-F238E27FC236}">
                    <a16:creationId xmlns:a16="http://schemas.microsoft.com/office/drawing/2014/main" id="{00000000-0008-0000-0600-000059DC0000}"/>
                  </a:ext>
                </a:extLst>
              </xdr:cNvPr>
              <xdr:cNvSpPr/>
            </xdr:nvSpPr>
            <xdr:spPr bwMode="auto">
              <a:xfrm>
                <a:off x="4976537" y="14113724"/>
                <a:ext cx="185563" cy="245227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10" name="Check Box 90" hidden="1">
                <a:extLst>
                  <a:ext uri="{63B3BB69-23CF-44E3-9099-C40C66FF867C}">
                    <a14:compatExt spid="_x0000_s56410"/>
                  </a:ext>
                  <a:ext uri="{FF2B5EF4-FFF2-40B4-BE49-F238E27FC236}">
                    <a16:creationId xmlns:a16="http://schemas.microsoft.com/office/drawing/2014/main" id="{00000000-0008-0000-0600-00005ADC0000}"/>
                  </a:ext>
                </a:extLst>
              </xdr:cNvPr>
              <xdr:cNvSpPr/>
            </xdr:nvSpPr>
            <xdr:spPr bwMode="auto">
              <a:xfrm>
                <a:off x="4976537" y="14275005"/>
                <a:ext cx="174678" cy="260264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11" name="Check Box 91" hidden="1">
                <a:extLst>
                  <a:ext uri="{63B3BB69-23CF-44E3-9099-C40C66FF867C}">
                    <a14:compatExt spid="_x0000_s56411"/>
                  </a:ext>
                  <a:ext uri="{FF2B5EF4-FFF2-40B4-BE49-F238E27FC236}">
                    <a16:creationId xmlns:a16="http://schemas.microsoft.com/office/drawing/2014/main" id="{00000000-0008-0000-0600-00005BDC0000}"/>
                  </a:ext>
                </a:extLst>
              </xdr:cNvPr>
              <xdr:cNvSpPr/>
            </xdr:nvSpPr>
            <xdr:spPr bwMode="auto">
              <a:xfrm>
                <a:off x="4976537" y="14451323"/>
                <a:ext cx="174678" cy="245228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12" name="Check Box 92" hidden="1">
                <a:extLst>
                  <a:ext uri="{63B3BB69-23CF-44E3-9099-C40C66FF867C}">
                    <a14:compatExt spid="_x0000_s56412"/>
                  </a:ext>
                  <a:ext uri="{FF2B5EF4-FFF2-40B4-BE49-F238E27FC236}">
                    <a16:creationId xmlns:a16="http://schemas.microsoft.com/office/drawing/2014/main" id="{00000000-0008-0000-0600-00005CDC0000}"/>
                  </a:ext>
                </a:extLst>
              </xdr:cNvPr>
              <xdr:cNvSpPr/>
            </xdr:nvSpPr>
            <xdr:spPr bwMode="auto">
              <a:xfrm>
                <a:off x="4976537" y="14612683"/>
                <a:ext cx="174678" cy="25274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229903</xdr:colOff>
          <xdr:row>72</xdr:row>
          <xdr:rowOff>124244</xdr:rowOff>
        </xdr:from>
        <xdr:to>
          <xdr:col>34</xdr:col>
          <xdr:colOff>8332</xdr:colOff>
          <xdr:row>80</xdr:row>
          <xdr:rowOff>56289</xdr:rowOff>
        </xdr:to>
        <xdr:grpSp>
          <xdr:nvGrpSpPr>
            <xdr:cNvPr id="110" name="Groupe 109">
              <a:extLst>
                <a:ext uri="{FF2B5EF4-FFF2-40B4-BE49-F238E27FC236}">
                  <a16:creationId xmlns:a16="http://schemas.microsoft.com/office/drawing/2014/main" id="{00000000-0008-0000-0600-00006E000000}"/>
                </a:ext>
              </a:extLst>
            </xdr:cNvPr>
            <xdr:cNvGrpSpPr/>
          </xdr:nvGrpSpPr>
          <xdr:grpSpPr>
            <a:xfrm>
              <a:off x="17470153" y="13370344"/>
              <a:ext cx="222929" cy="1303645"/>
              <a:chOff x="4975703" y="13592346"/>
              <a:chExt cx="212770" cy="1273086"/>
            </a:xfrm>
          </xdr:grpSpPr>
          <xdr:sp macro="" textlink="">
            <xdr:nvSpPr>
              <xdr:cNvPr id="56413" name="Check Box 93" hidden="1">
                <a:extLst>
                  <a:ext uri="{63B3BB69-23CF-44E3-9099-C40C66FF867C}">
                    <a14:compatExt spid="_x0000_s56413"/>
                  </a:ext>
                  <a:ext uri="{FF2B5EF4-FFF2-40B4-BE49-F238E27FC236}">
                    <a16:creationId xmlns:a16="http://schemas.microsoft.com/office/drawing/2014/main" id="{00000000-0008-0000-0600-00005DDC0000}"/>
                  </a:ext>
                </a:extLst>
              </xdr:cNvPr>
              <xdr:cNvSpPr/>
            </xdr:nvSpPr>
            <xdr:spPr bwMode="auto">
              <a:xfrm>
                <a:off x="4976537" y="13592346"/>
                <a:ext cx="201887" cy="26026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14" name="Check Box 94" hidden="1">
                <a:extLst>
                  <a:ext uri="{63B3BB69-23CF-44E3-9099-C40C66FF867C}">
                    <a14:compatExt spid="_x0000_s56414"/>
                  </a:ext>
                  <a:ext uri="{FF2B5EF4-FFF2-40B4-BE49-F238E27FC236}">
                    <a16:creationId xmlns:a16="http://schemas.microsoft.com/office/drawing/2014/main" id="{00000000-0008-0000-0600-00005EDC0000}"/>
                  </a:ext>
                </a:extLst>
              </xdr:cNvPr>
              <xdr:cNvSpPr/>
            </xdr:nvSpPr>
            <xdr:spPr bwMode="auto">
              <a:xfrm>
                <a:off x="4975703" y="13768604"/>
                <a:ext cx="212770" cy="260264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15" name="Check Box 95" hidden="1">
                <a:extLst>
                  <a:ext uri="{63B3BB69-23CF-44E3-9099-C40C66FF867C}">
                    <a14:compatExt spid="_x0000_s56415"/>
                  </a:ext>
                  <a:ext uri="{FF2B5EF4-FFF2-40B4-BE49-F238E27FC236}">
                    <a16:creationId xmlns:a16="http://schemas.microsoft.com/office/drawing/2014/main" id="{00000000-0008-0000-0600-00005FDC0000}"/>
                  </a:ext>
                </a:extLst>
              </xdr:cNvPr>
              <xdr:cNvSpPr/>
            </xdr:nvSpPr>
            <xdr:spPr bwMode="auto">
              <a:xfrm>
                <a:off x="4976537" y="13944924"/>
                <a:ext cx="201885" cy="252746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16" name="Check Box 96" hidden="1">
                <a:extLst>
                  <a:ext uri="{63B3BB69-23CF-44E3-9099-C40C66FF867C}">
                    <a14:compatExt spid="_x0000_s56416"/>
                  </a:ext>
                  <a:ext uri="{FF2B5EF4-FFF2-40B4-BE49-F238E27FC236}">
                    <a16:creationId xmlns:a16="http://schemas.microsoft.com/office/drawing/2014/main" id="{00000000-0008-0000-0600-000060DC0000}"/>
                  </a:ext>
                </a:extLst>
              </xdr:cNvPr>
              <xdr:cNvSpPr/>
            </xdr:nvSpPr>
            <xdr:spPr bwMode="auto">
              <a:xfrm>
                <a:off x="4976537" y="14113724"/>
                <a:ext cx="185561" cy="245227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17" name="Check Box 97" hidden="1">
                <a:extLst>
                  <a:ext uri="{63B3BB69-23CF-44E3-9099-C40C66FF867C}">
                    <a14:compatExt spid="_x0000_s56417"/>
                  </a:ext>
                  <a:ext uri="{FF2B5EF4-FFF2-40B4-BE49-F238E27FC236}">
                    <a16:creationId xmlns:a16="http://schemas.microsoft.com/office/drawing/2014/main" id="{00000000-0008-0000-0600-000061DC0000}"/>
                  </a:ext>
                </a:extLst>
              </xdr:cNvPr>
              <xdr:cNvSpPr/>
            </xdr:nvSpPr>
            <xdr:spPr bwMode="auto">
              <a:xfrm>
                <a:off x="4976537" y="14275005"/>
                <a:ext cx="174678" cy="260264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18" name="Check Box 98" hidden="1">
                <a:extLst>
                  <a:ext uri="{63B3BB69-23CF-44E3-9099-C40C66FF867C}">
                    <a14:compatExt spid="_x0000_s56418"/>
                  </a:ext>
                  <a:ext uri="{FF2B5EF4-FFF2-40B4-BE49-F238E27FC236}">
                    <a16:creationId xmlns:a16="http://schemas.microsoft.com/office/drawing/2014/main" id="{00000000-0008-0000-0600-000062DC0000}"/>
                  </a:ext>
                </a:extLst>
              </xdr:cNvPr>
              <xdr:cNvSpPr/>
            </xdr:nvSpPr>
            <xdr:spPr bwMode="auto">
              <a:xfrm>
                <a:off x="4976537" y="14451323"/>
                <a:ext cx="174678" cy="245228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19" name="Check Box 99" hidden="1">
                <a:extLst>
                  <a:ext uri="{63B3BB69-23CF-44E3-9099-C40C66FF867C}">
                    <a14:compatExt spid="_x0000_s56419"/>
                  </a:ext>
                  <a:ext uri="{FF2B5EF4-FFF2-40B4-BE49-F238E27FC236}">
                    <a16:creationId xmlns:a16="http://schemas.microsoft.com/office/drawing/2014/main" id="{00000000-0008-0000-0600-000063DC0000}"/>
                  </a:ext>
                </a:extLst>
              </xdr:cNvPr>
              <xdr:cNvSpPr/>
            </xdr:nvSpPr>
            <xdr:spPr bwMode="auto">
              <a:xfrm>
                <a:off x="4976537" y="14612683"/>
                <a:ext cx="174678" cy="25274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234541</xdr:colOff>
          <xdr:row>72</xdr:row>
          <xdr:rowOff>124244</xdr:rowOff>
        </xdr:from>
        <xdr:to>
          <xdr:col>35</xdr:col>
          <xdr:colOff>12970</xdr:colOff>
          <xdr:row>80</xdr:row>
          <xdr:rowOff>56289</xdr:rowOff>
        </xdr:to>
        <xdr:grpSp>
          <xdr:nvGrpSpPr>
            <xdr:cNvPr id="118" name="Groupe 117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GrpSpPr/>
          </xdr:nvGrpSpPr>
          <xdr:grpSpPr>
            <a:xfrm>
              <a:off x="17919291" y="13370344"/>
              <a:ext cx="222929" cy="1303645"/>
              <a:chOff x="4975365" y="13592346"/>
              <a:chExt cx="212770" cy="1273086"/>
            </a:xfrm>
          </xdr:grpSpPr>
          <xdr:sp macro="" textlink="">
            <xdr:nvSpPr>
              <xdr:cNvPr id="56420" name="Check Box 100" hidden="1">
                <a:extLst>
                  <a:ext uri="{63B3BB69-23CF-44E3-9099-C40C66FF867C}">
                    <a14:compatExt spid="_x0000_s56420"/>
                  </a:ext>
                  <a:ext uri="{FF2B5EF4-FFF2-40B4-BE49-F238E27FC236}">
                    <a16:creationId xmlns:a16="http://schemas.microsoft.com/office/drawing/2014/main" id="{00000000-0008-0000-0600-000064DC0000}"/>
                  </a:ext>
                </a:extLst>
              </xdr:cNvPr>
              <xdr:cNvSpPr/>
            </xdr:nvSpPr>
            <xdr:spPr bwMode="auto">
              <a:xfrm>
                <a:off x="4976535" y="13592346"/>
                <a:ext cx="201886" cy="26026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21" name="Check Box 101" hidden="1">
                <a:extLst>
                  <a:ext uri="{63B3BB69-23CF-44E3-9099-C40C66FF867C}">
                    <a14:compatExt spid="_x0000_s56421"/>
                  </a:ext>
                  <a:ext uri="{FF2B5EF4-FFF2-40B4-BE49-F238E27FC236}">
                    <a16:creationId xmlns:a16="http://schemas.microsoft.com/office/drawing/2014/main" id="{00000000-0008-0000-0600-000065DC0000}"/>
                  </a:ext>
                </a:extLst>
              </xdr:cNvPr>
              <xdr:cNvSpPr/>
            </xdr:nvSpPr>
            <xdr:spPr bwMode="auto">
              <a:xfrm>
                <a:off x="4975365" y="13768604"/>
                <a:ext cx="212770" cy="260264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22" name="Check Box 102" hidden="1">
                <a:extLst>
                  <a:ext uri="{63B3BB69-23CF-44E3-9099-C40C66FF867C}">
                    <a14:compatExt spid="_x0000_s56422"/>
                  </a:ext>
                  <a:ext uri="{FF2B5EF4-FFF2-40B4-BE49-F238E27FC236}">
                    <a16:creationId xmlns:a16="http://schemas.microsoft.com/office/drawing/2014/main" id="{00000000-0008-0000-0600-000066DC0000}"/>
                  </a:ext>
                </a:extLst>
              </xdr:cNvPr>
              <xdr:cNvSpPr/>
            </xdr:nvSpPr>
            <xdr:spPr bwMode="auto">
              <a:xfrm>
                <a:off x="4976537" y="13944924"/>
                <a:ext cx="201886" cy="252746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23" name="Check Box 103" hidden="1">
                <a:extLst>
                  <a:ext uri="{63B3BB69-23CF-44E3-9099-C40C66FF867C}">
                    <a14:compatExt spid="_x0000_s56423"/>
                  </a:ext>
                  <a:ext uri="{FF2B5EF4-FFF2-40B4-BE49-F238E27FC236}">
                    <a16:creationId xmlns:a16="http://schemas.microsoft.com/office/drawing/2014/main" id="{00000000-0008-0000-0600-000067DC0000}"/>
                  </a:ext>
                </a:extLst>
              </xdr:cNvPr>
              <xdr:cNvSpPr/>
            </xdr:nvSpPr>
            <xdr:spPr bwMode="auto">
              <a:xfrm>
                <a:off x="4976537" y="14113724"/>
                <a:ext cx="185562" cy="245227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24" name="Check Box 104" hidden="1">
                <a:extLst>
                  <a:ext uri="{63B3BB69-23CF-44E3-9099-C40C66FF867C}">
                    <a14:compatExt spid="_x0000_s56424"/>
                  </a:ext>
                  <a:ext uri="{FF2B5EF4-FFF2-40B4-BE49-F238E27FC236}">
                    <a16:creationId xmlns:a16="http://schemas.microsoft.com/office/drawing/2014/main" id="{00000000-0008-0000-0600-000068DC0000}"/>
                  </a:ext>
                </a:extLst>
              </xdr:cNvPr>
              <xdr:cNvSpPr/>
            </xdr:nvSpPr>
            <xdr:spPr bwMode="auto">
              <a:xfrm>
                <a:off x="4976537" y="14275005"/>
                <a:ext cx="174678" cy="260264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25" name="Check Box 105" hidden="1">
                <a:extLst>
                  <a:ext uri="{63B3BB69-23CF-44E3-9099-C40C66FF867C}">
                    <a14:compatExt spid="_x0000_s56425"/>
                  </a:ext>
                  <a:ext uri="{FF2B5EF4-FFF2-40B4-BE49-F238E27FC236}">
                    <a16:creationId xmlns:a16="http://schemas.microsoft.com/office/drawing/2014/main" id="{00000000-0008-0000-0600-000069DC0000}"/>
                  </a:ext>
                </a:extLst>
              </xdr:cNvPr>
              <xdr:cNvSpPr/>
            </xdr:nvSpPr>
            <xdr:spPr bwMode="auto">
              <a:xfrm>
                <a:off x="4976537" y="14451323"/>
                <a:ext cx="174678" cy="245228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26" name="Check Box 106" hidden="1">
                <a:extLst>
                  <a:ext uri="{63B3BB69-23CF-44E3-9099-C40C66FF867C}">
                    <a14:compatExt spid="_x0000_s56426"/>
                  </a:ext>
                  <a:ext uri="{FF2B5EF4-FFF2-40B4-BE49-F238E27FC236}">
                    <a16:creationId xmlns:a16="http://schemas.microsoft.com/office/drawing/2014/main" id="{00000000-0008-0000-0600-00006ADC0000}"/>
                  </a:ext>
                </a:extLst>
              </xdr:cNvPr>
              <xdr:cNvSpPr/>
            </xdr:nvSpPr>
            <xdr:spPr bwMode="auto">
              <a:xfrm>
                <a:off x="4976537" y="14612683"/>
                <a:ext cx="174678" cy="25274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224889</xdr:colOff>
          <xdr:row>72</xdr:row>
          <xdr:rowOff>121920</xdr:rowOff>
        </xdr:from>
        <xdr:to>
          <xdr:col>36</xdr:col>
          <xdr:colOff>3318</xdr:colOff>
          <xdr:row>80</xdr:row>
          <xdr:rowOff>53965</xdr:rowOff>
        </xdr:to>
        <xdr:grpSp>
          <xdr:nvGrpSpPr>
            <xdr:cNvPr id="126" name="Groupe 125">
              <a:extLst>
                <a:ext uri="{FF2B5EF4-FFF2-40B4-BE49-F238E27FC236}">
                  <a16:creationId xmlns:a16="http://schemas.microsoft.com/office/drawing/2014/main" id="{00000000-0008-0000-0600-00007E000000}"/>
                </a:ext>
              </a:extLst>
            </xdr:cNvPr>
            <xdr:cNvGrpSpPr/>
          </xdr:nvGrpSpPr>
          <xdr:grpSpPr>
            <a:xfrm>
              <a:off x="18354139" y="13368020"/>
              <a:ext cx="222929" cy="1303645"/>
              <a:chOff x="4975240" y="13592346"/>
              <a:chExt cx="212770" cy="1273086"/>
            </a:xfrm>
          </xdr:grpSpPr>
          <xdr:sp macro="" textlink="">
            <xdr:nvSpPr>
              <xdr:cNvPr id="56427" name="Check Box 107" hidden="1">
                <a:extLst>
                  <a:ext uri="{63B3BB69-23CF-44E3-9099-C40C66FF867C}">
                    <a14:compatExt spid="_x0000_s56427"/>
                  </a:ext>
                  <a:ext uri="{FF2B5EF4-FFF2-40B4-BE49-F238E27FC236}">
                    <a16:creationId xmlns:a16="http://schemas.microsoft.com/office/drawing/2014/main" id="{00000000-0008-0000-0600-00006BDC0000}"/>
                  </a:ext>
                </a:extLst>
              </xdr:cNvPr>
              <xdr:cNvSpPr/>
            </xdr:nvSpPr>
            <xdr:spPr bwMode="auto">
              <a:xfrm>
                <a:off x="4976536" y="13592346"/>
                <a:ext cx="201887" cy="26026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28" name="Check Box 108" hidden="1">
                <a:extLst>
                  <a:ext uri="{63B3BB69-23CF-44E3-9099-C40C66FF867C}">
                    <a14:compatExt spid="_x0000_s56428"/>
                  </a:ext>
                  <a:ext uri="{FF2B5EF4-FFF2-40B4-BE49-F238E27FC236}">
                    <a16:creationId xmlns:a16="http://schemas.microsoft.com/office/drawing/2014/main" id="{00000000-0008-0000-0600-00006CDC0000}"/>
                  </a:ext>
                </a:extLst>
              </xdr:cNvPr>
              <xdr:cNvSpPr/>
            </xdr:nvSpPr>
            <xdr:spPr bwMode="auto">
              <a:xfrm>
                <a:off x="4975240" y="13768604"/>
                <a:ext cx="212770" cy="260264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29" name="Check Box 109" hidden="1">
                <a:extLst>
                  <a:ext uri="{63B3BB69-23CF-44E3-9099-C40C66FF867C}">
                    <a14:compatExt spid="_x0000_s56429"/>
                  </a:ext>
                  <a:ext uri="{FF2B5EF4-FFF2-40B4-BE49-F238E27FC236}">
                    <a16:creationId xmlns:a16="http://schemas.microsoft.com/office/drawing/2014/main" id="{00000000-0008-0000-0600-00006DDC0000}"/>
                  </a:ext>
                </a:extLst>
              </xdr:cNvPr>
              <xdr:cNvSpPr/>
            </xdr:nvSpPr>
            <xdr:spPr bwMode="auto">
              <a:xfrm>
                <a:off x="4976536" y="13944924"/>
                <a:ext cx="201886" cy="252746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30" name="Check Box 110" hidden="1">
                <a:extLst>
                  <a:ext uri="{63B3BB69-23CF-44E3-9099-C40C66FF867C}">
                    <a14:compatExt spid="_x0000_s56430"/>
                  </a:ext>
                  <a:ext uri="{FF2B5EF4-FFF2-40B4-BE49-F238E27FC236}">
                    <a16:creationId xmlns:a16="http://schemas.microsoft.com/office/drawing/2014/main" id="{00000000-0008-0000-0600-00006EDC0000}"/>
                  </a:ext>
                </a:extLst>
              </xdr:cNvPr>
              <xdr:cNvSpPr/>
            </xdr:nvSpPr>
            <xdr:spPr bwMode="auto">
              <a:xfrm>
                <a:off x="4976536" y="14113724"/>
                <a:ext cx="185563" cy="245227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31" name="Check Box 111" hidden="1">
                <a:extLst>
                  <a:ext uri="{63B3BB69-23CF-44E3-9099-C40C66FF867C}">
                    <a14:compatExt spid="_x0000_s56431"/>
                  </a:ext>
                  <a:ext uri="{FF2B5EF4-FFF2-40B4-BE49-F238E27FC236}">
                    <a16:creationId xmlns:a16="http://schemas.microsoft.com/office/drawing/2014/main" id="{00000000-0008-0000-0600-00006FDC0000}"/>
                  </a:ext>
                </a:extLst>
              </xdr:cNvPr>
              <xdr:cNvSpPr/>
            </xdr:nvSpPr>
            <xdr:spPr bwMode="auto">
              <a:xfrm>
                <a:off x="4976536" y="14275005"/>
                <a:ext cx="174678" cy="260264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32" name="Check Box 112" hidden="1">
                <a:extLst>
                  <a:ext uri="{63B3BB69-23CF-44E3-9099-C40C66FF867C}">
                    <a14:compatExt spid="_x0000_s56432"/>
                  </a:ext>
                  <a:ext uri="{FF2B5EF4-FFF2-40B4-BE49-F238E27FC236}">
                    <a16:creationId xmlns:a16="http://schemas.microsoft.com/office/drawing/2014/main" id="{00000000-0008-0000-0600-000070DC0000}"/>
                  </a:ext>
                </a:extLst>
              </xdr:cNvPr>
              <xdr:cNvSpPr/>
            </xdr:nvSpPr>
            <xdr:spPr bwMode="auto">
              <a:xfrm>
                <a:off x="4976536" y="14451323"/>
                <a:ext cx="174678" cy="245228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33" name="Check Box 113" hidden="1">
                <a:extLst>
                  <a:ext uri="{63B3BB69-23CF-44E3-9099-C40C66FF867C}">
                    <a14:compatExt spid="_x0000_s56433"/>
                  </a:ext>
                  <a:ext uri="{FF2B5EF4-FFF2-40B4-BE49-F238E27FC236}">
                    <a16:creationId xmlns:a16="http://schemas.microsoft.com/office/drawing/2014/main" id="{00000000-0008-0000-0600-000071DC0000}"/>
                  </a:ext>
                </a:extLst>
              </xdr:cNvPr>
              <xdr:cNvSpPr/>
            </xdr:nvSpPr>
            <xdr:spPr bwMode="auto">
              <a:xfrm>
                <a:off x="4976536" y="14612683"/>
                <a:ext cx="174678" cy="25274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239762</xdr:colOff>
          <xdr:row>72</xdr:row>
          <xdr:rowOff>121920</xdr:rowOff>
        </xdr:from>
        <xdr:to>
          <xdr:col>37</xdr:col>
          <xdr:colOff>18191</xdr:colOff>
          <xdr:row>80</xdr:row>
          <xdr:rowOff>53965</xdr:rowOff>
        </xdr:to>
        <xdr:grpSp>
          <xdr:nvGrpSpPr>
            <xdr:cNvPr id="134" name="Groupe 133">
              <a:extLst>
                <a:ext uri="{FF2B5EF4-FFF2-40B4-BE49-F238E27FC236}">
                  <a16:creationId xmlns:a16="http://schemas.microsoft.com/office/drawing/2014/main" id="{00000000-0008-0000-0600-000086000000}"/>
                </a:ext>
              </a:extLst>
            </xdr:cNvPr>
            <xdr:cNvGrpSpPr/>
          </xdr:nvGrpSpPr>
          <xdr:grpSpPr>
            <a:xfrm>
              <a:off x="18813512" y="13368020"/>
              <a:ext cx="222929" cy="1303645"/>
              <a:chOff x="4975703" y="13592346"/>
              <a:chExt cx="212770" cy="1273086"/>
            </a:xfrm>
          </xdr:grpSpPr>
          <xdr:sp macro="" textlink="">
            <xdr:nvSpPr>
              <xdr:cNvPr id="56434" name="Check Box 114" hidden="1">
                <a:extLst>
                  <a:ext uri="{63B3BB69-23CF-44E3-9099-C40C66FF867C}">
                    <a14:compatExt spid="_x0000_s56434"/>
                  </a:ext>
                  <a:ext uri="{FF2B5EF4-FFF2-40B4-BE49-F238E27FC236}">
                    <a16:creationId xmlns:a16="http://schemas.microsoft.com/office/drawing/2014/main" id="{00000000-0008-0000-0600-000072DC0000}"/>
                  </a:ext>
                </a:extLst>
              </xdr:cNvPr>
              <xdr:cNvSpPr/>
            </xdr:nvSpPr>
            <xdr:spPr bwMode="auto">
              <a:xfrm>
                <a:off x="4976537" y="13592346"/>
                <a:ext cx="201887" cy="26026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35" name="Check Box 115" hidden="1">
                <a:extLst>
                  <a:ext uri="{63B3BB69-23CF-44E3-9099-C40C66FF867C}">
                    <a14:compatExt spid="_x0000_s56435"/>
                  </a:ext>
                  <a:ext uri="{FF2B5EF4-FFF2-40B4-BE49-F238E27FC236}">
                    <a16:creationId xmlns:a16="http://schemas.microsoft.com/office/drawing/2014/main" id="{00000000-0008-0000-0600-000073DC0000}"/>
                  </a:ext>
                </a:extLst>
              </xdr:cNvPr>
              <xdr:cNvSpPr/>
            </xdr:nvSpPr>
            <xdr:spPr bwMode="auto">
              <a:xfrm>
                <a:off x="4975703" y="13768604"/>
                <a:ext cx="212770" cy="260264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36" name="Check Box 116" hidden="1">
                <a:extLst>
                  <a:ext uri="{63B3BB69-23CF-44E3-9099-C40C66FF867C}">
                    <a14:compatExt spid="_x0000_s56436"/>
                  </a:ext>
                  <a:ext uri="{FF2B5EF4-FFF2-40B4-BE49-F238E27FC236}">
                    <a16:creationId xmlns:a16="http://schemas.microsoft.com/office/drawing/2014/main" id="{00000000-0008-0000-0600-000074DC0000}"/>
                  </a:ext>
                </a:extLst>
              </xdr:cNvPr>
              <xdr:cNvSpPr/>
            </xdr:nvSpPr>
            <xdr:spPr bwMode="auto">
              <a:xfrm>
                <a:off x="4976537" y="13944924"/>
                <a:ext cx="201885" cy="252746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37" name="Check Box 117" hidden="1">
                <a:extLst>
                  <a:ext uri="{63B3BB69-23CF-44E3-9099-C40C66FF867C}">
                    <a14:compatExt spid="_x0000_s56437"/>
                  </a:ext>
                  <a:ext uri="{FF2B5EF4-FFF2-40B4-BE49-F238E27FC236}">
                    <a16:creationId xmlns:a16="http://schemas.microsoft.com/office/drawing/2014/main" id="{00000000-0008-0000-0600-000075DC0000}"/>
                  </a:ext>
                </a:extLst>
              </xdr:cNvPr>
              <xdr:cNvSpPr/>
            </xdr:nvSpPr>
            <xdr:spPr bwMode="auto">
              <a:xfrm>
                <a:off x="4976537" y="14113724"/>
                <a:ext cx="185561" cy="245227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38" name="Check Box 118" hidden="1">
                <a:extLst>
                  <a:ext uri="{63B3BB69-23CF-44E3-9099-C40C66FF867C}">
                    <a14:compatExt spid="_x0000_s56438"/>
                  </a:ext>
                  <a:ext uri="{FF2B5EF4-FFF2-40B4-BE49-F238E27FC236}">
                    <a16:creationId xmlns:a16="http://schemas.microsoft.com/office/drawing/2014/main" id="{00000000-0008-0000-0600-000076DC0000}"/>
                  </a:ext>
                </a:extLst>
              </xdr:cNvPr>
              <xdr:cNvSpPr/>
            </xdr:nvSpPr>
            <xdr:spPr bwMode="auto">
              <a:xfrm>
                <a:off x="4976537" y="14275005"/>
                <a:ext cx="174678" cy="260264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39" name="Check Box 119" hidden="1">
                <a:extLst>
                  <a:ext uri="{63B3BB69-23CF-44E3-9099-C40C66FF867C}">
                    <a14:compatExt spid="_x0000_s56439"/>
                  </a:ext>
                  <a:ext uri="{FF2B5EF4-FFF2-40B4-BE49-F238E27FC236}">
                    <a16:creationId xmlns:a16="http://schemas.microsoft.com/office/drawing/2014/main" id="{00000000-0008-0000-0600-000077DC0000}"/>
                  </a:ext>
                </a:extLst>
              </xdr:cNvPr>
              <xdr:cNvSpPr/>
            </xdr:nvSpPr>
            <xdr:spPr bwMode="auto">
              <a:xfrm>
                <a:off x="4976537" y="14451323"/>
                <a:ext cx="174678" cy="245228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40" name="Check Box 120" hidden="1">
                <a:extLst>
                  <a:ext uri="{63B3BB69-23CF-44E3-9099-C40C66FF867C}">
                    <a14:compatExt spid="_x0000_s56440"/>
                  </a:ext>
                  <a:ext uri="{FF2B5EF4-FFF2-40B4-BE49-F238E27FC236}">
                    <a16:creationId xmlns:a16="http://schemas.microsoft.com/office/drawing/2014/main" id="{00000000-0008-0000-0600-000078DC0000}"/>
                  </a:ext>
                </a:extLst>
              </xdr:cNvPr>
              <xdr:cNvSpPr/>
            </xdr:nvSpPr>
            <xdr:spPr bwMode="auto">
              <a:xfrm>
                <a:off x="4976537" y="14612683"/>
                <a:ext cx="174678" cy="25274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225560</xdr:colOff>
          <xdr:row>72</xdr:row>
          <xdr:rowOff>124244</xdr:rowOff>
        </xdr:from>
        <xdr:to>
          <xdr:col>38</xdr:col>
          <xdr:colOff>3989</xdr:colOff>
          <xdr:row>80</xdr:row>
          <xdr:rowOff>56289</xdr:rowOff>
        </xdr:to>
        <xdr:grpSp>
          <xdr:nvGrpSpPr>
            <xdr:cNvPr id="142" name="Groupe 141">
              <a:extLst>
                <a:ext uri="{FF2B5EF4-FFF2-40B4-BE49-F238E27FC236}">
                  <a16:creationId xmlns:a16="http://schemas.microsoft.com/office/drawing/2014/main" id="{00000000-0008-0000-0600-00008E000000}"/>
                </a:ext>
              </a:extLst>
            </xdr:cNvPr>
            <xdr:cNvGrpSpPr/>
          </xdr:nvGrpSpPr>
          <xdr:grpSpPr>
            <a:xfrm>
              <a:off x="19243810" y="13370344"/>
              <a:ext cx="222929" cy="1303645"/>
              <a:chOff x="4976044" y="13592346"/>
              <a:chExt cx="212770" cy="1273086"/>
            </a:xfrm>
          </xdr:grpSpPr>
          <xdr:sp macro="" textlink="">
            <xdr:nvSpPr>
              <xdr:cNvPr id="56441" name="Check Box 121" hidden="1">
                <a:extLst>
                  <a:ext uri="{63B3BB69-23CF-44E3-9099-C40C66FF867C}">
                    <a14:compatExt spid="_x0000_s56441"/>
                  </a:ext>
                  <a:ext uri="{FF2B5EF4-FFF2-40B4-BE49-F238E27FC236}">
                    <a16:creationId xmlns:a16="http://schemas.microsoft.com/office/drawing/2014/main" id="{00000000-0008-0000-0600-000079DC0000}"/>
                  </a:ext>
                </a:extLst>
              </xdr:cNvPr>
              <xdr:cNvSpPr/>
            </xdr:nvSpPr>
            <xdr:spPr bwMode="auto">
              <a:xfrm>
                <a:off x="4976536" y="13592346"/>
                <a:ext cx="201886" cy="26026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42" name="Check Box 122" hidden="1">
                <a:extLst>
                  <a:ext uri="{63B3BB69-23CF-44E3-9099-C40C66FF867C}">
                    <a14:compatExt spid="_x0000_s56442"/>
                  </a:ext>
                  <a:ext uri="{FF2B5EF4-FFF2-40B4-BE49-F238E27FC236}">
                    <a16:creationId xmlns:a16="http://schemas.microsoft.com/office/drawing/2014/main" id="{00000000-0008-0000-0600-00007ADC0000}"/>
                  </a:ext>
                </a:extLst>
              </xdr:cNvPr>
              <xdr:cNvSpPr/>
            </xdr:nvSpPr>
            <xdr:spPr bwMode="auto">
              <a:xfrm>
                <a:off x="4976044" y="13768604"/>
                <a:ext cx="212770" cy="260264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43" name="Check Box 123" hidden="1">
                <a:extLst>
                  <a:ext uri="{63B3BB69-23CF-44E3-9099-C40C66FF867C}">
                    <a14:compatExt spid="_x0000_s56443"/>
                  </a:ext>
                  <a:ext uri="{FF2B5EF4-FFF2-40B4-BE49-F238E27FC236}">
                    <a16:creationId xmlns:a16="http://schemas.microsoft.com/office/drawing/2014/main" id="{00000000-0008-0000-0600-00007BDC0000}"/>
                  </a:ext>
                </a:extLst>
              </xdr:cNvPr>
              <xdr:cNvSpPr/>
            </xdr:nvSpPr>
            <xdr:spPr bwMode="auto">
              <a:xfrm>
                <a:off x="4976540" y="13944924"/>
                <a:ext cx="201885" cy="252746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44" name="Check Box 124" hidden="1">
                <a:extLst>
                  <a:ext uri="{63B3BB69-23CF-44E3-9099-C40C66FF867C}">
                    <a14:compatExt spid="_x0000_s56444"/>
                  </a:ext>
                  <a:ext uri="{FF2B5EF4-FFF2-40B4-BE49-F238E27FC236}">
                    <a16:creationId xmlns:a16="http://schemas.microsoft.com/office/drawing/2014/main" id="{00000000-0008-0000-0600-00007CDC0000}"/>
                  </a:ext>
                </a:extLst>
              </xdr:cNvPr>
              <xdr:cNvSpPr/>
            </xdr:nvSpPr>
            <xdr:spPr bwMode="auto">
              <a:xfrm>
                <a:off x="4976540" y="14113724"/>
                <a:ext cx="185562" cy="245227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45" name="Check Box 125" hidden="1">
                <a:extLst>
                  <a:ext uri="{63B3BB69-23CF-44E3-9099-C40C66FF867C}">
                    <a14:compatExt spid="_x0000_s56445"/>
                  </a:ext>
                  <a:ext uri="{FF2B5EF4-FFF2-40B4-BE49-F238E27FC236}">
                    <a16:creationId xmlns:a16="http://schemas.microsoft.com/office/drawing/2014/main" id="{00000000-0008-0000-0600-00007DDC0000}"/>
                  </a:ext>
                </a:extLst>
              </xdr:cNvPr>
              <xdr:cNvSpPr/>
            </xdr:nvSpPr>
            <xdr:spPr bwMode="auto">
              <a:xfrm>
                <a:off x="4976540" y="14275005"/>
                <a:ext cx="174678" cy="260264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46" name="Check Box 126" hidden="1">
                <a:extLst>
                  <a:ext uri="{63B3BB69-23CF-44E3-9099-C40C66FF867C}">
                    <a14:compatExt spid="_x0000_s56446"/>
                  </a:ext>
                  <a:ext uri="{FF2B5EF4-FFF2-40B4-BE49-F238E27FC236}">
                    <a16:creationId xmlns:a16="http://schemas.microsoft.com/office/drawing/2014/main" id="{00000000-0008-0000-0600-00007EDC0000}"/>
                  </a:ext>
                </a:extLst>
              </xdr:cNvPr>
              <xdr:cNvSpPr/>
            </xdr:nvSpPr>
            <xdr:spPr bwMode="auto">
              <a:xfrm>
                <a:off x="4976540" y="14451323"/>
                <a:ext cx="174678" cy="245228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47" name="Check Box 127" hidden="1">
                <a:extLst>
                  <a:ext uri="{63B3BB69-23CF-44E3-9099-C40C66FF867C}">
                    <a14:compatExt spid="_x0000_s56447"/>
                  </a:ext>
                  <a:ext uri="{FF2B5EF4-FFF2-40B4-BE49-F238E27FC236}">
                    <a16:creationId xmlns:a16="http://schemas.microsoft.com/office/drawing/2014/main" id="{00000000-0008-0000-0600-00007FDC0000}"/>
                  </a:ext>
                </a:extLst>
              </xdr:cNvPr>
              <xdr:cNvSpPr/>
            </xdr:nvSpPr>
            <xdr:spPr bwMode="auto">
              <a:xfrm>
                <a:off x="4976540" y="14612683"/>
                <a:ext cx="174678" cy="25274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240149</xdr:colOff>
          <xdr:row>72</xdr:row>
          <xdr:rowOff>121920</xdr:rowOff>
        </xdr:from>
        <xdr:to>
          <xdr:col>39</xdr:col>
          <xdr:colOff>18578</xdr:colOff>
          <xdr:row>80</xdr:row>
          <xdr:rowOff>53965</xdr:rowOff>
        </xdr:to>
        <xdr:grpSp>
          <xdr:nvGrpSpPr>
            <xdr:cNvPr id="150" name="Groupe 149">
              <a:extLst>
                <a:ext uri="{FF2B5EF4-FFF2-40B4-BE49-F238E27FC236}">
                  <a16:creationId xmlns:a16="http://schemas.microsoft.com/office/drawing/2014/main" id="{00000000-0008-0000-0600-000096000000}"/>
                </a:ext>
              </a:extLst>
            </xdr:cNvPr>
            <xdr:cNvGrpSpPr/>
          </xdr:nvGrpSpPr>
          <xdr:grpSpPr>
            <a:xfrm>
              <a:off x="19702899" y="13368020"/>
              <a:ext cx="222929" cy="1303645"/>
              <a:chOff x="4975285" y="13592346"/>
              <a:chExt cx="212770" cy="1273086"/>
            </a:xfrm>
          </xdr:grpSpPr>
          <xdr:sp macro="" textlink="">
            <xdr:nvSpPr>
              <xdr:cNvPr id="56448" name="Check Box 128" hidden="1">
                <a:extLst>
                  <a:ext uri="{63B3BB69-23CF-44E3-9099-C40C66FF867C}">
                    <a14:compatExt spid="_x0000_s56448"/>
                  </a:ext>
                  <a:ext uri="{FF2B5EF4-FFF2-40B4-BE49-F238E27FC236}">
                    <a16:creationId xmlns:a16="http://schemas.microsoft.com/office/drawing/2014/main" id="{00000000-0008-0000-0600-000080DC0000}"/>
                  </a:ext>
                </a:extLst>
              </xdr:cNvPr>
              <xdr:cNvSpPr/>
            </xdr:nvSpPr>
            <xdr:spPr bwMode="auto">
              <a:xfrm>
                <a:off x="4976536" y="13592346"/>
                <a:ext cx="201887" cy="26026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49" name="Check Box 129" hidden="1">
                <a:extLst>
                  <a:ext uri="{63B3BB69-23CF-44E3-9099-C40C66FF867C}">
                    <a14:compatExt spid="_x0000_s56449"/>
                  </a:ext>
                  <a:ext uri="{FF2B5EF4-FFF2-40B4-BE49-F238E27FC236}">
                    <a16:creationId xmlns:a16="http://schemas.microsoft.com/office/drawing/2014/main" id="{00000000-0008-0000-0600-000081DC0000}"/>
                  </a:ext>
                </a:extLst>
              </xdr:cNvPr>
              <xdr:cNvSpPr/>
            </xdr:nvSpPr>
            <xdr:spPr bwMode="auto">
              <a:xfrm>
                <a:off x="4975285" y="13768604"/>
                <a:ext cx="212770" cy="260264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50" name="Check Box 130" hidden="1">
                <a:extLst>
                  <a:ext uri="{63B3BB69-23CF-44E3-9099-C40C66FF867C}">
                    <a14:compatExt spid="_x0000_s56450"/>
                  </a:ext>
                  <a:ext uri="{FF2B5EF4-FFF2-40B4-BE49-F238E27FC236}">
                    <a16:creationId xmlns:a16="http://schemas.microsoft.com/office/drawing/2014/main" id="{00000000-0008-0000-0600-000082DC0000}"/>
                  </a:ext>
                </a:extLst>
              </xdr:cNvPr>
              <xdr:cNvSpPr/>
            </xdr:nvSpPr>
            <xdr:spPr bwMode="auto">
              <a:xfrm>
                <a:off x="4976536" y="13944924"/>
                <a:ext cx="201886" cy="252746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51" name="Check Box 131" hidden="1">
                <a:extLst>
                  <a:ext uri="{63B3BB69-23CF-44E3-9099-C40C66FF867C}">
                    <a14:compatExt spid="_x0000_s56451"/>
                  </a:ext>
                  <a:ext uri="{FF2B5EF4-FFF2-40B4-BE49-F238E27FC236}">
                    <a16:creationId xmlns:a16="http://schemas.microsoft.com/office/drawing/2014/main" id="{00000000-0008-0000-0600-000083DC0000}"/>
                  </a:ext>
                </a:extLst>
              </xdr:cNvPr>
              <xdr:cNvSpPr/>
            </xdr:nvSpPr>
            <xdr:spPr bwMode="auto">
              <a:xfrm>
                <a:off x="4976536" y="14113724"/>
                <a:ext cx="185563" cy="245227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52" name="Check Box 132" hidden="1">
                <a:extLst>
                  <a:ext uri="{63B3BB69-23CF-44E3-9099-C40C66FF867C}">
                    <a14:compatExt spid="_x0000_s56452"/>
                  </a:ext>
                  <a:ext uri="{FF2B5EF4-FFF2-40B4-BE49-F238E27FC236}">
                    <a16:creationId xmlns:a16="http://schemas.microsoft.com/office/drawing/2014/main" id="{00000000-0008-0000-0600-000084DC0000}"/>
                  </a:ext>
                </a:extLst>
              </xdr:cNvPr>
              <xdr:cNvSpPr/>
            </xdr:nvSpPr>
            <xdr:spPr bwMode="auto">
              <a:xfrm>
                <a:off x="4976536" y="14275005"/>
                <a:ext cx="174678" cy="260264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53" name="Check Box 133" hidden="1">
                <a:extLst>
                  <a:ext uri="{63B3BB69-23CF-44E3-9099-C40C66FF867C}">
                    <a14:compatExt spid="_x0000_s56453"/>
                  </a:ext>
                  <a:ext uri="{FF2B5EF4-FFF2-40B4-BE49-F238E27FC236}">
                    <a16:creationId xmlns:a16="http://schemas.microsoft.com/office/drawing/2014/main" id="{00000000-0008-0000-0600-000085DC0000}"/>
                  </a:ext>
                </a:extLst>
              </xdr:cNvPr>
              <xdr:cNvSpPr/>
            </xdr:nvSpPr>
            <xdr:spPr bwMode="auto">
              <a:xfrm>
                <a:off x="4976536" y="14451323"/>
                <a:ext cx="174678" cy="245228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54" name="Check Box 134" hidden="1">
                <a:extLst>
                  <a:ext uri="{63B3BB69-23CF-44E3-9099-C40C66FF867C}">
                    <a14:compatExt spid="_x0000_s56454"/>
                  </a:ext>
                  <a:ext uri="{FF2B5EF4-FFF2-40B4-BE49-F238E27FC236}">
                    <a16:creationId xmlns:a16="http://schemas.microsoft.com/office/drawing/2014/main" id="{00000000-0008-0000-0600-000086DC0000}"/>
                  </a:ext>
                </a:extLst>
              </xdr:cNvPr>
              <xdr:cNvSpPr/>
            </xdr:nvSpPr>
            <xdr:spPr bwMode="auto">
              <a:xfrm>
                <a:off x="4976536" y="14612683"/>
                <a:ext cx="174678" cy="25274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229324</xdr:colOff>
          <xdr:row>72</xdr:row>
          <xdr:rowOff>121920</xdr:rowOff>
        </xdr:from>
        <xdr:to>
          <xdr:col>53</xdr:col>
          <xdr:colOff>7753</xdr:colOff>
          <xdr:row>80</xdr:row>
          <xdr:rowOff>53965</xdr:rowOff>
        </xdr:to>
        <xdr:grpSp>
          <xdr:nvGrpSpPr>
            <xdr:cNvPr id="158" name="Groupe 157">
              <a:extLst>
                <a:ext uri="{FF2B5EF4-FFF2-40B4-BE49-F238E27FC236}">
                  <a16:creationId xmlns:a16="http://schemas.microsoft.com/office/drawing/2014/main" id="{00000000-0008-0000-0600-00009E000000}"/>
                </a:ext>
              </a:extLst>
            </xdr:cNvPr>
            <xdr:cNvGrpSpPr/>
          </xdr:nvGrpSpPr>
          <xdr:grpSpPr>
            <a:xfrm>
              <a:off x="20136574" y="13368020"/>
              <a:ext cx="222929" cy="1303645"/>
              <a:chOff x="4975217" y="13592346"/>
              <a:chExt cx="212770" cy="1273086"/>
            </a:xfrm>
          </xdr:grpSpPr>
          <xdr:sp macro="" textlink="">
            <xdr:nvSpPr>
              <xdr:cNvPr id="56455" name="Check Box 135" hidden="1">
                <a:extLst>
                  <a:ext uri="{63B3BB69-23CF-44E3-9099-C40C66FF867C}">
                    <a14:compatExt spid="_x0000_s56455"/>
                  </a:ext>
                  <a:ext uri="{FF2B5EF4-FFF2-40B4-BE49-F238E27FC236}">
                    <a16:creationId xmlns:a16="http://schemas.microsoft.com/office/drawing/2014/main" id="{00000000-0008-0000-0600-000087DC0000}"/>
                  </a:ext>
                </a:extLst>
              </xdr:cNvPr>
              <xdr:cNvSpPr/>
            </xdr:nvSpPr>
            <xdr:spPr bwMode="auto">
              <a:xfrm>
                <a:off x="4976535" y="13592346"/>
                <a:ext cx="201887" cy="26026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56" name="Check Box 136" hidden="1">
                <a:extLst>
                  <a:ext uri="{63B3BB69-23CF-44E3-9099-C40C66FF867C}">
                    <a14:compatExt spid="_x0000_s56456"/>
                  </a:ext>
                  <a:ext uri="{FF2B5EF4-FFF2-40B4-BE49-F238E27FC236}">
                    <a16:creationId xmlns:a16="http://schemas.microsoft.com/office/drawing/2014/main" id="{00000000-0008-0000-0600-000088DC0000}"/>
                  </a:ext>
                </a:extLst>
              </xdr:cNvPr>
              <xdr:cNvSpPr/>
            </xdr:nvSpPr>
            <xdr:spPr bwMode="auto">
              <a:xfrm>
                <a:off x="4975217" y="13768604"/>
                <a:ext cx="212770" cy="260264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57" name="Check Box 137" hidden="1">
                <a:extLst>
                  <a:ext uri="{63B3BB69-23CF-44E3-9099-C40C66FF867C}">
                    <a14:compatExt spid="_x0000_s56457"/>
                  </a:ext>
                  <a:ext uri="{FF2B5EF4-FFF2-40B4-BE49-F238E27FC236}">
                    <a16:creationId xmlns:a16="http://schemas.microsoft.com/office/drawing/2014/main" id="{00000000-0008-0000-0600-000089DC0000}"/>
                  </a:ext>
                </a:extLst>
              </xdr:cNvPr>
              <xdr:cNvSpPr/>
            </xdr:nvSpPr>
            <xdr:spPr bwMode="auto">
              <a:xfrm>
                <a:off x="4976535" y="13944924"/>
                <a:ext cx="201885" cy="252746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58" name="Check Box 138" hidden="1">
                <a:extLst>
                  <a:ext uri="{63B3BB69-23CF-44E3-9099-C40C66FF867C}">
                    <a14:compatExt spid="_x0000_s56458"/>
                  </a:ext>
                  <a:ext uri="{FF2B5EF4-FFF2-40B4-BE49-F238E27FC236}">
                    <a16:creationId xmlns:a16="http://schemas.microsoft.com/office/drawing/2014/main" id="{00000000-0008-0000-0600-00008ADC0000}"/>
                  </a:ext>
                </a:extLst>
              </xdr:cNvPr>
              <xdr:cNvSpPr/>
            </xdr:nvSpPr>
            <xdr:spPr bwMode="auto">
              <a:xfrm>
                <a:off x="4976535" y="14113724"/>
                <a:ext cx="185561" cy="245227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59" name="Check Box 139" hidden="1">
                <a:extLst>
                  <a:ext uri="{63B3BB69-23CF-44E3-9099-C40C66FF867C}">
                    <a14:compatExt spid="_x0000_s56459"/>
                  </a:ext>
                  <a:ext uri="{FF2B5EF4-FFF2-40B4-BE49-F238E27FC236}">
                    <a16:creationId xmlns:a16="http://schemas.microsoft.com/office/drawing/2014/main" id="{00000000-0008-0000-0600-00008BDC0000}"/>
                  </a:ext>
                </a:extLst>
              </xdr:cNvPr>
              <xdr:cNvSpPr/>
            </xdr:nvSpPr>
            <xdr:spPr bwMode="auto">
              <a:xfrm>
                <a:off x="4976535" y="14275005"/>
                <a:ext cx="174678" cy="260264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60" name="Check Box 140" hidden="1">
                <a:extLst>
                  <a:ext uri="{63B3BB69-23CF-44E3-9099-C40C66FF867C}">
                    <a14:compatExt spid="_x0000_s56460"/>
                  </a:ext>
                  <a:ext uri="{FF2B5EF4-FFF2-40B4-BE49-F238E27FC236}">
                    <a16:creationId xmlns:a16="http://schemas.microsoft.com/office/drawing/2014/main" id="{00000000-0008-0000-0600-00008CDC0000}"/>
                  </a:ext>
                </a:extLst>
              </xdr:cNvPr>
              <xdr:cNvSpPr/>
            </xdr:nvSpPr>
            <xdr:spPr bwMode="auto">
              <a:xfrm>
                <a:off x="4976535" y="14451323"/>
                <a:ext cx="174678" cy="245228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61" name="Check Box 141" hidden="1">
                <a:extLst>
                  <a:ext uri="{63B3BB69-23CF-44E3-9099-C40C66FF867C}">
                    <a14:compatExt spid="_x0000_s56461"/>
                  </a:ext>
                  <a:ext uri="{FF2B5EF4-FFF2-40B4-BE49-F238E27FC236}">
                    <a16:creationId xmlns:a16="http://schemas.microsoft.com/office/drawing/2014/main" id="{00000000-0008-0000-0600-00008DDC0000}"/>
                  </a:ext>
                </a:extLst>
              </xdr:cNvPr>
              <xdr:cNvSpPr/>
            </xdr:nvSpPr>
            <xdr:spPr bwMode="auto">
              <a:xfrm>
                <a:off x="4976535" y="14612683"/>
                <a:ext cx="174678" cy="25274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22864</xdr:colOff>
          <xdr:row>120</xdr:row>
          <xdr:rowOff>128370</xdr:rowOff>
        </xdr:from>
        <xdr:to>
          <xdr:col>21</xdr:col>
          <xdr:colOff>52753</xdr:colOff>
          <xdr:row>129</xdr:row>
          <xdr:rowOff>52170</xdr:rowOff>
        </xdr:to>
        <xdr:grpSp>
          <xdr:nvGrpSpPr>
            <xdr:cNvPr id="166" name="Groupe 165">
              <a:extLst>
                <a:ext uri="{FF2B5EF4-FFF2-40B4-BE49-F238E27FC236}">
                  <a16:creationId xmlns:a16="http://schemas.microsoft.com/office/drawing/2014/main" id="{00000000-0008-0000-0600-0000A6000000}"/>
                </a:ext>
              </a:extLst>
            </xdr:cNvPr>
            <xdr:cNvGrpSpPr/>
          </xdr:nvGrpSpPr>
          <xdr:grpSpPr>
            <a:xfrm>
              <a:off x="4632964" y="20753170"/>
              <a:ext cx="7326039" cy="1403350"/>
              <a:chOff x="4564967" y="13269920"/>
              <a:chExt cx="229181" cy="1459610"/>
            </a:xfrm>
          </xdr:grpSpPr>
          <xdr:sp macro="" textlink="">
            <xdr:nvSpPr>
              <xdr:cNvPr id="56462" name="Check Box 142" hidden="1">
                <a:extLst>
                  <a:ext uri="{63B3BB69-23CF-44E3-9099-C40C66FF867C}">
                    <a14:compatExt spid="_x0000_s56462"/>
                  </a:ext>
                  <a:ext uri="{FF2B5EF4-FFF2-40B4-BE49-F238E27FC236}">
                    <a16:creationId xmlns:a16="http://schemas.microsoft.com/office/drawing/2014/main" id="{00000000-0008-0000-0600-00008EDC0000}"/>
                  </a:ext>
                </a:extLst>
              </xdr:cNvPr>
              <xdr:cNvSpPr/>
            </xdr:nvSpPr>
            <xdr:spPr bwMode="auto">
              <a:xfrm>
                <a:off x="4565555" y="13269920"/>
                <a:ext cx="205735" cy="254401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63" name="Check Box 143" hidden="1">
                <a:extLst>
                  <a:ext uri="{63B3BB69-23CF-44E3-9099-C40C66FF867C}">
                    <a14:compatExt spid="_x0000_s56463"/>
                  </a:ext>
                  <a:ext uri="{FF2B5EF4-FFF2-40B4-BE49-F238E27FC236}">
                    <a16:creationId xmlns:a16="http://schemas.microsoft.com/office/drawing/2014/main" id="{00000000-0008-0000-0600-00008FDC0000}"/>
                  </a:ext>
                </a:extLst>
              </xdr:cNvPr>
              <xdr:cNvSpPr/>
            </xdr:nvSpPr>
            <xdr:spPr bwMode="auto">
              <a:xfrm>
                <a:off x="4565555" y="13439254"/>
                <a:ext cx="217459" cy="263767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64" name="Check Box 144" hidden="1">
                <a:extLst>
                  <a:ext uri="{63B3BB69-23CF-44E3-9099-C40C66FF867C}">
                    <a14:compatExt spid="_x0000_s56464"/>
                  </a:ext>
                  <a:ext uri="{FF2B5EF4-FFF2-40B4-BE49-F238E27FC236}">
                    <a16:creationId xmlns:a16="http://schemas.microsoft.com/office/drawing/2014/main" id="{00000000-0008-0000-0600-000090DC0000}"/>
                  </a:ext>
                </a:extLst>
              </xdr:cNvPr>
              <xdr:cNvSpPr/>
            </xdr:nvSpPr>
            <xdr:spPr bwMode="auto">
              <a:xfrm>
                <a:off x="4564967" y="13617943"/>
                <a:ext cx="229181" cy="263763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65" name="Check Box 145" hidden="1">
                <a:extLst>
                  <a:ext uri="{63B3BB69-23CF-44E3-9099-C40C66FF867C}">
                    <a14:compatExt spid="_x0000_s56465"/>
                  </a:ext>
                  <a:ext uri="{FF2B5EF4-FFF2-40B4-BE49-F238E27FC236}">
                    <a16:creationId xmlns:a16="http://schemas.microsoft.com/office/drawing/2014/main" id="{00000000-0008-0000-0600-000091DC0000}"/>
                  </a:ext>
                </a:extLst>
              </xdr:cNvPr>
              <xdr:cNvSpPr/>
            </xdr:nvSpPr>
            <xdr:spPr bwMode="auto">
              <a:xfrm>
                <a:off x="4565555" y="13796638"/>
                <a:ext cx="217459" cy="256151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66" name="Check Box 146" hidden="1">
                <a:extLst>
                  <a:ext uri="{63B3BB69-23CF-44E3-9099-C40C66FF867C}">
                    <a14:compatExt spid="_x0000_s56466"/>
                  </a:ext>
                  <a:ext uri="{FF2B5EF4-FFF2-40B4-BE49-F238E27FC236}">
                    <a16:creationId xmlns:a16="http://schemas.microsoft.com/office/drawing/2014/main" id="{00000000-0008-0000-0600-000092DC0000}"/>
                  </a:ext>
                </a:extLst>
              </xdr:cNvPr>
              <xdr:cNvSpPr/>
            </xdr:nvSpPr>
            <xdr:spPr bwMode="auto">
              <a:xfrm>
                <a:off x="4565555" y="13967716"/>
                <a:ext cx="199876" cy="248526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67" name="Check Box 147" hidden="1">
                <a:extLst>
                  <a:ext uri="{63B3BB69-23CF-44E3-9099-C40C66FF867C}">
                    <a14:compatExt spid="_x0000_s56467"/>
                  </a:ext>
                  <a:ext uri="{FF2B5EF4-FFF2-40B4-BE49-F238E27FC236}">
                    <a16:creationId xmlns:a16="http://schemas.microsoft.com/office/drawing/2014/main" id="{00000000-0008-0000-0600-000093DC0000}"/>
                  </a:ext>
                </a:extLst>
              </xdr:cNvPr>
              <xdr:cNvSpPr/>
            </xdr:nvSpPr>
            <xdr:spPr bwMode="auto">
              <a:xfrm>
                <a:off x="4565555" y="14131164"/>
                <a:ext cx="188152" cy="263763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68" name="Check Box 148" hidden="1">
                <a:extLst>
                  <a:ext uri="{63B3BB69-23CF-44E3-9099-C40C66FF867C}">
                    <a14:compatExt spid="_x0000_s56468"/>
                  </a:ext>
                  <a:ext uri="{FF2B5EF4-FFF2-40B4-BE49-F238E27FC236}">
                    <a16:creationId xmlns:a16="http://schemas.microsoft.com/office/drawing/2014/main" id="{00000000-0008-0000-0600-000094DC0000}"/>
                  </a:ext>
                </a:extLst>
              </xdr:cNvPr>
              <xdr:cNvSpPr/>
            </xdr:nvSpPr>
            <xdr:spPr bwMode="auto">
              <a:xfrm>
                <a:off x="4565555" y="14309873"/>
                <a:ext cx="188152" cy="248526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  <xdr:sp macro="" textlink="">
            <xdr:nvSpPr>
              <xdr:cNvPr id="56469" name="Check Box 149" hidden="1">
                <a:extLst>
                  <a:ext uri="{63B3BB69-23CF-44E3-9099-C40C66FF867C}">
                    <a14:compatExt spid="_x0000_s56469"/>
                  </a:ext>
                  <a:ext uri="{FF2B5EF4-FFF2-40B4-BE49-F238E27FC236}">
                    <a16:creationId xmlns:a16="http://schemas.microsoft.com/office/drawing/2014/main" id="{00000000-0008-0000-0600-000095DC0000}"/>
                  </a:ext>
                </a:extLst>
              </xdr:cNvPr>
              <xdr:cNvSpPr/>
            </xdr:nvSpPr>
            <xdr:spPr bwMode="auto">
              <a:xfrm>
                <a:off x="4565555" y="14473371"/>
                <a:ext cx="188152" cy="25615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>
                    <a:solidFill>
                      <a:srgbClr val="FFFFFF" mc:Ignorable="a14" a14:legacySpreadsheetColorIndex="9">
                        <a:alpha val="85001"/>
                      </a:srgbClr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FF0000" mc:Ignorable="a14" a14:legacySpreadsheetColorIndex="10"/>
                    </a:solidFill>
                    <a:miter lim="800000"/>
                    <a:headEnd/>
                    <a:tailEnd/>
                  </a14:hiddenLine>
                </a:ext>
                <a:ext uri="{53640926-AAD7-44D8-BBD7-CCE9431645EC}">
                  <a14:shadowObscured val="1"/>
                </a:ext>
              </a:extLst>
            </xdr:spPr>
          </xdr:sp>
        </xdr:grpSp>
        <xdr:clientData/>
      </xdr:twoCellAnchor>
    </mc:Choice>
    <mc:Fallback/>
  </mc:AlternateContent>
  <xdr:twoCellAnchor>
    <xdr:from>
      <xdr:col>3</xdr:col>
      <xdr:colOff>1790699</xdr:colOff>
      <xdr:row>134</xdr:row>
      <xdr:rowOff>129540</xdr:rowOff>
    </xdr:from>
    <xdr:to>
      <xdr:col>4</xdr:col>
      <xdr:colOff>15240</xdr:colOff>
      <xdr:row>137</xdr:row>
      <xdr:rowOff>857</xdr:rowOff>
    </xdr:to>
    <xdr:sp macro="" textlink="">
      <xdr:nvSpPr>
        <xdr:cNvPr id="175" name="ZoneTexte 174">
          <a:extLst>
            <a:ext uri="{FF2B5EF4-FFF2-40B4-BE49-F238E27FC236}">
              <a16:creationId xmlns:a16="http://schemas.microsoft.com/office/drawing/2014/main" id="{00000000-0008-0000-0600-0000AF000000}"/>
            </a:ext>
          </a:extLst>
        </xdr:cNvPr>
        <xdr:cNvSpPr txBox="1"/>
      </xdr:nvSpPr>
      <xdr:spPr>
        <a:xfrm>
          <a:off x="4362449" y="21627465"/>
          <a:ext cx="53341" cy="3570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>
              <a:solidFill>
                <a:srgbClr val="FFFF00"/>
              </a:solidFill>
            </a:rPr>
            <a:t>*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6350</xdr:colOff>
          <xdr:row>135</xdr:row>
          <xdr:rowOff>0</xdr:rowOff>
        </xdr:from>
        <xdr:to>
          <xdr:col>5</xdr:col>
          <xdr:colOff>25400</xdr:colOff>
          <xdr:row>136</xdr:row>
          <xdr:rowOff>114300</xdr:rowOff>
        </xdr:to>
        <xdr:sp macro="" textlink="">
          <xdr:nvSpPr>
            <xdr:cNvPr id="56470" name="Check Box 150" descr="En activant la case vous remplacer les valeurs prévisionnelles par les valeurs réelles, vous permettant ainsi d'avoir une idée sur l'évolution du nombre d'agents" hidden="1">
              <a:extLst>
                <a:ext uri="{63B3BB69-23CF-44E3-9099-C40C66FF867C}">
                  <a14:compatExt spid="_x0000_s56470"/>
                </a:ext>
                <a:ext uri="{FF2B5EF4-FFF2-40B4-BE49-F238E27FC236}">
                  <a16:creationId xmlns:a16="http://schemas.microsoft.com/office/drawing/2014/main" id="{00000000-0008-0000-0600-00009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1100667</xdr:colOff>
      <xdr:row>147</xdr:row>
      <xdr:rowOff>42332</xdr:rowOff>
    </xdr:from>
    <xdr:to>
      <xdr:col>39</xdr:col>
      <xdr:colOff>365760</xdr:colOff>
      <xdr:row>167</xdr:row>
      <xdr:rowOff>99482</xdr:rowOff>
    </xdr:to>
    <xdr:graphicFrame macro="">
      <xdr:nvGraphicFramePr>
        <xdr:cNvPr id="177" name="Graphique 1">
          <a:extLst>
            <a:ext uri="{FF2B5EF4-FFF2-40B4-BE49-F238E27FC236}">
              <a16:creationId xmlns:a16="http://schemas.microsoft.com/office/drawing/2014/main" id="{00000000-0008-0000-0600-0000B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25400</xdr:colOff>
          <xdr:row>1</xdr:row>
          <xdr:rowOff>6350</xdr:rowOff>
        </xdr:from>
        <xdr:to>
          <xdr:col>6</xdr:col>
          <xdr:colOff>482600</xdr:colOff>
          <xdr:row>1</xdr:row>
          <xdr:rowOff>120650</xdr:rowOff>
        </xdr:to>
        <xdr:sp macro="" textlink="">
          <xdr:nvSpPr>
            <xdr:cNvPr id="64513" name="Check Box 1" descr="SU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A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BDCDE1"/>
                  </a:solidFill>
                </a14:hiddenFill>
              </a:ext>
              <a:ext uri="{91240B29-F687-4F45-9708-019B960494DF}">
                <a14:hiddenLine w="9525">
                  <a:solidFill>
                    <a:srgbClr val="FF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25400</xdr:colOff>
          <xdr:row>2</xdr:row>
          <xdr:rowOff>0</xdr:rowOff>
        </xdr:from>
        <xdr:to>
          <xdr:col>6</xdr:col>
          <xdr:colOff>482600</xdr:colOff>
          <xdr:row>3</xdr:row>
          <xdr:rowOff>0</xdr:rowOff>
        </xdr:to>
        <xdr:sp macro="" textlink="">
          <xdr:nvSpPr>
            <xdr:cNvPr id="64514" name="Check Box 2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0A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BDCDE1"/>
                  </a:solidFill>
                </a14:hiddenFill>
              </a:ext>
              <a:ext uri="{91240B29-F687-4F45-9708-019B960494DF}">
                <a14:hiddenLine w="9525">
                  <a:solidFill>
                    <a:srgbClr val="FF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25400</xdr:colOff>
          <xdr:row>3</xdr:row>
          <xdr:rowOff>6350</xdr:rowOff>
        </xdr:from>
        <xdr:to>
          <xdr:col>6</xdr:col>
          <xdr:colOff>482600</xdr:colOff>
          <xdr:row>3</xdr:row>
          <xdr:rowOff>120650</xdr:rowOff>
        </xdr:to>
        <xdr:sp macro="" textlink="">
          <xdr:nvSpPr>
            <xdr:cNvPr id="64515" name="Check Box 3" hidden="1">
              <a:extLst>
                <a:ext uri="{63B3BB69-23CF-44E3-9099-C40C66FF867C}">
                  <a14:compatExt spid="_x0000_s64515"/>
                </a:ext>
                <a:ext uri="{FF2B5EF4-FFF2-40B4-BE49-F238E27FC236}">
                  <a16:creationId xmlns:a16="http://schemas.microsoft.com/office/drawing/2014/main" id="{00000000-0008-0000-0A00-00000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BDCDE1"/>
                  </a:solidFill>
                </a14:hiddenFill>
              </a:ext>
              <a:ext uri="{91240B29-F687-4F45-9708-019B960494DF}">
                <a14:hiddenLine w="9525">
                  <a:solidFill>
                    <a:srgbClr val="FF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25400</xdr:colOff>
          <xdr:row>4</xdr:row>
          <xdr:rowOff>6350</xdr:rowOff>
        </xdr:from>
        <xdr:to>
          <xdr:col>6</xdr:col>
          <xdr:colOff>482600</xdr:colOff>
          <xdr:row>4</xdr:row>
          <xdr:rowOff>120650</xdr:rowOff>
        </xdr:to>
        <xdr:sp macro="" textlink="">
          <xdr:nvSpPr>
            <xdr:cNvPr id="64516" name="Check Box 4" hidden="1">
              <a:extLst>
                <a:ext uri="{63B3BB69-23CF-44E3-9099-C40C66FF867C}">
                  <a14:compatExt spid="_x0000_s64516"/>
                </a:ext>
                <a:ext uri="{FF2B5EF4-FFF2-40B4-BE49-F238E27FC236}">
                  <a16:creationId xmlns:a16="http://schemas.microsoft.com/office/drawing/2014/main" id="{00000000-0008-0000-0A00-00000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BDCDE1"/>
                  </a:solidFill>
                </a14:hiddenFill>
              </a:ext>
              <a:ext uri="{91240B29-F687-4F45-9708-019B960494DF}">
                <a14:hiddenLine w="9525">
                  <a:solidFill>
                    <a:srgbClr val="FF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25400</xdr:colOff>
          <xdr:row>6</xdr:row>
          <xdr:rowOff>6350</xdr:rowOff>
        </xdr:from>
        <xdr:to>
          <xdr:col>6</xdr:col>
          <xdr:colOff>482600</xdr:colOff>
          <xdr:row>7</xdr:row>
          <xdr:rowOff>0</xdr:rowOff>
        </xdr:to>
        <xdr:sp macro="" textlink="">
          <xdr:nvSpPr>
            <xdr:cNvPr id="64517" name="Check Box 5" hidden="1">
              <a:extLst>
                <a:ext uri="{63B3BB69-23CF-44E3-9099-C40C66FF867C}">
                  <a14:compatExt spid="_x0000_s64517"/>
                </a:ext>
                <a:ext uri="{FF2B5EF4-FFF2-40B4-BE49-F238E27FC236}">
                  <a16:creationId xmlns:a16="http://schemas.microsoft.com/office/drawing/2014/main" id="{00000000-0008-0000-0A00-00000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BDCDE1"/>
                  </a:solidFill>
                </a14:hiddenFill>
              </a:ext>
              <a:ext uri="{91240B29-F687-4F45-9708-019B960494DF}">
                <a14:hiddenLine w="9525">
                  <a:solidFill>
                    <a:srgbClr val="FF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25400</xdr:colOff>
          <xdr:row>5</xdr:row>
          <xdr:rowOff>6350</xdr:rowOff>
        </xdr:from>
        <xdr:to>
          <xdr:col>6</xdr:col>
          <xdr:colOff>482600</xdr:colOff>
          <xdr:row>6</xdr:row>
          <xdr:rowOff>0</xdr:rowOff>
        </xdr:to>
        <xdr:sp macro="" textlink="">
          <xdr:nvSpPr>
            <xdr:cNvPr id="64518" name="Check Box 6" hidden="1">
              <a:extLst>
                <a:ext uri="{63B3BB69-23CF-44E3-9099-C40C66FF867C}">
                  <a14:compatExt spid="_x0000_s64518"/>
                </a:ext>
                <a:ext uri="{FF2B5EF4-FFF2-40B4-BE49-F238E27FC236}">
                  <a16:creationId xmlns:a16="http://schemas.microsoft.com/office/drawing/2014/main" id="{00000000-0008-0000-0A00-00000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BDCDE1"/>
                  </a:solidFill>
                </a14:hiddenFill>
              </a:ext>
              <a:ext uri="{91240B29-F687-4F45-9708-019B960494DF}">
                <a14:hiddenLine w="9525">
                  <a:solidFill>
                    <a:srgbClr val="FF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trlProp" Target="../ctrlProps/ctrlProp3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2.xml"/><Relationship Id="rId28" Type="http://schemas.openxmlformats.org/officeDocument/2006/relationships/comments" Target="../comments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1.xml"/><Relationship Id="rId27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9.xml"/><Relationship Id="rId117" Type="http://schemas.openxmlformats.org/officeDocument/2006/relationships/ctrlProp" Target="../ctrlProps/ctrlProp120.xml"/><Relationship Id="rId21" Type="http://schemas.openxmlformats.org/officeDocument/2006/relationships/ctrlProp" Target="../ctrlProps/ctrlProp24.xml"/><Relationship Id="rId42" Type="http://schemas.openxmlformats.org/officeDocument/2006/relationships/ctrlProp" Target="../ctrlProps/ctrlProp45.xml"/><Relationship Id="rId47" Type="http://schemas.openxmlformats.org/officeDocument/2006/relationships/ctrlProp" Target="../ctrlProps/ctrlProp50.xml"/><Relationship Id="rId63" Type="http://schemas.openxmlformats.org/officeDocument/2006/relationships/ctrlProp" Target="../ctrlProps/ctrlProp66.xml"/><Relationship Id="rId68" Type="http://schemas.openxmlformats.org/officeDocument/2006/relationships/ctrlProp" Target="../ctrlProps/ctrlProp71.xml"/><Relationship Id="rId84" Type="http://schemas.openxmlformats.org/officeDocument/2006/relationships/ctrlProp" Target="../ctrlProps/ctrlProp87.xml"/><Relationship Id="rId89" Type="http://schemas.openxmlformats.org/officeDocument/2006/relationships/ctrlProp" Target="../ctrlProps/ctrlProp92.xml"/><Relationship Id="rId112" Type="http://schemas.openxmlformats.org/officeDocument/2006/relationships/ctrlProp" Target="../ctrlProps/ctrlProp115.xml"/><Relationship Id="rId133" Type="http://schemas.openxmlformats.org/officeDocument/2006/relationships/ctrlProp" Target="../ctrlProps/ctrlProp136.xml"/><Relationship Id="rId138" Type="http://schemas.openxmlformats.org/officeDocument/2006/relationships/ctrlProp" Target="../ctrlProps/ctrlProp141.xml"/><Relationship Id="rId16" Type="http://schemas.openxmlformats.org/officeDocument/2006/relationships/ctrlProp" Target="../ctrlProps/ctrlProp19.xml"/><Relationship Id="rId107" Type="http://schemas.openxmlformats.org/officeDocument/2006/relationships/ctrlProp" Target="../ctrlProps/ctrlProp110.xml"/><Relationship Id="rId11" Type="http://schemas.openxmlformats.org/officeDocument/2006/relationships/ctrlProp" Target="../ctrlProps/ctrlProp14.xml"/><Relationship Id="rId32" Type="http://schemas.openxmlformats.org/officeDocument/2006/relationships/ctrlProp" Target="../ctrlProps/ctrlProp35.xml"/><Relationship Id="rId37" Type="http://schemas.openxmlformats.org/officeDocument/2006/relationships/ctrlProp" Target="../ctrlProps/ctrlProp40.xml"/><Relationship Id="rId53" Type="http://schemas.openxmlformats.org/officeDocument/2006/relationships/ctrlProp" Target="../ctrlProps/ctrlProp56.xml"/><Relationship Id="rId58" Type="http://schemas.openxmlformats.org/officeDocument/2006/relationships/ctrlProp" Target="../ctrlProps/ctrlProp61.xml"/><Relationship Id="rId74" Type="http://schemas.openxmlformats.org/officeDocument/2006/relationships/ctrlProp" Target="../ctrlProps/ctrlProp77.xml"/><Relationship Id="rId79" Type="http://schemas.openxmlformats.org/officeDocument/2006/relationships/ctrlProp" Target="../ctrlProps/ctrlProp82.xml"/><Relationship Id="rId102" Type="http://schemas.openxmlformats.org/officeDocument/2006/relationships/ctrlProp" Target="../ctrlProps/ctrlProp105.xml"/><Relationship Id="rId123" Type="http://schemas.openxmlformats.org/officeDocument/2006/relationships/ctrlProp" Target="../ctrlProps/ctrlProp126.xml"/><Relationship Id="rId128" Type="http://schemas.openxmlformats.org/officeDocument/2006/relationships/ctrlProp" Target="../ctrlProps/ctrlProp131.xml"/><Relationship Id="rId144" Type="http://schemas.openxmlformats.org/officeDocument/2006/relationships/ctrlProp" Target="../ctrlProps/ctrlProp147.xml"/><Relationship Id="rId149" Type="http://schemas.openxmlformats.org/officeDocument/2006/relationships/ctrlProp" Target="../ctrlProps/ctrlProp152.xml"/><Relationship Id="rId5" Type="http://schemas.openxmlformats.org/officeDocument/2006/relationships/ctrlProp" Target="../ctrlProps/ctrlProp8.xml"/><Relationship Id="rId90" Type="http://schemas.openxmlformats.org/officeDocument/2006/relationships/ctrlProp" Target="../ctrlProps/ctrlProp93.xml"/><Relationship Id="rId95" Type="http://schemas.openxmlformats.org/officeDocument/2006/relationships/ctrlProp" Target="../ctrlProps/ctrlProp98.xml"/><Relationship Id="rId22" Type="http://schemas.openxmlformats.org/officeDocument/2006/relationships/ctrlProp" Target="../ctrlProps/ctrlProp25.xml"/><Relationship Id="rId27" Type="http://schemas.openxmlformats.org/officeDocument/2006/relationships/ctrlProp" Target="../ctrlProps/ctrlProp30.xml"/><Relationship Id="rId43" Type="http://schemas.openxmlformats.org/officeDocument/2006/relationships/ctrlProp" Target="../ctrlProps/ctrlProp46.xml"/><Relationship Id="rId48" Type="http://schemas.openxmlformats.org/officeDocument/2006/relationships/ctrlProp" Target="../ctrlProps/ctrlProp51.xml"/><Relationship Id="rId64" Type="http://schemas.openxmlformats.org/officeDocument/2006/relationships/ctrlProp" Target="../ctrlProps/ctrlProp67.xml"/><Relationship Id="rId69" Type="http://schemas.openxmlformats.org/officeDocument/2006/relationships/ctrlProp" Target="../ctrlProps/ctrlProp72.xml"/><Relationship Id="rId113" Type="http://schemas.openxmlformats.org/officeDocument/2006/relationships/ctrlProp" Target="../ctrlProps/ctrlProp116.xml"/><Relationship Id="rId118" Type="http://schemas.openxmlformats.org/officeDocument/2006/relationships/ctrlProp" Target="../ctrlProps/ctrlProp121.xml"/><Relationship Id="rId134" Type="http://schemas.openxmlformats.org/officeDocument/2006/relationships/ctrlProp" Target="../ctrlProps/ctrlProp137.xml"/><Relationship Id="rId139" Type="http://schemas.openxmlformats.org/officeDocument/2006/relationships/ctrlProp" Target="../ctrlProps/ctrlProp142.xml"/><Relationship Id="rId80" Type="http://schemas.openxmlformats.org/officeDocument/2006/relationships/ctrlProp" Target="../ctrlProps/ctrlProp83.xml"/><Relationship Id="rId85" Type="http://schemas.openxmlformats.org/officeDocument/2006/relationships/ctrlProp" Target="../ctrlProps/ctrlProp88.xml"/><Relationship Id="rId150" Type="http://schemas.openxmlformats.org/officeDocument/2006/relationships/ctrlProp" Target="../ctrlProps/ctrlProp153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5" Type="http://schemas.openxmlformats.org/officeDocument/2006/relationships/ctrlProp" Target="../ctrlProps/ctrlProp28.xml"/><Relationship Id="rId33" Type="http://schemas.openxmlformats.org/officeDocument/2006/relationships/ctrlProp" Target="../ctrlProps/ctrlProp36.xml"/><Relationship Id="rId38" Type="http://schemas.openxmlformats.org/officeDocument/2006/relationships/ctrlProp" Target="../ctrlProps/ctrlProp41.xml"/><Relationship Id="rId46" Type="http://schemas.openxmlformats.org/officeDocument/2006/relationships/ctrlProp" Target="../ctrlProps/ctrlProp49.xml"/><Relationship Id="rId59" Type="http://schemas.openxmlformats.org/officeDocument/2006/relationships/ctrlProp" Target="../ctrlProps/ctrlProp62.xml"/><Relationship Id="rId67" Type="http://schemas.openxmlformats.org/officeDocument/2006/relationships/ctrlProp" Target="../ctrlProps/ctrlProp70.xml"/><Relationship Id="rId103" Type="http://schemas.openxmlformats.org/officeDocument/2006/relationships/ctrlProp" Target="../ctrlProps/ctrlProp106.xml"/><Relationship Id="rId108" Type="http://schemas.openxmlformats.org/officeDocument/2006/relationships/ctrlProp" Target="../ctrlProps/ctrlProp111.xml"/><Relationship Id="rId116" Type="http://schemas.openxmlformats.org/officeDocument/2006/relationships/ctrlProp" Target="../ctrlProps/ctrlProp119.xml"/><Relationship Id="rId124" Type="http://schemas.openxmlformats.org/officeDocument/2006/relationships/ctrlProp" Target="../ctrlProps/ctrlProp127.xml"/><Relationship Id="rId129" Type="http://schemas.openxmlformats.org/officeDocument/2006/relationships/ctrlProp" Target="../ctrlProps/ctrlProp132.xml"/><Relationship Id="rId137" Type="http://schemas.openxmlformats.org/officeDocument/2006/relationships/ctrlProp" Target="../ctrlProps/ctrlProp140.xml"/><Relationship Id="rId20" Type="http://schemas.openxmlformats.org/officeDocument/2006/relationships/ctrlProp" Target="../ctrlProps/ctrlProp23.xml"/><Relationship Id="rId41" Type="http://schemas.openxmlformats.org/officeDocument/2006/relationships/ctrlProp" Target="../ctrlProps/ctrlProp44.xml"/><Relationship Id="rId54" Type="http://schemas.openxmlformats.org/officeDocument/2006/relationships/ctrlProp" Target="../ctrlProps/ctrlProp57.xml"/><Relationship Id="rId62" Type="http://schemas.openxmlformats.org/officeDocument/2006/relationships/ctrlProp" Target="../ctrlProps/ctrlProp65.xml"/><Relationship Id="rId70" Type="http://schemas.openxmlformats.org/officeDocument/2006/relationships/ctrlProp" Target="../ctrlProps/ctrlProp73.xml"/><Relationship Id="rId75" Type="http://schemas.openxmlformats.org/officeDocument/2006/relationships/ctrlProp" Target="../ctrlProps/ctrlProp78.xml"/><Relationship Id="rId83" Type="http://schemas.openxmlformats.org/officeDocument/2006/relationships/ctrlProp" Target="../ctrlProps/ctrlProp86.xml"/><Relationship Id="rId88" Type="http://schemas.openxmlformats.org/officeDocument/2006/relationships/ctrlProp" Target="../ctrlProps/ctrlProp91.xml"/><Relationship Id="rId91" Type="http://schemas.openxmlformats.org/officeDocument/2006/relationships/ctrlProp" Target="../ctrlProps/ctrlProp94.xml"/><Relationship Id="rId96" Type="http://schemas.openxmlformats.org/officeDocument/2006/relationships/ctrlProp" Target="../ctrlProps/ctrlProp99.xml"/><Relationship Id="rId111" Type="http://schemas.openxmlformats.org/officeDocument/2006/relationships/ctrlProp" Target="../ctrlProps/ctrlProp114.xml"/><Relationship Id="rId132" Type="http://schemas.openxmlformats.org/officeDocument/2006/relationships/ctrlProp" Target="../ctrlProps/ctrlProp135.xml"/><Relationship Id="rId140" Type="http://schemas.openxmlformats.org/officeDocument/2006/relationships/ctrlProp" Target="../ctrlProps/ctrlProp143.xml"/><Relationship Id="rId145" Type="http://schemas.openxmlformats.org/officeDocument/2006/relationships/ctrlProp" Target="../ctrlProps/ctrlProp148.xml"/><Relationship Id="rId153" Type="http://schemas.openxmlformats.org/officeDocument/2006/relationships/ctrlProp" Target="../ctrlProps/ctrlProp15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9.xml"/><Relationship Id="rId15" Type="http://schemas.openxmlformats.org/officeDocument/2006/relationships/ctrlProp" Target="../ctrlProps/ctrlProp18.xml"/><Relationship Id="rId23" Type="http://schemas.openxmlformats.org/officeDocument/2006/relationships/ctrlProp" Target="../ctrlProps/ctrlProp26.xml"/><Relationship Id="rId28" Type="http://schemas.openxmlformats.org/officeDocument/2006/relationships/ctrlProp" Target="../ctrlProps/ctrlProp31.xml"/><Relationship Id="rId36" Type="http://schemas.openxmlformats.org/officeDocument/2006/relationships/ctrlProp" Target="../ctrlProps/ctrlProp39.xml"/><Relationship Id="rId49" Type="http://schemas.openxmlformats.org/officeDocument/2006/relationships/ctrlProp" Target="../ctrlProps/ctrlProp52.xml"/><Relationship Id="rId57" Type="http://schemas.openxmlformats.org/officeDocument/2006/relationships/ctrlProp" Target="../ctrlProps/ctrlProp60.xml"/><Relationship Id="rId106" Type="http://schemas.openxmlformats.org/officeDocument/2006/relationships/ctrlProp" Target="../ctrlProps/ctrlProp109.xml"/><Relationship Id="rId114" Type="http://schemas.openxmlformats.org/officeDocument/2006/relationships/ctrlProp" Target="../ctrlProps/ctrlProp117.xml"/><Relationship Id="rId119" Type="http://schemas.openxmlformats.org/officeDocument/2006/relationships/ctrlProp" Target="../ctrlProps/ctrlProp122.xml"/><Relationship Id="rId127" Type="http://schemas.openxmlformats.org/officeDocument/2006/relationships/ctrlProp" Target="../ctrlProps/ctrlProp130.xml"/><Relationship Id="rId10" Type="http://schemas.openxmlformats.org/officeDocument/2006/relationships/ctrlProp" Target="../ctrlProps/ctrlProp13.xml"/><Relationship Id="rId31" Type="http://schemas.openxmlformats.org/officeDocument/2006/relationships/ctrlProp" Target="../ctrlProps/ctrlProp34.xml"/><Relationship Id="rId44" Type="http://schemas.openxmlformats.org/officeDocument/2006/relationships/ctrlProp" Target="../ctrlProps/ctrlProp47.xml"/><Relationship Id="rId52" Type="http://schemas.openxmlformats.org/officeDocument/2006/relationships/ctrlProp" Target="../ctrlProps/ctrlProp55.xml"/><Relationship Id="rId60" Type="http://schemas.openxmlformats.org/officeDocument/2006/relationships/ctrlProp" Target="../ctrlProps/ctrlProp63.xml"/><Relationship Id="rId65" Type="http://schemas.openxmlformats.org/officeDocument/2006/relationships/ctrlProp" Target="../ctrlProps/ctrlProp68.xml"/><Relationship Id="rId73" Type="http://schemas.openxmlformats.org/officeDocument/2006/relationships/ctrlProp" Target="../ctrlProps/ctrlProp76.xml"/><Relationship Id="rId78" Type="http://schemas.openxmlformats.org/officeDocument/2006/relationships/ctrlProp" Target="../ctrlProps/ctrlProp81.xml"/><Relationship Id="rId81" Type="http://schemas.openxmlformats.org/officeDocument/2006/relationships/ctrlProp" Target="../ctrlProps/ctrlProp84.xml"/><Relationship Id="rId86" Type="http://schemas.openxmlformats.org/officeDocument/2006/relationships/ctrlProp" Target="../ctrlProps/ctrlProp89.xml"/><Relationship Id="rId94" Type="http://schemas.openxmlformats.org/officeDocument/2006/relationships/ctrlProp" Target="../ctrlProps/ctrlProp97.xml"/><Relationship Id="rId99" Type="http://schemas.openxmlformats.org/officeDocument/2006/relationships/ctrlProp" Target="../ctrlProps/ctrlProp102.xml"/><Relationship Id="rId101" Type="http://schemas.openxmlformats.org/officeDocument/2006/relationships/ctrlProp" Target="../ctrlProps/ctrlProp104.xml"/><Relationship Id="rId122" Type="http://schemas.openxmlformats.org/officeDocument/2006/relationships/ctrlProp" Target="../ctrlProps/ctrlProp125.xml"/><Relationship Id="rId130" Type="http://schemas.openxmlformats.org/officeDocument/2006/relationships/ctrlProp" Target="../ctrlProps/ctrlProp133.xml"/><Relationship Id="rId135" Type="http://schemas.openxmlformats.org/officeDocument/2006/relationships/ctrlProp" Target="../ctrlProps/ctrlProp138.xml"/><Relationship Id="rId143" Type="http://schemas.openxmlformats.org/officeDocument/2006/relationships/ctrlProp" Target="../ctrlProps/ctrlProp146.xml"/><Relationship Id="rId148" Type="http://schemas.openxmlformats.org/officeDocument/2006/relationships/ctrlProp" Target="../ctrlProps/ctrlProp151.xml"/><Relationship Id="rId151" Type="http://schemas.openxmlformats.org/officeDocument/2006/relationships/ctrlProp" Target="../ctrlProps/ctrlProp154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3" Type="http://schemas.openxmlformats.org/officeDocument/2006/relationships/ctrlProp" Target="../ctrlProps/ctrlProp16.xml"/><Relationship Id="rId18" Type="http://schemas.openxmlformats.org/officeDocument/2006/relationships/ctrlProp" Target="../ctrlProps/ctrlProp21.xml"/><Relationship Id="rId39" Type="http://schemas.openxmlformats.org/officeDocument/2006/relationships/ctrlProp" Target="../ctrlProps/ctrlProp42.xml"/><Relationship Id="rId109" Type="http://schemas.openxmlformats.org/officeDocument/2006/relationships/ctrlProp" Target="../ctrlProps/ctrlProp112.xml"/><Relationship Id="rId34" Type="http://schemas.openxmlformats.org/officeDocument/2006/relationships/ctrlProp" Target="../ctrlProps/ctrlProp37.xml"/><Relationship Id="rId50" Type="http://schemas.openxmlformats.org/officeDocument/2006/relationships/ctrlProp" Target="../ctrlProps/ctrlProp53.xml"/><Relationship Id="rId55" Type="http://schemas.openxmlformats.org/officeDocument/2006/relationships/ctrlProp" Target="../ctrlProps/ctrlProp58.xml"/><Relationship Id="rId76" Type="http://schemas.openxmlformats.org/officeDocument/2006/relationships/ctrlProp" Target="../ctrlProps/ctrlProp79.xml"/><Relationship Id="rId97" Type="http://schemas.openxmlformats.org/officeDocument/2006/relationships/ctrlProp" Target="../ctrlProps/ctrlProp100.xml"/><Relationship Id="rId104" Type="http://schemas.openxmlformats.org/officeDocument/2006/relationships/ctrlProp" Target="../ctrlProps/ctrlProp107.xml"/><Relationship Id="rId120" Type="http://schemas.openxmlformats.org/officeDocument/2006/relationships/ctrlProp" Target="../ctrlProps/ctrlProp123.xml"/><Relationship Id="rId125" Type="http://schemas.openxmlformats.org/officeDocument/2006/relationships/ctrlProp" Target="../ctrlProps/ctrlProp128.xml"/><Relationship Id="rId141" Type="http://schemas.openxmlformats.org/officeDocument/2006/relationships/ctrlProp" Target="../ctrlProps/ctrlProp144.xml"/><Relationship Id="rId146" Type="http://schemas.openxmlformats.org/officeDocument/2006/relationships/ctrlProp" Target="../ctrlProps/ctrlProp149.xml"/><Relationship Id="rId7" Type="http://schemas.openxmlformats.org/officeDocument/2006/relationships/ctrlProp" Target="../ctrlProps/ctrlProp10.xml"/><Relationship Id="rId71" Type="http://schemas.openxmlformats.org/officeDocument/2006/relationships/ctrlProp" Target="../ctrlProps/ctrlProp74.xml"/><Relationship Id="rId92" Type="http://schemas.openxmlformats.org/officeDocument/2006/relationships/ctrlProp" Target="../ctrlProps/ctrlProp95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32.xml"/><Relationship Id="rId24" Type="http://schemas.openxmlformats.org/officeDocument/2006/relationships/ctrlProp" Target="../ctrlProps/ctrlProp27.xml"/><Relationship Id="rId40" Type="http://schemas.openxmlformats.org/officeDocument/2006/relationships/ctrlProp" Target="../ctrlProps/ctrlProp43.xml"/><Relationship Id="rId45" Type="http://schemas.openxmlformats.org/officeDocument/2006/relationships/ctrlProp" Target="../ctrlProps/ctrlProp48.xml"/><Relationship Id="rId66" Type="http://schemas.openxmlformats.org/officeDocument/2006/relationships/ctrlProp" Target="../ctrlProps/ctrlProp69.xml"/><Relationship Id="rId87" Type="http://schemas.openxmlformats.org/officeDocument/2006/relationships/ctrlProp" Target="../ctrlProps/ctrlProp90.xml"/><Relationship Id="rId110" Type="http://schemas.openxmlformats.org/officeDocument/2006/relationships/ctrlProp" Target="../ctrlProps/ctrlProp113.xml"/><Relationship Id="rId115" Type="http://schemas.openxmlformats.org/officeDocument/2006/relationships/ctrlProp" Target="../ctrlProps/ctrlProp118.xml"/><Relationship Id="rId131" Type="http://schemas.openxmlformats.org/officeDocument/2006/relationships/ctrlProp" Target="../ctrlProps/ctrlProp134.xml"/><Relationship Id="rId136" Type="http://schemas.openxmlformats.org/officeDocument/2006/relationships/ctrlProp" Target="../ctrlProps/ctrlProp139.xml"/><Relationship Id="rId61" Type="http://schemas.openxmlformats.org/officeDocument/2006/relationships/ctrlProp" Target="../ctrlProps/ctrlProp64.xml"/><Relationship Id="rId82" Type="http://schemas.openxmlformats.org/officeDocument/2006/relationships/ctrlProp" Target="../ctrlProps/ctrlProp85.xml"/><Relationship Id="rId152" Type="http://schemas.openxmlformats.org/officeDocument/2006/relationships/ctrlProp" Target="../ctrlProps/ctrlProp155.xml"/><Relationship Id="rId19" Type="http://schemas.openxmlformats.org/officeDocument/2006/relationships/ctrlProp" Target="../ctrlProps/ctrlProp22.xml"/><Relationship Id="rId14" Type="http://schemas.openxmlformats.org/officeDocument/2006/relationships/ctrlProp" Target="../ctrlProps/ctrlProp17.xml"/><Relationship Id="rId30" Type="http://schemas.openxmlformats.org/officeDocument/2006/relationships/ctrlProp" Target="../ctrlProps/ctrlProp33.xml"/><Relationship Id="rId35" Type="http://schemas.openxmlformats.org/officeDocument/2006/relationships/ctrlProp" Target="../ctrlProps/ctrlProp38.xml"/><Relationship Id="rId56" Type="http://schemas.openxmlformats.org/officeDocument/2006/relationships/ctrlProp" Target="../ctrlProps/ctrlProp59.xml"/><Relationship Id="rId77" Type="http://schemas.openxmlformats.org/officeDocument/2006/relationships/ctrlProp" Target="../ctrlProps/ctrlProp80.xml"/><Relationship Id="rId100" Type="http://schemas.openxmlformats.org/officeDocument/2006/relationships/ctrlProp" Target="../ctrlProps/ctrlProp103.xml"/><Relationship Id="rId105" Type="http://schemas.openxmlformats.org/officeDocument/2006/relationships/ctrlProp" Target="../ctrlProps/ctrlProp108.xml"/><Relationship Id="rId126" Type="http://schemas.openxmlformats.org/officeDocument/2006/relationships/ctrlProp" Target="../ctrlProps/ctrlProp129.xml"/><Relationship Id="rId147" Type="http://schemas.openxmlformats.org/officeDocument/2006/relationships/ctrlProp" Target="../ctrlProps/ctrlProp150.xml"/><Relationship Id="rId8" Type="http://schemas.openxmlformats.org/officeDocument/2006/relationships/ctrlProp" Target="../ctrlProps/ctrlProp11.xml"/><Relationship Id="rId51" Type="http://schemas.openxmlformats.org/officeDocument/2006/relationships/ctrlProp" Target="../ctrlProps/ctrlProp54.xml"/><Relationship Id="rId72" Type="http://schemas.openxmlformats.org/officeDocument/2006/relationships/ctrlProp" Target="../ctrlProps/ctrlProp75.xml"/><Relationship Id="rId93" Type="http://schemas.openxmlformats.org/officeDocument/2006/relationships/ctrlProp" Target="../ctrlProps/ctrlProp96.xml"/><Relationship Id="rId98" Type="http://schemas.openxmlformats.org/officeDocument/2006/relationships/ctrlProp" Target="../ctrlProps/ctrlProp101.xml"/><Relationship Id="rId121" Type="http://schemas.openxmlformats.org/officeDocument/2006/relationships/ctrlProp" Target="../ctrlProps/ctrlProp124.xml"/><Relationship Id="rId142" Type="http://schemas.openxmlformats.org/officeDocument/2006/relationships/ctrlProp" Target="../ctrlProps/ctrlProp145.xml"/><Relationship Id="rId3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6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59.xml"/><Relationship Id="rId5" Type="http://schemas.openxmlformats.org/officeDocument/2006/relationships/ctrlProp" Target="../ctrlProps/ctrlProp158.xml"/><Relationship Id="rId10" Type="http://schemas.openxmlformats.org/officeDocument/2006/relationships/comments" Target="../comments3.xml"/><Relationship Id="rId4" Type="http://schemas.openxmlformats.org/officeDocument/2006/relationships/ctrlProp" Target="../ctrlProps/ctrlProp157.xml"/><Relationship Id="rId9" Type="http://schemas.openxmlformats.org/officeDocument/2006/relationships/ctrlProp" Target="../ctrlProps/ctrlProp16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B45A6-08BD-4761-9C2F-07E9B84B4862}">
  <sheetPr codeName="Feuil1">
    <tabColor theme="7" tint="-0.249977111117893"/>
    <outlinePr summaryRight="0"/>
  </sheetPr>
  <dimension ref="A1:ON615"/>
  <sheetViews>
    <sheetView tabSelected="1" zoomScale="85" zoomScaleNormal="85" workbookViewId="0">
      <pane xSplit="9" ySplit="11" topLeftCell="BK12" activePane="bottomRight" state="frozen"/>
      <selection pane="topRight" activeCell="I1" sqref="I1"/>
      <selection pane="bottomLeft" activeCell="A12" sqref="A12"/>
      <selection pane="bottomRight" activeCell="BD28" sqref="BD28"/>
    </sheetView>
  </sheetViews>
  <sheetFormatPr baseColWidth="10" defaultColWidth="5.54296875" defaultRowHeight="12" outlineLevelRow="1" outlineLevelCol="1" x14ac:dyDescent="0.3"/>
  <cols>
    <col min="1" max="1" width="6.453125" style="5" customWidth="1"/>
    <col min="2" max="2" width="20.453125" style="5" customWidth="1"/>
    <col min="3" max="3" width="5.08984375" style="5" customWidth="1"/>
    <col min="4" max="5" width="8" style="5" customWidth="1"/>
    <col min="6" max="6" width="6.08984375" style="5" customWidth="1"/>
    <col min="7" max="7" width="8.453125" style="5" customWidth="1"/>
    <col min="8" max="8" width="4.08984375" style="1" customWidth="1"/>
    <col min="9" max="9" width="1.90625" style="5" customWidth="1"/>
    <col min="10" max="191" width="5.54296875" style="5" customWidth="1" outlineLevel="1"/>
    <col min="192" max="374" width="5.54296875" style="5" customWidth="1"/>
    <col min="375" max="375" width="2.453125" style="26" customWidth="1"/>
    <col min="376" max="376" width="5.54296875" style="1" customWidth="1" collapsed="1"/>
    <col min="377" max="377" width="7.453125" style="1" hidden="1" customWidth="1" outlineLevel="1"/>
    <col min="378" max="401" width="4.08984375" style="5" hidden="1" customWidth="1" outlineLevel="1"/>
    <col min="402" max="402" width="2.36328125" style="1" customWidth="1"/>
    <col min="403" max="16384" width="5.54296875" style="1"/>
  </cols>
  <sheetData>
    <row r="1" spans="1:404" s="3" customFormat="1" ht="12.75" customHeight="1" outlineLevel="1" x14ac:dyDescent="0.25">
      <c r="B1" s="2" t="s">
        <v>0</v>
      </c>
      <c r="C1" s="501" t="s">
        <v>505</v>
      </c>
      <c r="D1" s="502"/>
      <c r="E1" s="503"/>
      <c r="G1" s="10" t="s">
        <v>1</v>
      </c>
    </row>
    <row r="2" spans="1:404" s="3" customFormat="1" ht="11" customHeight="1" outlineLevel="1" x14ac:dyDescent="0.3">
      <c r="B2" s="2" t="s">
        <v>480</v>
      </c>
      <c r="C2" s="504" t="s">
        <v>506</v>
      </c>
      <c r="D2" s="505"/>
      <c r="E2" s="506"/>
      <c r="G2" s="6" t="b">
        <v>1</v>
      </c>
    </row>
    <row r="3" spans="1:404" s="3" customFormat="1" ht="11" customHeight="1" outlineLevel="1" x14ac:dyDescent="0.25">
      <c r="B3" s="3" t="s">
        <v>445</v>
      </c>
      <c r="C3" s="513">
        <v>44927</v>
      </c>
      <c r="D3" s="514"/>
      <c r="E3" s="515"/>
      <c r="G3" s="7" t="b">
        <v>0</v>
      </c>
    </row>
    <row r="4" spans="1:404" s="3" customFormat="1" ht="11" customHeight="1" outlineLevel="1" x14ac:dyDescent="0.25">
      <c r="B4" s="3" t="s">
        <v>3</v>
      </c>
      <c r="C4" s="516">
        <v>44918</v>
      </c>
      <c r="D4" s="517"/>
      <c r="E4" s="518"/>
      <c r="G4" s="8" t="b">
        <v>0</v>
      </c>
    </row>
    <row r="5" spans="1:404" s="3" customFormat="1" ht="11" customHeight="1" outlineLevel="1" x14ac:dyDescent="0.25">
      <c r="B5" s="3" t="s">
        <v>4</v>
      </c>
      <c r="C5" s="510" t="s">
        <v>5</v>
      </c>
      <c r="D5" s="511"/>
      <c r="E5" s="512"/>
      <c r="G5" s="7" t="b">
        <v>0</v>
      </c>
      <c r="GK5" s="170"/>
    </row>
    <row r="6" spans="1:404" s="3" customFormat="1" ht="11" customHeight="1" outlineLevel="1" x14ac:dyDescent="0.25">
      <c r="B6" s="3" t="s">
        <v>6</v>
      </c>
      <c r="C6" s="510" t="s">
        <v>507</v>
      </c>
      <c r="D6" s="511"/>
      <c r="E6" s="512"/>
      <c r="G6" s="7" t="b">
        <v>0</v>
      </c>
      <c r="LW6" s="170"/>
    </row>
    <row r="7" spans="1:404" s="3" customFormat="1" ht="11" customHeight="1" outlineLevel="1" x14ac:dyDescent="0.25">
      <c r="B7" s="3" t="s">
        <v>7</v>
      </c>
      <c r="C7" s="507"/>
      <c r="D7" s="508"/>
      <c r="E7" s="509"/>
      <c r="G7" s="9" t="b">
        <v>0</v>
      </c>
    </row>
    <row r="8" spans="1:404" s="3" customFormat="1" ht="10.5" x14ac:dyDescent="0.25"/>
    <row r="9" spans="1:404" x14ac:dyDescent="0.3">
      <c r="A9" s="3"/>
      <c r="B9" s="1"/>
      <c r="C9" s="1"/>
      <c r="D9" s="30"/>
      <c r="E9" s="30"/>
      <c r="F9" s="3"/>
      <c r="G9" s="1"/>
      <c r="I9" s="28"/>
      <c r="J9" s="158" t="str">
        <f t="shared" ref="J9:BU9" si="0">IF(WEEKDAY(J$11,2)=1,"Sem "&amp;TEXT(_xlfn.ISOWEEKNUM(J$11),"0#"),"")</f>
        <v/>
      </c>
      <c r="K9" s="158" t="str">
        <f t="shared" si="0"/>
        <v>Sem 01</v>
      </c>
      <c r="L9" s="158" t="str">
        <f t="shared" si="0"/>
        <v/>
      </c>
      <c r="M9" s="158" t="str">
        <f t="shared" si="0"/>
        <v/>
      </c>
      <c r="N9" s="158" t="str">
        <f t="shared" si="0"/>
        <v/>
      </c>
      <c r="O9" s="158" t="str">
        <f t="shared" si="0"/>
        <v/>
      </c>
      <c r="P9" s="158" t="str">
        <f t="shared" si="0"/>
        <v/>
      </c>
      <c r="Q9" s="158" t="str">
        <f t="shared" si="0"/>
        <v/>
      </c>
      <c r="R9" s="158" t="str">
        <f t="shared" si="0"/>
        <v>Sem 02</v>
      </c>
      <c r="S9" s="158" t="str">
        <f t="shared" si="0"/>
        <v/>
      </c>
      <c r="T9" s="158" t="str">
        <f t="shared" si="0"/>
        <v/>
      </c>
      <c r="U9" s="158" t="str">
        <f t="shared" si="0"/>
        <v/>
      </c>
      <c r="V9" s="158" t="str">
        <f t="shared" si="0"/>
        <v/>
      </c>
      <c r="W9" s="158" t="str">
        <f t="shared" si="0"/>
        <v/>
      </c>
      <c r="X9" s="158" t="str">
        <f t="shared" si="0"/>
        <v/>
      </c>
      <c r="Y9" s="158" t="str">
        <f t="shared" si="0"/>
        <v>Sem 03</v>
      </c>
      <c r="Z9" s="158" t="str">
        <f t="shared" si="0"/>
        <v/>
      </c>
      <c r="AA9" s="158" t="str">
        <f t="shared" si="0"/>
        <v/>
      </c>
      <c r="AB9" s="158" t="str">
        <f t="shared" si="0"/>
        <v/>
      </c>
      <c r="AC9" s="158" t="str">
        <f t="shared" si="0"/>
        <v/>
      </c>
      <c r="AD9" s="158" t="str">
        <f t="shared" si="0"/>
        <v/>
      </c>
      <c r="AE9" s="158" t="str">
        <f t="shared" si="0"/>
        <v/>
      </c>
      <c r="AF9" s="158" t="str">
        <f t="shared" si="0"/>
        <v>Sem 04</v>
      </c>
      <c r="AG9" s="158" t="str">
        <f t="shared" si="0"/>
        <v/>
      </c>
      <c r="AH9" s="158" t="str">
        <f t="shared" si="0"/>
        <v/>
      </c>
      <c r="AI9" s="158" t="str">
        <f t="shared" si="0"/>
        <v/>
      </c>
      <c r="AJ9" s="158" t="str">
        <f t="shared" si="0"/>
        <v/>
      </c>
      <c r="AK9" s="158" t="str">
        <f t="shared" si="0"/>
        <v/>
      </c>
      <c r="AL9" s="158" t="str">
        <f t="shared" si="0"/>
        <v/>
      </c>
      <c r="AM9" s="158" t="str">
        <f t="shared" si="0"/>
        <v>Sem 05</v>
      </c>
      <c r="AN9" s="158" t="str">
        <f t="shared" si="0"/>
        <v/>
      </c>
      <c r="AO9" s="158" t="str">
        <f t="shared" si="0"/>
        <v/>
      </c>
      <c r="AP9" s="158" t="str">
        <f t="shared" si="0"/>
        <v/>
      </c>
      <c r="AQ9" s="158" t="str">
        <f t="shared" si="0"/>
        <v/>
      </c>
      <c r="AR9" s="158" t="str">
        <f t="shared" si="0"/>
        <v/>
      </c>
      <c r="AS9" s="158" t="str">
        <f t="shared" si="0"/>
        <v/>
      </c>
      <c r="AT9" s="158" t="str">
        <f t="shared" si="0"/>
        <v>Sem 06</v>
      </c>
      <c r="AU9" s="158" t="str">
        <f t="shared" si="0"/>
        <v/>
      </c>
      <c r="AV9" s="158" t="str">
        <f t="shared" si="0"/>
        <v/>
      </c>
      <c r="AW9" s="158" t="str">
        <f t="shared" si="0"/>
        <v/>
      </c>
      <c r="AX9" s="158" t="str">
        <f t="shared" si="0"/>
        <v/>
      </c>
      <c r="AY9" s="158" t="str">
        <f t="shared" si="0"/>
        <v/>
      </c>
      <c r="AZ9" s="158" t="str">
        <f t="shared" si="0"/>
        <v/>
      </c>
      <c r="BA9" s="158" t="str">
        <f t="shared" si="0"/>
        <v>Sem 07</v>
      </c>
      <c r="BB9" s="158" t="str">
        <f t="shared" si="0"/>
        <v/>
      </c>
      <c r="BC9" s="158" t="str">
        <f t="shared" si="0"/>
        <v/>
      </c>
      <c r="BD9" s="158" t="str">
        <f t="shared" si="0"/>
        <v/>
      </c>
      <c r="BE9" s="158" t="str">
        <f t="shared" si="0"/>
        <v/>
      </c>
      <c r="BF9" s="158" t="str">
        <f t="shared" si="0"/>
        <v/>
      </c>
      <c r="BG9" s="158" t="str">
        <f t="shared" si="0"/>
        <v/>
      </c>
      <c r="BH9" s="158" t="str">
        <f t="shared" si="0"/>
        <v>Sem 08</v>
      </c>
      <c r="BI9" s="158" t="str">
        <f t="shared" si="0"/>
        <v/>
      </c>
      <c r="BJ9" s="158" t="str">
        <f t="shared" si="0"/>
        <v/>
      </c>
      <c r="BK9" s="158" t="str">
        <f t="shared" si="0"/>
        <v/>
      </c>
      <c r="BL9" s="158" t="str">
        <f t="shared" si="0"/>
        <v/>
      </c>
      <c r="BM9" s="158" t="str">
        <f t="shared" si="0"/>
        <v/>
      </c>
      <c r="BN9" s="158" t="str">
        <f t="shared" si="0"/>
        <v/>
      </c>
      <c r="BO9" s="158" t="str">
        <f t="shared" si="0"/>
        <v>Sem 09</v>
      </c>
      <c r="BP9" s="158" t="str">
        <f t="shared" si="0"/>
        <v/>
      </c>
      <c r="BQ9" s="158" t="str">
        <f t="shared" si="0"/>
        <v/>
      </c>
      <c r="BR9" s="158" t="str">
        <f t="shared" si="0"/>
        <v/>
      </c>
      <c r="BS9" s="158" t="str">
        <f t="shared" si="0"/>
        <v/>
      </c>
      <c r="BT9" s="158" t="str">
        <f t="shared" si="0"/>
        <v/>
      </c>
      <c r="BU9" s="158" t="str">
        <f t="shared" si="0"/>
        <v/>
      </c>
      <c r="BV9" s="158" t="str">
        <f t="shared" ref="BV9:EG9" si="1">IF(WEEKDAY(BV$11,2)=1,"Sem "&amp;TEXT(_xlfn.ISOWEEKNUM(BV$11),"0#"),"")</f>
        <v>Sem 10</v>
      </c>
      <c r="BW9" s="158" t="str">
        <f t="shared" si="1"/>
        <v/>
      </c>
      <c r="BX9" s="158" t="str">
        <f t="shared" si="1"/>
        <v/>
      </c>
      <c r="BY9" s="158" t="str">
        <f t="shared" si="1"/>
        <v/>
      </c>
      <c r="BZ9" s="158" t="str">
        <f t="shared" si="1"/>
        <v/>
      </c>
      <c r="CA9" s="158" t="str">
        <f t="shared" si="1"/>
        <v/>
      </c>
      <c r="CB9" s="158" t="str">
        <f t="shared" si="1"/>
        <v/>
      </c>
      <c r="CC9" s="158" t="str">
        <f t="shared" si="1"/>
        <v>Sem 11</v>
      </c>
      <c r="CD9" s="158" t="str">
        <f t="shared" si="1"/>
        <v/>
      </c>
      <c r="CE9" s="158" t="str">
        <f t="shared" si="1"/>
        <v/>
      </c>
      <c r="CF9" s="158" t="str">
        <f t="shared" si="1"/>
        <v/>
      </c>
      <c r="CG9" s="158" t="str">
        <f t="shared" si="1"/>
        <v/>
      </c>
      <c r="CH9" s="158" t="str">
        <f t="shared" si="1"/>
        <v/>
      </c>
      <c r="CI9" s="158" t="str">
        <f t="shared" si="1"/>
        <v/>
      </c>
      <c r="CJ9" s="158" t="str">
        <f t="shared" si="1"/>
        <v>Sem 12</v>
      </c>
      <c r="CK9" s="158" t="str">
        <f t="shared" si="1"/>
        <v/>
      </c>
      <c r="CL9" s="158" t="str">
        <f t="shared" si="1"/>
        <v/>
      </c>
      <c r="CM9" s="158" t="str">
        <f t="shared" si="1"/>
        <v/>
      </c>
      <c r="CN9" s="158" t="str">
        <f t="shared" si="1"/>
        <v/>
      </c>
      <c r="CO9" s="158" t="str">
        <f t="shared" si="1"/>
        <v/>
      </c>
      <c r="CP9" s="158" t="str">
        <f t="shared" si="1"/>
        <v/>
      </c>
      <c r="CQ9" s="158" t="str">
        <f t="shared" si="1"/>
        <v>Sem 13</v>
      </c>
      <c r="CR9" s="158" t="str">
        <f t="shared" si="1"/>
        <v/>
      </c>
      <c r="CS9" s="158" t="str">
        <f t="shared" si="1"/>
        <v/>
      </c>
      <c r="CT9" s="158" t="str">
        <f t="shared" si="1"/>
        <v/>
      </c>
      <c r="CU9" s="158" t="str">
        <f t="shared" si="1"/>
        <v/>
      </c>
      <c r="CV9" s="158" t="str">
        <f t="shared" si="1"/>
        <v/>
      </c>
      <c r="CW9" s="158" t="str">
        <f t="shared" si="1"/>
        <v/>
      </c>
      <c r="CX9" s="158" t="str">
        <f t="shared" si="1"/>
        <v>Sem 14</v>
      </c>
      <c r="CY9" s="158" t="str">
        <f t="shared" si="1"/>
        <v/>
      </c>
      <c r="CZ9" s="158" t="str">
        <f t="shared" si="1"/>
        <v/>
      </c>
      <c r="DA9" s="158" t="str">
        <f t="shared" si="1"/>
        <v/>
      </c>
      <c r="DB9" s="158" t="str">
        <f t="shared" si="1"/>
        <v/>
      </c>
      <c r="DC9" s="158" t="str">
        <f t="shared" si="1"/>
        <v/>
      </c>
      <c r="DD9" s="158" t="str">
        <f t="shared" si="1"/>
        <v/>
      </c>
      <c r="DE9" s="158" t="str">
        <f t="shared" si="1"/>
        <v>Sem 15</v>
      </c>
      <c r="DF9" s="158" t="str">
        <f t="shared" si="1"/>
        <v/>
      </c>
      <c r="DG9" s="158" t="str">
        <f t="shared" si="1"/>
        <v/>
      </c>
      <c r="DH9" s="158" t="str">
        <f t="shared" si="1"/>
        <v/>
      </c>
      <c r="DI9" s="158" t="str">
        <f t="shared" si="1"/>
        <v/>
      </c>
      <c r="DJ9" s="158" t="str">
        <f t="shared" si="1"/>
        <v/>
      </c>
      <c r="DK9" s="158" t="str">
        <f t="shared" si="1"/>
        <v/>
      </c>
      <c r="DL9" s="158" t="str">
        <f t="shared" si="1"/>
        <v>Sem 16</v>
      </c>
      <c r="DM9" s="158" t="str">
        <f t="shared" si="1"/>
        <v/>
      </c>
      <c r="DN9" s="158" t="str">
        <f t="shared" si="1"/>
        <v/>
      </c>
      <c r="DO9" s="158" t="str">
        <f t="shared" si="1"/>
        <v/>
      </c>
      <c r="DP9" s="158" t="str">
        <f t="shared" si="1"/>
        <v/>
      </c>
      <c r="DQ9" s="158" t="str">
        <f t="shared" si="1"/>
        <v/>
      </c>
      <c r="DR9" s="158" t="str">
        <f t="shared" si="1"/>
        <v/>
      </c>
      <c r="DS9" s="158" t="str">
        <f t="shared" si="1"/>
        <v>Sem 17</v>
      </c>
      <c r="DT9" s="158" t="str">
        <f t="shared" si="1"/>
        <v/>
      </c>
      <c r="DU9" s="158" t="str">
        <f t="shared" si="1"/>
        <v/>
      </c>
      <c r="DV9" s="158" t="str">
        <f t="shared" si="1"/>
        <v/>
      </c>
      <c r="DW9" s="158" t="str">
        <f t="shared" si="1"/>
        <v/>
      </c>
      <c r="DX9" s="158" t="str">
        <f t="shared" si="1"/>
        <v/>
      </c>
      <c r="DY9" s="158" t="str">
        <f t="shared" si="1"/>
        <v/>
      </c>
      <c r="DZ9" s="158" t="str">
        <f t="shared" si="1"/>
        <v>Sem 18</v>
      </c>
      <c r="EA9" s="158" t="str">
        <f t="shared" si="1"/>
        <v/>
      </c>
      <c r="EB9" s="158" t="str">
        <f t="shared" si="1"/>
        <v/>
      </c>
      <c r="EC9" s="158" t="str">
        <f t="shared" si="1"/>
        <v/>
      </c>
      <c r="ED9" s="158" t="str">
        <f t="shared" si="1"/>
        <v/>
      </c>
      <c r="EE9" s="158" t="str">
        <f t="shared" si="1"/>
        <v/>
      </c>
      <c r="EF9" s="158" t="str">
        <f t="shared" si="1"/>
        <v/>
      </c>
      <c r="EG9" s="158" t="str">
        <f t="shared" si="1"/>
        <v>Sem 19</v>
      </c>
      <c r="EH9" s="158" t="str">
        <f t="shared" ref="EH9:GS9" si="2">IF(WEEKDAY(EH$11,2)=1,"Sem "&amp;TEXT(_xlfn.ISOWEEKNUM(EH$11),"0#"),"")</f>
        <v/>
      </c>
      <c r="EI9" s="158" t="str">
        <f t="shared" si="2"/>
        <v/>
      </c>
      <c r="EJ9" s="158" t="str">
        <f t="shared" si="2"/>
        <v/>
      </c>
      <c r="EK9" s="158" t="str">
        <f t="shared" si="2"/>
        <v/>
      </c>
      <c r="EL9" s="158" t="str">
        <f t="shared" si="2"/>
        <v/>
      </c>
      <c r="EM9" s="158" t="str">
        <f t="shared" si="2"/>
        <v/>
      </c>
      <c r="EN9" s="158" t="str">
        <f t="shared" si="2"/>
        <v>Sem 20</v>
      </c>
      <c r="EO9" s="158" t="str">
        <f t="shared" si="2"/>
        <v/>
      </c>
      <c r="EP9" s="158" t="str">
        <f t="shared" si="2"/>
        <v/>
      </c>
      <c r="EQ9" s="158" t="str">
        <f t="shared" si="2"/>
        <v/>
      </c>
      <c r="ER9" s="158" t="str">
        <f t="shared" si="2"/>
        <v/>
      </c>
      <c r="ES9" s="158" t="str">
        <f t="shared" si="2"/>
        <v/>
      </c>
      <c r="ET9" s="158" t="str">
        <f t="shared" si="2"/>
        <v/>
      </c>
      <c r="EU9" s="158" t="str">
        <f t="shared" si="2"/>
        <v>Sem 21</v>
      </c>
      <c r="EV9" s="158" t="str">
        <f t="shared" si="2"/>
        <v/>
      </c>
      <c r="EW9" s="158" t="str">
        <f t="shared" si="2"/>
        <v/>
      </c>
      <c r="EX9" s="158" t="str">
        <f t="shared" si="2"/>
        <v/>
      </c>
      <c r="EY9" s="158" t="str">
        <f t="shared" si="2"/>
        <v/>
      </c>
      <c r="EZ9" s="158" t="str">
        <f t="shared" si="2"/>
        <v/>
      </c>
      <c r="FA9" s="158" t="str">
        <f t="shared" si="2"/>
        <v/>
      </c>
      <c r="FB9" s="158" t="str">
        <f t="shared" si="2"/>
        <v>Sem 22</v>
      </c>
      <c r="FC9" s="158" t="str">
        <f t="shared" si="2"/>
        <v/>
      </c>
      <c r="FD9" s="158" t="str">
        <f t="shared" si="2"/>
        <v/>
      </c>
      <c r="FE9" s="158" t="str">
        <f t="shared" si="2"/>
        <v/>
      </c>
      <c r="FF9" s="158" t="str">
        <f t="shared" si="2"/>
        <v/>
      </c>
      <c r="FG9" s="158" t="str">
        <f t="shared" si="2"/>
        <v/>
      </c>
      <c r="FH9" s="158" t="str">
        <f t="shared" si="2"/>
        <v/>
      </c>
      <c r="FI9" s="158" t="str">
        <f t="shared" si="2"/>
        <v>Sem 23</v>
      </c>
      <c r="FJ9" s="158" t="str">
        <f t="shared" si="2"/>
        <v/>
      </c>
      <c r="FK9" s="158" t="str">
        <f t="shared" si="2"/>
        <v/>
      </c>
      <c r="FL9" s="158" t="str">
        <f t="shared" si="2"/>
        <v/>
      </c>
      <c r="FM9" s="158" t="str">
        <f t="shared" si="2"/>
        <v/>
      </c>
      <c r="FN9" s="158" t="str">
        <f t="shared" si="2"/>
        <v/>
      </c>
      <c r="FO9" s="158" t="str">
        <f t="shared" si="2"/>
        <v/>
      </c>
      <c r="FP9" s="158" t="str">
        <f t="shared" si="2"/>
        <v>Sem 24</v>
      </c>
      <c r="FQ9" s="158" t="str">
        <f t="shared" si="2"/>
        <v/>
      </c>
      <c r="FR9" s="158" t="str">
        <f t="shared" si="2"/>
        <v/>
      </c>
      <c r="FS9" s="158" t="str">
        <f t="shared" si="2"/>
        <v/>
      </c>
      <c r="FT9" s="158" t="str">
        <f t="shared" si="2"/>
        <v/>
      </c>
      <c r="FU9" s="158" t="str">
        <f t="shared" si="2"/>
        <v/>
      </c>
      <c r="FV9" s="158" t="str">
        <f t="shared" si="2"/>
        <v/>
      </c>
      <c r="FW9" s="158" t="str">
        <f t="shared" si="2"/>
        <v>Sem 25</v>
      </c>
      <c r="FX9" s="158" t="str">
        <f t="shared" si="2"/>
        <v/>
      </c>
      <c r="FY9" s="158" t="str">
        <f t="shared" si="2"/>
        <v/>
      </c>
      <c r="FZ9" s="158" t="str">
        <f t="shared" si="2"/>
        <v/>
      </c>
      <c r="GA9" s="158" t="str">
        <f t="shared" si="2"/>
        <v/>
      </c>
      <c r="GB9" s="158" t="str">
        <f t="shared" si="2"/>
        <v/>
      </c>
      <c r="GC9" s="158" t="str">
        <f t="shared" si="2"/>
        <v/>
      </c>
      <c r="GD9" s="158" t="str">
        <f t="shared" si="2"/>
        <v>Sem 26</v>
      </c>
      <c r="GE9" s="158" t="str">
        <f t="shared" si="2"/>
        <v/>
      </c>
      <c r="GF9" s="158" t="str">
        <f t="shared" si="2"/>
        <v/>
      </c>
      <c r="GG9" s="158" t="str">
        <f t="shared" si="2"/>
        <v/>
      </c>
      <c r="GH9" s="158" t="str">
        <f t="shared" si="2"/>
        <v/>
      </c>
      <c r="GI9" s="158" t="str">
        <f t="shared" si="2"/>
        <v/>
      </c>
      <c r="GJ9" s="158" t="str">
        <f t="shared" si="2"/>
        <v/>
      </c>
      <c r="GK9" s="158" t="str">
        <f t="shared" si="2"/>
        <v>Sem 27</v>
      </c>
      <c r="GL9" s="158" t="str">
        <f t="shared" si="2"/>
        <v/>
      </c>
      <c r="GM9" s="158" t="str">
        <f t="shared" si="2"/>
        <v/>
      </c>
      <c r="GN9" s="158" t="str">
        <f t="shared" si="2"/>
        <v/>
      </c>
      <c r="GO9" s="158" t="str">
        <f t="shared" si="2"/>
        <v/>
      </c>
      <c r="GP9" s="158" t="str">
        <f t="shared" si="2"/>
        <v/>
      </c>
      <c r="GQ9" s="158" t="str">
        <f t="shared" si="2"/>
        <v/>
      </c>
      <c r="GR9" s="158" t="str">
        <f t="shared" si="2"/>
        <v>Sem 28</v>
      </c>
      <c r="GS9" s="158" t="str">
        <f t="shared" si="2"/>
        <v/>
      </c>
      <c r="GT9" s="158" t="str">
        <f t="shared" ref="GT9:HM9" si="3">IF(WEEKDAY(GT$11,2)=1,"Sem "&amp;TEXT(_xlfn.ISOWEEKNUM(GT$11),"0#"),"")</f>
        <v/>
      </c>
      <c r="GU9" s="158" t="str">
        <f t="shared" si="3"/>
        <v/>
      </c>
      <c r="GV9" s="158" t="str">
        <f t="shared" si="3"/>
        <v/>
      </c>
      <c r="GW9" s="158" t="str">
        <f t="shared" si="3"/>
        <v/>
      </c>
      <c r="GX9" s="158" t="str">
        <f t="shared" si="3"/>
        <v/>
      </c>
      <c r="GY9" s="158" t="str">
        <f t="shared" si="3"/>
        <v>Sem 29</v>
      </c>
      <c r="GZ9" s="158" t="str">
        <f t="shared" si="3"/>
        <v/>
      </c>
      <c r="HA9" s="158" t="str">
        <f t="shared" si="3"/>
        <v/>
      </c>
      <c r="HB9" s="158" t="str">
        <f t="shared" si="3"/>
        <v/>
      </c>
      <c r="HC9" s="158" t="str">
        <f t="shared" si="3"/>
        <v/>
      </c>
      <c r="HD9" s="158" t="str">
        <f t="shared" si="3"/>
        <v/>
      </c>
      <c r="HE9" s="158" t="str">
        <f t="shared" si="3"/>
        <v/>
      </c>
      <c r="HF9" s="158" t="str">
        <f t="shared" si="3"/>
        <v>Sem 30</v>
      </c>
      <c r="HG9" s="158" t="str">
        <f t="shared" si="3"/>
        <v/>
      </c>
      <c r="HH9" s="158" t="str">
        <f t="shared" si="3"/>
        <v/>
      </c>
      <c r="HI9" s="158" t="str">
        <f t="shared" si="3"/>
        <v/>
      </c>
      <c r="HJ9" s="158" t="str">
        <f t="shared" si="3"/>
        <v/>
      </c>
      <c r="HK9" s="158" t="str">
        <f t="shared" si="3"/>
        <v/>
      </c>
      <c r="HL9" s="158" t="str">
        <f t="shared" si="3"/>
        <v/>
      </c>
      <c r="HM9" s="158" t="str">
        <f t="shared" si="3"/>
        <v>Sem 31</v>
      </c>
      <c r="HN9" s="158" t="str">
        <f>IF(WEEKDAY(HN$11,2)=1,"Sem "&amp;TEXT(_xlfn.ISOWEEKNUM(HN$11),"0#"),"")</f>
        <v/>
      </c>
      <c r="HO9" s="158" t="str">
        <f t="shared" ref="HO9:JZ9" si="4">IF(WEEKDAY(HO$11,2)=1,"Sem "&amp;TEXT(_xlfn.ISOWEEKNUM(HO$11),"0#"),"")</f>
        <v/>
      </c>
      <c r="HP9" s="158" t="str">
        <f t="shared" si="4"/>
        <v/>
      </c>
      <c r="HQ9" s="158" t="str">
        <f t="shared" si="4"/>
        <v/>
      </c>
      <c r="HR9" s="158" t="str">
        <f t="shared" si="4"/>
        <v/>
      </c>
      <c r="HS9" s="158" t="str">
        <f t="shared" si="4"/>
        <v/>
      </c>
      <c r="HT9" s="158" t="str">
        <f t="shared" si="4"/>
        <v>Sem 32</v>
      </c>
      <c r="HU9" s="158" t="str">
        <f t="shared" si="4"/>
        <v/>
      </c>
      <c r="HV9" s="158" t="str">
        <f t="shared" si="4"/>
        <v/>
      </c>
      <c r="HW9" s="158" t="str">
        <f t="shared" si="4"/>
        <v/>
      </c>
      <c r="HX9" s="158" t="str">
        <f t="shared" si="4"/>
        <v/>
      </c>
      <c r="HY9" s="158" t="str">
        <f t="shared" si="4"/>
        <v/>
      </c>
      <c r="HZ9" s="158" t="str">
        <f t="shared" si="4"/>
        <v/>
      </c>
      <c r="IA9" s="158" t="str">
        <f t="shared" si="4"/>
        <v>Sem 33</v>
      </c>
      <c r="IB9" s="158" t="str">
        <f t="shared" si="4"/>
        <v/>
      </c>
      <c r="IC9" s="158" t="str">
        <f t="shared" si="4"/>
        <v/>
      </c>
      <c r="ID9" s="158" t="str">
        <f t="shared" si="4"/>
        <v/>
      </c>
      <c r="IE9" s="158" t="str">
        <f t="shared" si="4"/>
        <v/>
      </c>
      <c r="IF9" s="158" t="str">
        <f t="shared" si="4"/>
        <v/>
      </c>
      <c r="IG9" s="158" t="str">
        <f t="shared" si="4"/>
        <v/>
      </c>
      <c r="IH9" s="158" t="str">
        <f t="shared" si="4"/>
        <v>Sem 34</v>
      </c>
      <c r="II9" s="158" t="str">
        <f t="shared" si="4"/>
        <v/>
      </c>
      <c r="IJ9" s="158" t="str">
        <f t="shared" si="4"/>
        <v/>
      </c>
      <c r="IK9" s="158" t="str">
        <f t="shared" si="4"/>
        <v/>
      </c>
      <c r="IL9" s="158" t="str">
        <f t="shared" si="4"/>
        <v/>
      </c>
      <c r="IM9" s="158" t="str">
        <f t="shared" si="4"/>
        <v/>
      </c>
      <c r="IN9" s="158" t="str">
        <f t="shared" si="4"/>
        <v/>
      </c>
      <c r="IO9" s="158" t="str">
        <f t="shared" si="4"/>
        <v>Sem 35</v>
      </c>
      <c r="IP9" s="158" t="str">
        <f t="shared" si="4"/>
        <v/>
      </c>
      <c r="IQ9" s="158" t="str">
        <f t="shared" si="4"/>
        <v/>
      </c>
      <c r="IR9" s="158" t="str">
        <f t="shared" si="4"/>
        <v/>
      </c>
      <c r="IS9" s="158" t="str">
        <f t="shared" si="4"/>
        <v/>
      </c>
      <c r="IT9" s="158" t="str">
        <f t="shared" si="4"/>
        <v/>
      </c>
      <c r="IU9" s="158" t="str">
        <f t="shared" si="4"/>
        <v/>
      </c>
      <c r="IV9" s="158" t="str">
        <f t="shared" si="4"/>
        <v>Sem 36</v>
      </c>
      <c r="IW9" s="158" t="str">
        <f t="shared" si="4"/>
        <v/>
      </c>
      <c r="IX9" s="158" t="str">
        <f t="shared" si="4"/>
        <v/>
      </c>
      <c r="IY9" s="158" t="str">
        <f t="shared" si="4"/>
        <v/>
      </c>
      <c r="IZ9" s="158" t="str">
        <f t="shared" si="4"/>
        <v/>
      </c>
      <c r="JA9" s="158" t="str">
        <f t="shared" si="4"/>
        <v/>
      </c>
      <c r="JB9" s="158" t="str">
        <f t="shared" si="4"/>
        <v/>
      </c>
      <c r="JC9" s="158" t="str">
        <f t="shared" si="4"/>
        <v>Sem 37</v>
      </c>
      <c r="JD9" s="158" t="str">
        <f t="shared" si="4"/>
        <v/>
      </c>
      <c r="JE9" s="158" t="str">
        <f t="shared" si="4"/>
        <v/>
      </c>
      <c r="JF9" s="158" t="str">
        <f t="shared" si="4"/>
        <v/>
      </c>
      <c r="JG9" s="158" t="str">
        <f t="shared" si="4"/>
        <v/>
      </c>
      <c r="JH9" s="158" t="str">
        <f t="shared" si="4"/>
        <v/>
      </c>
      <c r="JI9" s="158" t="str">
        <f t="shared" si="4"/>
        <v/>
      </c>
      <c r="JJ9" s="158" t="str">
        <f t="shared" si="4"/>
        <v>Sem 38</v>
      </c>
      <c r="JK9" s="158" t="str">
        <f t="shared" si="4"/>
        <v/>
      </c>
      <c r="JL9" s="158" t="str">
        <f t="shared" si="4"/>
        <v/>
      </c>
      <c r="JM9" s="158" t="str">
        <f t="shared" si="4"/>
        <v/>
      </c>
      <c r="JN9" s="158" t="str">
        <f t="shared" si="4"/>
        <v/>
      </c>
      <c r="JO9" s="158" t="str">
        <f t="shared" si="4"/>
        <v/>
      </c>
      <c r="JP9" s="158" t="str">
        <f t="shared" si="4"/>
        <v/>
      </c>
      <c r="JQ9" s="158" t="str">
        <f t="shared" si="4"/>
        <v>Sem 39</v>
      </c>
      <c r="JR9" s="158" t="str">
        <f t="shared" si="4"/>
        <v/>
      </c>
      <c r="JS9" s="158" t="str">
        <f t="shared" si="4"/>
        <v/>
      </c>
      <c r="JT9" s="158" t="str">
        <f t="shared" si="4"/>
        <v/>
      </c>
      <c r="JU9" s="158" t="str">
        <f t="shared" si="4"/>
        <v/>
      </c>
      <c r="JV9" s="158" t="str">
        <f t="shared" si="4"/>
        <v/>
      </c>
      <c r="JW9" s="158" t="str">
        <f t="shared" si="4"/>
        <v/>
      </c>
      <c r="JX9" s="158" t="str">
        <f t="shared" si="4"/>
        <v>Sem 40</v>
      </c>
      <c r="JY9" s="158" t="str">
        <f t="shared" si="4"/>
        <v/>
      </c>
      <c r="JZ9" s="158" t="str">
        <f t="shared" si="4"/>
        <v/>
      </c>
      <c r="KA9" s="158" t="str">
        <f t="shared" ref="KA9:ML9" si="5">IF(WEEKDAY(KA$11,2)=1,"Sem "&amp;TEXT(_xlfn.ISOWEEKNUM(KA$11),"0#"),"")</f>
        <v/>
      </c>
      <c r="KB9" s="158" t="str">
        <f t="shared" si="5"/>
        <v/>
      </c>
      <c r="KC9" s="158" t="str">
        <f t="shared" si="5"/>
        <v/>
      </c>
      <c r="KD9" s="158" t="str">
        <f t="shared" si="5"/>
        <v/>
      </c>
      <c r="KE9" s="158" t="str">
        <f t="shared" si="5"/>
        <v>Sem 41</v>
      </c>
      <c r="KF9" s="158" t="str">
        <f t="shared" si="5"/>
        <v/>
      </c>
      <c r="KG9" s="158" t="str">
        <f t="shared" si="5"/>
        <v/>
      </c>
      <c r="KH9" s="158" t="str">
        <f t="shared" si="5"/>
        <v/>
      </c>
      <c r="KI9" s="158" t="str">
        <f t="shared" si="5"/>
        <v/>
      </c>
      <c r="KJ9" s="158" t="str">
        <f t="shared" si="5"/>
        <v/>
      </c>
      <c r="KK9" s="158" t="str">
        <f t="shared" si="5"/>
        <v/>
      </c>
      <c r="KL9" s="158" t="str">
        <f t="shared" si="5"/>
        <v>Sem 42</v>
      </c>
      <c r="KM9" s="158" t="str">
        <f t="shared" si="5"/>
        <v/>
      </c>
      <c r="KN9" s="158" t="str">
        <f t="shared" si="5"/>
        <v/>
      </c>
      <c r="KO9" s="158" t="str">
        <f t="shared" si="5"/>
        <v/>
      </c>
      <c r="KP9" s="158" t="str">
        <f t="shared" si="5"/>
        <v/>
      </c>
      <c r="KQ9" s="158" t="str">
        <f t="shared" si="5"/>
        <v/>
      </c>
      <c r="KR9" s="158" t="str">
        <f t="shared" si="5"/>
        <v/>
      </c>
      <c r="KS9" s="158" t="str">
        <f t="shared" si="5"/>
        <v>Sem 43</v>
      </c>
      <c r="KT9" s="158" t="str">
        <f t="shared" si="5"/>
        <v/>
      </c>
      <c r="KU9" s="158" t="str">
        <f t="shared" si="5"/>
        <v/>
      </c>
      <c r="KV9" s="158" t="str">
        <f t="shared" si="5"/>
        <v/>
      </c>
      <c r="KW9" s="158" t="str">
        <f t="shared" si="5"/>
        <v/>
      </c>
      <c r="KX9" s="158" t="str">
        <f t="shared" si="5"/>
        <v/>
      </c>
      <c r="KY9" s="158" t="str">
        <f t="shared" si="5"/>
        <v/>
      </c>
      <c r="KZ9" s="158" t="str">
        <f t="shared" si="5"/>
        <v>Sem 44</v>
      </c>
      <c r="LA9" s="158" t="str">
        <f t="shared" si="5"/>
        <v/>
      </c>
      <c r="LB9" s="158" t="str">
        <f t="shared" si="5"/>
        <v/>
      </c>
      <c r="LC9" s="158" t="str">
        <f t="shared" si="5"/>
        <v/>
      </c>
      <c r="LD9" s="158" t="str">
        <f t="shared" si="5"/>
        <v/>
      </c>
      <c r="LE9" s="158" t="str">
        <f t="shared" si="5"/>
        <v/>
      </c>
      <c r="LF9" s="158" t="str">
        <f t="shared" si="5"/>
        <v/>
      </c>
      <c r="LG9" s="158" t="str">
        <f t="shared" si="5"/>
        <v>Sem 45</v>
      </c>
      <c r="LH9" s="158" t="str">
        <f t="shared" si="5"/>
        <v/>
      </c>
      <c r="LI9" s="158" t="str">
        <f t="shared" si="5"/>
        <v/>
      </c>
      <c r="LJ9" s="158" t="str">
        <f t="shared" si="5"/>
        <v/>
      </c>
      <c r="LK9" s="158" t="str">
        <f t="shared" si="5"/>
        <v/>
      </c>
      <c r="LL9" s="158" t="str">
        <f t="shared" si="5"/>
        <v/>
      </c>
      <c r="LM9" s="158" t="str">
        <f t="shared" si="5"/>
        <v/>
      </c>
      <c r="LN9" s="158" t="str">
        <f t="shared" si="5"/>
        <v>Sem 46</v>
      </c>
      <c r="LO9" s="158" t="str">
        <f t="shared" si="5"/>
        <v/>
      </c>
      <c r="LP9" s="158" t="str">
        <f t="shared" si="5"/>
        <v/>
      </c>
      <c r="LQ9" s="158" t="str">
        <f t="shared" si="5"/>
        <v/>
      </c>
      <c r="LR9" s="158" t="str">
        <f t="shared" si="5"/>
        <v/>
      </c>
      <c r="LS9" s="158" t="str">
        <f t="shared" si="5"/>
        <v/>
      </c>
      <c r="LT9" s="158" t="str">
        <f t="shared" si="5"/>
        <v/>
      </c>
      <c r="LU9" s="158" t="str">
        <f t="shared" si="5"/>
        <v>Sem 47</v>
      </c>
      <c r="LV9" s="158" t="str">
        <f t="shared" si="5"/>
        <v/>
      </c>
      <c r="LW9" s="158" t="str">
        <f t="shared" si="5"/>
        <v/>
      </c>
      <c r="LX9" s="158" t="str">
        <f t="shared" si="5"/>
        <v/>
      </c>
      <c r="LY9" s="158" t="str">
        <f t="shared" si="5"/>
        <v/>
      </c>
      <c r="LZ9" s="158" t="str">
        <f t="shared" si="5"/>
        <v/>
      </c>
      <c r="MA9" s="158" t="str">
        <f t="shared" si="5"/>
        <v/>
      </c>
      <c r="MB9" s="158" t="str">
        <f t="shared" si="5"/>
        <v>Sem 48</v>
      </c>
      <c r="MC9" s="158" t="str">
        <f t="shared" si="5"/>
        <v/>
      </c>
      <c r="MD9" s="158" t="str">
        <f t="shared" si="5"/>
        <v/>
      </c>
      <c r="ME9" s="158" t="str">
        <f t="shared" si="5"/>
        <v/>
      </c>
      <c r="MF9" s="158" t="str">
        <f t="shared" si="5"/>
        <v/>
      </c>
      <c r="MG9" s="158" t="str">
        <f t="shared" si="5"/>
        <v/>
      </c>
      <c r="MH9" s="158" t="str">
        <f t="shared" si="5"/>
        <v/>
      </c>
      <c r="MI9" s="158" t="str">
        <f t="shared" si="5"/>
        <v>Sem 49</v>
      </c>
      <c r="MJ9" s="158" t="str">
        <f t="shared" si="5"/>
        <v/>
      </c>
      <c r="MK9" s="158" t="str">
        <f t="shared" si="5"/>
        <v/>
      </c>
      <c r="ML9" s="158" t="str">
        <f t="shared" si="5"/>
        <v/>
      </c>
      <c r="MM9" s="158" t="str">
        <f t="shared" ref="MM9:NJ9" si="6">IF(WEEKDAY(MM$11,2)=1,"Sem "&amp;TEXT(_xlfn.ISOWEEKNUM(MM$11),"0#"),"")</f>
        <v/>
      </c>
      <c r="MN9" s="158" t="str">
        <f t="shared" si="6"/>
        <v/>
      </c>
      <c r="MO9" s="158" t="str">
        <f t="shared" si="6"/>
        <v/>
      </c>
      <c r="MP9" s="158" t="str">
        <f t="shared" si="6"/>
        <v>Sem 50</v>
      </c>
      <c r="MQ9" s="158" t="str">
        <f t="shared" si="6"/>
        <v/>
      </c>
      <c r="MR9" s="158" t="str">
        <f t="shared" si="6"/>
        <v/>
      </c>
      <c r="MS9" s="158" t="str">
        <f t="shared" si="6"/>
        <v/>
      </c>
      <c r="MT9" s="158" t="str">
        <f t="shared" si="6"/>
        <v/>
      </c>
      <c r="MU9" s="158" t="str">
        <f t="shared" si="6"/>
        <v/>
      </c>
      <c r="MV9" s="158" t="str">
        <f t="shared" si="6"/>
        <v/>
      </c>
      <c r="MW9" s="158" t="str">
        <f t="shared" si="6"/>
        <v>Sem 51</v>
      </c>
      <c r="MX9" s="158" t="str">
        <f t="shared" si="6"/>
        <v/>
      </c>
      <c r="MY9" s="158" t="str">
        <f t="shared" si="6"/>
        <v/>
      </c>
      <c r="MZ9" s="158" t="str">
        <f t="shared" si="6"/>
        <v/>
      </c>
      <c r="NA9" s="158" t="str">
        <f t="shared" si="6"/>
        <v/>
      </c>
      <c r="NB9" s="158" t="str">
        <f t="shared" si="6"/>
        <v/>
      </c>
      <c r="NC9" s="158" t="str">
        <f t="shared" si="6"/>
        <v/>
      </c>
      <c r="ND9" s="158" t="str">
        <f t="shared" si="6"/>
        <v>Sem 52</v>
      </c>
      <c r="NE9" s="158" t="str">
        <f t="shared" si="6"/>
        <v/>
      </c>
      <c r="NF9" s="158" t="str">
        <f t="shared" si="6"/>
        <v/>
      </c>
      <c r="NG9" s="158" t="str">
        <f t="shared" si="6"/>
        <v/>
      </c>
      <c r="NH9" s="158" t="str">
        <f t="shared" si="6"/>
        <v/>
      </c>
      <c r="NI9" s="158" t="str">
        <f t="shared" si="6"/>
        <v/>
      </c>
      <c r="NJ9" s="158" t="str">
        <f t="shared" si="6"/>
        <v/>
      </c>
      <c r="NK9" s="158"/>
      <c r="NN9" s="1"/>
      <c r="NO9" s="1"/>
      <c r="NP9" s="1"/>
      <c r="NQ9" s="1"/>
      <c r="NR9" s="1"/>
      <c r="NS9" s="1"/>
      <c r="NT9" s="1"/>
      <c r="NU9" s="1"/>
      <c r="NV9" s="1"/>
      <c r="NW9" s="1"/>
      <c r="NX9" s="1"/>
      <c r="NY9" s="1"/>
      <c r="NZ9" s="1"/>
      <c r="OA9" s="1"/>
      <c r="OB9" s="1"/>
      <c r="OC9" s="1"/>
      <c r="OD9" s="1"/>
      <c r="OE9" s="1"/>
      <c r="OF9" s="1"/>
      <c r="OG9" s="1"/>
      <c r="OH9" s="1"/>
      <c r="OI9" s="1"/>
      <c r="OJ9" s="1"/>
      <c r="OK9" s="1"/>
    </row>
    <row r="10" spans="1:404" ht="14.5" x14ac:dyDescent="0.35">
      <c r="A10" s="1"/>
      <c r="B10" s="1"/>
      <c r="C10" s="94" t="str">
        <f>(SUMIF($H$12:$H$53,"=1")/2&amp;" | "&amp;SUMIFS($C$12:$C$53,$H$12:$H$53,"1")/2)</f>
        <v>13 | 13</v>
      </c>
      <c r="D10" s="31"/>
      <c r="E10" s="95"/>
      <c r="F10" s="1"/>
      <c r="G10" s="1"/>
      <c r="I10" s="28"/>
      <c r="J10" s="15">
        <f>J11</f>
        <v>44927</v>
      </c>
      <c r="K10" s="15">
        <f t="shared" ref="K10:BV10" si="7">K11</f>
        <v>44928</v>
      </c>
      <c r="L10" s="15">
        <f t="shared" si="7"/>
        <v>44929</v>
      </c>
      <c r="M10" s="15">
        <f t="shared" si="7"/>
        <v>44930</v>
      </c>
      <c r="N10" s="15">
        <f t="shared" si="7"/>
        <v>44931</v>
      </c>
      <c r="O10" s="15">
        <f t="shared" si="7"/>
        <v>44932</v>
      </c>
      <c r="P10" s="15">
        <f t="shared" si="7"/>
        <v>44933</v>
      </c>
      <c r="Q10" s="15">
        <f t="shared" si="7"/>
        <v>44934</v>
      </c>
      <c r="R10" s="15">
        <f t="shared" si="7"/>
        <v>44935</v>
      </c>
      <c r="S10" s="15">
        <f t="shared" si="7"/>
        <v>44936</v>
      </c>
      <c r="T10" s="15">
        <f t="shared" si="7"/>
        <v>44937</v>
      </c>
      <c r="U10" s="15">
        <f t="shared" si="7"/>
        <v>44938</v>
      </c>
      <c r="V10" s="15">
        <f t="shared" si="7"/>
        <v>44939</v>
      </c>
      <c r="W10" s="15">
        <f t="shared" si="7"/>
        <v>44940</v>
      </c>
      <c r="X10" s="454">
        <f t="shared" si="7"/>
        <v>44941</v>
      </c>
      <c r="Y10" s="15">
        <f t="shared" si="7"/>
        <v>44942</v>
      </c>
      <c r="Z10" s="15">
        <f t="shared" si="7"/>
        <v>44943</v>
      </c>
      <c r="AA10" s="15">
        <f t="shared" si="7"/>
        <v>44944</v>
      </c>
      <c r="AB10" s="15">
        <f t="shared" si="7"/>
        <v>44945</v>
      </c>
      <c r="AC10" s="15">
        <f t="shared" si="7"/>
        <v>44946</v>
      </c>
      <c r="AD10" s="15">
        <f t="shared" si="7"/>
        <v>44947</v>
      </c>
      <c r="AE10" s="15">
        <f t="shared" si="7"/>
        <v>44948</v>
      </c>
      <c r="AF10" s="15">
        <f t="shared" si="7"/>
        <v>44949</v>
      </c>
      <c r="AG10" s="15">
        <f t="shared" si="7"/>
        <v>44950</v>
      </c>
      <c r="AH10" s="15">
        <f t="shared" si="7"/>
        <v>44951</v>
      </c>
      <c r="AI10" s="15">
        <f t="shared" si="7"/>
        <v>44952</v>
      </c>
      <c r="AJ10" s="15">
        <f t="shared" si="7"/>
        <v>44953</v>
      </c>
      <c r="AK10" s="15">
        <f t="shared" si="7"/>
        <v>44954</v>
      </c>
      <c r="AL10" s="15">
        <f t="shared" si="7"/>
        <v>44955</v>
      </c>
      <c r="AM10" s="15">
        <f t="shared" si="7"/>
        <v>44956</v>
      </c>
      <c r="AN10" s="15">
        <f t="shared" si="7"/>
        <v>44957</v>
      </c>
      <c r="AO10" s="15">
        <f t="shared" si="7"/>
        <v>44958</v>
      </c>
      <c r="AP10" s="15">
        <f t="shared" si="7"/>
        <v>44959</v>
      </c>
      <c r="AQ10" s="15">
        <f t="shared" si="7"/>
        <v>44960</v>
      </c>
      <c r="AR10" s="15">
        <f t="shared" si="7"/>
        <v>44961</v>
      </c>
      <c r="AS10" s="15">
        <f t="shared" si="7"/>
        <v>44962</v>
      </c>
      <c r="AT10" s="15">
        <f t="shared" si="7"/>
        <v>44963</v>
      </c>
      <c r="AU10" s="15">
        <f t="shared" si="7"/>
        <v>44964</v>
      </c>
      <c r="AV10" s="15">
        <f t="shared" si="7"/>
        <v>44965</v>
      </c>
      <c r="AW10" s="15">
        <f t="shared" si="7"/>
        <v>44966</v>
      </c>
      <c r="AX10" s="15">
        <f t="shared" si="7"/>
        <v>44967</v>
      </c>
      <c r="AY10" s="15">
        <f t="shared" si="7"/>
        <v>44968</v>
      </c>
      <c r="AZ10" s="15">
        <f t="shared" si="7"/>
        <v>44969</v>
      </c>
      <c r="BA10" s="15">
        <f t="shared" si="7"/>
        <v>44970</v>
      </c>
      <c r="BB10" s="15">
        <f t="shared" si="7"/>
        <v>44971</v>
      </c>
      <c r="BC10" s="15">
        <f t="shared" si="7"/>
        <v>44972</v>
      </c>
      <c r="BD10" s="15">
        <f t="shared" si="7"/>
        <v>44973</v>
      </c>
      <c r="BE10" s="15">
        <f t="shared" si="7"/>
        <v>44974</v>
      </c>
      <c r="BF10" s="15">
        <f t="shared" si="7"/>
        <v>44975</v>
      </c>
      <c r="BG10" s="15">
        <f t="shared" si="7"/>
        <v>44976</v>
      </c>
      <c r="BH10" s="15">
        <f t="shared" si="7"/>
        <v>44977</v>
      </c>
      <c r="BI10" s="15">
        <f t="shared" si="7"/>
        <v>44978</v>
      </c>
      <c r="BJ10" s="15">
        <f t="shared" si="7"/>
        <v>44979</v>
      </c>
      <c r="BK10" s="15">
        <f t="shared" si="7"/>
        <v>44980</v>
      </c>
      <c r="BL10" s="15">
        <f t="shared" si="7"/>
        <v>44981</v>
      </c>
      <c r="BM10" s="15">
        <f t="shared" si="7"/>
        <v>44982</v>
      </c>
      <c r="BN10" s="15">
        <f t="shared" si="7"/>
        <v>44983</v>
      </c>
      <c r="BO10" s="15">
        <f t="shared" si="7"/>
        <v>44984</v>
      </c>
      <c r="BP10" s="15">
        <f t="shared" si="7"/>
        <v>44985</v>
      </c>
      <c r="BQ10" s="15">
        <f t="shared" si="7"/>
        <v>44986</v>
      </c>
      <c r="BR10" s="15">
        <f t="shared" si="7"/>
        <v>44987</v>
      </c>
      <c r="BS10" s="15">
        <f t="shared" si="7"/>
        <v>44988</v>
      </c>
      <c r="BT10" s="15">
        <f t="shared" si="7"/>
        <v>44989</v>
      </c>
      <c r="BU10" s="15">
        <f t="shared" si="7"/>
        <v>44990</v>
      </c>
      <c r="BV10" s="15">
        <f t="shared" si="7"/>
        <v>44991</v>
      </c>
      <c r="BW10" s="15">
        <f t="shared" ref="BW10:EH10" si="8">BW11</f>
        <v>44992</v>
      </c>
      <c r="BX10" s="15">
        <f t="shared" si="8"/>
        <v>44993</v>
      </c>
      <c r="BY10" s="15">
        <f t="shared" si="8"/>
        <v>44994</v>
      </c>
      <c r="BZ10" s="15">
        <f t="shared" si="8"/>
        <v>44995</v>
      </c>
      <c r="CA10" s="15">
        <f t="shared" si="8"/>
        <v>44996</v>
      </c>
      <c r="CB10" s="15">
        <f t="shared" si="8"/>
        <v>44997</v>
      </c>
      <c r="CC10" s="15">
        <f t="shared" si="8"/>
        <v>44998</v>
      </c>
      <c r="CD10" s="15">
        <f t="shared" si="8"/>
        <v>44999</v>
      </c>
      <c r="CE10" s="15">
        <f t="shared" si="8"/>
        <v>45000</v>
      </c>
      <c r="CF10" s="15">
        <f t="shared" si="8"/>
        <v>45001</v>
      </c>
      <c r="CG10" s="15">
        <f t="shared" si="8"/>
        <v>45002</v>
      </c>
      <c r="CH10" s="15">
        <f t="shared" si="8"/>
        <v>45003</v>
      </c>
      <c r="CI10" s="15">
        <f t="shared" si="8"/>
        <v>45004</v>
      </c>
      <c r="CJ10" s="15">
        <f t="shared" si="8"/>
        <v>45005</v>
      </c>
      <c r="CK10" s="15">
        <f t="shared" si="8"/>
        <v>45006</v>
      </c>
      <c r="CL10" s="15">
        <f t="shared" si="8"/>
        <v>45007</v>
      </c>
      <c r="CM10" s="15">
        <f t="shared" si="8"/>
        <v>45008</v>
      </c>
      <c r="CN10" s="15">
        <f t="shared" si="8"/>
        <v>45009</v>
      </c>
      <c r="CO10" s="15">
        <f t="shared" si="8"/>
        <v>45010</v>
      </c>
      <c r="CP10" s="15">
        <f t="shared" si="8"/>
        <v>45011</v>
      </c>
      <c r="CQ10" s="15">
        <f t="shared" si="8"/>
        <v>45012</v>
      </c>
      <c r="CR10" s="15">
        <f t="shared" si="8"/>
        <v>45013</v>
      </c>
      <c r="CS10" s="15">
        <f t="shared" si="8"/>
        <v>45014</v>
      </c>
      <c r="CT10" s="15">
        <f t="shared" si="8"/>
        <v>45015</v>
      </c>
      <c r="CU10" s="15">
        <f t="shared" si="8"/>
        <v>45016</v>
      </c>
      <c r="CV10" s="15">
        <f t="shared" si="8"/>
        <v>45017</v>
      </c>
      <c r="CW10" s="15">
        <f t="shared" si="8"/>
        <v>45018</v>
      </c>
      <c r="CX10" s="15">
        <f t="shared" si="8"/>
        <v>45019</v>
      </c>
      <c r="CY10" s="15">
        <f t="shared" si="8"/>
        <v>45020</v>
      </c>
      <c r="CZ10" s="15">
        <f t="shared" si="8"/>
        <v>45021</v>
      </c>
      <c r="DA10" s="15">
        <f t="shared" si="8"/>
        <v>45022</v>
      </c>
      <c r="DB10" s="15">
        <f t="shared" si="8"/>
        <v>45023</v>
      </c>
      <c r="DC10" s="15">
        <f t="shared" si="8"/>
        <v>45024</v>
      </c>
      <c r="DD10" s="15">
        <f t="shared" si="8"/>
        <v>45025</v>
      </c>
      <c r="DE10" s="15">
        <f t="shared" si="8"/>
        <v>45026</v>
      </c>
      <c r="DF10" s="15">
        <f t="shared" si="8"/>
        <v>45027</v>
      </c>
      <c r="DG10" s="15">
        <f t="shared" si="8"/>
        <v>45028</v>
      </c>
      <c r="DH10" s="15">
        <f t="shared" si="8"/>
        <v>45029</v>
      </c>
      <c r="DI10" s="15">
        <f t="shared" si="8"/>
        <v>45030</v>
      </c>
      <c r="DJ10" s="15">
        <f t="shared" si="8"/>
        <v>45031</v>
      </c>
      <c r="DK10" s="15">
        <f t="shared" si="8"/>
        <v>45032</v>
      </c>
      <c r="DL10" s="15">
        <f t="shared" si="8"/>
        <v>45033</v>
      </c>
      <c r="DM10" s="15">
        <f t="shared" si="8"/>
        <v>45034</v>
      </c>
      <c r="DN10" s="15">
        <f t="shared" si="8"/>
        <v>45035</v>
      </c>
      <c r="DO10" s="15">
        <f t="shared" si="8"/>
        <v>45036</v>
      </c>
      <c r="DP10" s="15">
        <f t="shared" si="8"/>
        <v>45037</v>
      </c>
      <c r="DQ10" s="15">
        <f t="shared" si="8"/>
        <v>45038</v>
      </c>
      <c r="DR10" s="15">
        <f t="shared" si="8"/>
        <v>45039</v>
      </c>
      <c r="DS10" s="15">
        <f t="shared" si="8"/>
        <v>45040</v>
      </c>
      <c r="DT10" s="15">
        <f t="shared" si="8"/>
        <v>45041</v>
      </c>
      <c r="DU10" s="15">
        <f t="shared" si="8"/>
        <v>45042</v>
      </c>
      <c r="DV10" s="15">
        <f t="shared" si="8"/>
        <v>45043</v>
      </c>
      <c r="DW10" s="15">
        <f t="shared" si="8"/>
        <v>45044</v>
      </c>
      <c r="DX10" s="15">
        <f t="shared" si="8"/>
        <v>45045</v>
      </c>
      <c r="DY10" s="15">
        <f t="shared" si="8"/>
        <v>45046</v>
      </c>
      <c r="DZ10" s="15">
        <f t="shared" si="8"/>
        <v>45047</v>
      </c>
      <c r="EA10" s="15">
        <f t="shared" si="8"/>
        <v>45048</v>
      </c>
      <c r="EB10" s="15">
        <f t="shared" si="8"/>
        <v>45049</v>
      </c>
      <c r="EC10" s="15">
        <f t="shared" si="8"/>
        <v>45050</v>
      </c>
      <c r="ED10" s="15">
        <f t="shared" si="8"/>
        <v>45051</v>
      </c>
      <c r="EE10" s="15">
        <f t="shared" si="8"/>
        <v>45052</v>
      </c>
      <c r="EF10" s="15">
        <f t="shared" si="8"/>
        <v>45053</v>
      </c>
      <c r="EG10" s="15">
        <f t="shared" si="8"/>
        <v>45054</v>
      </c>
      <c r="EH10" s="15">
        <f t="shared" si="8"/>
        <v>45055</v>
      </c>
      <c r="EI10" s="15">
        <f t="shared" ref="EI10:GT10" si="9">EI11</f>
        <v>45056</v>
      </c>
      <c r="EJ10" s="15">
        <f t="shared" si="9"/>
        <v>45057</v>
      </c>
      <c r="EK10" s="15">
        <f t="shared" si="9"/>
        <v>45058</v>
      </c>
      <c r="EL10" s="15">
        <f t="shared" si="9"/>
        <v>45059</v>
      </c>
      <c r="EM10" s="15">
        <f t="shared" si="9"/>
        <v>45060</v>
      </c>
      <c r="EN10" s="15">
        <f t="shared" si="9"/>
        <v>45061</v>
      </c>
      <c r="EO10" s="15">
        <f t="shared" si="9"/>
        <v>45062</v>
      </c>
      <c r="EP10" s="15">
        <f t="shared" si="9"/>
        <v>45063</v>
      </c>
      <c r="EQ10" s="15">
        <f t="shared" si="9"/>
        <v>45064</v>
      </c>
      <c r="ER10" s="15">
        <f t="shared" si="9"/>
        <v>45065</v>
      </c>
      <c r="ES10" s="15">
        <f t="shared" si="9"/>
        <v>45066</v>
      </c>
      <c r="ET10" s="15">
        <f t="shared" si="9"/>
        <v>45067</v>
      </c>
      <c r="EU10" s="15">
        <f t="shared" si="9"/>
        <v>45068</v>
      </c>
      <c r="EV10" s="15">
        <f t="shared" si="9"/>
        <v>45069</v>
      </c>
      <c r="EW10" s="15">
        <f t="shared" si="9"/>
        <v>45070</v>
      </c>
      <c r="EX10" s="15">
        <f t="shared" si="9"/>
        <v>45071</v>
      </c>
      <c r="EY10" s="55">
        <f t="shared" si="9"/>
        <v>45072</v>
      </c>
      <c r="EZ10" s="15">
        <f t="shared" si="9"/>
        <v>45073</v>
      </c>
      <c r="FA10" s="15">
        <f t="shared" si="9"/>
        <v>45074</v>
      </c>
      <c r="FB10" s="15">
        <f t="shared" si="9"/>
        <v>45075</v>
      </c>
      <c r="FC10" s="15">
        <f t="shared" si="9"/>
        <v>45076</v>
      </c>
      <c r="FD10" s="15">
        <f t="shared" si="9"/>
        <v>45077</v>
      </c>
      <c r="FE10" s="15">
        <f t="shared" si="9"/>
        <v>45078</v>
      </c>
      <c r="FF10" s="15">
        <f t="shared" si="9"/>
        <v>45079</v>
      </c>
      <c r="FG10" s="15">
        <f t="shared" si="9"/>
        <v>45080</v>
      </c>
      <c r="FH10" s="15">
        <f t="shared" si="9"/>
        <v>45081</v>
      </c>
      <c r="FI10" s="15">
        <f t="shared" si="9"/>
        <v>45082</v>
      </c>
      <c r="FJ10" s="100">
        <f t="shared" si="9"/>
        <v>45083</v>
      </c>
      <c r="FK10" s="15">
        <f t="shared" si="9"/>
        <v>45084</v>
      </c>
      <c r="FL10" s="15">
        <f t="shared" si="9"/>
        <v>45085</v>
      </c>
      <c r="FM10" s="15">
        <f t="shared" si="9"/>
        <v>45086</v>
      </c>
      <c r="FN10" s="15">
        <f t="shared" si="9"/>
        <v>45087</v>
      </c>
      <c r="FO10" s="15">
        <f t="shared" si="9"/>
        <v>45088</v>
      </c>
      <c r="FP10" s="15">
        <f t="shared" si="9"/>
        <v>45089</v>
      </c>
      <c r="FQ10" s="15">
        <f t="shared" si="9"/>
        <v>45090</v>
      </c>
      <c r="FR10" s="15">
        <f t="shared" si="9"/>
        <v>45091</v>
      </c>
      <c r="FS10" s="15">
        <f t="shared" si="9"/>
        <v>45092</v>
      </c>
      <c r="FT10" s="15">
        <f t="shared" si="9"/>
        <v>45093</v>
      </c>
      <c r="FU10" s="15">
        <f t="shared" si="9"/>
        <v>45094</v>
      </c>
      <c r="FV10" s="15">
        <f t="shared" si="9"/>
        <v>45095</v>
      </c>
      <c r="FW10" s="15">
        <f t="shared" si="9"/>
        <v>45096</v>
      </c>
      <c r="FX10" s="15">
        <f t="shared" si="9"/>
        <v>45097</v>
      </c>
      <c r="FY10" s="15">
        <f t="shared" si="9"/>
        <v>45098</v>
      </c>
      <c r="FZ10" s="15">
        <f t="shared" si="9"/>
        <v>45099</v>
      </c>
      <c r="GA10" s="15">
        <f t="shared" si="9"/>
        <v>45100</v>
      </c>
      <c r="GB10" s="15">
        <f t="shared" si="9"/>
        <v>45101</v>
      </c>
      <c r="GC10" s="15">
        <f t="shared" si="9"/>
        <v>45102</v>
      </c>
      <c r="GD10" s="15">
        <f t="shared" si="9"/>
        <v>45103</v>
      </c>
      <c r="GE10" s="15">
        <f t="shared" si="9"/>
        <v>45104</v>
      </c>
      <c r="GF10" s="15">
        <f t="shared" si="9"/>
        <v>45105</v>
      </c>
      <c r="GG10" s="15">
        <f t="shared" si="9"/>
        <v>45106</v>
      </c>
      <c r="GH10" s="15">
        <f t="shared" si="9"/>
        <v>45107</v>
      </c>
      <c r="GI10" s="15">
        <f t="shared" si="9"/>
        <v>45108</v>
      </c>
      <c r="GJ10" s="15">
        <f t="shared" si="9"/>
        <v>45109</v>
      </c>
      <c r="GK10" s="15">
        <f t="shared" si="9"/>
        <v>45110</v>
      </c>
      <c r="GL10" s="15">
        <f t="shared" si="9"/>
        <v>45111</v>
      </c>
      <c r="GM10" s="15">
        <f t="shared" si="9"/>
        <v>45112</v>
      </c>
      <c r="GN10" s="15">
        <f t="shared" si="9"/>
        <v>45113</v>
      </c>
      <c r="GO10" s="15">
        <f t="shared" si="9"/>
        <v>45114</v>
      </c>
      <c r="GP10" s="15">
        <f t="shared" si="9"/>
        <v>45115</v>
      </c>
      <c r="GQ10" s="15">
        <f t="shared" si="9"/>
        <v>45116</v>
      </c>
      <c r="GR10" s="15">
        <f t="shared" si="9"/>
        <v>45117</v>
      </c>
      <c r="GS10" s="15">
        <f t="shared" si="9"/>
        <v>45118</v>
      </c>
      <c r="GT10" s="15">
        <f t="shared" si="9"/>
        <v>45119</v>
      </c>
      <c r="GU10" s="15">
        <f t="shared" ref="GU10:HY10" si="10">GU11</f>
        <v>45120</v>
      </c>
      <c r="GV10" s="100">
        <f t="shared" si="10"/>
        <v>45121</v>
      </c>
      <c r="GW10" s="15">
        <f t="shared" si="10"/>
        <v>45122</v>
      </c>
      <c r="GX10" s="15">
        <f t="shared" si="10"/>
        <v>45123</v>
      </c>
      <c r="GY10" s="15">
        <f t="shared" si="10"/>
        <v>45124</v>
      </c>
      <c r="GZ10" s="15">
        <f t="shared" si="10"/>
        <v>45125</v>
      </c>
      <c r="HA10" s="15">
        <f t="shared" si="10"/>
        <v>45126</v>
      </c>
      <c r="HB10" s="15">
        <f t="shared" si="10"/>
        <v>45127</v>
      </c>
      <c r="HC10" s="15">
        <f t="shared" si="10"/>
        <v>45128</v>
      </c>
      <c r="HD10" s="15">
        <f t="shared" si="10"/>
        <v>45129</v>
      </c>
      <c r="HE10" s="15">
        <f t="shared" si="10"/>
        <v>45130</v>
      </c>
      <c r="HF10" s="15">
        <f t="shared" si="10"/>
        <v>45131</v>
      </c>
      <c r="HG10" s="15">
        <f t="shared" si="10"/>
        <v>45132</v>
      </c>
      <c r="HH10" s="15">
        <f t="shared" si="10"/>
        <v>45133</v>
      </c>
      <c r="HI10" s="15">
        <f t="shared" si="10"/>
        <v>45134</v>
      </c>
      <c r="HJ10" s="15">
        <f t="shared" si="10"/>
        <v>45135</v>
      </c>
      <c r="HK10" s="15">
        <f t="shared" si="10"/>
        <v>45136</v>
      </c>
      <c r="HL10" s="15">
        <f t="shared" si="10"/>
        <v>45137</v>
      </c>
      <c r="HM10" s="15">
        <f t="shared" si="10"/>
        <v>45138</v>
      </c>
      <c r="HN10" s="15">
        <f t="shared" si="10"/>
        <v>45139</v>
      </c>
      <c r="HO10" s="15">
        <f t="shared" si="10"/>
        <v>45140</v>
      </c>
      <c r="HP10" s="15">
        <f t="shared" si="10"/>
        <v>45141</v>
      </c>
      <c r="HQ10" s="15">
        <f t="shared" si="10"/>
        <v>45142</v>
      </c>
      <c r="HR10" s="15">
        <f t="shared" si="10"/>
        <v>45143</v>
      </c>
      <c r="HS10" s="15">
        <f t="shared" si="10"/>
        <v>45144</v>
      </c>
      <c r="HT10" s="15">
        <f t="shared" si="10"/>
        <v>45145</v>
      </c>
      <c r="HU10" s="15">
        <f t="shared" si="10"/>
        <v>45146</v>
      </c>
      <c r="HV10" s="15">
        <f t="shared" si="10"/>
        <v>45147</v>
      </c>
      <c r="HW10" s="15">
        <f t="shared" si="10"/>
        <v>45148</v>
      </c>
      <c r="HX10" s="15">
        <f t="shared" si="10"/>
        <v>45149</v>
      </c>
      <c r="HY10" s="15">
        <f t="shared" si="10"/>
        <v>45150</v>
      </c>
      <c r="HZ10" s="15">
        <f t="shared" ref="HZ10:JE10" si="11">HZ11</f>
        <v>45151</v>
      </c>
      <c r="IA10" s="15">
        <f t="shared" si="11"/>
        <v>45152</v>
      </c>
      <c r="IB10" s="100">
        <f t="shared" si="11"/>
        <v>45153</v>
      </c>
      <c r="IC10" s="15">
        <f t="shared" si="11"/>
        <v>45154</v>
      </c>
      <c r="ID10" s="15">
        <f t="shared" si="11"/>
        <v>45155</v>
      </c>
      <c r="IE10" s="15">
        <f t="shared" si="11"/>
        <v>45156</v>
      </c>
      <c r="IF10" s="15">
        <f t="shared" si="11"/>
        <v>45157</v>
      </c>
      <c r="IG10" s="15">
        <f t="shared" si="11"/>
        <v>45158</v>
      </c>
      <c r="IH10" s="15">
        <f t="shared" si="11"/>
        <v>45159</v>
      </c>
      <c r="II10" s="15">
        <f t="shared" si="11"/>
        <v>45160</v>
      </c>
      <c r="IJ10" s="15">
        <f t="shared" si="11"/>
        <v>45161</v>
      </c>
      <c r="IK10" s="15">
        <f t="shared" si="11"/>
        <v>45162</v>
      </c>
      <c r="IL10" s="15">
        <f t="shared" si="11"/>
        <v>45163</v>
      </c>
      <c r="IM10" s="15">
        <f t="shared" si="11"/>
        <v>45164</v>
      </c>
      <c r="IN10" s="15">
        <f t="shared" si="11"/>
        <v>45165</v>
      </c>
      <c r="IO10" s="15">
        <f t="shared" si="11"/>
        <v>45166</v>
      </c>
      <c r="IP10" s="15">
        <f t="shared" si="11"/>
        <v>45167</v>
      </c>
      <c r="IQ10" s="15">
        <f t="shared" si="11"/>
        <v>45168</v>
      </c>
      <c r="IR10" s="15">
        <f t="shared" si="11"/>
        <v>45169</v>
      </c>
      <c r="IS10" s="15">
        <f t="shared" si="11"/>
        <v>45170</v>
      </c>
      <c r="IT10" s="15">
        <f t="shared" si="11"/>
        <v>45171</v>
      </c>
      <c r="IU10" s="15">
        <f t="shared" si="11"/>
        <v>45172</v>
      </c>
      <c r="IV10" s="15">
        <f t="shared" si="11"/>
        <v>45173</v>
      </c>
      <c r="IW10" s="15">
        <f t="shared" si="11"/>
        <v>45174</v>
      </c>
      <c r="IX10" s="15">
        <f t="shared" si="11"/>
        <v>45175</v>
      </c>
      <c r="IY10" s="15">
        <f t="shared" si="11"/>
        <v>45176</v>
      </c>
      <c r="IZ10" s="15">
        <f t="shared" si="11"/>
        <v>45177</v>
      </c>
      <c r="JA10" s="15">
        <f t="shared" si="11"/>
        <v>45178</v>
      </c>
      <c r="JB10" s="15">
        <f t="shared" si="11"/>
        <v>45179</v>
      </c>
      <c r="JC10" s="15">
        <f t="shared" si="11"/>
        <v>45180</v>
      </c>
      <c r="JD10" s="15">
        <f t="shared" si="11"/>
        <v>45181</v>
      </c>
      <c r="JE10" s="15">
        <f t="shared" si="11"/>
        <v>45182</v>
      </c>
      <c r="JF10" s="15">
        <f t="shared" ref="JF10:KK10" si="12">JF11</f>
        <v>45183</v>
      </c>
      <c r="JG10" s="15">
        <f t="shared" si="12"/>
        <v>45184</v>
      </c>
      <c r="JH10" s="15">
        <f t="shared" si="12"/>
        <v>45185</v>
      </c>
      <c r="JI10" s="15">
        <f t="shared" si="12"/>
        <v>45186</v>
      </c>
      <c r="JJ10" s="15">
        <f t="shared" si="12"/>
        <v>45187</v>
      </c>
      <c r="JK10" s="15">
        <f t="shared" si="12"/>
        <v>45188</v>
      </c>
      <c r="JL10" s="15">
        <f t="shared" si="12"/>
        <v>45189</v>
      </c>
      <c r="JM10" s="15">
        <f t="shared" si="12"/>
        <v>45190</v>
      </c>
      <c r="JN10" s="15">
        <f t="shared" si="12"/>
        <v>45191</v>
      </c>
      <c r="JO10" s="15">
        <f t="shared" si="12"/>
        <v>45192</v>
      </c>
      <c r="JP10" s="15">
        <f t="shared" si="12"/>
        <v>45193</v>
      </c>
      <c r="JQ10" s="15">
        <f t="shared" si="12"/>
        <v>45194</v>
      </c>
      <c r="JR10" s="15">
        <f t="shared" si="12"/>
        <v>45195</v>
      </c>
      <c r="JS10" s="15">
        <f t="shared" si="12"/>
        <v>45196</v>
      </c>
      <c r="JT10" s="15">
        <f t="shared" si="12"/>
        <v>45197</v>
      </c>
      <c r="JU10" s="15">
        <f t="shared" si="12"/>
        <v>45198</v>
      </c>
      <c r="JV10" s="15">
        <f t="shared" si="12"/>
        <v>45199</v>
      </c>
      <c r="JW10" s="15">
        <f t="shared" si="12"/>
        <v>45200</v>
      </c>
      <c r="JX10" s="15">
        <f t="shared" si="12"/>
        <v>45201</v>
      </c>
      <c r="JY10" s="15">
        <f t="shared" si="12"/>
        <v>45202</v>
      </c>
      <c r="JZ10" s="15">
        <f t="shared" si="12"/>
        <v>45203</v>
      </c>
      <c r="KA10" s="15">
        <f t="shared" si="12"/>
        <v>45204</v>
      </c>
      <c r="KB10" s="15">
        <f t="shared" si="12"/>
        <v>45205</v>
      </c>
      <c r="KC10" s="15">
        <f t="shared" si="12"/>
        <v>45206</v>
      </c>
      <c r="KD10" s="15">
        <f t="shared" si="12"/>
        <v>45207</v>
      </c>
      <c r="KE10" s="15">
        <f t="shared" si="12"/>
        <v>45208</v>
      </c>
      <c r="KF10" s="15">
        <f t="shared" si="12"/>
        <v>45209</v>
      </c>
      <c r="KG10" s="15">
        <f t="shared" si="12"/>
        <v>45210</v>
      </c>
      <c r="KH10" s="15">
        <f t="shared" si="12"/>
        <v>45211</v>
      </c>
      <c r="KI10" s="15">
        <f t="shared" si="12"/>
        <v>45212</v>
      </c>
      <c r="KJ10" s="15">
        <f t="shared" si="12"/>
        <v>45213</v>
      </c>
      <c r="KK10" s="15">
        <f t="shared" si="12"/>
        <v>45214</v>
      </c>
      <c r="KL10" s="15">
        <f t="shared" ref="KL10:LQ10" si="13">KL11</f>
        <v>45215</v>
      </c>
      <c r="KM10" s="15">
        <f t="shared" si="13"/>
        <v>45216</v>
      </c>
      <c r="KN10" s="15">
        <f t="shared" si="13"/>
        <v>45217</v>
      </c>
      <c r="KO10" s="15">
        <f t="shared" si="13"/>
        <v>45218</v>
      </c>
      <c r="KP10" s="15">
        <f t="shared" si="13"/>
        <v>45219</v>
      </c>
      <c r="KQ10" s="15">
        <f t="shared" si="13"/>
        <v>45220</v>
      </c>
      <c r="KR10" s="15">
        <f t="shared" si="13"/>
        <v>45221</v>
      </c>
      <c r="KS10" s="15">
        <f t="shared" si="13"/>
        <v>45222</v>
      </c>
      <c r="KT10" s="15">
        <f t="shared" si="13"/>
        <v>45223</v>
      </c>
      <c r="KU10" s="15">
        <f t="shared" si="13"/>
        <v>45224</v>
      </c>
      <c r="KV10" s="15">
        <f t="shared" si="13"/>
        <v>45225</v>
      </c>
      <c r="KW10" s="15">
        <f t="shared" si="13"/>
        <v>45226</v>
      </c>
      <c r="KX10" s="15">
        <f t="shared" si="13"/>
        <v>45227</v>
      </c>
      <c r="KY10" s="15">
        <f t="shared" si="13"/>
        <v>45228</v>
      </c>
      <c r="KZ10" s="15">
        <f t="shared" si="13"/>
        <v>45229</v>
      </c>
      <c r="LA10" s="15">
        <f t="shared" si="13"/>
        <v>45230</v>
      </c>
      <c r="LB10" s="102">
        <f t="shared" si="13"/>
        <v>45231</v>
      </c>
      <c r="LC10" s="15">
        <f t="shared" si="13"/>
        <v>45232</v>
      </c>
      <c r="LD10" s="15">
        <f t="shared" si="13"/>
        <v>45233</v>
      </c>
      <c r="LE10" s="15">
        <f t="shared" si="13"/>
        <v>45234</v>
      </c>
      <c r="LF10" s="15">
        <f t="shared" si="13"/>
        <v>45235</v>
      </c>
      <c r="LG10" s="15">
        <f t="shared" si="13"/>
        <v>45236</v>
      </c>
      <c r="LH10" s="15">
        <f t="shared" si="13"/>
        <v>45237</v>
      </c>
      <c r="LI10" s="15">
        <f t="shared" si="13"/>
        <v>45238</v>
      </c>
      <c r="LJ10" s="15">
        <f t="shared" si="13"/>
        <v>45239</v>
      </c>
      <c r="LK10" s="15">
        <f t="shared" si="13"/>
        <v>45240</v>
      </c>
      <c r="LL10" s="102">
        <f t="shared" si="13"/>
        <v>45241</v>
      </c>
      <c r="LM10" s="15">
        <f t="shared" si="13"/>
        <v>45242</v>
      </c>
      <c r="LN10" s="15">
        <f t="shared" si="13"/>
        <v>45243</v>
      </c>
      <c r="LO10" s="15">
        <f t="shared" si="13"/>
        <v>45244</v>
      </c>
      <c r="LP10" s="15">
        <f t="shared" si="13"/>
        <v>45245</v>
      </c>
      <c r="LQ10" s="15">
        <f t="shared" si="13"/>
        <v>45246</v>
      </c>
      <c r="LR10" s="15">
        <f t="shared" ref="LR10:MW10" si="14">LR11</f>
        <v>45247</v>
      </c>
      <c r="LS10" s="15">
        <f t="shared" si="14"/>
        <v>45248</v>
      </c>
      <c r="LT10" s="15">
        <f t="shared" si="14"/>
        <v>45249</v>
      </c>
      <c r="LU10" s="15">
        <f t="shared" si="14"/>
        <v>45250</v>
      </c>
      <c r="LV10" s="15">
        <f t="shared" si="14"/>
        <v>45251</v>
      </c>
      <c r="LW10" s="15">
        <f t="shared" si="14"/>
        <v>45252</v>
      </c>
      <c r="LX10" s="15">
        <f t="shared" si="14"/>
        <v>45253</v>
      </c>
      <c r="LY10" s="15">
        <f t="shared" si="14"/>
        <v>45254</v>
      </c>
      <c r="LZ10" s="15">
        <f t="shared" si="14"/>
        <v>45255</v>
      </c>
      <c r="MA10" s="15">
        <f t="shared" si="14"/>
        <v>45256</v>
      </c>
      <c r="MB10" s="15">
        <f t="shared" si="14"/>
        <v>45257</v>
      </c>
      <c r="MC10" s="15">
        <f t="shared" si="14"/>
        <v>45258</v>
      </c>
      <c r="MD10" s="15">
        <f t="shared" si="14"/>
        <v>45259</v>
      </c>
      <c r="ME10" s="15">
        <f t="shared" si="14"/>
        <v>45260</v>
      </c>
      <c r="MF10" s="15">
        <f t="shared" si="14"/>
        <v>45261</v>
      </c>
      <c r="MG10" s="15">
        <f t="shared" si="14"/>
        <v>45262</v>
      </c>
      <c r="MH10" s="15">
        <f t="shared" si="14"/>
        <v>45263</v>
      </c>
      <c r="MI10" s="15">
        <f t="shared" si="14"/>
        <v>45264</v>
      </c>
      <c r="MJ10" s="15">
        <f t="shared" si="14"/>
        <v>45265</v>
      </c>
      <c r="MK10" s="15">
        <f t="shared" si="14"/>
        <v>45266</v>
      </c>
      <c r="ML10" s="15">
        <f t="shared" si="14"/>
        <v>45267</v>
      </c>
      <c r="MM10" s="15">
        <f t="shared" si="14"/>
        <v>45268</v>
      </c>
      <c r="MN10" s="15">
        <f t="shared" si="14"/>
        <v>45269</v>
      </c>
      <c r="MO10" s="15">
        <f t="shared" si="14"/>
        <v>45270</v>
      </c>
      <c r="MP10" s="15">
        <f t="shared" si="14"/>
        <v>45271</v>
      </c>
      <c r="MQ10" s="15">
        <f t="shared" si="14"/>
        <v>45272</v>
      </c>
      <c r="MR10" s="15">
        <f t="shared" si="14"/>
        <v>45273</v>
      </c>
      <c r="MS10" s="15">
        <f t="shared" si="14"/>
        <v>45274</v>
      </c>
      <c r="MT10" s="15">
        <f t="shared" si="14"/>
        <v>45275</v>
      </c>
      <c r="MU10" s="15">
        <f t="shared" si="14"/>
        <v>45276</v>
      </c>
      <c r="MV10" s="15">
        <f t="shared" si="14"/>
        <v>45277</v>
      </c>
      <c r="MW10" s="15">
        <f t="shared" si="14"/>
        <v>45278</v>
      </c>
      <c r="MX10" s="15">
        <f t="shared" ref="MX10:NJ10" si="15">MX11</f>
        <v>45279</v>
      </c>
      <c r="MY10" s="15">
        <f t="shared" si="15"/>
        <v>45280</v>
      </c>
      <c r="MZ10" s="15">
        <f t="shared" si="15"/>
        <v>45281</v>
      </c>
      <c r="NA10" s="15">
        <f t="shared" si="15"/>
        <v>45282</v>
      </c>
      <c r="NB10" s="15">
        <f t="shared" si="15"/>
        <v>45283</v>
      </c>
      <c r="NC10" s="15">
        <f t="shared" si="15"/>
        <v>45284</v>
      </c>
      <c r="ND10" s="15">
        <f t="shared" si="15"/>
        <v>45285</v>
      </c>
      <c r="NE10" s="15">
        <f t="shared" si="15"/>
        <v>45286</v>
      </c>
      <c r="NF10" s="15">
        <f t="shared" si="15"/>
        <v>45287</v>
      </c>
      <c r="NG10" s="15">
        <f t="shared" si="15"/>
        <v>45288</v>
      </c>
      <c r="NH10" s="15">
        <f t="shared" si="15"/>
        <v>45289</v>
      </c>
      <c r="NI10" s="15">
        <f t="shared" si="15"/>
        <v>45290</v>
      </c>
      <c r="NJ10" s="15">
        <f t="shared" si="15"/>
        <v>45291</v>
      </c>
      <c r="NK10" s="29"/>
      <c r="NN10" s="1"/>
      <c r="NO10" s="1"/>
      <c r="NP10" s="1"/>
      <c r="NQ10" s="1"/>
      <c r="NR10" s="1"/>
      <c r="NS10" s="1"/>
      <c r="NT10" s="1"/>
      <c r="NU10" s="1"/>
      <c r="NV10" s="1"/>
      <c r="NW10" s="1"/>
      <c r="NX10" s="1"/>
      <c r="NY10" s="1"/>
      <c r="NZ10" s="1"/>
      <c r="OA10" s="1"/>
      <c r="OB10" s="1"/>
      <c r="OC10" s="1"/>
      <c r="OD10" s="1"/>
      <c r="OE10" s="1"/>
      <c r="OF10" s="1"/>
      <c r="OG10" s="1"/>
      <c r="OH10" s="1"/>
      <c r="OI10" s="1"/>
      <c r="OJ10" s="1"/>
      <c r="OK10" s="1"/>
    </row>
    <row r="11" spans="1:404" ht="29.25" customHeight="1" x14ac:dyDescent="0.3">
      <c r="A11" s="4" t="s">
        <v>8</v>
      </c>
      <c r="B11" s="4" t="s">
        <v>9</v>
      </c>
      <c r="C11" s="4" t="s">
        <v>10</v>
      </c>
      <c r="D11" s="4" t="s">
        <v>11</v>
      </c>
      <c r="E11" s="4" t="s">
        <v>12</v>
      </c>
      <c r="F11" s="4" t="s">
        <v>13</v>
      </c>
      <c r="G11" s="4" t="s">
        <v>477</v>
      </c>
      <c r="H11" s="4" t="s">
        <v>15</v>
      </c>
      <c r="I11" s="106" cm="1">
        <f t="array" ref="I11">COLUMN(I:I)</f>
        <v>9</v>
      </c>
      <c r="J11" s="36">
        <f>C3</f>
        <v>44927</v>
      </c>
      <c r="K11" s="36">
        <f t="shared" ref="K11:BV11" si="16">J11+1</f>
        <v>44928</v>
      </c>
      <c r="L11" s="36">
        <f t="shared" si="16"/>
        <v>44929</v>
      </c>
      <c r="M11" s="36">
        <f t="shared" si="16"/>
        <v>44930</v>
      </c>
      <c r="N11" s="36">
        <f t="shared" si="16"/>
        <v>44931</v>
      </c>
      <c r="O11" s="36">
        <f t="shared" si="16"/>
        <v>44932</v>
      </c>
      <c r="P11" s="36">
        <f t="shared" si="16"/>
        <v>44933</v>
      </c>
      <c r="Q11" s="36">
        <f t="shared" si="16"/>
        <v>44934</v>
      </c>
      <c r="R11" s="36">
        <f t="shared" si="16"/>
        <v>44935</v>
      </c>
      <c r="S11" s="36">
        <f t="shared" si="16"/>
        <v>44936</v>
      </c>
      <c r="T11" s="36">
        <f t="shared" si="16"/>
        <v>44937</v>
      </c>
      <c r="U11" s="36">
        <f t="shared" si="16"/>
        <v>44938</v>
      </c>
      <c r="V11" s="36">
        <f t="shared" si="16"/>
        <v>44939</v>
      </c>
      <c r="W11" s="36">
        <f t="shared" si="16"/>
        <v>44940</v>
      </c>
      <c r="X11" s="36">
        <f t="shared" si="16"/>
        <v>44941</v>
      </c>
      <c r="Y11" s="36">
        <f t="shared" si="16"/>
        <v>44942</v>
      </c>
      <c r="Z11" s="36">
        <f t="shared" si="16"/>
        <v>44943</v>
      </c>
      <c r="AA11" s="36">
        <f t="shared" si="16"/>
        <v>44944</v>
      </c>
      <c r="AB11" s="36">
        <f t="shared" si="16"/>
        <v>44945</v>
      </c>
      <c r="AC11" s="36">
        <f t="shared" si="16"/>
        <v>44946</v>
      </c>
      <c r="AD11" s="36">
        <f t="shared" si="16"/>
        <v>44947</v>
      </c>
      <c r="AE11" s="36">
        <f t="shared" si="16"/>
        <v>44948</v>
      </c>
      <c r="AF11" s="36">
        <f t="shared" si="16"/>
        <v>44949</v>
      </c>
      <c r="AG11" s="36">
        <f t="shared" si="16"/>
        <v>44950</v>
      </c>
      <c r="AH11" s="36">
        <f t="shared" si="16"/>
        <v>44951</v>
      </c>
      <c r="AI11" s="36">
        <f t="shared" si="16"/>
        <v>44952</v>
      </c>
      <c r="AJ11" s="36">
        <f t="shared" si="16"/>
        <v>44953</v>
      </c>
      <c r="AK11" s="36">
        <f t="shared" si="16"/>
        <v>44954</v>
      </c>
      <c r="AL11" s="36">
        <f t="shared" si="16"/>
        <v>44955</v>
      </c>
      <c r="AM11" s="36">
        <f t="shared" si="16"/>
        <v>44956</v>
      </c>
      <c r="AN11" s="36">
        <f t="shared" si="16"/>
        <v>44957</v>
      </c>
      <c r="AO11" s="36">
        <f t="shared" si="16"/>
        <v>44958</v>
      </c>
      <c r="AP11" s="36">
        <f t="shared" si="16"/>
        <v>44959</v>
      </c>
      <c r="AQ11" s="36">
        <f t="shared" si="16"/>
        <v>44960</v>
      </c>
      <c r="AR11" s="36">
        <f t="shared" si="16"/>
        <v>44961</v>
      </c>
      <c r="AS11" s="36">
        <f t="shared" si="16"/>
        <v>44962</v>
      </c>
      <c r="AT11" s="36">
        <f t="shared" si="16"/>
        <v>44963</v>
      </c>
      <c r="AU11" s="36">
        <f t="shared" si="16"/>
        <v>44964</v>
      </c>
      <c r="AV11" s="36">
        <f t="shared" si="16"/>
        <v>44965</v>
      </c>
      <c r="AW11" s="36">
        <f t="shared" si="16"/>
        <v>44966</v>
      </c>
      <c r="AX11" s="36">
        <f t="shared" si="16"/>
        <v>44967</v>
      </c>
      <c r="AY11" s="36">
        <f t="shared" si="16"/>
        <v>44968</v>
      </c>
      <c r="AZ11" s="36">
        <f t="shared" si="16"/>
        <v>44969</v>
      </c>
      <c r="BA11" s="36">
        <f t="shared" si="16"/>
        <v>44970</v>
      </c>
      <c r="BB11" s="36">
        <f t="shared" si="16"/>
        <v>44971</v>
      </c>
      <c r="BC11" s="36">
        <f t="shared" si="16"/>
        <v>44972</v>
      </c>
      <c r="BD11" s="36">
        <f t="shared" si="16"/>
        <v>44973</v>
      </c>
      <c r="BE11" s="36">
        <f t="shared" si="16"/>
        <v>44974</v>
      </c>
      <c r="BF11" s="36">
        <f t="shared" si="16"/>
        <v>44975</v>
      </c>
      <c r="BG11" s="36">
        <f t="shared" si="16"/>
        <v>44976</v>
      </c>
      <c r="BH11" s="36">
        <f t="shared" si="16"/>
        <v>44977</v>
      </c>
      <c r="BI11" s="36">
        <f t="shared" si="16"/>
        <v>44978</v>
      </c>
      <c r="BJ11" s="36">
        <f t="shared" si="16"/>
        <v>44979</v>
      </c>
      <c r="BK11" s="36">
        <f t="shared" si="16"/>
        <v>44980</v>
      </c>
      <c r="BL11" s="36">
        <f t="shared" si="16"/>
        <v>44981</v>
      </c>
      <c r="BM11" s="36">
        <f t="shared" si="16"/>
        <v>44982</v>
      </c>
      <c r="BN11" s="36">
        <f t="shared" si="16"/>
        <v>44983</v>
      </c>
      <c r="BO11" s="36">
        <f t="shared" si="16"/>
        <v>44984</v>
      </c>
      <c r="BP11" s="36">
        <f t="shared" si="16"/>
        <v>44985</v>
      </c>
      <c r="BQ11" s="36">
        <f t="shared" si="16"/>
        <v>44986</v>
      </c>
      <c r="BR11" s="36">
        <f t="shared" si="16"/>
        <v>44987</v>
      </c>
      <c r="BS11" s="36">
        <f t="shared" si="16"/>
        <v>44988</v>
      </c>
      <c r="BT11" s="36">
        <f t="shared" si="16"/>
        <v>44989</v>
      </c>
      <c r="BU11" s="36">
        <f t="shared" si="16"/>
        <v>44990</v>
      </c>
      <c r="BV11" s="36">
        <f t="shared" si="16"/>
        <v>44991</v>
      </c>
      <c r="BW11" s="36">
        <f t="shared" ref="BW11:EH11" si="17">BV11+1</f>
        <v>44992</v>
      </c>
      <c r="BX11" s="36">
        <f t="shared" si="17"/>
        <v>44993</v>
      </c>
      <c r="BY11" s="36">
        <f t="shared" si="17"/>
        <v>44994</v>
      </c>
      <c r="BZ11" s="36">
        <f t="shared" si="17"/>
        <v>44995</v>
      </c>
      <c r="CA11" s="36">
        <f t="shared" si="17"/>
        <v>44996</v>
      </c>
      <c r="CB11" s="36">
        <f t="shared" si="17"/>
        <v>44997</v>
      </c>
      <c r="CC11" s="36">
        <f t="shared" si="17"/>
        <v>44998</v>
      </c>
      <c r="CD11" s="36">
        <f t="shared" si="17"/>
        <v>44999</v>
      </c>
      <c r="CE11" s="36">
        <f t="shared" si="17"/>
        <v>45000</v>
      </c>
      <c r="CF11" s="36">
        <f t="shared" si="17"/>
        <v>45001</v>
      </c>
      <c r="CG11" s="36">
        <f t="shared" si="17"/>
        <v>45002</v>
      </c>
      <c r="CH11" s="36">
        <f t="shared" si="17"/>
        <v>45003</v>
      </c>
      <c r="CI11" s="36">
        <f t="shared" si="17"/>
        <v>45004</v>
      </c>
      <c r="CJ11" s="36">
        <f t="shared" si="17"/>
        <v>45005</v>
      </c>
      <c r="CK11" s="36">
        <f t="shared" si="17"/>
        <v>45006</v>
      </c>
      <c r="CL11" s="36">
        <f t="shared" si="17"/>
        <v>45007</v>
      </c>
      <c r="CM11" s="36">
        <f t="shared" si="17"/>
        <v>45008</v>
      </c>
      <c r="CN11" s="36">
        <f t="shared" si="17"/>
        <v>45009</v>
      </c>
      <c r="CO11" s="36">
        <f t="shared" si="17"/>
        <v>45010</v>
      </c>
      <c r="CP11" s="36">
        <f t="shared" si="17"/>
        <v>45011</v>
      </c>
      <c r="CQ11" s="36">
        <f t="shared" si="17"/>
        <v>45012</v>
      </c>
      <c r="CR11" s="36">
        <f t="shared" si="17"/>
        <v>45013</v>
      </c>
      <c r="CS11" s="36">
        <f t="shared" si="17"/>
        <v>45014</v>
      </c>
      <c r="CT11" s="36">
        <f t="shared" si="17"/>
        <v>45015</v>
      </c>
      <c r="CU11" s="36">
        <f t="shared" si="17"/>
        <v>45016</v>
      </c>
      <c r="CV11" s="36">
        <f t="shared" si="17"/>
        <v>45017</v>
      </c>
      <c r="CW11" s="36">
        <f t="shared" si="17"/>
        <v>45018</v>
      </c>
      <c r="CX11" s="36">
        <f t="shared" si="17"/>
        <v>45019</v>
      </c>
      <c r="CY11" s="36">
        <f t="shared" si="17"/>
        <v>45020</v>
      </c>
      <c r="CZ11" s="36">
        <f t="shared" si="17"/>
        <v>45021</v>
      </c>
      <c r="DA11" s="36">
        <f t="shared" si="17"/>
        <v>45022</v>
      </c>
      <c r="DB11" s="36">
        <f t="shared" si="17"/>
        <v>45023</v>
      </c>
      <c r="DC11" s="36">
        <f t="shared" si="17"/>
        <v>45024</v>
      </c>
      <c r="DD11" s="36">
        <f t="shared" si="17"/>
        <v>45025</v>
      </c>
      <c r="DE11" s="36">
        <f t="shared" si="17"/>
        <v>45026</v>
      </c>
      <c r="DF11" s="36">
        <f t="shared" si="17"/>
        <v>45027</v>
      </c>
      <c r="DG11" s="36">
        <f t="shared" si="17"/>
        <v>45028</v>
      </c>
      <c r="DH11" s="36">
        <f t="shared" si="17"/>
        <v>45029</v>
      </c>
      <c r="DI11" s="36">
        <f t="shared" si="17"/>
        <v>45030</v>
      </c>
      <c r="DJ11" s="36">
        <f t="shared" si="17"/>
        <v>45031</v>
      </c>
      <c r="DK11" s="36">
        <f t="shared" si="17"/>
        <v>45032</v>
      </c>
      <c r="DL11" s="36">
        <f t="shared" si="17"/>
        <v>45033</v>
      </c>
      <c r="DM11" s="36">
        <f t="shared" si="17"/>
        <v>45034</v>
      </c>
      <c r="DN11" s="36">
        <f t="shared" si="17"/>
        <v>45035</v>
      </c>
      <c r="DO11" s="36">
        <f t="shared" si="17"/>
        <v>45036</v>
      </c>
      <c r="DP11" s="36">
        <f t="shared" si="17"/>
        <v>45037</v>
      </c>
      <c r="DQ11" s="36">
        <f t="shared" si="17"/>
        <v>45038</v>
      </c>
      <c r="DR11" s="36">
        <f t="shared" si="17"/>
        <v>45039</v>
      </c>
      <c r="DS11" s="36">
        <f t="shared" si="17"/>
        <v>45040</v>
      </c>
      <c r="DT11" s="36">
        <f t="shared" si="17"/>
        <v>45041</v>
      </c>
      <c r="DU11" s="36">
        <f t="shared" si="17"/>
        <v>45042</v>
      </c>
      <c r="DV11" s="36">
        <f t="shared" si="17"/>
        <v>45043</v>
      </c>
      <c r="DW11" s="36">
        <f t="shared" si="17"/>
        <v>45044</v>
      </c>
      <c r="DX11" s="36">
        <f t="shared" si="17"/>
        <v>45045</v>
      </c>
      <c r="DY11" s="36">
        <f t="shared" si="17"/>
        <v>45046</v>
      </c>
      <c r="DZ11" s="36">
        <f t="shared" si="17"/>
        <v>45047</v>
      </c>
      <c r="EA11" s="36">
        <f t="shared" si="17"/>
        <v>45048</v>
      </c>
      <c r="EB11" s="36">
        <f t="shared" si="17"/>
        <v>45049</v>
      </c>
      <c r="EC11" s="36">
        <f t="shared" si="17"/>
        <v>45050</v>
      </c>
      <c r="ED11" s="36">
        <f t="shared" si="17"/>
        <v>45051</v>
      </c>
      <c r="EE11" s="36">
        <f t="shared" si="17"/>
        <v>45052</v>
      </c>
      <c r="EF11" s="36">
        <f t="shared" si="17"/>
        <v>45053</v>
      </c>
      <c r="EG11" s="36">
        <f t="shared" si="17"/>
        <v>45054</v>
      </c>
      <c r="EH11" s="36">
        <f t="shared" si="17"/>
        <v>45055</v>
      </c>
      <c r="EI11" s="36">
        <f t="shared" ref="EI11:GT11" si="18">EH11+1</f>
        <v>45056</v>
      </c>
      <c r="EJ11" s="36">
        <f t="shared" si="18"/>
        <v>45057</v>
      </c>
      <c r="EK11" s="36">
        <f t="shared" si="18"/>
        <v>45058</v>
      </c>
      <c r="EL11" s="36">
        <f t="shared" si="18"/>
        <v>45059</v>
      </c>
      <c r="EM11" s="36">
        <f t="shared" si="18"/>
        <v>45060</v>
      </c>
      <c r="EN11" s="36">
        <f t="shared" si="18"/>
        <v>45061</v>
      </c>
      <c r="EO11" s="36">
        <f t="shared" si="18"/>
        <v>45062</v>
      </c>
      <c r="EP11" s="36">
        <f t="shared" si="18"/>
        <v>45063</v>
      </c>
      <c r="EQ11" s="36">
        <f t="shared" si="18"/>
        <v>45064</v>
      </c>
      <c r="ER11" s="36">
        <f t="shared" si="18"/>
        <v>45065</v>
      </c>
      <c r="ES11" s="36">
        <f t="shared" si="18"/>
        <v>45066</v>
      </c>
      <c r="ET11" s="36">
        <f t="shared" si="18"/>
        <v>45067</v>
      </c>
      <c r="EU11" s="36">
        <f t="shared" si="18"/>
        <v>45068</v>
      </c>
      <c r="EV11" s="36">
        <f t="shared" si="18"/>
        <v>45069</v>
      </c>
      <c r="EW11" s="36">
        <f t="shared" si="18"/>
        <v>45070</v>
      </c>
      <c r="EX11" s="36">
        <f t="shared" si="18"/>
        <v>45071</v>
      </c>
      <c r="EY11" s="56">
        <f t="shared" si="18"/>
        <v>45072</v>
      </c>
      <c r="EZ11" s="36">
        <f t="shared" si="18"/>
        <v>45073</v>
      </c>
      <c r="FA11" s="36">
        <f t="shared" si="18"/>
        <v>45074</v>
      </c>
      <c r="FB11" s="36">
        <f t="shared" si="18"/>
        <v>45075</v>
      </c>
      <c r="FC11" s="36">
        <f t="shared" si="18"/>
        <v>45076</v>
      </c>
      <c r="FD11" s="36">
        <f t="shared" si="18"/>
        <v>45077</v>
      </c>
      <c r="FE11" s="36">
        <f t="shared" si="18"/>
        <v>45078</v>
      </c>
      <c r="FF11" s="36">
        <f t="shared" si="18"/>
        <v>45079</v>
      </c>
      <c r="FG11" s="36">
        <f t="shared" si="18"/>
        <v>45080</v>
      </c>
      <c r="FH11" s="36">
        <f t="shared" si="18"/>
        <v>45081</v>
      </c>
      <c r="FI11" s="36">
        <f t="shared" si="18"/>
        <v>45082</v>
      </c>
      <c r="FJ11" s="101">
        <f t="shared" si="18"/>
        <v>45083</v>
      </c>
      <c r="FK11" s="36">
        <f t="shared" si="18"/>
        <v>45084</v>
      </c>
      <c r="FL11" s="36">
        <f t="shared" si="18"/>
        <v>45085</v>
      </c>
      <c r="FM11" s="36">
        <f t="shared" si="18"/>
        <v>45086</v>
      </c>
      <c r="FN11" s="36">
        <f t="shared" si="18"/>
        <v>45087</v>
      </c>
      <c r="FO11" s="36">
        <f t="shared" si="18"/>
        <v>45088</v>
      </c>
      <c r="FP11" s="36">
        <f t="shared" si="18"/>
        <v>45089</v>
      </c>
      <c r="FQ11" s="36">
        <f t="shared" si="18"/>
        <v>45090</v>
      </c>
      <c r="FR11" s="36">
        <f t="shared" si="18"/>
        <v>45091</v>
      </c>
      <c r="FS11" s="36">
        <f t="shared" si="18"/>
        <v>45092</v>
      </c>
      <c r="FT11" s="36">
        <f t="shared" si="18"/>
        <v>45093</v>
      </c>
      <c r="FU11" s="36">
        <f t="shared" si="18"/>
        <v>45094</v>
      </c>
      <c r="FV11" s="36">
        <f t="shared" si="18"/>
        <v>45095</v>
      </c>
      <c r="FW11" s="36">
        <f t="shared" si="18"/>
        <v>45096</v>
      </c>
      <c r="FX11" s="36">
        <f t="shared" si="18"/>
        <v>45097</v>
      </c>
      <c r="FY11" s="36">
        <f t="shared" si="18"/>
        <v>45098</v>
      </c>
      <c r="FZ11" s="36">
        <f t="shared" si="18"/>
        <v>45099</v>
      </c>
      <c r="GA11" s="36">
        <f t="shared" si="18"/>
        <v>45100</v>
      </c>
      <c r="GB11" s="36">
        <f t="shared" si="18"/>
        <v>45101</v>
      </c>
      <c r="GC11" s="36">
        <f t="shared" si="18"/>
        <v>45102</v>
      </c>
      <c r="GD11" s="36">
        <f t="shared" si="18"/>
        <v>45103</v>
      </c>
      <c r="GE11" s="36">
        <f t="shared" si="18"/>
        <v>45104</v>
      </c>
      <c r="GF11" s="36">
        <f t="shared" si="18"/>
        <v>45105</v>
      </c>
      <c r="GG11" s="36">
        <f t="shared" si="18"/>
        <v>45106</v>
      </c>
      <c r="GH11" s="36">
        <f t="shared" si="18"/>
        <v>45107</v>
      </c>
      <c r="GI11" s="36">
        <f t="shared" si="18"/>
        <v>45108</v>
      </c>
      <c r="GJ11" s="36">
        <f t="shared" si="18"/>
        <v>45109</v>
      </c>
      <c r="GK11" s="36">
        <f t="shared" si="18"/>
        <v>45110</v>
      </c>
      <c r="GL11" s="36">
        <f t="shared" si="18"/>
        <v>45111</v>
      </c>
      <c r="GM11" s="36">
        <f t="shared" si="18"/>
        <v>45112</v>
      </c>
      <c r="GN11" s="36">
        <f t="shared" si="18"/>
        <v>45113</v>
      </c>
      <c r="GO11" s="36">
        <f t="shared" si="18"/>
        <v>45114</v>
      </c>
      <c r="GP11" s="36">
        <f t="shared" si="18"/>
        <v>45115</v>
      </c>
      <c r="GQ11" s="36">
        <f t="shared" si="18"/>
        <v>45116</v>
      </c>
      <c r="GR11" s="36">
        <f t="shared" si="18"/>
        <v>45117</v>
      </c>
      <c r="GS11" s="36">
        <f t="shared" si="18"/>
        <v>45118</v>
      </c>
      <c r="GT11" s="36">
        <f t="shared" si="18"/>
        <v>45119</v>
      </c>
      <c r="GU11" s="36">
        <f t="shared" ref="GU11:JF11" si="19">GT11+1</f>
        <v>45120</v>
      </c>
      <c r="GV11" s="101">
        <f t="shared" si="19"/>
        <v>45121</v>
      </c>
      <c r="GW11" s="36">
        <f t="shared" si="19"/>
        <v>45122</v>
      </c>
      <c r="GX11" s="36">
        <f t="shared" si="19"/>
        <v>45123</v>
      </c>
      <c r="GY11" s="36">
        <f t="shared" si="19"/>
        <v>45124</v>
      </c>
      <c r="GZ11" s="36">
        <f t="shared" si="19"/>
        <v>45125</v>
      </c>
      <c r="HA11" s="36">
        <f t="shared" si="19"/>
        <v>45126</v>
      </c>
      <c r="HB11" s="36">
        <f t="shared" si="19"/>
        <v>45127</v>
      </c>
      <c r="HC11" s="36">
        <f t="shared" si="19"/>
        <v>45128</v>
      </c>
      <c r="HD11" s="36">
        <f t="shared" si="19"/>
        <v>45129</v>
      </c>
      <c r="HE11" s="36">
        <f t="shared" si="19"/>
        <v>45130</v>
      </c>
      <c r="HF11" s="36">
        <f t="shared" si="19"/>
        <v>45131</v>
      </c>
      <c r="HG11" s="36">
        <f t="shared" si="19"/>
        <v>45132</v>
      </c>
      <c r="HH11" s="36">
        <f t="shared" si="19"/>
        <v>45133</v>
      </c>
      <c r="HI11" s="36">
        <f t="shared" si="19"/>
        <v>45134</v>
      </c>
      <c r="HJ11" s="36">
        <f t="shared" si="19"/>
        <v>45135</v>
      </c>
      <c r="HK11" s="36">
        <f t="shared" si="19"/>
        <v>45136</v>
      </c>
      <c r="HL11" s="36">
        <f t="shared" si="19"/>
        <v>45137</v>
      </c>
      <c r="HM11" s="36">
        <f t="shared" si="19"/>
        <v>45138</v>
      </c>
      <c r="HN11" s="36">
        <f t="shared" si="19"/>
        <v>45139</v>
      </c>
      <c r="HO11" s="36">
        <f t="shared" si="19"/>
        <v>45140</v>
      </c>
      <c r="HP11" s="36">
        <f t="shared" si="19"/>
        <v>45141</v>
      </c>
      <c r="HQ11" s="36">
        <f t="shared" si="19"/>
        <v>45142</v>
      </c>
      <c r="HR11" s="36">
        <f t="shared" si="19"/>
        <v>45143</v>
      </c>
      <c r="HS11" s="36">
        <f t="shared" si="19"/>
        <v>45144</v>
      </c>
      <c r="HT11" s="36">
        <f t="shared" si="19"/>
        <v>45145</v>
      </c>
      <c r="HU11" s="36">
        <f t="shared" si="19"/>
        <v>45146</v>
      </c>
      <c r="HV11" s="36">
        <f t="shared" si="19"/>
        <v>45147</v>
      </c>
      <c r="HW11" s="36">
        <f t="shared" si="19"/>
        <v>45148</v>
      </c>
      <c r="HX11" s="36">
        <f t="shared" si="19"/>
        <v>45149</v>
      </c>
      <c r="HY11" s="36">
        <f t="shared" si="19"/>
        <v>45150</v>
      </c>
      <c r="HZ11" s="36">
        <f t="shared" si="19"/>
        <v>45151</v>
      </c>
      <c r="IA11" s="36">
        <f t="shared" si="19"/>
        <v>45152</v>
      </c>
      <c r="IB11" s="101">
        <f t="shared" si="19"/>
        <v>45153</v>
      </c>
      <c r="IC11" s="36">
        <f t="shared" si="19"/>
        <v>45154</v>
      </c>
      <c r="ID11" s="36">
        <f t="shared" si="19"/>
        <v>45155</v>
      </c>
      <c r="IE11" s="36">
        <f t="shared" si="19"/>
        <v>45156</v>
      </c>
      <c r="IF11" s="36">
        <f t="shared" si="19"/>
        <v>45157</v>
      </c>
      <c r="IG11" s="36">
        <f t="shared" si="19"/>
        <v>45158</v>
      </c>
      <c r="IH11" s="36">
        <f t="shared" si="19"/>
        <v>45159</v>
      </c>
      <c r="II11" s="36">
        <f t="shared" si="19"/>
        <v>45160</v>
      </c>
      <c r="IJ11" s="36">
        <f t="shared" si="19"/>
        <v>45161</v>
      </c>
      <c r="IK11" s="36">
        <f t="shared" si="19"/>
        <v>45162</v>
      </c>
      <c r="IL11" s="36">
        <f t="shared" si="19"/>
        <v>45163</v>
      </c>
      <c r="IM11" s="36">
        <f t="shared" si="19"/>
        <v>45164</v>
      </c>
      <c r="IN11" s="36">
        <f t="shared" si="19"/>
        <v>45165</v>
      </c>
      <c r="IO11" s="36">
        <f t="shared" si="19"/>
        <v>45166</v>
      </c>
      <c r="IP11" s="36">
        <f t="shared" si="19"/>
        <v>45167</v>
      </c>
      <c r="IQ11" s="36">
        <f t="shared" si="19"/>
        <v>45168</v>
      </c>
      <c r="IR11" s="36">
        <f t="shared" si="19"/>
        <v>45169</v>
      </c>
      <c r="IS11" s="36">
        <f t="shared" si="19"/>
        <v>45170</v>
      </c>
      <c r="IT11" s="36">
        <f t="shared" si="19"/>
        <v>45171</v>
      </c>
      <c r="IU11" s="36">
        <f t="shared" si="19"/>
        <v>45172</v>
      </c>
      <c r="IV11" s="36">
        <f t="shared" si="19"/>
        <v>45173</v>
      </c>
      <c r="IW11" s="36">
        <f t="shared" si="19"/>
        <v>45174</v>
      </c>
      <c r="IX11" s="36">
        <f t="shared" si="19"/>
        <v>45175</v>
      </c>
      <c r="IY11" s="36">
        <f t="shared" si="19"/>
        <v>45176</v>
      </c>
      <c r="IZ11" s="36">
        <f t="shared" si="19"/>
        <v>45177</v>
      </c>
      <c r="JA11" s="36">
        <f t="shared" si="19"/>
        <v>45178</v>
      </c>
      <c r="JB11" s="36">
        <f t="shared" si="19"/>
        <v>45179</v>
      </c>
      <c r="JC11" s="36">
        <f t="shared" si="19"/>
        <v>45180</v>
      </c>
      <c r="JD11" s="36">
        <f t="shared" si="19"/>
        <v>45181</v>
      </c>
      <c r="JE11" s="36">
        <f t="shared" si="19"/>
        <v>45182</v>
      </c>
      <c r="JF11" s="36">
        <f t="shared" si="19"/>
        <v>45183</v>
      </c>
      <c r="JG11" s="36">
        <f t="shared" ref="JG11:LR11" si="20">JF11+1</f>
        <v>45184</v>
      </c>
      <c r="JH11" s="36">
        <f t="shared" si="20"/>
        <v>45185</v>
      </c>
      <c r="JI11" s="36">
        <f t="shared" si="20"/>
        <v>45186</v>
      </c>
      <c r="JJ11" s="36">
        <f t="shared" si="20"/>
        <v>45187</v>
      </c>
      <c r="JK11" s="36">
        <f t="shared" si="20"/>
        <v>45188</v>
      </c>
      <c r="JL11" s="36">
        <f t="shared" si="20"/>
        <v>45189</v>
      </c>
      <c r="JM11" s="36">
        <f t="shared" si="20"/>
        <v>45190</v>
      </c>
      <c r="JN11" s="36">
        <f t="shared" si="20"/>
        <v>45191</v>
      </c>
      <c r="JO11" s="36">
        <f t="shared" si="20"/>
        <v>45192</v>
      </c>
      <c r="JP11" s="36">
        <f t="shared" si="20"/>
        <v>45193</v>
      </c>
      <c r="JQ11" s="36">
        <f t="shared" si="20"/>
        <v>45194</v>
      </c>
      <c r="JR11" s="36">
        <f t="shared" si="20"/>
        <v>45195</v>
      </c>
      <c r="JS11" s="36">
        <f t="shared" si="20"/>
        <v>45196</v>
      </c>
      <c r="JT11" s="36">
        <f t="shared" si="20"/>
        <v>45197</v>
      </c>
      <c r="JU11" s="36">
        <f t="shared" si="20"/>
        <v>45198</v>
      </c>
      <c r="JV11" s="36">
        <f t="shared" si="20"/>
        <v>45199</v>
      </c>
      <c r="JW11" s="36">
        <f t="shared" si="20"/>
        <v>45200</v>
      </c>
      <c r="JX11" s="36">
        <f t="shared" si="20"/>
        <v>45201</v>
      </c>
      <c r="JY11" s="36">
        <f t="shared" si="20"/>
        <v>45202</v>
      </c>
      <c r="JZ11" s="36">
        <f t="shared" si="20"/>
        <v>45203</v>
      </c>
      <c r="KA11" s="36">
        <f t="shared" si="20"/>
        <v>45204</v>
      </c>
      <c r="KB11" s="36">
        <f t="shared" si="20"/>
        <v>45205</v>
      </c>
      <c r="KC11" s="36">
        <f t="shared" si="20"/>
        <v>45206</v>
      </c>
      <c r="KD11" s="36">
        <f t="shared" si="20"/>
        <v>45207</v>
      </c>
      <c r="KE11" s="36">
        <f t="shared" si="20"/>
        <v>45208</v>
      </c>
      <c r="KF11" s="36">
        <f t="shared" si="20"/>
        <v>45209</v>
      </c>
      <c r="KG11" s="36">
        <f t="shared" si="20"/>
        <v>45210</v>
      </c>
      <c r="KH11" s="36">
        <f t="shared" si="20"/>
        <v>45211</v>
      </c>
      <c r="KI11" s="36">
        <f t="shared" si="20"/>
        <v>45212</v>
      </c>
      <c r="KJ11" s="36">
        <f t="shared" si="20"/>
        <v>45213</v>
      </c>
      <c r="KK11" s="36">
        <f t="shared" si="20"/>
        <v>45214</v>
      </c>
      <c r="KL11" s="36">
        <f t="shared" si="20"/>
        <v>45215</v>
      </c>
      <c r="KM11" s="36">
        <f t="shared" si="20"/>
        <v>45216</v>
      </c>
      <c r="KN11" s="36">
        <f t="shared" si="20"/>
        <v>45217</v>
      </c>
      <c r="KO11" s="36">
        <f t="shared" si="20"/>
        <v>45218</v>
      </c>
      <c r="KP11" s="36">
        <f t="shared" si="20"/>
        <v>45219</v>
      </c>
      <c r="KQ11" s="36">
        <f t="shared" si="20"/>
        <v>45220</v>
      </c>
      <c r="KR11" s="36">
        <f t="shared" si="20"/>
        <v>45221</v>
      </c>
      <c r="KS11" s="36">
        <f t="shared" si="20"/>
        <v>45222</v>
      </c>
      <c r="KT11" s="36">
        <f t="shared" si="20"/>
        <v>45223</v>
      </c>
      <c r="KU11" s="36">
        <f t="shared" si="20"/>
        <v>45224</v>
      </c>
      <c r="KV11" s="36">
        <f t="shared" si="20"/>
        <v>45225</v>
      </c>
      <c r="KW11" s="36">
        <f t="shared" si="20"/>
        <v>45226</v>
      </c>
      <c r="KX11" s="36">
        <f t="shared" si="20"/>
        <v>45227</v>
      </c>
      <c r="KY11" s="36">
        <f t="shared" si="20"/>
        <v>45228</v>
      </c>
      <c r="KZ11" s="36">
        <f t="shared" si="20"/>
        <v>45229</v>
      </c>
      <c r="LA11" s="36">
        <f t="shared" si="20"/>
        <v>45230</v>
      </c>
      <c r="LB11" s="103">
        <f t="shared" si="20"/>
        <v>45231</v>
      </c>
      <c r="LC11" s="36">
        <f t="shared" si="20"/>
        <v>45232</v>
      </c>
      <c r="LD11" s="36">
        <f t="shared" si="20"/>
        <v>45233</v>
      </c>
      <c r="LE11" s="36">
        <f t="shared" si="20"/>
        <v>45234</v>
      </c>
      <c r="LF11" s="36">
        <f t="shared" si="20"/>
        <v>45235</v>
      </c>
      <c r="LG11" s="36">
        <f t="shared" si="20"/>
        <v>45236</v>
      </c>
      <c r="LH11" s="36">
        <f t="shared" si="20"/>
        <v>45237</v>
      </c>
      <c r="LI11" s="36">
        <f t="shared" si="20"/>
        <v>45238</v>
      </c>
      <c r="LJ11" s="36">
        <f t="shared" si="20"/>
        <v>45239</v>
      </c>
      <c r="LK11" s="36">
        <f t="shared" si="20"/>
        <v>45240</v>
      </c>
      <c r="LL11" s="103">
        <f t="shared" si="20"/>
        <v>45241</v>
      </c>
      <c r="LM11" s="36">
        <f t="shared" si="20"/>
        <v>45242</v>
      </c>
      <c r="LN11" s="36">
        <f t="shared" si="20"/>
        <v>45243</v>
      </c>
      <c r="LO11" s="36">
        <f t="shared" si="20"/>
        <v>45244</v>
      </c>
      <c r="LP11" s="36">
        <f t="shared" si="20"/>
        <v>45245</v>
      </c>
      <c r="LQ11" s="36">
        <f t="shared" si="20"/>
        <v>45246</v>
      </c>
      <c r="LR11" s="36">
        <f t="shared" si="20"/>
        <v>45247</v>
      </c>
      <c r="LS11" s="36">
        <f t="shared" ref="LS11:NJ11" si="21">LR11+1</f>
        <v>45248</v>
      </c>
      <c r="LT11" s="36">
        <f t="shared" si="21"/>
        <v>45249</v>
      </c>
      <c r="LU11" s="36">
        <f t="shared" si="21"/>
        <v>45250</v>
      </c>
      <c r="LV11" s="36">
        <f t="shared" si="21"/>
        <v>45251</v>
      </c>
      <c r="LW11" s="36">
        <f t="shared" si="21"/>
        <v>45252</v>
      </c>
      <c r="LX11" s="36">
        <f t="shared" si="21"/>
        <v>45253</v>
      </c>
      <c r="LY11" s="36">
        <f t="shared" si="21"/>
        <v>45254</v>
      </c>
      <c r="LZ11" s="36">
        <f t="shared" si="21"/>
        <v>45255</v>
      </c>
      <c r="MA11" s="36">
        <f t="shared" si="21"/>
        <v>45256</v>
      </c>
      <c r="MB11" s="36">
        <f t="shared" si="21"/>
        <v>45257</v>
      </c>
      <c r="MC11" s="36">
        <f t="shared" si="21"/>
        <v>45258</v>
      </c>
      <c r="MD11" s="36">
        <f t="shared" si="21"/>
        <v>45259</v>
      </c>
      <c r="ME11" s="36">
        <f t="shared" si="21"/>
        <v>45260</v>
      </c>
      <c r="MF11" s="36">
        <f t="shared" si="21"/>
        <v>45261</v>
      </c>
      <c r="MG11" s="36">
        <f t="shared" si="21"/>
        <v>45262</v>
      </c>
      <c r="MH11" s="36">
        <f t="shared" si="21"/>
        <v>45263</v>
      </c>
      <c r="MI11" s="36">
        <f t="shared" si="21"/>
        <v>45264</v>
      </c>
      <c r="MJ11" s="36">
        <f t="shared" si="21"/>
        <v>45265</v>
      </c>
      <c r="MK11" s="36">
        <f t="shared" si="21"/>
        <v>45266</v>
      </c>
      <c r="ML11" s="36">
        <f t="shared" si="21"/>
        <v>45267</v>
      </c>
      <c r="MM11" s="36">
        <f t="shared" si="21"/>
        <v>45268</v>
      </c>
      <c r="MN11" s="36">
        <f t="shared" si="21"/>
        <v>45269</v>
      </c>
      <c r="MO11" s="36">
        <f t="shared" si="21"/>
        <v>45270</v>
      </c>
      <c r="MP11" s="36">
        <f t="shared" si="21"/>
        <v>45271</v>
      </c>
      <c r="MQ11" s="36">
        <f t="shared" si="21"/>
        <v>45272</v>
      </c>
      <c r="MR11" s="36">
        <f t="shared" si="21"/>
        <v>45273</v>
      </c>
      <c r="MS11" s="36">
        <f t="shared" si="21"/>
        <v>45274</v>
      </c>
      <c r="MT11" s="36">
        <f t="shared" si="21"/>
        <v>45275</v>
      </c>
      <c r="MU11" s="36">
        <f t="shared" si="21"/>
        <v>45276</v>
      </c>
      <c r="MV11" s="36">
        <f t="shared" si="21"/>
        <v>45277</v>
      </c>
      <c r="MW11" s="36">
        <f t="shared" si="21"/>
        <v>45278</v>
      </c>
      <c r="MX11" s="36">
        <f t="shared" si="21"/>
        <v>45279</v>
      </c>
      <c r="MY11" s="36">
        <f t="shared" si="21"/>
        <v>45280</v>
      </c>
      <c r="MZ11" s="36">
        <f t="shared" si="21"/>
        <v>45281</v>
      </c>
      <c r="NA11" s="36">
        <f t="shared" si="21"/>
        <v>45282</v>
      </c>
      <c r="NB11" s="36">
        <f t="shared" si="21"/>
        <v>45283</v>
      </c>
      <c r="NC11" s="36">
        <f t="shared" si="21"/>
        <v>45284</v>
      </c>
      <c r="ND11" s="36">
        <f t="shared" si="21"/>
        <v>45285</v>
      </c>
      <c r="NE11" s="36">
        <f t="shared" si="21"/>
        <v>45286</v>
      </c>
      <c r="NF11" s="36">
        <f t="shared" si="21"/>
        <v>45287</v>
      </c>
      <c r="NG11" s="36">
        <f t="shared" si="21"/>
        <v>45288</v>
      </c>
      <c r="NH11" s="36">
        <f t="shared" si="21"/>
        <v>45289</v>
      </c>
      <c r="NI11" s="36">
        <f t="shared" si="21"/>
        <v>45290</v>
      </c>
      <c r="NJ11" s="36">
        <f t="shared" si="21"/>
        <v>45291</v>
      </c>
      <c r="NK11" s="35" t="s">
        <v>16</v>
      </c>
      <c r="NM11" s="159"/>
      <c r="NN11" s="160">
        <f>C3</f>
        <v>44927</v>
      </c>
      <c r="NO11" s="161">
        <f>DAY(EOMONTH(NN11,0))</f>
        <v>31</v>
      </c>
      <c r="NP11" s="160">
        <f>EOMONTH(NN11,0)+1</f>
        <v>44958</v>
      </c>
      <c r="NQ11" s="161">
        <f>DAY(EOMONTH(NP11,0))</f>
        <v>28</v>
      </c>
      <c r="NR11" s="160">
        <f>EOMONTH(NP11,0)+1</f>
        <v>44986</v>
      </c>
      <c r="NS11" s="161">
        <f>DAY(EOMONTH(NR11,0))</f>
        <v>31</v>
      </c>
      <c r="NT11" s="160">
        <f>EOMONTH(NR11,0)+1</f>
        <v>45017</v>
      </c>
      <c r="NU11" s="161">
        <f>DAY(EOMONTH(NT11,0))</f>
        <v>30</v>
      </c>
      <c r="NV11" s="160">
        <f>EOMONTH(NT11,0)+1</f>
        <v>45047</v>
      </c>
      <c r="NW11" s="161">
        <f>DAY(EOMONTH(NV11,0))</f>
        <v>31</v>
      </c>
      <c r="NX11" s="160">
        <f>EOMONTH(NV11,0)+1</f>
        <v>45078</v>
      </c>
      <c r="NY11" s="161">
        <f>DAY(EOMONTH(NX11,0))</f>
        <v>30</v>
      </c>
      <c r="NZ11" s="160">
        <f>EOMONTH(NX11,0)+1</f>
        <v>45108</v>
      </c>
      <c r="OA11" s="161">
        <f>DAY(EOMONTH(NZ11,0))</f>
        <v>31</v>
      </c>
      <c r="OB11" s="160">
        <f>EOMONTH(NZ11,0)+1</f>
        <v>45139</v>
      </c>
      <c r="OC11" s="161">
        <f>DAY(EOMONTH(OB11,0))</f>
        <v>31</v>
      </c>
      <c r="OD11" s="160">
        <f>EOMONTH(OB11,0)+1</f>
        <v>45170</v>
      </c>
      <c r="OE11" s="161">
        <f>DAY(EOMONTH(OD11,0))</f>
        <v>30</v>
      </c>
      <c r="OF11" s="160">
        <f>EOMONTH(OD11,0)+1</f>
        <v>45200</v>
      </c>
      <c r="OG11" s="161">
        <f>DAY(EOMONTH(OF11,0))</f>
        <v>31</v>
      </c>
      <c r="OH11" s="160">
        <f>EOMONTH(OF11,0)+1</f>
        <v>45231</v>
      </c>
      <c r="OI11" s="161">
        <f>DAY(EOMONTH(OH11,0))</f>
        <v>30</v>
      </c>
      <c r="OJ11" s="160">
        <f>EOMONTH(OH11,0)+1</f>
        <v>45261</v>
      </c>
      <c r="OK11" s="162">
        <f>DAY(EOMONTH(OJ11,0))</f>
        <v>31</v>
      </c>
      <c r="OM11" s="500" t="s">
        <v>17</v>
      </c>
      <c r="ON11" s="500"/>
    </row>
    <row r="12" spans="1:404" ht="11.4" customHeight="1" x14ac:dyDescent="0.3">
      <c r="A12" s="394">
        <v>930994</v>
      </c>
      <c r="B12" s="381" t="s">
        <v>483</v>
      </c>
      <c r="C12" s="53">
        <v>1</v>
      </c>
      <c r="D12" s="53" t="s">
        <v>18</v>
      </c>
      <c r="E12" s="53" t="s">
        <v>484</v>
      </c>
      <c r="F12" s="53" t="s">
        <v>13</v>
      </c>
      <c r="G12" s="104" t="s">
        <v>485</v>
      </c>
      <c r="H12" s="108">
        <v>1</v>
      </c>
      <c r="I12" s="28"/>
      <c r="J12" s="482"/>
      <c r="K12" s="482"/>
      <c r="L12" s="482"/>
      <c r="M12" s="482"/>
      <c r="N12" s="482"/>
      <c r="O12" s="482"/>
      <c r="P12" s="482"/>
      <c r="Q12" s="482"/>
      <c r="R12" s="482"/>
      <c r="S12" s="482"/>
      <c r="T12" s="482"/>
      <c r="U12" s="482"/>
      <c r="V12" s="482"/>
      <c r="W12" s="482"/>
      <c r="X12" s="482"/>
      <c r="Y12" s="482"/>
      <c r="Z12" s="482"/>
      <c r="AA12" s="482"/>
      <c r="AB12" s="482"/>
      <c r="AC12" s="482"/>
      <c r="AD12" s="482"/>
      <c r="AE12" s="482"/>
      <c r="AF12" s="482"/>
      <c r="AG12" s="482"/>
      <c r="AH12" s="482"/>
      <c r="AI12" s="482"/>
      <c r="AJ12" s="482"/>
      <c r="AK12" s="482"/>
      <c r="AL12" s="482"/>
      <c r="AM12" s="482"/>
      <c r="AN12" s="482"/>
      <c r="AO12" s="482"/>
      <c r="AP12" s="482"/>
      <c r="AQ12" s="482"/>
      <c r="AR12" s="482"/>
      <c r="AS12" s="482"/>
      <c r="AT12" s="482"/>
      <c r="AU12" s="482"/>
      <c r="AV12" s="482"/>
      <c r="AW12" s="482"/>
      <c r="AX12" s="482"/>
      <c r="AY12" s="482"/>
      <c r="AZ12" s="482"/>
      <c r="BA12" s="482"/>
      <c r="BB12" s="482"/>
      <c r="BC12" s="482"/>
      <c r="BD12" s="482"/>
      <c r="BE12" s="482"/>
      <c r="BF12" s="482"/>
      <c r="BG12" s="482"/>
      <c r="BH12" s="482"/>
      <c r="BI12" s="482"/>
      <c r="BJ12" s="482"/>
      <c r="BK12" s="482"/>
      <c r="BL12" s="482"/>
      <c r="BM12" s="482"/>
      <c r="BN12" s="482"/>
      <c r="BO12" s="482"/>
      <c r="BP12" s="482"/>
      <c r="BQ12" s="482"/>
      <c r="BR12" s="482"/>
      <c r="BS12" s="482"/>
      <c r="BT12" s="482"/>
      <c r="BU12" s="482"/>
      <c r="BV12" s="482"/>
      <c r="BW12" s="482"/>
      <c r="BX12" s="482"/>
      <c r="BY12" s="482"/>
      <c r="BZ12" s="482"/>
      <c r="CA12" s="482"/>
      <c r="CB12" s="482"/>
      <c r="CC12" s="482"/>
      <c r="CD12" s="482"/>
      <c r="CE12" s="482"/>
      <c r="CF12" s="482"/>
      <c r="CG12" s="482"/>
      <c r="CH12" s="482"/>
      <c r="CI12" s="482"/>
      <c r="CJ12" s="482"/>
      <c r="CK12" s="482"/>
      <c r="CL12" s="482"/>
      <c r="CM12" s="482"/>
      <c r="CN12" s="482"/>
      <c r="CO12" s="482"/>
      <c r="CP12" s="482"/>
      <c r="CQ12" s="482"/>
      <c r="CR12" s="482"/>
      <c r="CS12" s="482"/>
      <c r="CT12" s="482"/>
      <c r="CU12" s="482"/>
      <c r="CV12" s="482"/>
      <c r="CW12" s="482"/>
      <c r="CX12" s="482"/>
      <c r="CY12" s="482"/>
      <c r="CZ12" s="482"/>
      <c r="DA12" s="482"/>
      <c r="DB12" s="482"/>
      <c r="DC12" s="482"/>
      <c r="DD12" s="482"/>
      <c r="DE12" s="482"/>
      <c r="DF12" s="482"/>
      <c r="DG12" s="482"/>
      <c r="DH12" s="482"/>
      <c r="DI12" s="482"/>
      <c r="DJ12" s="482"/>
      <c r="DK12" s="482"/>
      <c r="DL12" s="482"/>
      <c r="DM12" s="482"/>
      <c r="DN12" s="482"/>
      <c r="DO12" s="482"/>
      <c r="DP12" s="482"/>
      <c r="DQ12" s="482"/>
      <c r="DR12" s="482"/>
      <c r="DS12" s="482"/>
      <c r="DT12" s="482"/>
      <c r="DU12" s="482"/>
      <c r="DV12" s="482"/>
      <c r="DW12" s="482"/>
      <c r="DX12" s="482"/>
      <c r="DY12" s="482"/>
      <c r="DZ12" s="482"/>
      <c r="EA12" s="482"/>
      <c r="EB12" s="482"/>
      <c r="EC12" s="482"/>
      <c r="ED12" s="482"/>
      <c r="EE12" s="482"/>
      <c r="EF12" s="482"/>
      <c r="EG12" s="482"/>
      <c r="EH12" s="482"/>
      <c r="EI12" s="482"/>
      <c r="EJ12" s="482"/>
      <c r="EK12" s="482"/>
      <c r="EL12" s="482"/>
      <c r="EM12" s="482"/>
      <c r="EN12" s="482"/>
      <c r="EO12" s="482"/>
      <c r="EP12" s="482"/>
      <c r="EQ12" s="482"/>
      <c r="ER12" s="482"/>
      <c r="ES12" s="482"/>
      <c r="ET12" s="482"/>
      <c r="EU12" s="482"/>
      <c r="EV12" s="482"/>
      <c r="EW12" s="482"/>
      <c r="EX12" s="482"/>
      <c r="EY12" s="482"/>
      <c r="EZ12" s="482"/>
      <c r="FA12" s="482"/>
      <c r="FB12" s="482"/>
      <c r="FC12" s="482"/>
      <c r="FD12" s="482"/>
      <c r="FE12" s="482"/>
      <c r="FF12" s="482"/>
      <c r="FG12" s="482"/>
      <c r="FH12" s="482"/>
      <c r="FI12" s="482"/>
      <c r="FJ12" s="482"/>
      <c r="FK12" s="482"/>
      <c r="FL12" s="482"/>
      <c r="FM12" s="482"/>
      <c r="FN12" s="482"/>
      <c r="FO12" s="482"/>
      <c r="FP12" s="482"/>
      <c r="FQ12" s="482"/>
      <c r="FR12" s="482"/>
      <c r="FS12" s="482"/>
      <c r="FT12" s="482"/>
      <c r="FU12" s="482"/>
      <c r="FV12" s="482"/>
      <c r="FW12" s="482"/>
      <c r="FX12" s="482"/>
      <c r="FY12" s="482"/>
      <c r="FZ12" s="482"/>
      <c r="GA12" s="482"/>
      <c r="GB12" s="482"/>
      <c r="GC12" s="482"/>
      <c r="GD12" s="482"/>
      <c r="GE12" s="482"/>
      <c r="GF12" s="482"/>
      <c r="GG12" s="482"/>
      <c r="GH12" s="482"/>
      <c r="GI12" s="482"/>
      <c r="GJ12" s="482"/>
      <c r="GK12" s="482"/>
      <c r="GL12" s="482"/>
      <c r="GM12" s="482"/>
      <c r="GN12" s="482"/>
      <c r="GO12" s="482"/>
      <c r="GP12" s="482"/>
      <c r="GQ12" s="482"/>
      <c r="GR12" s="482"/>
      <c r="GS12" s="482"/>
      <c r="GT12" s="482"/>
      <c r="GU12" s="482"/>
      <c r="GV12" s="482"/>
      <c r="GW12" s="482"/>
      <c r="GX12" s="482"/>
      <c r="GY12" s="482"/>
      <c r="GZ12" s="482"/>
      <c r="HA12" s="482"/>
      <c r="HB12" s="482"/>
      <c r="HC12" s="482"/>
      <c r="HD12" s="482"/>
      <c r="HE12" s="482"/>
      <c r="HF12" s="482"/>
      <c r="HG12" s="482"/>
      <c r="HH12" s="482"/>
      <c r="HI12" s="482"/>
      <c r="HJ12" s="482"/>
      <c r="HK12" s="482"/>
      <c r="HL12" s="482"/>
      <c r="HM12" s="482"/>
      <c r="HN12" s="482"/>
      <c r="HO12" s="482"/>
      <c r="HP12" s="482"/>
      <c r="HQ12" s="482"/>
      <c r="HR12" s="482"/>
      <c r="HS12" s="482"/>
      <c r="HT12" s="482"/>
      <c r="HU12" s="482"/>
      <c r="HV12" s="482"/>
      <c r="HW12" s="482"/>
      <c r="HX12" s="482"/>
      <c r="HY12" s="482"/>
      <c r="HZ12" s="482"/>
      <c r="IA12" s="482"/>
      <c r="IB12" s="482"/>
      <c r="IC12" s="482"/>
      <c r="ID12" s="482"/>
      <c r="IE12" s="482"/>
      <c r="IF12" s="482"/>
      <c r="IG12" s="482"/>
      <c r="IH12" s="482"/>
      <c r="II12" s="482"/>
      <c r="IJ12" s="482"/>
      <c r="IK12" s="482"/>
      <c r="IL12" s="482"/>
      <c r="IM12" s="482"/>
      <c r="IN12" s="482"/>
      <c r="IO12" s="482"/>
      <c r="IP12" s="482"/>
      <c r="IQ12" s="482"/>
      <c r="IR12" s="482"/>
      <c r="IS12" s="482"/>
      <c r="IT12" s="482"/>
      <c r="IU12" s="482"/>
      <c r="IV12" s="482"/>
      <c r="IW12" s="482"/>
      <c r="IX12" s="482"/>
      <c r="IY12" s="482"/>
      <c r="IZ12" s="482"/>
      <c r="JA12" s="482"/>
      <c r="JB12" s="482"/>
      <c r="JC12" s="482"/>
      <c r="JD12" s="482"/>
      <c r="JE12" s="482"/>
      <c r="JF12" s="482"/>
      <c r="JG12" s="482"/>
      <c r="JH12" s="482"/>
      <c r="JI12" s="482"/>
      <c r="JJ12" s="482"/>
      <c r="JK12" s="482"/>
      <c r="JL12" s="482"/>
      <c r="JM12" s="482"/>
      <c r="JN12" s="482"/>
      <c r="JO12" s="482"/>
      <c r="JP12" s="482"/>
      <c r="JQ12" s="482"/>
      <c r="JR12" s="482"/>
      <c r="JS12" s="482"/>
      <c r="JT12" s="482"/>
      <c r="JU12" s="482"/>
      <c r="JV12" s="482"/>
      <c r="JW12" s="482"/>
      <c r="JX12" s="482"/>
      <c r="JY12" s="482"/>
      <c r="JZ12" s="482"/>
      <c r="KA12" s="482"/>
      <c r="KB12" s="482"/>
      <c r="KC12" s="482"/>
      <c r="KD12" s="482"/>
      <c r="KE12" s="482"/>
      <c r="KF12" s="482"/>
      <c r="KG12" s="482"/>
      <c r="KH12" s="482"/>
      <c r="KI12" s="482"/>
      <c r="KJ12" s="482"/>
      <c r="KK12" s="482"/>
      <c r="KL12" s="482"/>
      <c r="KM12" s="482"/>
      <c r="KN12" s="482"/>
      <c r="KO12" s="482"/>
      <c r="KP12" s="482"/>
      <c r="KQ12" s="482"/>
      <c r="KR12" s="482"/>
      <c r="KS12" s="482"/>
      <c r="KT12" s="482"/>
      <c r="KU12" s="482"/>
      <c r="KV12" s="482"/>
      <c r="KW12" s="482"/>
      <c r="KX12" s="482"/>
      <c r="KY12" s="482"/>
      <c r="KZ12" s="482"/>
      <c r="LA12" s="482"/>
      <c r="LB12" s="482"/>
      <c r="LC12" s="482"/>
      <c r="LD12" s="482"/>
      <c r="LE12" s="482"/>
      <c r="LF12" s="482"/>
      <c r="LG12" s="482"/>
      <c r="LH12" s="482"/>
      <c r="LI12" s="482"/>
      <c r="LJ12" s="482"/>
      <c r="LK12" s="482"/>
      <c r="LL12" s="482"/>
      <c r="LM12" s="482"/>
      <c r="LN12" s="482"/>
      <c r="LO12" s="482"/>
      <c r="LP12" s="482"/>
      <c r="LQ12" s="482"/>
      <c r="LR12" s="482"/>
      <c r="LS12" s="482"/>
      <c r="LT12" s="482"/>
      <c r="LU12" s="482"/>
      <c r="LV12" s="482"/>
      <c r="LW12" s="482"/>
      <c r="LX12" s="482"/>
      <c r="LY12" s="482"/>
      <c r="LZ12" s="482"/>
      <c r="MA12" s="482"/>
      <c r="MB12" s="482"/>
      <c r="MC12" s="482"/>
      <c r="MD12" s="482"/>
      <c r="ME12" s="482"/>
      <c r="MF12" s="482"/>
      <c r="MG12" s="482"/>
      <c r="MH12" s="482"/>
      <c r="MI12" s="482"/>
      <c r="MJ12" s="482"/>
      <c r="MK12" s="482"/>
      <c r="ML12" s="482"/>
      <c r="MM12" s="482"/>
      <c r="MN12" s="482"/>
      <c r="MO12" s="482"/>
      <c r="MP12" s="482"/>
      <c r="MQ12" s="482"/>
      <c r="MR12" s="482"/>
      <c r="MS12" s="482"/>
      <c r="MT12" s="482"/>
      <c r="MU12" s="482"/>
      <c r="MV12" s="482"/>
      <c r="MW12" s="482"/>
      <c r="MX12" s="482"/>
      <c r="MY12" s="482"/>
      <c r="MZ12" s="482"/>
      <c r="NA12" s="482"/>
      <c r="NB12" s="482"/>
      <c r="NC12" s="482"/>
      <c r="ND12" s="482"/>
      <c r="NE12" s="482"/>
      <c r="NF12" s="482"/>
      <c r="NG12" s="482"/>
      <c r="NH12" s="482"/>
      <c r="NI12" s="482"/>
      <c r="NJ12" s="483"/>
      <c r="NK12" s="34"/>
      <c r="NM12" s="163">
        <f>A12</f>
        <v>930994</v>
      </c>
      <c r="NN12" s="39">
        <f ca="1">COUNTIF(INDIRECT((ADDRESS(ROW(NO13),$I$11+(MATCH(NN$11,L.DATE,0))))&amp;":"&amp;(ADDRESS(ROW(NO13),$I$11+NO$11+(MATCH(NN$11,L.DATE,0))-1))),"&gt;=0")-NO12</f>
        <v>0</v>
      </c>
      <c r="NO12" s="40">
        <f ca="1">SUM(INDIRECT((ADDRESS(ROW(NO13),$I$11+(MATCH(NN$11,L.DATE,0))))&amp;":"&amp;(ADDRESS(ROW(NO13),$I$11+NO$11+(MATCH(NN$11,L.DATE,0))-1))))</f>
        <v>0</v>
      </c>
      <c r="NP12" s="39">
        <f ca="1">COUNTIF(INDIRECT((ADDRESS(ROW(NQ13),$I$11+(MATCH(NP$11,L.DATE,0))))&amp;":"&amp;(ADDRESS(ROW(NQ13),$I$11+NQ$11+(MATCH(NP$11,L.DATE,0))-1))),"&gt;=0")-NQ12</f>
        <v>0</v>
      </c>
      <c r="NQ12" s="40">
        <f ca="1">SUM(INDIRECT((ADDRESS(ROW(NQ13),$I$11+(MATCH(NP$11,L.DATE,0))))&amp;":"&amp;(ADDRESS(ROW(NQ13),$I$11+NQ$11+(MATCH(NP$11,L.DATE,0))-1))))</f>
        <v>0</v>
      </c>
      <c r="NR12" s="39">
        <f ca="1">COUNTIF(INDIRECT((ADDRESS(ROW(NS13),$I$11+(MATCH(NR$11,L.DATE,0))))&amp;":"&amp;(ADDRESS(ROW(NS13),$I$11+NS$11+(MATCH(NR$11,L.DATE,0))-1))),"&gt;=0")-NS12</f>
        <v>0</v>
      </c>
      <c r="NS12" s="40">
        <f ca="1">SUM(INDIRECT((ADDRESS(ROW(NS13),$I$11+(MATCH(NR$11,L.DATE,0))))&amp;":"&amp;(ADDRESS(ROW(NS13),$I$11+NS$11+(MATCH(NR$11,L.DATE,0))-1))))</f>
        <v>0</v>
      </c>
      <c r="NT12" s="39">
        <f ca="1">COUNTIF(INDIRECT((ADDRESS(ROW(NU13),$I$11+(MATCH(NT$11,L.DATE,0))))&amp;":"&amp;(ADDRESS(ROW(NU13),$I$11+NU$11+(MATCH(NT$11,L.DATE,0))-1))),"&gt;=0")-NU12</f>
        <v>0</v>
      </c>
      <c r="NU12" s="40">
        <f ca="1">SUM(INDIRECT((ADDRESS(ROW(NU13),$I$11+(MATCH(NT$11,L.DATE,0))))&amp;":"&amp;(ADDRESS(ROW(NU13),$I$11+NU$11+(MATCH(NT$11,L.DATE,0))-1))))</f>
        <v>0</v>
      </c>
      <c r="NV12" s="39">
        <f ca="1">COUNTIF(INDIRECT((ADDRESS(ROW(NW13),$I$11+(MATCH(NV$11,L.DATE,0))))&amp;":"&amp;(ADDRESS(ROW(NW13),$I$11+NW$11+(MATCH(NV$11,L.DATE,0))-1))),"&gt;=0")-NW12</f>
        <v>0</v>
      </c>
      <c r="NW12" s="40">
        <f ca="1">SUM(INDIRECT((ADDRESS(ROW(NW13),$I$11+(MATCH(NV$11,L.DATE,0))))&amp;":"&amp;(ADDRESS(ROW(NW13),$I$11+NW$11+(MATCH(NV$11,L.DATE,0))-1))))</f>
        <v>0</v>
      </c>
      <c r="NX12" s="39">
        <f ca="1">COUNTIF(INDIRECT((ADDRESS(ROW(NY13),$I$11+(MATCH(NX$11,L.DATE,0))))&amp;":"&amp;(ADDRESS(ROW(NY13),$I$11+NY$11+(MATCH(NX$11,L.DATE,0))-1))),"&gt;=0")-NY12</f>
        <v>0</v>
      </c>
      <c r="NY12" s="40">
        <f ca="1">SUM(INDIRECT((ADDRESS(ROW(NY13),$I$11+(MATCH(NX$11,L.DATE,0))))&amp;":"&amp;(ADDRESS(ROW(NY13),$I$11+NY$11+(MATCH(NX$11,L.DATE,0))-1))))</f>
        <v>0</v>
      </c>
      <c r="NZ12" s="39">
        <f ca="1">COUNTIF(INDIRECT((ADDRESS(ROW(OA13),$I$11+(MATCH(NZ$11,L.DATE,0))))&amp;":"&amp;(ADDRESS(ROW(OA13),$I$11+OA$11+(MATCH(NZ$11,L.DATE,0))-1))),"&gt;=0")-OA12</f>
        <v>0</v>
      </c>
      <c r="OA12" s="40">
        <f ca="1">SUM(INDIRECT((ADDRESS(ROW(OA13),$I$11+(MATCH(NZ$11,L.DATE,0))))&amp;":"&amp;(ADDRESS(ROW(OA13),$I$11+OA$11+(MATCH(NZ$11,L.DATE,0))-1))))</f>
        <v>0</v>
      </c>
      <c r="OB12" s="39">
        <f ca="1">COUNTIF(INDIRECT((ADDRESS(ROW(OC13),$I$11+(MATCH(OB$11,L.DATE,0))))&amp;":"&amp;(ADDRESS(ROW(OC13),$I$11+OC$11+(MATCH(OB$11,L.DATE,0))-1))),"&gt;=0")-OC12</f>
        <v>0</v>
      </c>
      <c r="OC12" s="40">
        <f ca="1">SUM(INDIRECT((ADDRESS(ROW(OC13),$I$11+(MATCH(OB$11,L.DATE,0))))&amp;":"&amp;(ADDRESS(ROW(OC13),$I$11+OC$11+(MATCH(OB$11,L.DATE,0))-1))))</f>
        <v>0</v>
      </c>
      <c r="OD12" s="39">
        <f ca="1">COUNTIF(INDIRECT((ADDRESS(ROW(OE13),$I$11+(MATCH(OD$11,L.DATE,0))))&amp;":"&amp;(ADDRESS(ROW(OE13),$I$11+OE$11+(MATCH(OD$11,L.DATE,0))-1))),"&gt;=0")-OE12</f>
        <v>0</v>
      </c>
      <c r="OE12" s="40">
        <f ca="1">SUM(INDIRECT((ADDRESS(ROW(OE13),$I$11+(MATCH(OD$11,L.DATE,0))))&amp;":"&amp;(ADDRESS(ROW(OE13),$I$11+OE$11+(MATCH(OD$11,L.DATE,0))-1))))</f>
        <v>0</v>
      </c>
      <c r="OF12" s="39">
        <f ca="1">COUNTIF(INDIRECT((ADDRESS(ROW(OG13),$I$11+(MATCH(OF$11,L.DATE,0))))&amp;":"&amp;(ADDRESS(ROW(OG13),$I$11+OG$11+(MATCH(OF$11,L.DATE,0))-1))),"&gt;=0")-OG12</f>
        <v>0</v>
      </c>
      <c r="OG12" s="40">
        <f ca="1">SUM(INDIRECT((ADDRESS(ROW(OG13),$I$11+(MATCH(OF$11,L.DATE,0))))&amp;":"&amp;(ADDRESS(ROW(OG13),$I$11+OG$11+(MATCH(OF$11,L.DATE,0))-1))))</f>
        <v>0</v>
      </c>
      <c r="OH12" s="39">
        <f ca="1">COUNTIF(INDIRECT((ADDRESS(ROW(OI13),$I$11+(MATCH(OH$11,L.DATE,0))))&amp;":"&amp;(ADDRESS(ROW(OI13),$I$11+OI$11+(MATCH(OH$11,L.DATE,0))-1))),"&gt;=0")-OI12</f>
        <v>0</v>
      </c>
      <c r="OI12" s="40">
        <f ca="1">SUM(INDIRECT((ADDRESS(ROW(OI13),$I$11+(MATCH(OH$11,L.DATE,0))))&amp;":"&amp;(ADDRESS(ROW(OI13),$I$11+OI$11+(MATCH(OH$11,L.DATE,0))-1))))</f>
        <v>0</v>
      </c>
      <c r="OJ12" s="39">
        <f ca="1">COUNTIF(INDIRECT((ADDRESS(ROW(OK13),$I$11+(MATCH(OJ$11,L.DATE,0))))&amp;":"&amp;(ADDRESS(ROW(OK13),$I$11+OK$11+(MATCH(OJ$11,L.DATE,0))-1))),"&gt;=0")-OK12</f>
        <v>0</v>
      </c>
      <c r="OK12" s="164">
        <f ca="1">SUM(INDIRECT((ADDRESS(ROW(OK13),$I$11+(MATCH(OJ$11,L.DATE,0))))&amp;":"&amp;(ADDRESS(ROW(OK13),$I$11+OK$11+(MATCH(OJ$11,L.DATE,0))-1))))</f>
        <v>0</v>
      </c>
      <c r="OM12" s="39">
        <f ca="1">NN12+NP12+NR12+NT12+NV12+NX12+NZ12+OB12+OD12+OF12+OJ12+OH12</f>
        <v>0</v>
      </c>
      <c r="ON12" s="40">
        <f ca="1">NO12+NQ12+NS12+NU12+NW12+NY12+OA12+OC12+OE12+OG12+OK12+OI12</f>
        <v>0</v>
      </c>
    </row>
    <row r="13" spans="1:404" x14ac:dyDescent="0.3">
      <c r="A13" s="33"/>
      <c r="B13" s="16" t="str">
        <f t="shared" ref="B13:H13" si="22">B12</f>
        <v>RACLOT.Jerome</v>
      </c>
      <c r="C13" s="16">
        <f t="shared" si="22"/>
        <v>1</v>
      </c>
      <c r="D13" s="16" t="str">
        <f t="shared" si="22"/>
        <v>I2S</v>
      </c>
      <c r="E13" s="16" t="str">
        <f t="shared" si="22"/>
        <v>ITG</v>
      </c>
      <c r="F13" s="16" t="str">
        <f t="shared" si="22"/>
        <v>SL</v>
      </c>
      <c r="G13" s="105" t="str">
        <f t="shared" si="22"/>
        <v>DM</v>
      </c>
      <c r="H13" s="109">
        <f t="shared" si="22"/>
        <v>1</v>
      </c>
      <c r="I13" s="28"/>
      <c r="J13" s="482"/>
      <c r="K13" s="482"/>
      <c r="L13" s="482"/>
      <c r="M13" s="482"/>
      <c r="N13" s="482"/>
      <c r="O13" s="482"/>
      <c r="P13" s="482"/>
      <c r="Q13" s="482"/>
      <c r="R13" s="482"/>
      <c r="S13" s="482"/>
      <c r="T13" s="482"/>
      <c r="U13" s="482"/>
      <c r="V13" s="482"/>
      <c r="W13" s="482"/>
      <c r="X13" s="482"/>
      <c r="Y13" s="482"/>
      <c r="Z13" s="482"/>
      <c r="AA13" s="482"/>
      <c r="AB13" s="482"/>
      <c r="AC13" s="482"/>
      <c r="AD13" s="482"/>
      <c r="AE13" s="482"/>
      <c r="AF13" s="482"/>
      <c r="AG13" s="482"/>
      <c r="AH13" s="482"/>
      <c r="AI13" s="482"/>
      <c r="AJ13" s="482"/>
      <c r="AK13" s="482"/>
      <c r="AL13" s="482"/>
      <c r="AM13" s="482"/>
      <c r="AN13" s="482"/>
      <c r="AO13" s="482"/>
      <c r="AP13" s="482"/>
      <c r="AQ13" s="482"/>
      <c r="AR13" s="482"/>
      <c r="AS13" s="482"/>
      <c r="AT13" s="482"/>
      <c r="AU13" s="482"/>
      <c r="AV13" s="482"/>
      <c r="AW13" s="482"/>
      <c r="AX13" s="482"/>
      <c r="AY13" s="482"/>
      <c r="AZ13" s="482"/>
      <c r="BA13" s="482"/>
      <c r="BB13" s="482"/>
      <c r="BC13" s="482"/>
      <c r="BD13" s="482"/>
      <c r="BE13" s="482"/>
      <c r="BF13" s="482"/>
      <c r="BG13" s="482"/>
      <c r="BH13" s="482"/>
      <c r="BI13" s="482"/>
      <c r="BJ13" s="482"/>
      <c r="BK13" s="482"/>
      <c r="BL13" s="482"/>
      <c r="BM13" s="482"/>
      <c r="BN13" s="482"/>
      <c r="BO13" s="482"/>
      <c r="BP13" s="482"/>
      <c r="BQ13" s="482"/>
      <c r="BR13" s="482"/>
      <c r="BS13" s="482"/>
      <c r="BT13" s="482"/>
      <c r="BU13" s="482"/>
      <c r="BV13" s="482"/>
      <c r="BW13" s="482"/>
      <c r="BX13" s="482"/>
      <c r="BY13" s="482"/>
      <c r="BZ13" s="482"/>
      <c r="CA13" s="482"/>
      <c r="CB13" s="482"/>
      <c r="CC13" s="482"/>
      <c r="CD13" s="482"/>
      <c r="CE13" s="482"/>
      <c r="CF13" s="482"/>
      <c r="CG13" s="482"/>
      <c r="CH13" s="482"/>
      <c r="CI13" s="482"/>
      <c r="CJ13" s="482"/>
      <c r="CK13" s="482"/>
      <c r="CL13" s="482"/>
      <c r="CM13" s="482"/>
      <c r="CN13" s="482"/>
      <c r="CO13" s="482"/>
      <c r="CP13" s="482"/>
      <c r="CQ13" s="482"/>
      <c r="CR13" s="482"/>
      <c r="CS13" s="482"/>
      <c r="CT13" s="482"/>
      <c r="CU13" s="482"/>
      <c r="CV13" s="482"/>
      <c r="CW13" s="482"/>
      <c r="CX13" s="482"/>
      <c r="CY13" s="482"/>
      <c r="CZ13" s="482"/>
      <c r="DA13" s="482"/>
      <c r="DB13" s="482"/>
      <c r="DC13" s="482"/>
      <c r="DD13" s="482"/>
      <c r="DE13" s="482"/>
      <c r="DF13" s="482"/>
      <c r="DG13" s="482"/>
      <c r="DH13" s="482"/>
      <c r="DI13" s="482"/>
      <c r="DJ13" s="482"/>
      <c r="DK13" s="482"/>
      <c r="DL13" s="482"/>
      <c r="DM13" s="482"/>
      <c r="DN13" s="482"/>
      <c r="DO13" s="482"/>
      <c r="DP13" s="482"/>
      <c r="DQ13" s="482"/>
      <c r="DR13" s="482"/>
      <c r="DS13" s="482"/>
      <c r="DT13" s="482"/>
      <c r="DU13" s="482"/>
      <c r="DV13" s="482"/>
      <c r="DW13" s="482"/>
      <c r="DX13" s="482"/>
      <c r="DY13" s="482"/>
      <c r="DZ13" s="482"/>
      <c r="EA13" s="482"/>
      <c r="EB13" s="482"/>
      <c r="EC13" s="482"/>
      <c r="ED13" s="482"/>
      <c r="EE13" s="482"/>
      <c r="EF13" s="482"/>
      <c r="EG13" s="482"/>
      <c r="EH13" s="482"/>
      <c r="EI13" s="482"/>
      <c r="EJ13" s="482"/>
      <c r="EK13" s="482"/>
      <c r="EL13" s="482"/>
      <c r="EM13" s="482"/>
      <c r="EN13" s="482"/>
      <c r="EO13" s="482"/>
      <c r="EP13" s="482"/>
      <c r="EQ13" s="482"/>
      <c r="ER13" s="482"/>
      <c r="ES13" s="482"/>
      <c r="ET13" s="482"/>
      <c r="EU13" s="482"/>
      <c r="EV13" s="482"/>
      <c r="EW13" s="482"/>
      <c r="EX13" s="482"/>
      <c r="EY13" s="482"/>
      <c r="EZ13" s="482"/>
      <c r="FA13" s="482"/>
      <c r="FB13" s="482"/>
      <c r="FC13" s="482"/>
      <c r="FD13" s="482"/>
      <c r="FE13" s="482"/>
      <c r="FF13" s="482"/>
      <c r="FG13" s="482"/>
      <c r="FH13" s="482"/>
      <c r="FI13" s="482"/>
      <c r="FJ13" s="482"/>
      <c r="FK13" s="482"/>
      <c r="FL13" s="482"/>
      <c r="FM13" s="482"/>
      <c r="FN13" s="482"/>
      <c r="FO13" s="482"/>
      <c r="FP13" s="482"/>
      <c r="FQ13" s="482"/>
      <c r="FR13" s="482"/>
      <c r="FS13" s="482"/>
      <c r="FT13" s="482"/>
      <c r="FU13" s="482"/>
      <c r="FV13" s="482"/>
      <c r="FW13" s="482"/>
      <c r="FX13" s="482"/>
      <c r="FY13" s="482"/>
      <c r="FZ13" s="482"/>
      <c r="GA13" s="482"/>
      <c r="GB13" s="482"/>
      <c r="GC13" s="482"/>
      <c r="GD13" s="482"/>
      <c r="GE13" s="482"/>
      <c r="GF13" s="482"/>
      <c r="GG13" s="482"/>
      <c r="GH13" s="482"/>
      <c r="GI13" s="482"/>
      <c r="GJ13" s="482"/>
      <c r="GK13" s="482"/>
      <c r="GL13" s="482"/>
      <c r="GM13" s="482"/>
      <c r="GN13" s="482"/>
      <c r="GO13" s="482"/>
      <c r="GP13" s="482"/>
      <c r="GQ13" s="482"/>
      <c r="GR13" s="482"/>
      <c r="GS13" s="482"/>
      <c r="GT13" s="482"/>
      <c r="GU13" s="482"/>
      <c r="GV13" s="482"/>
      <c r="GW13" s="482"/>
      <c r="GX13" s="482"/>
      <c r="GY13" s="482"/>
      <c r="GZ13" s="482"/>
      <c r="HA13" s="482"/>
      <c r="HB13" s="482"/>
      <c r="HC13" s="482"/>
      <c r="HD13" s="482"/>
      <c r="HE13" s="482"/>
      <c r="HF13" s="482"/>
      <c r="HG13" s="482"/>
      <c r="HH13" s="482"/>
      <c r="HI13" s="482"/>
      <c r="HJ13" s="482"/>
      <c r="HK13" s="482"/>
      <c r="HL13" s="482"/>
      <c r="HM13" s="482"/>
      <c r="HN13" s="482"/>
      <c r="HO13" s="482"/>
      <c r="HP13" s="482"/>
      <c r="HQ13" s="482"/>
      <c r="HR13" s="482"/>
      <c r="HS13" s="482"/>
      <c r="HT13" s="482"/>
      <c r="HU13" s="482"/>
      <c r="HV13" s="482"/>
      <c r="HW13" s="482"/>
      <c r="HX13" s="482"/>
      <c r="HY13" s="482"/>
      <c r="HZ13" s="482"/>
      <c r="IA13" s="482"/>
      <c r="IB13" s="482"/>
      <c r="IC13" s="482"/>
      <c r="ID13" s="482"/>
      <c r="IE13" s="482"/>
      <c r="IF13" s="482"/>
      <c r="IG13" s="482"/>
      <c r="IH13" s="482"/>
      <c r="II13" s="482"/>
      <c r="IJ13" s="482"/>
      <c r="IK13" s="482"/>
      <c r="IL13" s="482"/>
      <c r="IM13" s="482"/>
      <c r="IN13" s="482"/>
      <c r="IO13" s="482"/>
      <c r="IP13" s="482"/>
      <c r="IQ13" s="482"/>
      <c r="IR13" s="482"/>
      <c r="IS13" s="482"/>
      <c r="IT13" s="482"/>
      <c r="IU13" s="482"/>
      <c r="IV13" s="482"/>
      <c r="IW13" s="482"/>
      <c r="IX13" s="482"/>
      <c r="IY13" s="482"/>
      <c r="IZ13" s="482"/>
      <c r="JA13" s="482"/>
      <c r="JB13" s="482"/>
      <c r="JC13" s="482"/>
      <c r="JD13" s="482"/>
      <c r="JE13" s="482"/>
      <c r="JF13" s="482"/>
      <c r="JG13" s="482"/>
      <c r="JH13" s="482"/>
      <c r="JI13" s="482"/>
      <c r="JJ13" s="482"/>
      <c r="JK13" s="482"/>
      <c r="JL13" s="482"/>
      <c r="JM13" s="482"/>
      <c r="JN13" s="482"/>
      <c r="JO13" s="482"/>
      <c r="JP13" s="482"/>
      <c r="JQ13" s="482"/>
      <c r="JR13" s="482"/>
      <c r="JS13" s="482"/>
      <c r="JT13" s="482"/>
      <c r="JU13" s="482"/>
      <c r="JV13" s="482"/>
      <c r="JW13" s="482"/>
      <c r="JX13" s="482"/>
      <c r="JY13" s="482"/>
      <c r="JZ13" s="482"/>
      <c r="KA13" s="482"/>
      <c r="KB13" s="482"/>
      <c r="KC13" s="482"/>
      <c r="KD13" s="482"/>
      <c r="KE13" s="482"/>
      <c r="KF13" s="482"/>
      <c r="KG13" s="482"/>
      <c r="KH13" s="482"/>
      <c r="KI13" s="482"/>
      <c r="KJ13" s="482"/>
      <c r="KK13" s="482"/>
      <c r="KL13" s="482"/>
      <c r="KM13" s="482"/>
      <c r="KN13" s="482"/>
      <c r="KO13" s="482"/>
      <c r="KP13" s="482"/>
      <c r="KQ13" s="482"/>
      <c r="KR13" s="482"/>
      <c r="KS13" s="482"/>
      <c r="KT13" s="482"/>
      <c r="KU13" s="482"/>
      <c r="KV13" s="482"/>
      <c r="KW13" s="482"/>
      <c r="KX13" s="482"/>
      <c r="KY13" s="482"/>
      <c r="KZ13" s="482"/>
      <c r="LA13" s="482"/>
      <c r="LB13" s="482"/>
      <c r="LC13" s="482"/>
      <c r="LD13" s="482"/>
      <c r="LE13" s="482"/>
      <c r="LF13" s="482"/>
      <c r="LG13" s="482"/>
      <c r="LH13" s="482"/>
      <c r="LI13" s="482"/>
      <c r="LJ13" s="482"/>
      <c r="LK13" s="482"/>
      <c r="LL13" s="482"/>
      <c r="LM13" s="482"/>
      <c r="LN13" s="482"/>
      <c r="LO13" s="482"/>
      <c r="LP13" s="482"/>
      <c r="LQ13" s="482"/>
      <c r="LR13" s="482"/>
      <c r="LS13" s="482"/>
      <c r="LT13" s="482"/>
      <c r="LU13" s="482"/>
      <c r="LV13" s="482"/>
      <c r="LW13" s="482"/>
      <c r="LX13" s="482"/>
      <c r="LY13" s="482"/>
      <c r="LZ13" s="482"/>
      <c r="MA13" s="482"/>
      <c r="MB13" s="482"/>
      <c r="MC13" s="482"/>
      <c r="MD13" s="482"/>
      <c r="ME13" s="482"/>
      <c r="MF13" s="482"/>
      <c r="MG13" s="482"/>
      <c r="MH13" s="482"/>
      <c r="MI13" s="482"/>
      <c r="MJ13" s="482"/>
      <c r="MK13" s="482"/>
      <c r="ML13" s="482"/>
      <c r="MM13" s="482"/>
      <c r="MN13" s="482"/>
      <c r="MO13" s="482"/>
      <c r="MP13" s="482"/>
      <c r="MQ13" s="482"/>
      <c r="MR13" s="482"/>
      <c r="MS13" s="482"/>
      <c r="MT13" s="482"/>
      <c r="MU13" s="482"/>
      <c r="MV13" s="482"/>
      <c r="MW13" s="482"/>
      <c r="MX13" s="482"/>
      <c r="MY13" s="482"/>
      <c r="MZ13" s="482"/>
      <c r="NA13" s="482"/>
      <c r="NB13" s="482"/>
      <c r="NC13" s="482"/>
      <c r="ND13" s="482"/>
      <c r="NE13" s="482"/>
      <c r="NF13" s="482"/>
      <c r="NG13" s="482"/>
      <c r="NH13" s="482"/>
      <c r="NI13" s="482"/>
      <c r="NJ13" s="483"/>
      <c r="NK13" s="34"/>
      <c r="NM13" s="380" t="str">
        <f>NM12&amp;".b"</f>
        <v>930994.b</v>
      </c>
      <c r="NN13" s="371" t="str" cm="1">
        <f t="array" aca="1" ref="NN13" ca="1">IF(xcomp(INDIRECT((ADDRESS(ROW(NN12),$I$11+(MATCH(NN$11,L.DATE,0))))&amp;":"&amp;(ADDRESS(ROW(NN12),$I$11+NO$11+(MATCH(NN$11,L.DATE,0))-1))),L.ABSP)=0,"",
xsom(INDIRECT((ADDRESS(ROW(NN12),$I$11+(MATCH(NN$11,L.DATE,0))))&amp;":"&amp;(ADDRESS(ROW(NN12),$I$11+NO$11+(MATCH(NN$11,L.DATE,0))-1))),L.ABSP,
INDIRECT((ADDRESS(ROW(NN12)+1,$I$11+(MATCH(NN$11,L.DATE,0))))&amp;":"&amp;(ADDRESS(ROW(NN12)+1,$I$11+NO$11+(MATCH(NN$11,L.DATE,0))-1)))))</f>
        <v/>
      </c>
      <c r="NO13" s="372" t="str" cm="1">
        <f t="array" aca="1" ref="NO13" ca="1">IF(xcomp(INDIRECT((ADDRESS(ROW(NO12),$I$11+(MATCH(NN$11,L.DATE,0))))&amp;":"&amp;(ADDRESS(ROW(NO12),$I$11+NO$11+(MATCH(NN$11,L.DATE,0))-1))),L.ABS.NP)=0,"",
xsom(INDIRECT((ADDRESS(ROW(NO12),$I$11+(MATCH(NN$11,L.DATE,0))))&amp;":"&amp;(ADDRESS(ROW(NO12),$I$11+NO$11+(MATCH(NN$11,L.DATE,0))-1))),L.ABS.NP,
INDIRECT((ADDRESS(ROW(NO12)+1,$I$11+(MATCH(NN$11,L.DATE,0))))&amp;":"&amp;(ADDRESS(ROW(NO12)+1,$I$11+NO$11+(MATCH(NN$11,L.DATE,0))-1)))))</f>
        <v/>
      </c>
      <c r="NP13" s="371" t="str" cm="1">
        <f t="array" aca="1" ref="NP13" ca="1">IF(xcomp(INDIRECT((ADDRESS(ROW(NP12),$I$11+(MATCH(NP$11,L.DATE,0))))&amp;":"&amp;(ADDRESS(ROW(NP12),$I$11+NQ$11+(MATCH(NP$11,L.DATE,0))-1))),L.ABSP)=0,"",
xsom(INDIRECT((ADDRESS(ROW(NP12),$I$11+(MATCH(NP$11,L.DATE,0))))&amp;":"&amp;(ADDRESS(ROW(NP12),$I$11+NQ$11+(MATCH(NP$11,L.DATE,0))-1))),L.ABSP,
INDIRECT((ADDRESS(ROW(NP12)+1,$I$11+(MATCH(NP$11,L.DATE,0))))&amp;":"&amp;(ADDRESS(ROW(NP12)+1,$I$11+NQ$11+(MATCH(NP$11,L.DATE,0))-1)))))</f>
        <v/>
      </c>
      <c r="NQ13" s="372" t="str" cm="1">
        <f t="array" aca="1" ref="NQ13" ca="1">IF(xcomp(INDIRECT((ADDRESS(ROW(NQ12),$I$11+(MATCH(NP$11,L.DATE,0))))&amp;":"&amp;(ADDRESS(ROW(NQ12),$I$11+NQ$11+(MATCH(NP$11,L.DATE,0))-1))),L.ABS.NP)=0,"",
xsom(INDIRECT((ADDRESS(ROW(NQ12),$I$11+(MATCH(NP$11,L.DATE,0))))&amp;":"&amp;(ADDRESS(ROW(NQ12),$I$11+NQ$11+(MATCH(NP$11,L.DATE,0))-1))),L.ABS.NP,
INDIRECT((ADDRESS(ROW(NQ12)+1,$I$11+(MATCH(NP$11,L.DATE,0))))&amp;":"&amp;(ADDRESS(ROW(NQ12)+1,$I$11+NQ$11+(MATCH(NP$11,L.DATE,0))-1)))))</f>
        <v/>
      </c>
      <c r="NR13" s="371" t="str" cm="1">
        <f t="array" aca="1" ref="NR13" ca="1">IF(xcomp(INDIRECT((ADDRESS(ROW(NR12),$I$11+(MATCH(NR$11,L.DATE,0))))&amp;":"&amp;(ADDRESS(ROW(NR12),$I$11+NS$11+(MATCH(NR$11,L.DATE,0))-1))),L.ABSP)=0,"",
xsom(INDIRECT((ADDRESS(ROW(NR12),$I$11+(MATCH(NR$11,L.DATE,0))))&amp;":"&amp;(ADDRESS(ROW(NR12),$I$11+NS$11+(MATCH(NR$11,L.DATE,0))-1))),L.ABSP,
INDIRECT((ADDRESS(ROW(NR12)+1,$I$11+(MATCH(NR$11,L.DATE,0))))&amp;":"&amp;(ADDRESS(ROW(NR12)+1,$I$11+NS$11+(MATCH(NR$11,L.DATE,0))-1)))))</f>
        <v/>
      </c>
      <c r="NS13" s="372" t="str" cm="1">
        <f t="array" aca="1" ref="NS13" ca="1">IF(xcomp(INDIRECT((ADDRESS(ROW(NS12),$I$11+(MATCH(NR$11,L.DATE,0))))&amp;":"&amp;(ADDRESS(ROW(NS12),$I$11+NS$11+(MATCH(NR$11,L.DATE,0))-1))),L.ABS.NP)=0,"",
xsom(INDIRECT((ADDRESS(ROW(NS12),$I$11+(MATCH(NR$11,L.DATE,0))))&amp;":"&amp;(ADDRESS(ROW(NS12),$I$11+NS$11+(MATCH(NR$11,L.DATE,0))-1))),L.ABS.NP,
INDIRECT((ADDRESS(ROW(NS12)+1,$I$11+(MATCH(NR$11,L.DATE,0))))&amp;":"&amp;(ADDRESS(ROW(NS12)+1,$I$11+NS$11+(MATCH(NR$11,L.DATE,0))-1)))))</f>
        <v/>
      </c>
      <c r="NT13" s="371" t="str" cm="1">
        <f t="array" aca="1" ref="NT13" ca="1">IF(xcomp(INDIRECT((ADDRESS(ROW(NT12),$I$11+(MATCH(NT$11,L.DATE,0))))&amp;":"&amp;(ADDRESS(ROW(NT12),$I$11+NU$11+(MATCH(NT$11,L.DATE,0))-1))),L.ABSP)=0,"",
xsom(INDIRECT((ADDRESS(ROW(NT12),$I$11+(MATCH(NT$11,L.DATE,0))))&amp;":"&amp;(ADDRESS(ROW(NT12),$I$11+NU$11+(MATCH(NT$11,L.DATE,0))-1))),L.ABSP,
INDIRECT((ADDRESS(ROW(NT12)+1,$I$11+(MATCH(NT$11,L.DATE,0))))&amp;":"&amp;(ADDRESS(ROW(NT12)+1,$I$11+NU$11+(MATCH(NT$11,L.DATE,0))-1)))))</f>
        <v/>
      </c>
      <c r="NU13" s="372" t="str" cm="1">
        <f t="array" aca="1" ref="NU13" ca="1">IF(xcomp(INDIRECT((ADDRESS(ROW(NU12),$I$11+(MATCH(NT$11,L.DATE,0))))&amp;":"&amp;(ADDRESS(ROW(NU12),$I$11+NU$11+(MATCH(NT$11,L.DATE,0))-1))),L.ABS.NP)=0,"",
xsom(INDIRECT((ADDRESS(ROW(NU12),$I$11+(MATCH(NT$11,L.DATE,0))))&amp;":"&amp;(ADDRESS(ROW(NU12),$I$11+NU$11+(MATCH(NT$11,L.DATE,0))-1))),L.ABS.NP,
INDIRECT((ADDRESS(ROW(NU12)+1,$I$11+(MATCH(NT$11,L.DATE,0))))&amp;":"&amp;(ADDRESS(ROW(NU12)+1,$I$11+NU$11+(MATCH(NT$11,L.DATE,0))-1)))))</f>
        <v/>
      </c>
      <c r="NV13" s="371" t="str" cm="1">
        <f t="array" aca="1" ref="NV13" ca="1">IF(xcomp(INDIRECT((ADDRESS(ROW(NV12),$I$11+(MATCH(NV$11,L.DATE,0))))&amp;":"&amp;(ADDRESS(ROW(NV12),$I$11+NW$11+(MATCH(NV$11,L.DATE,0))-1))),L.ABSP)=0,"",
xsom(INDIRECT((ADDRESS(ROW(NV12),$I$11+(MATCH(NV$11,L.DATE,0))))&amp;":"&amp;(ADDRESS(ROW(NV12),$I$11+NW$11+(MATCH(NV$11,L.DATE,0))-1))),L.ABSP,
INDIRECT((ADDRESS(ROW(NV12)+1,$I$11+(MATCH(NV$11,L.DATE,0))))&amp;":"&amp;(ADDRESS(ROW(NV12)+1,$I$11+NW$11+(MATCH(NV$11,L.DATE,0))-1)))))</f>
        <v/>
      </c>
      <c r="NW13" s="372" t="str" cm="1">
        <f t="array" aca="1" ref="NW13" ca="1">IF(xcomp(INDIRECT((ADDRESS(ROW(NW12),$I$11+(MATCH(NV$11,L.DATE,0))))&amp;":"&amp;(ADDRESS(ROW(NW12),$I$11+NW$11+(MATCH(NV$11,L.DATE,0))-1))),L.ABS.NP)=0,"",
xsom(INDIRECT((ADDRESS(ROW(NW12),$I$11+(MATCH(NV$11,L.DATE,0))))&amp;":"&amp;(ADDRESS(ROW(NW12),$I$11+NW$11+(MATCH(NV$11,L.DATE,0))-1))),L.ABS.NP,
INDIRECT((ADDRESS(ROW(NW12)+1,$I$11+(MATCH(NV$11,L.DATE,0))))&amp;":"&amp;(ADDRESS(ROW(NW12)+1,$I$11+NW$11+(MATCH(NV$11,L.DATE,0))-1)))))</f>
        <v/>
      </c>
      <c r="NX13" s="371" t="str" cm="1">
        <f t="array" aca="1" ref="NX13" ca="1">IF(xcomp(INDIRECT((ADDRESS(ROW(NX12),$I$11+(MATCH(NX$11,L.DATE,0))))&amp;":"&amp;(ADDRESS(ROW(NX12),$I$11+NY$11+(MATCH(NX$11,L.DATE,0))-1))),L.ABSP)=0,"",
xsom(INDIRECT((ADDRESS(ROW(NX12),$I$11+(MATCH(NX$11,L.DATE,0))))&amp;":"&amp;(ADDRESS(ROW(NX12),$I$11+NY$11+(MATCH(NX$11,L.DATE,0))-1))),L.ABSP,
INDIRECT((ADDRESS(ROW(NX12)+1,$I$11+(MATCH(NX$11,L.DATE,0))))&amp;":"&amp;(ADDRESS(ROW(NX12)+1,$I$11+NY$11+(MATCH(NX$11,L.DATE,0))-1)))))</f>
        <v/>
      </c>
      <c r="NY13" s="372" t="str" cm="1">
        <f t="array" aca="1" ref="NY13" ca="1">IF(xcomp(INDIRECT((ADDRESS(ROW(NY12),$I$11+(MATCH(NX$11,L.DATE,0))))&amp;":"&amp;(ADDRESS(ROW(NY12),$I$11+NY$11+(MATCH(NX$11,L.DATE,0))-1))),L.ABS.NP)=0,"",
xsom(INDIRECT((ADDRESS(ROW(NY12),$I$11+(MATCH(NX$11,L.DATE,0))))&amp;":"&amp;(ADDRESS(ROW(NY12),$I$11+NY$11+(MATCH(NX$11,L.DATE,0))-1))),L.ABS.NP,
INDIRECT((ADDRESS(ROW(NY12)+1,$I$11+(MATCH(NX$11,L.DATE,0))))&amp;":"&amp;(ADDRESS(ROW(NY12)+1,$I$11+NY$11+(MATCH(NX$11,L.DATE,0))-1)))))</f>
        <v/>
      </c>
      <c r="NZ13" s="371" t="str" cm="1">
        <f t="array" aca="1" ref="NZ13" ca="1">IF(xcomp(INDIRECT((ADDRESS(ROW(NZ12),$I$11+(MATCH(NZ$11,L.DATE,0))))&amp;":"&amp;(ADDRESS(ROW(NZ12),$I$11+OA$11+(MATCH(NZ$11,L.DATE,0))-1))),L.ABSP)=0,"",
xsom(INDIRECT((ADDRESS(ROW(NZ12),$I$11+(MATCH(NZ$11,L.DATE,0))))&amp;":"&amp;(ADDRESS(ROW(NZ12),$I$11+OA$11+(MATCH(NZ$11,L.DATE,0))-1))),L.ABSP,
INDIRECT((ADDRESS(ROW(NZ12)+1,$I$11+(MATCH(NZ$11,L.DATE,0))))&amp;":"&amp;(ADDRESS(ROW(NZ12)+1,$I$11+OA$11+(MATCH(NZ$11,L.DATE,0))-1)))))</f>
        <v/>
      </c>
      <c r="OA13" s="372" t="str" cm="1">
        <f t="array" aca="1" ref="OA13" ca="1">IF(xcomp(INDIRECT((ADDRESS(ROW(OA12),$I$11+(MATCH(NZ$11,L.DATE,0))))&amp;":"&amp;(ADDRESS(ROW(OA12),$I$11+OA$11+(MATCH(NZ$11,L.DATE,0))-1))),L.ABS.NP)=0,"",
xsom(INDIRECT((ADDRESS(ROW(OA12),$I$11+(MATCH(NZ$11,L.DATE,0))))&amp;":"&amp;(ADDRESS(ROW(OA12),$I$11+OA$11+(MATCH(NZ$11,L.DATE,0))-1))),L.ABS.NP,
INDIRECT((ADDRESS(ROW(OA12)+1,$I$11+(MATCH(NZ$11,L.DATE,0))))&amp;":"&amp;(ADDRESS(ROW(OA12)+1,$I$11+OA$11+(MATCH(NZ$11,L.DATE,0))-1)))))</f>
        <v/>
      </c>
      <c r="OB13" s="371" t="str" cm="1">
        <f t="array" aca="1" ref="OB13" ca="1">IF(xcomp(INDIRECT((ADDRESS(ROW(OB12),$I$11+(MATCH(OB$11,L.DATE,0))))&amp;":"&amp;(ADDRESS(ROW(OB12),$I$11+OC$11+(MATCH(OB$11,L.DATE,0))-1))),L.ABSP)=0,"",
xsom(INDIRECT((ADDRESS(ROW(OB12),$I$11+(MATCH(OB$11,L.DATE,0))))&amp;":"&amp;(ADDRESS(ROW(OB12),$I$11+OC$11+(MATCH(OB$11,L.DATE,0))-1))),L.ABSP,
INDIRECT((ADDRESS(ROW(OB12)+1,$I$11+(MATCH(OB$11,L.DATE,0))))&amp;":"&amp;(ADDRESS(ROW(OB12)+1,$I$11+OC$11+(MATCH(OB$11,L.DATE,0))-1)))))</f>
        <v/>
      </c>
      <c r="OC13" s="372" t="str" cm="1">
        <f t="array" aca="1" ref="OC13" ca="1">IF(xcomp(INDIRECT((ADDRESS(ROW(OC12),$I$11+(MATCH(OB$11,L.DATE,0))))&amp;":"&amp;(ADDRESS(ROW(OC12),$I$11+OC$11+(MATCH(OB$11,L.DATE,0))-1))),L.ABS.NP)=0,"",
xsom(INDIRECT((ADDRESS(ROW(OC12),$I$11+(MATCH(OB$11,L.DATE,0))))&amp;":"&amp;(ADDRESS(ROW(OC12),$I$11+OC$11+(MATCH(OB$11,L.DATE,0))-1))),L.ABS.NP,
INDIRECT((ADDRESS(ROW(OC12)+1,$I$11+(MATCH(OB$11,L.DATE,0))))&amp;":"&amp;(ADDRESS(ROW(OC12)+1,$I$11+OC$11+(MATCH(OB$11,L.DATE,0))-1)))))</f>
        <v/>
      </c>
      <c r="OD13" s="371" t="str" cm="1">
        <f t="array" aca="1" ref="OD13" ca="1">IF(xcomp(INDIRECT((ADDRESS(ROW(OD12),$I$11+(MATCH(OD$11,L.DATE,0))))&amp;":"&amp;(ADDRESS(ROW(OD12),$I$11+OE$11+(MATCH(OD$11,L.DATE,0))-1))),L.ABSP)=0,"",
xsom(INDIRECT((ADDRESS(ROW(OD12),$I$11+(MATCH(OD$11,L.DATE,0))))&amp;":"&amp;(ADDRESS(ROW(OD12),$I$11+OE$11+(MATCH(OD$11,L.DATE,0))-1))),L.ABSP,
INDIRECT((ADDRESS(ROW(OD12)+1,$I$11+(MATCH(OD$11,L.DATE,0))))&amp;":"&amp;(ADDRESS(ROW(OD12)+1,$I$11+OE$11+(MATCH(OD$11,L.DATE,0))-1)))))</f>
        <v/>
      </c>
      <c r="OE13" s="372" t="str" cm="1">
        <f t="array" aca="1" ref="OE13" ca="1">IF(xcomp(INDIRECT((ADDRESS(ROW(OE12),$I$11+(MATCH(OD$11,L.DATE,0))))&amp;":"&amp;(ADDRESS(ROW(OE12),$I$11+OE$11+(MATCH(OD$11,L.DATE,0))-1))),L.ABS.NP)=0,"",
xsom(INDIRECT((ADDRESS(ROW(OE12),$I$11+(MATCH(OD$11,L.DATE,0))))&amp;":"&amp;(ADDRESS(ROW(OE12),$I$11+OE$11+(MATCH(OD$11,L.DATE,0))-1))),L.ABS.NP,
INDIRECT((ADDRESS(ROW(OE12)+1,$I$11+(MATCH(OD$11,L.DATE,0))))&amp;":"&amp;(ADDRESS(ROW(OE12)+1,$I$11+OE$11+(MATCH(OD$11,L.DATE,0))-1)))))</f>
        <v/>
      </c>
      <c r="OF13" s="371" t="str" cm="1">
        <f t="array" aca="1" ref="OF13" ca="1">IF(xcomp(INDIRECT((ADDRESS(ROW(OF12),$I$11+(MATCH(OF$11,L.DATE,0))))&amp;":"&amp;(ADDRESS(ROW(OF12),$I$11+OG$11+(MATCH(OF$11,L.DATE,0))-1))),L.ABSP)=0,"",
xsom(INDIRECT((ADDRESS(ROW(OF12),$I$11+(MATCH(OF$11,L.DATE,0))))&amp;":"&amp;(ADDRESS(ROW(OF12),$I$11+OG$11+(MATCH(OF$11,L.DATE,0))-1))),L.ABSP,
INDIRECT((ADDRESS(ROW(OF12)+1,$I$11+(MATCH(OF$11,L.DATE,0))))&amp;":"&amp;(ADDRESS(ROW(OF12)+1,$I$11+OG$11+(MATCH(OF$11,L.DATE,0))-1)))))</f>
        <v/>
      </c>
      <c r="OG13" s="372" t="str" cm="1">
        <f t="array" aca="1" ref="OG13" ca="1">IF(xcomp(INDIRECT((ADDRESS(ROW(OG12),$I$11+(MATCH(OF$11,L.DATE,0))))&amp;":"&amp;(ADDRESS(ROW(OG12),$I$11+OG$11+(MATCH(OF$11,L.DATE,0))-1))),L.ABS.NP)=0,"",
xsom(INDIRECT((ADDRESS(ROW(OG12),$I$11+(MATCH(OF$11,L.DATE,0))))&amp;":"&amp;(ADDRESS(ROW(OG12),$I$11+OG$11+(MATCH(OF$11,L.DATE,0))-1))),L.ABS.NP,
INDIRECT((ADDRESS(ROW(OG12)+1,$I$11+(MATCH(OF$11,L.DATE,0))))&amp;":"&amp;(ADDRESS(ROW(OG12)+1,$I$11+OG$11+(MATCH(OF$11,L.DATE,0))-1)))))</f>
        <v/>
      </c>
      <c r="OH13" s="371" t="str" cm="1">
        <f t="array" aca="1" ref="OH13" ca="1">IF(xcomp(INDIRECT((ADDRESS(ROW(OH12),$I$11+(MATCH(OH$11,L.DATE,0))))&amp;":"&amp;(ADDRESS(ROW(OH12),$I$11+OI$11+(MATCH(OH$11,L.DATE,0))-1))),L.ABSP)=0,"",
xsom(INDIRECT((ADDRESS(ROW(OH12),$I$11+(MATCH(OH$11,L.DATE,0))))&amp;":"&amp;(ADDRESS(ROW(OH12),$I$11+OI$11+(MATCH(OH$11,L.DATE,0))-1))),L.ABSP,
INDIRECT((ADDRESS(ROW(OH12)+1,$I$11+(MATCH(OH$11,L.DATE,0))))&amp;":"&amp;(ADDRESS(ROW(OH12)+1,$I$11+OI$11+(MATCH(OH$11,L.DATE,0))-1)))))</f>
        <v/>
      </c>
      <c r="OI13" s="372" t="str" cm="1">
        <f t="array" aca="1" ref="OI13" ca="1">IF(xcomp(INDIRECT((ADDRESS(ROW(OI12),$I$11+(MATCH(OH$11,L.DATE,0))))&amp;":"&amp;(ADDRESS(ROW(OI12),$I$11+OI$11+(MATCH(OH$11,L.DATE,0))-1))),L.ABS.NP)=0,"",
xsom(INDIRECT((ADDRESS(ROW(OI12),$I$11+(MATCH(OH$11,L.DATE,0))))&amp;":"&amp;(ADDRESS(ROW(OI12),$I$11+OI$11+(MATCH(OH$11,L.DATE,0))-1))),L.ABS.NP,
INDIRECT((ADDRESS(ROW(OI12)+1,$I$11+(MATCH(OH$11,L.DATE,0))))&amp;":"&amp;(ADDRESS(ROW(OI12)+1,$I$11+OI$11+(MATCH(OH$11,L.DATE,0))-1)))))</f>
        <v/>
      </c>
      <c r="OJ13" s="371" t="str" cm="1">
        <f t="array" aca="1" ref="OJ13" ca="1">IF(xcomp(INDIRECT((ADDRESS(ROW(OJ12),$I$11+(MATCH(OJ$11,L.DATE,0))))&amp;":"&amp;(ADDRESS(ROW(OJ12),$I$11+OK$11+(MATCH(OJ$11,L.DATE,0))-1))),L.ABSP)=0,"",
xsom(INDIRECT((ADDRESS(ROW(OJ12),$I$11+(MATCH(OJ$11,L.DATE,0))))&amp;":"&amp;(ADDRESS(ROW(OJ12),$I$11+OK$11+(MATCH(OJ$11,L.DATE,0))-1))),L.ABSP,
INDIRECT((ADDRESS(ROW(OJ12)+1,$I$11+(MATCH(OJ$11,L.DATE,0))))&amp;":"&amp;(ADDRESS(ROW(OJ12)+1,$I$11+OK$11+(MATCH(OJ$11,L.DATE,0))-1)))))</f>
        <v/>
      </c>
      <c r="OK13" s="372" t="str" cm="1">
        <f t="array" aca="1" ref="OK13" ca="1">IF(xcomp(INDIRECT((ADDRESS(ROW(OK12),$I$11+(MATCH(OJ$11,L.DATE,0))))&amp;":"&amp;(ADDRESS(ROW(OK12),$I$11+OK$11+(MATCH(OJ$11,L.DATE,0))-1))),L.ABS.NP)=0,"",
xsom(INDIRECT((ADDRESS(ROW(OK12),$I$11+(MATCH(OJ$11,L.DATE,0))))&amp;":"&amp;(ADDRESS(ROW(OK12),$I$11+OK$11+(MATCH(OJ$11,L.DATE,0))-1))),L.ABS.NP,
INDIRECT((ADDRESS(ROW(OK12)+1,$I$11+(MATCH(OJ$11,L.DATE,0))))&amp;":"&amp;(ADDRESS(ROW(OK12)+1,$I$11+OK$11+(MATCH(OJ$11,L.DATE,0))-1)))))</f>
        <v/>
      </c>
    </row>
    <row r="14" spans="1:404" ht="12" customHeight="1" x14ac:dyDescent="0.3">
      <c r="A14" s="394">
        <v>932163</v>
      </c>
      <c r="B14" s="381" t="s">
        <v>486</v>
      </c>
      <c r="C14" s="392">
        <v>1</v>
      </c>
      <c r="D14" s="392" t="s">
        <v>18</v>
      </c>
      <c r="E14" s="392" t="s">
        <v>484</v>
      </c>
      <c r="F14" s="392" t="s">
        <v>13</v>
      </c>
      <c r="G14" s="393" t="s">
        <v>487</v>
      </c>
      <c r="H14" s="391">
        <v>1</v>
      </c>
      <c r="I14" s="28"/>
      <c r="J14" s="482"/>
      <c r="K14" s="482"/>
      <c r="L14" s="482"/>
      <c r="M14" s="482"/>
      <c r="N14" s="482"/>
      <c r="O14" s="482"/>
      <c r="P14" s="482"/>
      <c r="Q14" s="482"/>
      <c r="R14" s="484" t="s">
        <v>27</v>
      </c>
      <c r="S14" s="484" t="s">
        <v>27</v>
      </c>
      <c r="T14" s="484" t="s">
        <v>27</v>
      </c>
      <c r="U14" s="484" t="s">
        <v>27</v>
      </c>
      <c r="V14" s="484" t="s">
        <v>27</v>
      </c>
      <c r="W14" s="482"/>
      <c r="X14" s="482"/>
      <c r="Y14" s="484" t="s">
        <v>27</v>
      </c>
      <c r="Z14" s="484" t="s">
        <v>27</v>
      </c>
      <c r="AA14" s="484" t="s">
        <v>27</v>
      </c>
      <c r="AB14" s="484" t="s">
        <v>27</v>
      </c>
      <c r="AC14" s="484" t="s">
        <v>27</v>
      </c>
      <c r="AD14" s="482"/>
      <c r="AE14" s="482"/>
      <c r="AF14" s="484" t="s">
        <v>27</v>
      </c>
      <c r="AG14" s="484" t="s">
        <v>27</v>
      </c>
      <c r="AH14" s="484" t="s">
        <v>27</v>
      </c>
      <c r="AI14" s="484" t="s">
        <v>27</v>
      </c>
      <c r="AJ14" s="484" t="s">
        <v>27</v>
      </c>
      <c r="AK14" s="482"/>
      <c r="AL14" s="482"/>
      <c r="AM14" s="484" t="s">
        <v>27</v>
      </c>
      <c r="AN14" s="484" t="s">
        <v>27</v>
      </c>
      <c r="AO14" s="484" t="s">
        <v>27</v>
      </c>
      <c r="AP14" s="484" t="s">
        <v>27</v>
      </c>
      <c r="AQ14" s="484" t="s">
        <v>27</v>
      </c>
      <c r="AR14" s="482"/>
      <c r="AS14" s="482"/>
      <c r="AT14" s="144" t="s">
        <v>150</v>
      </c>
      <c r="AU14" s="144" t="s">
        <v>150</v>
      </c>
      <c r="AV14" s="144" t="s">
        <v>150</v>
      </c>
      <c r="AW14" s="144" t="s">
        <v>150</v>
      </c>
      <c r="AX14" s="144" t="s">
        <v>150</v>
      </c>
      <c r="AY14" s="383"/>
      <c r="AZ14" s="486"/>
      <c r="BA14" s="484" t="s">
        <v>27</v>
      </c>
      <c r="BB14" s="484" t="s">
        <v>27</v>
      </c>
      <c r="BC14" s="484" t="s">
        <v>27</v>
      </c>
      <c r="BD14" s="484" t="s">
        <v>27</v>
      </c>
      <c r="BE14" s="484" t="s">
        <v>27</v>
      </c>
      <c r="BF14" s="482"/>
      <c r="BG14" s="482"/>
      <c r="BH14" s="484" t="s">
        <v>27</v>
      </c>
      <c r="BI14" s="484" t="s">
        <v>27</v>
      </c>
      <c r="BJ14" s="484" t="s">
        <v>27</v>
      </c>
      <c r="BK14" s="484" t="s">
        <v>27</v>
      </c>
      <c r="BL14" s="484" t="s">
        <v>27</v>
      </c>
      <c r="BM14" s="482"/>
      <c r="BN14" s="482"/>
      <c r="BO14" s="484" t="s">
        <v>27</v>
      </c>
      <c r="BP14" s="484" t="s">
        <v>27</v>
      </c>
      <c r="BQ14" s="484" t="s">
        <v>27</v>
      </c>
      <c r="BR14" s="484" t="s">
        <v>27</v>
      </c>
      <c r="BS14" s="484" t="s">
        <v>27</v>
      </c>
      <c r="BT14" s="482"/>
      <c r="BU14" s="482"/>
      <c r="BV14" s="484" t="s">
        <v>27</v>
      </c>
      <c r="BW14" s="484" t="s">
        <v>27</v>
      </c>
      <c r="BX14" s="484" t="s">
        <v>27</v>
      </c>
      <c r="BY14" s="484" t="s">
        <v>27</v>
      </c>
      <c r="BZ14" s="484" t="s">
        <v>27</v>
      </c>
      <c r="CA14" s="482"/>
      <c r="CB14" s="482"/>
      <c r="CC14" s="484" t="s">
        <v>27</v>
      </c>
      <c r="CD14" s="484" t="s">
        <v>27</v>
      </c>
      <c r="CE14" s="484" t="s">
        <v>27</v>
      </c>
      <c r="CF14" s="484" t="s">
        <v>27</v>
      </c>
      <c r="CG14" s="484" t="s">
        <v>27</v>
      </c>
      <c r="CH14" s="482"/>
      <c r="CI14" s="482"/>
      <c r="CJ14" s="484" t="s">
        <v>27</v>
      </c>
      <c r="CK14" s="484" t="s">
        <v>27</v>
      </c>
      <c r="CL14" s="484" t="s">
        <v>27</v>
      </c>
      <c r="CM14" s="484" t="s">
        <v>27</v>
      </c>
      <c r="CN14" s="484" t="s">
        <v>27</v>
      </c>
      <c r="CO14" s="482"/>
      <c r="CP14" s="482"/>
      <c r="CQ14" s="484" t="s">
        <v>27</v>
      </c>
      <c r="CR14" s="484" t="s">
        <v>27</v>
      </c>
      <c r="CS14" s="484" t="s">
        <v>27</v>
      </c>
      <c r="CT14" s="484" t="s">
        <v>27</v>
      </c>
      <c r="CU14" s="484" t="s">
        <v>27</v>
      </c>
      <c r="CV14" s="482"/>
      <c r="CW14" s="482"/>
      <c r="CX14" s="482"/>
      <c r="CY14" s="482"/>
      <c r="CZ14" s="482"/>
      <c r="DA14" s="482"/>
      <c r="DB14" s="482"/>
      <c r="DC14" s="482"/>
      <c r="DD14" s="482"/>
      <c r="DE14" s="482"/>
      <c r="DF14" s="482"/>
      <c r="DG14" s="482"/>
      <c r="DH14" s="482"/>
      <c r="DI14" s="482"/>
      <c r="DJ14" s="482"/>
      <c r="DK14" s="482"/>
      <c r="DL14" s="482"/>
      <c r="DM14" s="482"/>
      <c r="DN14" s="482"/>
      <c r="DO14" s="482"/>
      <c r="DP14" s="482"/>
      <c r="DQ14" s="482"/>
      <c r="DR14" s="482"/>
      <c r="DS14" s="482"/>
      <c r="DT14" s="482"/>
      <c r="DU14" s="482"/>
      <c r="DV14" s="482"/>
      <c r="DW14" s="482"/>
      <c r="DX14" s="482"/>
      <c r="DY14" s="482"/>
      <c r="DZ14" s="482"/>
      <c r="EA14" s="482"/>
      <c r="EB14" s="482"/>
      <c r="EC14" s="482"/>
      <c r="ED14" s="482"/>
      <c r="EE14" s="482"/>
      <c r="EF14" s="482"/>
      <c r="EG14" s="482"/>
      <c r="EH14" s="482"/>
      <c r="EI14" s="482"/>
      <c r="EJ14" s="482"/>
      <c r="EK14" s="482"/>
      <c r="EL14" s="482"/>
      <c r="EM14" s="482"/>
      <c r="EN14" s="482"/>
      <c r="EO14" s="482"/>
      <c r="EP14" s="482"/>
      <c r="EQ14" s="482"/>
      <c r="ER14" s="482"/>
      <c r="ES14" s="482"/>
      <c r="ET14" s="482"/>
      <c r="EU14" s="482"/>
      <c r="EV14" s="482"/>
      <c r="EW14" s="482"/>
      <c r="EX14" s="482"/>
      <c r="EY14" s="482"/>
      <c r="EZ14" s="482"/>
      <c r="FA14" s="482"/>
      <c r="FB14" s="482"/>
      <c r="FC14" s="482"/>
      <c r="FD14" s="482"/>
      <c r="FE14" s="482"/>
      <c r="FF14" s="482"/>
      <c r="FG14" s="482"/>
      <c r="FH14" s="482"/>
      <c r="FI14" s="482"/>
      <c r="FJ14" s="482"/>
      <c r="FK14" s="482"/>
      <c r="FL14" s="482"/>
      <c r="FM14" s="482"/>
      <c r="FN14" s="482"/>
      <c r="FO14" s="482"/>
      <c r="FP14" s="482"/>
      <c r="FQ14" s="482"/>
      <c r="FR14" s="482"/>
      <c r="FS14" s="482"/>
      <c r="FT14" s="482"/>
      <c r="FU14" s="482"/>
      <c r="FV14" s="482"/>
      <c r="FW14" s="482"/>
      <c r="FX14" s="482"/>
      <c r="FY14" s="482"/>
      <c r="FZ14" s="482"/>
      <c r="GA14" s="482"/>
      <c r="GB14" s="482"/>
      <c r="GC14" s="482"/>
      <c r="GD14" s="482"/>
      <c r="GE14" s="482"/>
      <c r="GF14" s="482"/>
      <c r="GG14" s="482"/>
      <c r="GH14" s="482"/>
      <c r="GI14" s="482"/>
      <c r="GJ14" s="482"/>
      <c r="GK14" s="482"/>
      <c r="GL14" s="482"/>
      <c r="GM14" s="482"/>
      <c r="GN14" s="482"/>
      <c r="GO14" s="482"/>
      <c r="GP14" s="482"/>
      <c r="GQ14" s="482"/>
      <c r="GR14" s="482"/>
      <c r="GS14" s="482"/>
      <c r="GT14" s="482"/>
      <c r="GU14" s="482"/>
      <c r="GV14" s="482"/>
      <c r="GW14" s="482"/>
      <c r="GX14" s="482"/>
      <c r="GY14" s="482"/>
      <c r="GZ14" s="482"/>
      <c r="HA14" s="482"/>
      <c r="HB14" s="482"/>
      <c r="HC14" s="482"/>
      <c r="HD14" s="482"/>
      <c r="HE14" s="482"/>
      <c r="HF14" s="482"/>
      <c r="HG14" s="482"/>
      <c r="HH14" s="482"/>
      <c r="HI14" s="482"/>
      <c r="HJ14" s="482"/>
      <c r="HK14" s="482"/>
      <c r="HL14" s="482"/>
      <c r="HM14" s="482"/>
      <c r="HN14" s="482"/>
      <c r="HO14" s="482"/>
      <c r="HP14" s="482"/>
      <c r="HQ14" s="482"/>
      <c r="HR14" s="482"/>
      <c r="HS14" s="482"/>
      <c r="HT14" s="482"/>
      <c r="HU14" s="482"/>
      <c r="HV14" s="482"/>
      <c r="HW14" s="482"/>
      <c r="HX14" s="482"/>
      <c r="HY14" s="482"/>
      <c r="HZ14" s="482"/>
      <c r="IA14" s="482"/>
      <c r="IB14" s="482"/>
      <c r="IC14" s="482"/>
      <c r="ID14" s="482"/>
      <c r="IE14" s="482"/>
      <c r="IF14" s="482"/>
      <c r="IG14" s="482"/>
      <c r="IH14" s="482"/>
      <c r="II14" s="482"/>
      <c r="IJ14" s="482"/>
      <c r="IK14" s="482"/>
      <c r="IL14" s="482"/>
      <c r="IM14" s="482"/>
      <c r="IN14" s="482"/>
      <c r="IO14" s="482"/>
      <c r="IP14" s="482"/>
      <c r="IQ14" s="482"/>
      <c r="IR14" s="482"/>
      <c r="IS14" s="482"/>
      <c r="IT14" s="482"/>
      <c r="IU14" s="482"/>
      <c r="IV14" s="482"/>
      <c r="IW14" s="482"/>
      <c r="IX14" s="482"/>
      <c r="IY14" s="482"/>
      <c r="IZ14" s="482"/>
      <c r="JA14" s="482"/>
      <c r="JB14" s="482"/>
      <c r="JC14" s="482"/>
      <c r="JD14" s="482"/>
      <c r="JE14" s="482"/>
      <c r="JF14" s="482"/>
      <c r="JG14" s="482"/>
      <c r="JH14" s="482"/>
      <c r="JI14" s="482"/>
      <c r="JJ14" s="482"/>
      <c r="JK14" s="482"/>
      <c r="JL14" s="482"/>
      <c r="JM14" s="482"/>
      <c r="JN14" s="482"/>
      <c r="JO14" s="482"/>
      <c r="JP14" s="482"/>
      <c r="JQ14" s="482"/>
      <c r="JR14" s="482"/>
      <c r="JS14" s="482"/>
      <c r="JT14" s="482"/>
      <c r="JU14" s="482"/>
      <c r="JV14" s="482"/>
      <c r="JW14" s="482"/>
      <c r="JX14" s="482"/>
      <c r="JY14" s="482"/>
      <c r="JZ14" s="482"/>
      <c r="KA14" s="482"/>
      <c r="KB14" s="482"/>
      <c r="KC14" s="482"/>
      <c r="KD14" s="482"/>
      <c r="KE14" s="482"/>
      <c r="KF14" s="482"/>
      <c r="KG14" s="482"/>
      <c r="KH14" s="482"/>
      <c r="KI14" s="482"/>
      <c r="KJ14" s="482"/>
      <c r="KK14" s="482"/>
      <c r="KL14" s="482"/>
      <c r="KM14" s="482"/>
      <c r="KN14" s="482"/>
      <c r="KO14" s="482"/>
      <c r="KP14" s="482"/>
      <c r="KQ14" s="482"/>
      <c r="KR14" s="482"/>
      <c r="KS14" s="482"/>
      <c r="KT14" s="482"/>
      <c r="KU14" s="482"/>
      <c r="KV14" s="482"/>
      <c r="KW14" s="482"/>
      <c r="KX14" s="482"/>
      <c r="KY14" s="482"/>
      <c r="KZ14" s="482"/>
      <c r="LA14" s="482"/>
      <c r="LB14" s="482"/>
      <c r="LC14" s="482"/>
      <c r="LD14" s="482"/>
      <c r="LE14" s="482"/>
      <c r="LF14" s="482"/>
      <c r="LG14" s="482"/>
      <c r="LH14" s="482"/>
      <c r="LI14" s="482"/>
      <c r="LJ14" s="482"/>
      <c r="LK14" s="482"/>
      <c r="LL14" s="482"/>
      <c r="LM14" s="482"/>
      <c r="LN14" s="482"/>
      <c r="LO14" s="482"/>
      <c r="LP14" s="482"/>
      <c r="LQ14" s="482"/>
      <c r="LR14" s="482"/>
      <c r="LS14" s="482"/>
      <c r="LT14" s="482"/>
      <c r="LU14" s="482"/>
      <c r="LV14" s="482"/>
      <c r="LW14" s="482"/>
      <c r="LX14" s="482"/>
      <c r="LY14" s="482"/>
      <c r="LZ14" s="482"/>
      <c r="MA14" s="482"/>
      <c r="MB14" s="482"/>
      <c r="MC14" s="482"/>
      <c r="MD14" s="482"/>
      <c r="ME14" s="482"/>
      <c r="MF14" s="482"/>
      <c r="MG14" s="482"/>
      <c r="MH14" s="482"/>
      <c r="MI14" s="482"/>
      <c r="MJ14" s="482"/>
      <c r="MK14" s="482"/>
      <c r="ML14" s="482"/>
      <c r="MM14" s="482"/>
      <c r="MN14" s="482"/>
      <c r="MO14" s="482"/>
      <c r="MP14" s="482"/>
      <c r="MQ14" s="482"/>
      <c r="MR14" s="482"/>
      <c r="MS14" s="482"/>
      <c r="MT14" s="482"/>
      <c r="MU14" s="482"/>
      <c r="MV14" s="482"/>
      <c r="MW14" s="482"/>
      <c r="MX14" s="482"/>
      <c r="MY14" s="482"/>
      <c r="MZ14" s="482"/>
      <c r="NA14" s="482"/>
      <c r="NB14" s="482"/>
      <c r="NC14" s="482"/>
      <c r="ND14" s="482"/>
      <c r="NE14" s="482"/>
      <c r="NF14" s="482"/>
      <c r="NG14" s="482"/>
      <c r="NH14" s="482"/>
      <c r="NI14" s="482"/>
      <c r="NJ14" s="483"/>
      <c r="NK14" s="34"/>
      <c r="NM14" s="159">
        <f>A14</f>
        <v>932163</v>
      </c>
      <c r="NN14" s="373">
        <f ca="1">COUNTIF(INDIRECT((ADDRESS(ROW(NO15),$I$11+(MATCH(NN$11,L.DATE,0))))&amp;":"&amp;(ADDRESS(ROW(NO15),$I$11+NO$11+(MATCH(NN$11,L.DATE,0))-1))),"&gt;=0")-NO14</f>
        <v>17</v>
      </c>
      <c r="NO14" s="374">
        <f ca="1">SUM(INDIRECT((ADDRESS(ROW(NO15),$I$11+(MATCH(NN$11,L.DATE,0))))&amp;":"&amp;(ADDRESS(ROW(NO15),$I$11+NO$11+(MATCH(NN$11,L.DATE,0))-1))))</f>
        <v>0</v>
      </c>
      <c r="NP14" s="373">
        <f ca="1">COUNTIF(INDIRECT((ADDRESS(ROW(NQ15),$I$11+(MATCH(NP$11,L.DATE,0))))&amp;":"&amp;(ADDRESS(ROW(NQ15),$I$11+NQ$11+(MATCH(NP$11,L.DATE,0))-1))),"&gt;=0")-NQ14</f>
        <v>20</v>
      </c>
      <c r="NQ14" s="374">
        <f ca="1">SUM(INDIRECT((ADDRESS(ROW(NQ15),$I$11+(MATCH(NP$11,L.DATE,0))))&amp;":"&amp;(ADDRESS(ROW(NQ15),$I$11+NQ$11+(MATCH(NP$11,L.DATE,0))-1))))</f>
        <v>0</v>
      </c>
      <c r="NR14" s="373">
        <f ca="1">COUNTIF(INDIRECT((ADDRESS(ROW(NS15),$I$11+(MATCH(NR$11,L.DATE,0))))&amp;":"&amp;(ADDRESS(ROW(NS15),$I$11+NS$11+(MATCH(NR$11,L.DATE,0))-1))),"&gt;=0")-NS14</f>
        <v>23</v>
      </c>
      <c r="NS14" s="374">
        <f ca="1">SUM(INDIRECT((ADDRESS(ROW(NS15),$I$11+(MATCH(NR$11,L.DATE,0))))&amp;":"&amp;(ADDRESS(ROW(NS15),$I$11+NS$11+(MATCH(NR$11,L.DATE,0))-1))))</f>
        <v>0</v>
      </c>
      <c r="NT14" s="373">
        <f ca="1">COUNTIF(INDIRECT((ADDRESS(ROW(NU15),$I$11+(MATCH(NT$11,L.DATE,0))))&amp;":"&amp;(ADDRESS(ROW(NU15),$I$11+NU$11+(MATCH(NT$11,L.DATE,0))-1))),"&gt;=0")-NU14</f>
        <v>0</v>
      </c>
      <c r="NU14" s="374">
        <f ca="1">SUM(INDIRECT((ADDRESS(ROW(NU15),$I$11+(MATCH(NT$11,L.DATE,0))))&amp;":"&amp;(ADDRESS(ROW(NU15),$I$11+NU$11+(MATCH(NT$11,L.DATE,0))-1))))</f>
        <v>0</v>
      </c>
      <c r="NV14" s="373">
        <f ca="1">COUNTIF(INDIRECT((ADDRESS(ROW(NW15),$I$11+(MATCH(NV$11,L.DATE,0))))&amp;":"&amp;(ADDRESS(ROW(NW15),$I$11+NW$11+(MATCH(NV$11,L.DATE,0))-1))),"&gt;=0")-NW14</f>
        <v>0</v>
      </c>
      <c r="NW14" s="374">
        <f ca="1">SUM(INDIRECT((ADDRESS(ROW(NW15),$I$11+(MATCH(NV$11,L.DATE,0))))&amp;":"&amp;(ADDRESS(ROW(NW15),$I$11+NW$11+(MATCH(NV$11,L.DATE,0))-1))))</f>
        <v>0</v>
      </c>
      <c r="NX14" s="373">
        <f ca="1">COUNTIF(INDIRECT((ADDRESS(ROW(NY15),$I$11+(MATCH(NX$11,L.DATE,0))))&amp;":"&amp;(ADDRESS(ROW(NY15),$I$11+NY$11+(MATCH(NX$11,L.DATE,0))-1))),"&gt;=0")-NY14</f>
        <v>0</v>
      </c>
      <c r="NY14" s="374">
        <f ca="1">SUM(INDIRECT((ADDRESS(ROW(NY15),$I$11+(MATCH(NX$11,L.DATE,0))))&amp;":"&amp;(ADDRESS(ROW(NY15),$I$11+NY$11+(MATCH(NX$11,L.DATE,0))-1))))</f>
        <v>0</v>
      </c>
      <c r="NZ14" s="373">
        <f ca="1">COUNTIF(INDIRECT((ADDRESS(ROW(OA15),$I$11+(MATCH(NZ$11,L.DATE,0))))&amp;":"&amp;(ADDRESS(ROW(OA15),$I$11+OA$11+(MATCH(NZ$11,L.DATE,0))-1))),"&gt;=0")-OA14</f>
        <v>0</v>
      </c>
      <c r="OA14" s="374">
        <f ca="1">SUM(INDIRECT((ADDRESS(ROW(OA15),$I$11+(MATCH(NZ$11,L.DATE,0))))&amp;":"&amp;(ADDRESS(ROW(OA15),$I$11+OA$11+(MATCH(NZ$11,L.DATE,0))-1))))</f>
        <v>0</v>
      </c>
      <c r="OB14" s="373">
        <f ca="1">COUNTIF(INDIRECT((ADDRESS(ROW(OC15),$I$11+(MATCH(OB$11,L.DATE,0))))&amp;":"&amp;(ADDRESS(ROW(OC15),$I$11+OC$11+(MATCH(OB$11,L.DATE,0))-1))),"&gt;=0")-OC14</f>
        <v>0</v>
      </c>
      <c r="OC14" s="374">
        <f ca="1">SUM(INDIRECT((ADDRESS(ROW(OC15),$I$11+(MATCH(OB$11,L.DATE,0))))&amp;":"&amp;(ADDRESS(ROW(OC15),$I$11+OC$11+(MATCH(OB$11,L.DATE,0))-1))))</f>
        <v>0</v>
      </c>
      <c r="OD14" s="373">
        <f ca="1">COUNTIF(INDIRECT((ADDRESS(ROW(OE15),$I$11+(MATCH(OD$11,L.DATE,0))))&amp;":"&amp;(ADDRESS(ROW(OE15),$I$11+OE$11+(MATCH(OD$11,L.DATE,0))-1))),"&gt;=0")-OE14</f>
        <v>0</v>
      </c>
      <c r="OE14" s="374">
        <f ca="1">SUM(INDIRECT((ADDRESS(ROW(OE15),$I$11+(MATCH(OD$11,L.DATE,0))))&amp;":"&amp;(ADDRESS(ROW(OE15),$I$11+OE$11+(MATCH(OD$11,L.DATE,0))-1))))</f>
        <v>0</v>
      </c>
      <c r="OF14" s="373">
        <f ca="1">COUNTIF(INDIRECT((ADDRESS(ROW(OG15),$I$11+(MATCH(OF$11,L.DATE,0))))&amp;":"&amp;(ADDRESS(ROW(OG15),$I$11+OG$11+(MATCH(OF$11,L.DATE,0))-1))),"&gt;=0")-OG14</f>
        <v>0</v>
      </c>
      <c r="OG14" s="374">
        <f ca="1">SUM(INDIRECT((ADDRESS(ROW(OG15),$I$11+(MATCH(OF$11,L.DATE,0))))&amp;":"&amp;(ADDRESS(ROW(OG15),$I$11+OG$11+(MATCH(OF$11,L.DATE,0))-1))))</f>
        <v>0</v>
      </c>
      <c r="OH14" s="373">
        <f ca="1">COUNTIF(INDIRECT((ADDRESS(ROW(OI15),$I$11+(MATCH(OH$11,L.DATE,0))))&amp;":"&amp;(ADDRESS(ROW(OI15),$I$11+OI$11+(MATCH(OH$11,L.DATE,0))-1))),"&gt;=0")-OI14</f>
        <v>0</v>
      </c>
      <c r="OI14" s="374">
        <f ca="1">SUM(INDIRECT((ADDRESS(ROW(OI15),$I$11+(MATCH(OH$11,L.DATE,0))))&amp;":"&amp;(ADDRESS(ROW(OI15),$I$11+OI$11+(MATCH(OH$11,L.DATE,0))-1))))</f>
        <v>0</v>
      </c>
      <c r="OJ14" s="373">
        <f ca="1">COUNTIF(INDIRECT((ADDRESS(ROW(OK15),$I$11+(MATCH(OJ$11,L.DATE,0))))&amp;":"&amp;(ADDRESS(ROW(OK15),$I$11+OK$11+(MATCH(OJ$11,L.DATE,0))-1))),"&gt;=0")-OK14</f>
        <v>0</v>
      </c>
      <c r="OK14" s="375">
        <f ca="1">SUM(INDIRECT((ADDRESS(ROW(OK15),$I$11+(MATCH(OJ$11,L.DATE,0))))&amp;":"&amp;(ADDRESS(ROW(OK15),$I$11+OK$11+(MATCH(OJ$11,L.DATE,0))-1))))</f>
        <v>0</v>
      </c>
      <c r="OM14" s="39">
        <f ca="1">NN14+NP14+NR14+NT14+NV14+NX14+NZ14+OB14+OD14+OF14+OJ14+OH14</f>
        <v>60</v>
      </c>
      <c r="ON14" s="40">
        <f ca="1">NO14+NQ14+NS14+NU14+NW14+NY14+OA14+OC14+OE14+OG14+OK14+OI14</f>
        <v>0</v>
      </c>
    </row>
    <row r="15" spans="1:404" x14ac:dyDescent="0.3">
      <c r="A15" s="33"/>
      <c r="B15" s="16" t="str">
        <f t="shared" ref="B15:H15" si="23">B14</f>
        <v>DEVEAUX.Emilie</v>
      </c>
      <c r="C15" s="16">
        <f t="shared" si="23"/>
        <v>1</v>
      </c>
      <c r="D15" s="16" t="str">
        <f t="shared" si="23"/>
        <v>I2S</v>
      </c>
      <c r="E15" s="16" t="str">
        <f t="shared" si="23"/>
        <v>ITG</v>
      </c>
      <c r="F15" s="16" t="str">
        <f t="shared" si="23"/>
        <v>SL</v>
      </c>
      <c r="G15" s="105" t="str">
        <f t="shared" si="23"/>
        <v>TL</v>
      </c>
      <c r="H15" s="109">
        <f t="shared" si="23"/>
        <v>1</v>
      </c>
      <c r="I15" s="28"/>
      <c r="J15" s="482"/>
      <c r="K15" s="482"/>
      <c r="L15" s="482"/>
      <c r="M15" s="482"/>
      <c r="N15" s="482"/>
      <c r="O15" s="482"/>
      <c r="P15" s="482"/>
      <c r="Q15" s="482"/>
      <c r="R15" s="485">
        <v>0</v>
      </c>
      <c r="S15" s="485">
        <v>0</v>
      </c>
      <c r="T15" s="485">
        <v>0</v>
      </c>
      <c r="U15" s="485">
        <v>0</v>
      </c>
      <c r="V15" s="485">
        <v>0</v>
      </c>
      <c r="W15" s="482"/>
      <c r="X15" s="482"/>
      <c r="Y15" s="485">
        <v>0</v>
      </c>
      <c r="Z15" s="485">
        <v>0</v>
      </c>
      <c r="AA15" s="485">
        <v>0</v>
      </c>
      <c r="AB15" s="485">
        <v>0</v>
      </c>
      <c r="AC15" s="485">
        <v>0</v>
      </c>
      <c r="AD15" s="482"/>
      <c r="AE15" s="482"/>
      <c r="AF15" s="485">
        <v>0</v>
      </c>
      <c r="AG15" s="485">
        <v>0</v>
      </c>
      <c r="AH15" s="485">
        <v>0</v>
      </c>
      <c r="AI15" s="485">
        <v>0</v>
      </c>
      <c r="AJ15" s="485">
        <v>0</v>
      </c>
      <c r="AK15" s="482"/>
      <c r="AL15" s="482"/>
      <c r="AM15" s="485">
        <v>0</v>
      </c>
      <c r="AN15" s="485">
        <v>0</v>
      </c>
      <c r="AO15" s="485">
        <v>0</v>
      </c>
      <c r="AP15" s="485">
        <v>0</v>
      </c>
      <c r="AQ15" s="485">
        <v>0</v>
      </c>
      <c r="AR15" s="482"/>
      <c r="AS15" s="482"/>
      <c r="AT15" s="485">
        <v>0</v>
      </c>
      <c r="AU15" s="485">
        <v>0</v>
      </c>
      <c r="AV15" s="485">
        <v>0</v>
      </c>
      <c r="AW15" s="485">
        <v>0</v>
      </c>
      <c r="AX15" s="485">
        <v>0</v>
      </c>
      <c r="AY15" s="485"/>
      <c r="AZ15" s="482"/>
      <c r="BA15" s="485">
        <v>0</v>
      </c>
      <c r="BB15" s="485">
        <v>0</v>
      </c>
      <c r="BC15" s="485">
        <v>0</v>
      </c>
      <c r="BD15" s="485">
        <v>0</v>
      </c>
      <c r="BE15" s="485">
        <v>0</v>
      </c>
      <c r="BF15" s="482"/>
      <c r="BG15" s="482"/>
      <c r="BH15" s="485">
        <v>0</v>
      </c>
      <c r="BI15" s="485">
        <v>0</v>
      </c>
      <c r="BJ15" s="485">
        <v>0</v>
      </c>
      <c r="BK15" s="485">
        <v>0</v>
      </c>
      <c r="BL15" s="485">
        <v>0</v>
      </c>
      <c r="BM15" s="482"/>
      <c r="BN15" s="482"/>
      <c r="BO15" s="485">
        <v>0</v>
      </c>
      <c r="BP15" s="485">
        <v>0</v>
      </c>
      <c r="BQ15" s="485">
        <v>0</v>
      </c>
      <c r="BR15" s="485">
        <v>0</v>
      </c>
      <c r="BS15" s="485">
        <v>0</v>
      </c>
      <c r="BT15" s="482"/>
      <c r="BU15" s="482"/>
      <c r="BV15" s="485">
        <v>0</v>
      </c>
      <c r="BW15" s="485">
        <v>0</v>
      </c>
      <c r="BX15" s="485">
        <v>0</v>
      </c>
      <c r="BY15" s="485">
        <v>0</v>
      </c>
      <c r="BZ15" s="485">
        <v>0</v>
      </c>
      <c r="CA15" s="482"/>
      <c r="CB15" s="482"/>
      <c r="CC15" s="485">
        <v>0</v>
      </c>
      <c r="CD15" s="485">
        <v>0</v>
      </c>
      <c r="CE15" s="485">
        <v>0</v>
      </c>
      <c r="CF15" s="485">
        <v>0</v>
      </c>
      <c r="CG15" s="485">
        <v>0</v>
      </c>
      <c r="CH15" s="482"/>
      <c r="CI15" s="482"/>
      <c r="CJ15" s="485">
        <v>0</v>
      </c>
      <c r="CK15" s="485">
        <v>0</v>
      </c>
      <c r="CL15" s="485">
        <v>0</v>
      </c>
      <c r="CM15" s="485">
        <v>0</v>
      </c>
      <c r="CN15" s="485">
        <v>0</v>
      </c>
      <c r="CO15" s="482"/>
      <c r="CP15" s="482"/>
      <c r="CQ15" s="485">
        <v>0</v>
      </c>
      <c r="CR15" s="485">
        <v>0</v>
      </c>
      <c r="CS15" s="485">
        <v>0</v>
      </c>
      <c r="CT15" s="485">
        <v>0</v>
      </c>
      <c r="CU15" s="485">
        <v>0</v>
      </c>
      <c r="CV15" s="482"/>
      <c r="CW15" s="482"/>
      <c r="CX15" s="482"/>
      <c r="CY15" s="482"/>
      <c r="CZ15" s="482"/>
      <c r="DA15" s="482"/>
      <c r="DB15" s="482"/>
      <c r="DC15" s="482"/>
      <c r="DD15" s="482"/>
      <c r="DE15" s="482"/>
      <c r="DF15" s="482"/>
      <c r="DG15" s="482"/>
      <c r="DH15" s="482"/>
      <c r="DI15" s="482"/>
      <c r="DJ15" s="482"/>
      <c r="DK15" s="482"/>
      <c r="DL15" s="482"/>
      <c r="DM15" s="482"/>
      <c r="DN15" s="482"/>
      <c r="DO15" s="482"/>
      <c r="DP15" s="482"/>
      <c r="DQ15" s="482"/>
      <c r="DR15" s="482"/>
      <c r="DS15" s="482"/>
      <c r="DT15" s="482"/>
      <c r="DU15" s="482"/>
      <c r="DV15" s="482"/>
      <c r="DW15" s="482"/>
      <c r="DX15" s="482"/>
      <c r="DY15" s="482"/>
      <c r="DZ15" s="482"/>
      <c r="EA15" s="482"/>
      <c r="EB15" s="482"/>
      <c r="EC15" s="482"/>
      <c r="ED15" s="482"/>
      <c r="EE15" s="482"/>
      <c r="EF15" s="482"/>
      <c r="EG15" s="482"/>
      <c r="EH15" s="482"/>
      <c r="EI15" s="482"/>
      <c r="EJ15" s="482"/>
      <c r="EK15" s="482"/>
      <c r="EL15" s="482"/>
      <c r="EM15" s="482"/>
      <c r="EN15" s="482"/>
      <c r="EO15" s="482"/>
      <c r="EP15" s="482"/>
      <c r="EQ15" s="482"/>
      <c r="ER15" s="482"/>
      <c r="ES15" s="482"/>
      <c r="ET15" s="482"/>
      <c r="EU15" s="482"/>
      <c r="EV15" s="482"/>
      <c r="EW15" s="482"/>
      <c r="EX15" s="482"/>
      <c r="EY15" s="482"/>
      <c r="EZ15" s="482"/>
      <c r="FA15" s="482"/>
      <c r="FB15" s="482"/>
      <c r="FC15" s="482"/>
      <c r="FD15" s="482"/>
      <c r="FE15" s="482"/>
      <c r="FF15" s="482"/>
      <c r="FG15" s="482"/>
      <c r="FH15" s="482"/>
      <c r="FI15" s="482"/>
      <c r="FJ15" s="482"/>
      <c r="FK15" s="482"/>
      <c r="FL15" s="482"/>
      <c r="FM15" s="482"/>
      <c r="FN15" s="482"/>
      <c r="FO15" s="482"/>
      <c r="FP15" s="482"/>
      <c r="FQ15" s="482"/>
      <c r="FR15" s="482"/>
      <c r="FS15" s="482"/>
      <c r="FT15" s="482"/>
      <c r="FU15" s="482"/>
      <c r="FV15" s="482"/>
      <c r="FW15" s="482"/>
      <c r="FX15" s="482"/>
      <c r="FY15" s="482"/>
      <c r="FZ15" s="482"/>
      <c r="GA15" s="482"/>
      <c r="GB15" s="482"/>
      <c r="GC15" s="482"/>
      <c r="GD15" s="482"/>
      <c r="GE15" s="482"/>
      <c r="GF15" s="482"/>
      <c r="GG15" s="482"/>
      <c r="GH15" s="482"/>
      <c r="GI15" s="482"/>
      <c r="GJ15" s="482"/>
      <c r="GK15" s="482"/>
      <c r="GL15" s="482"/>
      <c r="GM15" s="482"/>
      <c r="GN15" s="482"/>
      <c r="GO15" s="482"/>
      <c r="GP15" s="482"/>
      <c r="GQ15" s="482"/>
      <c r="GR15" s="482"/>
      <c r="GS15" s="482"/>
      <c r="GT15" s="482"/>
      <c r="GU15" s="482"/>
      <c r="GV15" s="482"/>
      <c r="GW15" s="482"/>
      <c r="GX15" s="482"/>
      <c r="GY15" s="482"/>
      <c r="GZ15" s="482"/>
      <c r="HA15" s="482"/>
      <c r="HB15" s="482"/>
      <c r="HC15" s="482"/>
      <c r="HD15" s="482"/>
      <c r="HE15" s="482"/>
      <c r="HF15" s="482"/>
      <c r="HG15" s="482"/>
      <c r="HH15" s="482"/>
      <c r="HI15" s="482"/>
      <c r="HJ15" s="482"/>
      <c r="HK15" s="482"/>
      <c r="HL15" s="482"/>
      <c r="HM15" s="482"/>
      <c r="HN15" s="482"/>
      <c r="HO15" s="482"/>
      <c r="HP15" s="482"/>
      <c r="HQ15" s="482"/>
      <c r="HR15" s="482"/>
      <c r="HS15" s="482"/>
      <c r="HT15" s="482"/>
      <c r="HU15" s="482"/>
      <c r="HV15" s="482"/>
      <c r="HW15" s="482"/>
      <c r="HX15" s="482"/>
      <c r="HY15" s="482"/>
      <c r="HZ15" s="482"/>
      <c r="IA15" s="482"/>
      <c r="IB15" s="482"/>
      <c r="IC15" s="482"/>
      <c r="ID15" s="482"/>
      <c r="IE15" s="482"/>
      <c r="IF15" s="482"/>
      <c r="IG15" s="482"/>
      <c r="IH15" s="482"/>
      <c r="II15" s="482"/>
      <c r="IJ15" s="482"/>
      <c r="IK15" s="482"/>
      <c r="IL15" s="482"/>
      <c r="IM15" s="482"/>
      <c r="IN15" s="482"/>
      <c r="IO15" s="482"/>
      <c r="IP15" s="482"/>
      <c r="IQ15" s="482"/>
      <c r="IR15" s="482"/>
      <c r="IS15" s="482"/>
      <c r="IT15" s="482"/>
      <c r="IU15" s="482"/>
      <c r="IV15" s="482"/>
      <c r="IW15" s="482"/>
      <c r="IX15" s="482"/>
      <c r="IY15" s="482"/>
      <c r="IZ15" s="482"/>
      <c r="JA15" s="482"/>
      <c r="JB15" s="482"/>
      <c r="JC15" s="482"/>
      <c r="JD15" s="482"/>
      <c r="JE15" s="482"/>
      <c r="JF15" s="482"/>
      <c r="JG15" s="482"/>
      <c r="JH15" s="482"/>
      <c r="JI15" s="482"/>
      <c r="JJ15" s="482"/>
      <c r="JK15" s="482"/>
      <c r="JL15" s="482"/>
      <c r="JM15" s="482"/>
      <c r="JN15" s="482"/>
      <c r="JO15" s="482"/>
      <c r="JP15" s="482"/>
      <c r="JQ15" s="482"/>
      <c r="JR15" s="482"/>
      <c r="JS15" s="482"/>
      <c r="JT15" s="482"/>
      <c r="JU15" s="482"/>
      <c r="JV15" s="482"/>
      <c r="JW15" s="482"/>
      <c r="JX15" s="482"/>
      <c r="JY15" s="482"/>
      <c r="JZ15" s="482"/>
      <c r="KA15" s="482"/>
      <c r="KB15" s="482"/>
      <c r="KC15" s="482"/>
      <c r="KD15" s="482"/>
      <c r="KE15" s="482"/>
      <c r="KF15" s="482"/>
      <c r="KG15" s="482"/>
      <c r="KH15" s="482"/>
      <c r="KI15" s="482"/>
      <c r="KJ15" s="482"/>
      <c r="KK15" s="482"/>
      <c r="KL15" s="482"/>
      <c r="KM15" s="482"/>
      <c r="KN15" s="482"/>
      <c r="KO15" s="482"/>
      <c r="KP15" s="482"/>
      <c r="KQ15" s="482"/>
      <c r="KR15" s="482"/>
      <c r="KS15" s="482"/>
      <c r="KT15" s="482"/>
      <c r="KU15" s="482"/>
      <c r="KV15" s="482"/>
      <c r="KW15" s="482"/>
      <c r="KX15" s="482"/>
      <c r="KY15" s="482"/>
      <c r="KZ15" s="482"/>
      <c r="LA15" s="482"/>
      <c r="LB15" s="482"/>
      <c r="LC15" s="482"/>
      <c r="LD15" s="482"/>
      <c r="LE15" s="482"/>
      <c r="LF15" s="482"/>
      <c r="LG15" s="482"/>
      <c r="LH15" s="482"/>
      <c r="LI15" s="482"/>
      <c r="LJ15" s="482"/>
      <c r="LK15" s="482"/>
      <c r="LL15" s="482"/>
      <c r="LM15" s="482"/>
      <c r="LN15" s="482"/>
      <c r="LO15" s="482"/>
      <c r="LP15" s="482"/>
      <c r="LQ15" s="482"/>
      <c r="LR15" s="482"/>
      <c r="LS15" s="482"/>
      <c r="LT15" s="482"/>
      <c r="LU15" s="482"/>
      <c r="LV15" s="482"/>
      <c r="LW15" s="482"/>
      <c r="LX15" s="482"/>
      <c r="LY15" s="482"/>
      <c r="LZ15" s="482"/>
      <c r="MA15" s="482"/>
      <c r="MB15" s="482"/>
      <c r="MC15" s="482"/>
      <c r="MD15" s="482"/>
      <c r="ME15" s="482"/>
      <c r="MF15" s="482"/>
      <c r="MG15" s="482"/>
      <c r="MH15" s="482"/>
      <c r="MI15" s="482"/>
      <c r="MJ15" s="482"/>
      <c r="MK15" s="482"/>
      <c r="ML15" s="482"/>
      <c r="MM15" s="482"/>
      <c r="MN15" s="482"/>
      <c r="MO15" s="482"/>
      <c r="MP15" s="482"/>
      <c r="MQ15" s="482"/>
      <c r="MR15" s="482"/>
      <c r="MS15" s="482"/>
      <c r="MT15" s="482"/>
      <c r="MU15" s="482"/>
      <c r="MV15" s="482"/>
      <c r="MW15" s="482"/>
      <c r="MX15" s="482"/>
      <c r="MY15" s="482"/>
      <c r="MZ15" s="482"/>
      <c r="NA15" s="482"/>
      <c r="NB15" s="482"/>
      <c r="NC15" s="482"/>
      <c r="ND15" s="482"/>
      <c r="NE15" s="482"/>
      <c r="NF15" s="482"/>
      <c r="NG15" s="482"/>
      <c r="NH15" s="482"/>
      <c r="NI15" s="482"/>
      <c r="NJ15" s="483"/>
      <c r="NK15" s="34"/>
      <c r="NM15" s="379" t="str">
        <f>NM14&amp;".b"</f>
        <v>932163.b</v>
      </c>
      <c r="NN15" s="371" cm="1">
        <f t="array" aca="1" ref="NN15" ca="1">IF(xcomp(INDIRECT((ADDRESS(ROW(NN14),$I$11+(MATCH(NN$11,L.DATE,0))))&amp;":"&amp;(ADDRESS(ROW(NN14),$I$11+NO$11+(MATCH(NN$11,L.DATE,0))-1))),L.ABSP)=0,"",
xsom(INDIRECT((ADDRESS(ROW(NN14),$I$11+(MATCH(NN$11,L.DATE,0))))&amp;":"&amp;(ADDRESS(ROW(NN14),$I$11+NO$11+(MATCH(NN$11,L.DATE,0))-1))),L.ABSP,
INDIRECT((ADDRESS(ROW(NN14)+1,$I$11+(MATCH(NN$11,L.DATE,0))))&amp;":"&amp;(ADDRESS(ROW(NN14)+1,$I$11+NO$11+(MATCH(NN$11,L.DATE,0))-1)))))</f>
        <v>17</v>
      </c>
      <c r="NO15" s="372" t="str" cm="1">
        <f t="array" aca="1" ref="NO15" ca="1">IF(xcomp(INDIRECT((ADDRESS(ROW(NO14),$I$11+(MATCH(NN$11,L.DATE,0))))&amp;":"&amp;(ADDRESS(ROW(NO14),$I$11+NO$11+(MATCH(NN$11,L.DATE,0))-1))),L.ABS.NP)=0,"",
xsom(INDIRECT((ADDRESS(ROW(NO14),$I$11+(MATCH(NN$11,L.DATE,0))))&amp;":"&amp;(ADDRESS(ROW(NO14),$I$11+NO$11+(MATCH(NN$11,L.DATE,0))-1))),L.ABS.NP,
INDIRECT((ADDRESS(ROW(NO14)+1,$I$11+(MATCH(NN$11,L.DATE,0))))&amp;":"&amp;(ADDRESS(ROW(NO14)+1,$I$11+NO$11+(MATCH(NN$11,L.DATE,0))-1)))))</f>
        <v/>
      </c>
      <c r="NP15" s="376" cm="1">
        <f t="array" aca="1" ref="NP15" ca="1">IF(xcomp(INDIRECT((ADDRESS(ROW(NP14),$I$11+(MATCH(NP$11,L.DATE,0))))&amp;":"&amp;(ADDRESS(ROW(NP14),$I$11+NQ$11+(MATCH(NP$11,L.DATE,0))-1))),L.ABSP)=0,"",
xsom(INDIRECT((ADDRESS(ROW(NP14),$I$11+(MATCH(NP$11,L.DATE,0))))&amp;":"&amp;(ADDRESS(ROW(NP14),$I$11+NQ$11+(MATCH(NP$11,L.DATE,0))-1))),L.ABSP,
INDIRECT((ADDRESS(ROW(NP14)+1,$I$11+(MATCH(NP$11,L.DATE,0))))&amp;":"&amp;(ADDRESS(ROW(NP14)+1,$I$11+NQ$11+(MATCH(NP$11,L.DATE,0))-1)))))</f>
        <v>20</v>
      </c>
      <c r="NQ15" s="377" t="str" cm="1">
        <f t="array" aca="1" ref="NQ15" ca="1">IF(xcomp(INDIRECT((ADDRESS(ROW(NQ14),$I$11+(MATCH(NP$11,L.DATE,0))))&amp;":"&amp;(ADDRESS(ROW(NQ14),$I$11+NQ$11+(MATCH(NP$11,L.DATE,0))-1))),L.ABS.NP)=0,"",
xsom(INDIRECT((ADDRESS(ROW(NQ14),$I$11+(MATCH(NP$11,L.DATE,0))))&amp;":"&amp;(ADDRESS(ROW(NQ14),$I$11+NQ$11+(MATCH(NP$11,L.DATE,0))-1))),L.ABS.NP,
INDIRECT((ADDRESS(ROW(NQ14)+1,$I$11+(MATCH(NP$11,L.DATE,0))))&amp;":"&amp;(ADDRESS(ROW(NQ14)+1,$I$11+NQ$11+(MATCH(NP$11,L.DATE,0))-1)))))</f>
        <v/>
      </c>
      <c r="NR15" s="376" cm="1">
        <f t="array" aca="1" ref="NR15" ca="1">IF(xcomp(INDIRECT((ADDRESS(ROW(NR14),$I$11+(MATCH(NR$11,L.DATE,0))))&amp;":"&amp;(ADDRESS(ROW(NR14),$I$11+NS$11+(MATCH(NR$11,L.DATE,0))-1))),L.ABSP)=0,"",
xsom(INDIRECT((ADDRESS(ROW(NR14),$I$11+(MATCH(NR$11,L.DATE,0))))&amp;":"&amp;(ADDRESS(ROW(NR14),$I$11+NS$11+(MATCH(NR$11,L.DATE,0))-1))),L.ABSP,
INDIRECT((ADDRESS(ROW(NR14)+1,$I$11+(MATCH(NR$11,L.DATE,0))))&amp;":"&amp;(ADDRESS(ROW(NR14)+1,$I$11+NS$11+(MATCH(NR$11,L.DATE,0))-1)))))</f>
        <v>23</v>
      </c>
      <c r="NS15" s="377" t="str" cm="1">
        <f t="array" aca="1" ref="NS15" ca="1">IF(xcomp(INDIRECT((ADDRESS(ROW(NS14),$I$11+(MATCH(NR$11,L.DATE,0))))&amp;":"&amp;(ADDRESS(ROW(NS14),$I$11+NS$11+(MATCH(NR$11,L.DATE,0))-1))),L.ABS.NP)=0,"",
xsom(INDIRECT((ADDRESS(ROW(NS14),$I$11+(MATCH(NR$11,L.DATE,0))))&amp;":"&amp;(ADDRESS(ROW(NS14),$I$11+NS$11+(MATCH(NR$11,L.DATE,0))-1))),L.ABS.NP,
INDIRECT((ADDRESS(ROW(NS14)+1,$I$11+(MATCH(NR$11,L.DATE,0))))&amp;":"&amp;(ADDRESS(ROW(NS14)+1,$I$11+NS$11+(MATCH(NR$11,L.DATE,0))-1)))))</f>
        <v/>
      </c>
      <c r="NT15" s="376" t="str" cm="1">
        <f t="array" aca="1" ref="NT15" ca="1">IF(xcomp(INDIRECT((ADDRESS(ROW(NT14),$I$11+(MATCH(NT$11,L.DATE,0))))&amp;":"&amp;(ADDRESS(ROW(NT14),$I$11+NU$11+(MATCH(NT$11,L.DATE,0))-1))),L.ABSP)=0,"",
xsom(INDIRECT((ADDRESS(ROW(NT14),$I$11+(MATCH(NT$11,L.DATE,0))))&amp;":"&amp;(ADDRESS(ROW(NT14),$I$11+NU$11+(MATCH(NT$11,L.DATE,0))-1))),L.ABSP,
INDIRECT((ADDRESS(ROW(NT14)+1,$I$11+(MATCH(NT$11,L.DATE,0))))&amp;":"&amp;(ADDRESS(ROW(NT14)+1,$I$11+NU$11+(MATCH(NT$11,L.DATE,0))-1)))))</f>
        <v/>
      </c>
      <c r="NU15" s="377" t="str" cm="1">
        <f t="array" aca="1" ref="NU15" ca="1">IF(xcomp(INDIRECT((ADDRESS(ROW(NU14),$I$11+(MATCH(NT$11,L.DATE,0))))&amp;":"&amp;(ADDRESS(ROW(NU14),$I$11+NU$11+(MATCH(NT$11,L.DATE,0))-1))),L.ABS.NP)=0,"",
xsom(INDIRECT((ADDRESS(ROW(NU14),$I$11+(MATCH(NT$11,L.DATE,0))))&amp;":"&amp;(ADDRESS(ROW(NU14),$I$11+NU$11+(MATCH(NT$11,L.DATE,0))-1))),L.ABS.NP,
INDIRECT((ADDRESS(ROW(NU14)+1,$I$11+(MATCH(NT$11,L.DATE,0))))&amp;":"&amp;(ADDRESS(ROW(NU14)+1,$I$11+NU$11+(MATCH(NT$11,L.DATE,0))-1)))))</f>
        <v/>
      </c>
      <c r="NV15" s="376" t="str" cm="1">
        <f t="array" aca="1" ref="NV15" ca="1">IF(xcomp(INDIRECT((ADDRESS(ROW(NV14),$I$11+(MATCH(NV$11,L.DATE,0))))&amp;":"&amp;(ADDRESS(ROW(NV14),$I$11+NW$11+(MATCH(NV$11,L.DATE,0))-1))),L.ABSP)=0,"",
xsom(INDIRECT((ADDRESS(ROW(NV14),$I$11+(MATCH(NV$11,L.DATE,0))))&amp;":"&amp;(ADDRESS(ROW(NV14),$I$11+NW$11+(MATCH(NV$11,L.DATE,0))-1))),L.ABSP,
INDIRECT((ADDRESS(ROW(NV14)+1,$I$11+(MATCH(NV$11,L.DATE,0))))&amp;":"&amp;(ADDRESS(ROW(NV14)+1,$I$11+NW$11+(MATCH(NV$11,L.DATE,0))-1)))))</f>
        <v/>
      </c>
      <c r="NW15" s="377" t="str" cm="1">
        <f t="array" aca="1" ref="NW15" ca="1">IF(xcomp(INDIRECT((ADDRESS(ROW(NW14),$I$11+(MATCH(NV$11,L.DATE,0))))&amp;":"&amp;(ADDRESS(ROW(NW14),$I$11+NW$11+(MATCH(NV$11,L.DATE,0))-1))),L.ABS.NP)=0,"",
xsom(INDIRECT((ADDRESS(ROW(NW14),$I$11+(MATCH(NV$11,L.DATE,0))))&amp;":"&amp;(ADDRESS(ROW(NW14),$I$11+NW$11+(MATCH(NV$11,L.DATE,0))-1))),L.ABS.NP,
INDIRECT((ADDRESS(ROW(NW14)+1,$I$11+(MATCH(NV$11,L.DATE,0))))&amp;":"&amp;(ADDRESS(ROW(NW14)+1,$I$11+NW$11+(MATCH(NV$11,L.DATE,0))-1)))))</f>
        <v/>
      </c>
      <c r="NX15" s="376" t="str" cm="1">
        <f t="array" aca="1" ref="NX15" ca="1">IF(xcomp(INDIRECT((ADDRESS(ROW(NX14),$I$11+(MATCH(NX$11,L.DATE,0))))&amp;":"&amp;(ADDRESS(ROW(NX14),$I$11+NY$11+(MATCH(NX$11,L.DATE,0))-1))),L.ABSP)=0,"",
xsom(INDIRECT((ADDRESS(ROW(NX14),$I$11+(MATCH(NX$11,L.DATE,0))))&amp;":"&amp;(ADDRESS(ROW(NX14),$I$11+NY$11+(MATCH(NX$11,L.DATE,0))-1))),L.ABSP,
INDIRECT((ADDRESS(ROW(NX14)+1,$I$11+(MATCH(NX$11,L.DATE,0))))&amp;":"&amp;(ADDRESS(ROW(NX14)+1,$I$11+NY$11+(MATCH(NX$11,L.DATE,0))-1)))))</f>
        <v/>
      </c>
      <c r="NY15" s="377" t="str" cm="1">
        <f t="array" aca="1" ref="NY15" ca="1">IF(xcomp(INDIRECT((ADDRESS(ROW(NY14),$I$11+(MATCH(NX$11,L.DATE,0))))&amp;":"&amp;(ADDRESS(ROW(NY14),$I$11+NY$11+(MATCH(NX$11,L.DATE,0))-1))),L.ABS.NP)=0,"",
xsom(INDIRECT((ADDRESS(ROW(NY14),$I$11+(MATCH(NX$11,L.DATE,0))))&amp;":"&amp;(ADDRESS(ROW(NY14),$I$11+NY$11+(MATCH(NX$11,L.DATE,0))-1))),L.ABS.NP,
INDIRECT((ADDRESS(ROW(NY14)+1,$I$11+(MATCH(NX$11,L.DATE,0))))&amp;":"&amp;(ADDRESS(ROW(NY14)+1,$I$11+NY$11+(MATCH(NX$11,L.DATE,0))-1)))))</f>
        <v/>
      </c>
      <c r="NZ15" s="376" t="str" cm="1">
        <f t="array" aca="1" ref="NZ15" ca="1">IF(xcomp(INDIRECT((ADDRESS(ROW(NZ14),$I$11+(MATCH(NZ$11,L.DATE,0))))&amp;":"&amp;(ADDRESS(ROW(NZ14),$I$11+OA$11+(MATCH(NZ$11,L.DATE,0))-1))),L.ABSP)=0,"",
xsom(INDIRECT((ADDRESS(ROW(NZ14),$I$11+(MATCH(NZ$11,L.DATE,0))))&amp;":"&amp;(ADDRESS(ROW(NZ14),$I$11+OA$11+(MATCH(NZ$11,L.DATE,0))-1))),L.ABSP,
INDIRECT((ADDRESS(ROW(NZ14)+1,$I$11+(MATCH(NZ$11,L.DATE,0))))&amp;":"&amp;(ADDRESS(ROW(NZ14)+1,$I$11+OA$11+(MATCH(NZ$11,L.DATE,0))-1)))))</f>
        <v/>
      </c>
      <c r="OA15" s="377" t="str" cm="1">
        <f t="array" aca="1" ref="OA15" ca="1">IF(xcomp(INDIRECT((ADDRESS(ROW(OA14),$I$11+(MATCH(NZ$11,L.DATE,0))))&amp;":"&amp;(ADDRESS(ROW(OA14),$I$11+OA$11+(MATCH(NZ$11,L.DATE,0))-1))),L.ABS.NP)=0,"",
xsom(INDIRECT((ADDRESS(ROW(OA14),$I$11+(MATCH(NZ$11,L.DATE,0))))&amp;":"&amp;(ADDRESS(ROW(OA14),$I$11+OA$11+(MATCH(NZ$11,L.DATE,0))-1))),L.ABS.NP,
INDIRECT((ADDRESS(ROW(OA14)+1,$I$11+(MATCH(NZ$11,L.DATE,0))))&amp;":"&amp;(ADDRESS(ROW(OA14)+1,$I$11+OA$11+(MATCH(NZ$11,L.DATE,0))-1)))))</f>
        <v/>
      </c>
      <c r="OB15" s="376" t="str" cm="1">
        <f t="array" aca="1" ref="OB15" ca="1">IF(xcomp(INDIRECT((ADDRESS(ROW(OB14),$I$11+(MATCH(OB$11,L.DATE,0))))&amp;":"&amp;(ADDRESS(ROW(OB14),$I$11+OC$11+(MATCH(OB$11,L.DATE,0))-1))),L.ABSP)=0,"",
xsom(INDIRECT((ADDRESS(ROW(OB14),$I$11+(MATCH(OB$11,L.DATE,0))))&amp;":"&amp;(ADDRESS(ROW(OB14),$I$11+OC$11+(MATCH(OB$11,L.DATE,0))-1))),L.ABSP,
INDIRECT((ADDRESS(ROW(OB14)+1,$I$11+(MATCH(OB$11,L.DATE,0))))&amp;":"&amp;(ADDRESS(ROW(OB14)+1,$I$11+OC$11+(MATCH(OB$11,L.DATE,0))-1)))))</f>
        <v/>
      </c>
      <c r="OC15" s="377" t="str" cm="1">
        <f t="array" aca="1" ref="OC15" ca="1">IF(xcomp(INDIRECT((ADDRESS(ROW(OC14),$I$11+(MATCH(OB$11,L.DATE,0))))&amp;":"&amp;(ADDRESS(ROW(OC14),$I$11+OC$11+(MATCH(OB$11,L.DATE,0))-1))),L.ABS.NP)=0,"",
xsom(INDIRECT((ADDRESS(ROW(OC14),$I$11+(MATCH(OB$11,L.DATE,0))))&amp;":"&amp;(ADDRESS(ROW(OC14),$I$11+OC$11+(MATCH(OB$11,L.DATE,0))-1))),L.ABS.NP,
INDIRECT((ADDRESS(ROW(OC14)+1,$I$11+(MATCH(OB$11,L.DATE,0))))&amp;":"&amp;(ADDRESS(ROW(OC14)+1,$I$11+OC$11+(MATCH(OB$11,L.DATE,0))-1)))))</f>
        <v/>
      </c>
      <c r="OD15" s="376" t="str" cm="1">
        <f t="array" aca="1" ref="OD15" ca="1">IF(xcomp(INDIRECT((ADDRESS(ROW(OD14),$I$11+(MATCH(OD$11,L.DATE,0))))&amp;":"&amp;(ADDRESS(ROW(OD14),$I$11+OE$11+(MATCH(OD$11,L.DATE,0))-1))),L.ABSP)=0,"",
xsom(INDIRECT((ADDRESS(ROW(OD14),$I$11+(MATCH(OD$11,L.DATE,0))))&amp;":"&amp;(ADDRESS(ROW(OD14),$I$11+OE$11+(MATCH(OD$11,L.DATE,0))-1))),L.ABSP,
INDIRECT((ADDRESS(ROW(OD14)+1,$I$11+(MATCH(OD$11,L.DATE,0))))&amp;":"&amp;(ADDRESS(ROW(OD14)+1,$I$11+OE$11+(MATCH(OD$11,L.DATE,0))-1)))))</f>
        <v/>
      </c>
      <c r="OE15" s="377" t="str" cm="1">
        <f t="array" aca="1" ref="OE15" ca="1">IF(xcomp(INDIRECT((ADDRESS(ROW(OE14),$I$11+(MATCH(OD$11,L.DATE,0))))&amp;":"&amp;(ADDRESS(ROW(OE14),$I$11+OE$11+(MATCH(OD$11,L.DATE,0))-1))),L.ABS.NP)=0,"",
xsom(INDIRECT((ADDRESS(ROW(OE14),$I$11+(MATCH(OD$11,L.DATE,0))))&amp;":"&amp;(ADDRESS(ROW(OE14),$I$11+OE$11+(MATCH(OD$11,L.DATE,0))-1))),L.ABS.NP,
INDIRECT((ADDRESS(ROW(OE14)+1,$I$11+(MATCH(OD$11,L.DATE,0))))&amp;":"&amp;(ADDRESS(ROW(OE14)+1,$I$11+OE$11+(MATCH(OD$11,L.DATE,0))-1)))))</f>
        <v/>
      </c>
      <c r="OF15" s="376" t="str" cm="1">
        <f t="array" aca="1" ref="OF15" ca="1">IF(xcomp(INDIRECT((ADDRESS(ROW(OF14),$I$11+(MATCH(OF$11,L.DATE,0))))&amp;":"&amp;(ADDRESS(ROW(OF14),$I$11+OG$11+(MATCH(OF$11,L.DATE,0))-1))),L.ABSP)=0,"",
xsom(INDIRECT((ADDRESS(ROW(OF14),$I$11+(MATCH(OF$11,L.DATE,0))))&amp;":"&amp;(ADDRESS(ROW(OF14),$I$11+OG$11+(MATCH(OF$11,L.DATE,0))-1))),L.ABSP,
INDIRECT((ADDRESS(ROW(OF14)+1,$I$11+(MATCH(OF$11,L.DATE,0))))&amp;":"&amp;(ADDRESS(ROW(OF14)+1,$I$11+OG$11+(MATCH(OF$11,L.DATE,0))-1)))))</f>
        <v/>
      </c>
      <c r="OG15" s="377" t="str" cm="1">
        <f t="array" aca="1" ref="OG15" ca="1">IF(xcomp(INDIRECT((ADDRESS(ROW(OG14),$I$11+(MATCH(OF$11,L.DATE,0))))&amp;":"&amp;(ADDRESS(ROW(OG14),$I$11+OG$11+(MATCH(OF$11,L.DATE,0))-1))),L.ABS.NP)=0,"",
xsom(INDIRECT((ADDRESS(ROW(OG14),$I$11+(MATCH(OF$11,L.DATE,0))))&amp;":"&amp;(ADDRESS(ROW(OG14),$I$11+OG$11+(MATCH(OF$11,L.DATE,0))-1))),L.ABS.NP,
INDIRECT((ADDRESS(ROW(OG14)+1,$I$11+(MATCH(OF$11,L.DATE,0))))&amp;":"&amp;(ADDRESS(ROW(OG14)+1,$I$11+OG$11+(MATCH(OF$11,L.DATE,0))-1)))))</f>
        <v/>
      </c>
      <c r="OH15" s="376" t="str" cm="1">
        <f t="array" aca="1" ref="OH15" ca="1">IF(xcomp(INDIRECT((ADDRESS(ROW(OH14),$I$11+(MATCH(OH$11,L.DATE,0))))&amp;":"&amp;(ADDRESS(ROW(OH14),$I$11+OI$11+(MATCH(OH$11,L.DATE,0))-1))),L.ABSP)=0,"",
xsom(INDIRECT((ADDRESS(ROW(OH14),$I$11+(MATCH(OH$11,L.DATE,0))))&amp;":"&amp;(ADDRESS(ROW(OH14),$I$11+OI$11+(MATCH(OH$11,L.DATE,0))-1))),L.ABSP,
INDIRECT((ADDRESS(ROW(OH14)+1,$I$11+(MATCH(OH$11,L.DATE,0))))&amp;":"&amp;(ADDRESS(ROW(OH14)+1,$I$11+OI$11+(MATCH(OH$11,L.DATE,0))-1)))))</f>
        <v/>
      </c>
      <c r="OI15" s="377" t="str" cm="1">
        <f t="array" aca="1" ref="OI15" ca="1">IF(xcomp(INDIRECT((ADDRESS(ROW(OI14),$I$11+(MATCH(OH$11,L.DATE,0))))&amp;":"&amp;(ADDRESS(ROW(OI14),$I$11+OI$11+(MATCH(OH$11,L.DATE,0))-1))),L.ABS.NP)=0,"",
xsom(INDIRECT((ADDRESS(ROW(OI14),$I$11+(MATCH(OH$11,L.DATE,0))))&amp;":"&amp;(ADDRESS(ROW(OI14),$I$11+OI$11+(MATCH(OH$11,L.DATE,0))-1))),L.ABS.NP,
INDIRECT((ADDRESS(ROW(OI14)+1,$I$11+(MATCH(OH$11,L.DATE,0))))&amp;":"&amp;(ADDRESS(ROW(OI14)+1,$I$11+OI$11+(MATCH(OH$11,L.DATE,0))-1)))))</f>
        <v/>
      </c>
      <c r="OJ15" s="376" t="str" cm="1">
        <f t="array" aca="1" ref="OJ15" ca="1">IF(xcomp(INDIRECT((ADDRESS(ROW(OJ14),$I$11+(MATCH(OJ$11,L.DATE,0))))&amp;":"&amp;(ADDRESS(ROW(OJ14),$I$11+OK$11+(MATCH(OJ$11,L.DATE,0))-1))),L.ABSP)=0,"",
xsom(INDIRECT((ADDRESS(ROW(OJ14),$I$11+(MATCH(OJ$11,L.DATE,0))))&amp;":"&amp;(ADDRESS(ROW(OJ14),$I$11+OK$11+(MATCH(OJ$11,L.DATE,0))-1))),L.ABSP,
INDIRECT((ADDRESS(ROW(OJ14)+1,$I$11+(MATCH(OJ$11,L.DATE,0))))&amp;":"&amp;(ADDRESS(ROW(OJ14)+1,$I$11+OK$11+(MATCH(OJ$11,L.DATE,0))-1)))))</f>
        <v/>
      </c>
      <c r="OK15" s="378" t="str" cm="1">
        <f t="array" aca="1" ref="OK15" ca="1">IF(xcomp(INDIRECT((ADDRESS(ROW(OK14),$I$11+(MATCH(OJ$11,L.DATE,0))))&amp;":"&amp;(ADDRESS(ROW(OK14),$I$11+OK$11+(MATCH(OJ$11,L.DATE,0))-1))),L.ABS.NP)=0,"",
xsom(INDIRECT((ADDRESS(ROW(OK14),$I$11+(MATCH(OJ$11,L.DATE,0))))&amp;":"&amp;(ADDRESS(ROW(OK14),$I$11+OK$11+(MATCH(OJ$11,L.DATE,0))-1))),L.ABS.NP,
INDIRECT((ADDRESS(ROW(OK14)+1,$I$11+(MATCH(OJ$11,L.DATE,0))))&amp;":"&amp;(ADDRESS(ROW(OK14)+1,$I$11+OK$11+(MATCH(OJ$11,L.DATE,0))-1)))))</f>
        <v/>
      </c>
    </row>
    <row r="16" spans="1:404" ht="12" customHeight="1" x14ac:dyDescent="0.3">
      <c r="A16" s="394">
        <v>504394</v>
      </c>
      <c r="B16" s="381" t="s">
        <v>488</v>
      </c>
      <c r="C16" s="53">
        <v>1</v>
      </c>
      <c r="D16" s="392" t="s">
        <v>18</v>
      </c>
      <c r="E16" s="392" t="s">
        <v>484</v>
      </c>
      <c r="F16" s="392" t="s">
        <v>13</v>
      </c>
      <c r="G16" s="104" t="s">
        <v>487</v>
      </c>
      <c r="H16" s="108">
        <v>1</v>
      </c>
      <c r="I16" s="28"/>
      <c r="J16" s="482"/>
      <c r="K16" s="482"/>
      <c r="L16" s="482"/>
      <c r="M16" s="482"/>
      <c r="N16" s="482"/>
      <c r="O16" s="482"/>
      <c r="P16" s="482"/>
      <c r="Q16" s="482"/>
      <c r="R16" s="482"/>
      <c r="S16" s="482"/>
      <c r="T16" s="482"/>
      <c r="U16" s="482"/>
      <c r="V16" s="482"/>
      <c r="W16" s="482"/>
      <c r="X16" s="482"/>
      <c r="Y16" s="482"/>
      <c r="Z16" s="482"/>
      <c r="AA16" s="482"/>
      <c r="AB16" s="482"/>
      <c r="AC16" s="482"/>
      <c r="AD16" s="482"/>
      <c r="AE16" s="482"/>
      <c r="AF16" s="482"/>
      <c r="AG16" s="482"/>
      <c r="AH16" s="482"/>
      <c r="AI16" s="482"/>
      <c r="AJ16" s="482"/>
      <c r="AK16" s="482"/>
      <c r="AL16" s="482"/>
      <c r="AM16" s="482"/>
      <c r="AN16" s="482"/>
      <c r="AO16" s="482"/>
      <c r="AP16" s="482"/>
      <c r="AQ16" s="482"/>
      <c r="AR16" s="482"/>
      <c r="AS16" s="482"/>
      <c r="AT16" s="484" t="s">
        <v>27</v>
      </c>
      <c r="AU16" s="484" t="s">
        <v>27</v>
      </c>
      <c r="AV16" s="484" t="s">
        <v>27</v>
      </c>
      <c r="AW16" s="484" t="s">
        <v>27</v>
      </c>
      <c r="AX16" s="484" t="s">
        <v>27</v>
      </c>
      <c r="AY16" s="482"/>
      <c r="AZ16" s="482"/>
      <c r="BA16" s="144" t="s">
        <v>150</v>
      </c>
      <c r="BB16" s="144" t="s">
        <v>150</v>
      </c>
      <c r="BC16" s="144" t="s">
        <v>150</v>
      </c>
      <c r="BD16" s="144" t="s">
        <v>150</v>
      </c>
      <c r="BE16" s="144" t="s">
        <v>150</v>
      </c>
      <c r="BF16" s="482"/>
      <c r="BG16" s="482"/>
      <c r="BH16" s="484" t="s">
        <v>27</v>
      </c>
      <c r="BI16" s="484" t="s">
        <v>27</v>
      </c>
      <c r="BJ16" s="484" t="s">
        <v>27</v>
      </c>
      <c r="BK16" s="484" t="s">
        <v>27</v>
      </c>
      <c r="BL16" s="484" t="s">
        <v>27</v>
      </c>
      <c r="BM16" s="482"/>
      <c r="BN16" s="482"/>
      <c r="BO16" s="484" t="s">
        <v>27</v>
      </c>
      <c r="BP16" s="484" t="s">
        <v>27</v>
      </c>
      <c r="BQ16" s="484" t="s">
        <v>27</v>
      </c>
      <c r="BR16" s="484" t="s">
        <v>27</v>
      </c>
      <c r="BS16" s="484" t="s">
        <v>27</v>
      </c>
      <c r="BT16" s="482"/>
      <c r="BU16" s="482"/>
      <c r="BV16" s="484" t="s">
        <v>27</v>
      </c>
      <c r="BW16" s="484" t="s">
        <v>27</v>
      </c>
      <c r="BX16" s="484" t="s">
        <v>27</v>
      </c>
      <c r="BY16" s="484" t="s">
        <v>27</v>
      </c>
      <c r="BZ16" s="484" t="s">
        <v>27</v>
      </c>
      <c r="CA16" s="482"/>
      <c r="CB16" s="482"/>
      <c r="CC16" s="484" t="s">
        <v>27</v>
      </c>
      <c r="CD16" s="484" t="s">
        <v>27</v>
      </c>
      <c r="CE16" s="484" t="s">
        <v>27</v>
      </c>
      <c r="CF16" s="484" t="s">
        <v>27</v>
      </c>
      <c r="CG16" s="484" t="s">
        <v>27</v>
      </c>
      <c r="CH16" s="482"/>
      <c r="CI16" s="482"/>
      <c r="CJ16" s="484" t="s">
        <v>27</v>
      </c>
      <c r="CK16" s="484" t="s">
        <v>27</v>
      </c>
      <c r="CL16" s="484" t="s">
        <v>27</v>
      </c>
      <c r="CM16" s="484" t="s">
        <v>27</v>
      </c>
      <c r="CN16" s="484" t="s">
        <v>27</v>
      </c>
      <c r="CO16" s="482"/>
      <c r="CP16" s="482"/>
      <c r="CQ16" s="484" t="s">
        <v>27</v>
      </c>
      <c r="CR16" s="484" t="s">
        <v>27</v>
      </c>
      <c r="CS16" s="484" t="s">
        <v>27</v>
      </c>
      <c r="CT16" s="484" t="s">
        <v>27</v>
      </c>
      <c r="CU16" s="484" t="s">
        <v>27</v>
      </c>
      <c r="CV16" s="482"/>
      <c r="CW16" s="482"/>
      <c r="CX16" s="482"/>
      <c r="CY16" s="482"/>
      <c r="CZ16" s="482"/>
      <c r="DA16" s="482"/>
      <c r="DB16" s="482"/>
      <c r="DC16" s="482"/>
      <c r="DD16" s="482"/>
      <c r="DE16" s="482"/>
      <c r="DF16" s="482"/>
      <c r="DG16" s="482"/>
      <c r="DH16" s="482"/>
      <c r="DI16" s="482"/>
      <c r="DJ16" s="482"/>
      <c r="DK16" s="482"/>
      <c r="DL16" s="482"/>
      <c r="DM16" s="482"/>
      <c r="DN16" s="482"/>
      <c r="DO16" s="482"/>
      <c r="DP16" s="482"/>
      <c r="DQ16" s="482"/>
      <c r="DR16" s="482"/>
      <c r="DS16" s="482"/>
      <c r="DT16" s="482"/>
      <c r="DU16" s="482"/>
      <c r="DV16" s="482"/>
      <c r="DW16" s="482"/>
      <c r="DX16" s="482"/>
      <c r="DY16" s="482"/>
      <c r="DZ16" s="482"/>
      <c r="EA16" s="482"/>
      <c r="EB16" s="482"/>
      <c r="EC16" s="482"/>
      <c r="ED16" s="482"/>
      <c r="EE16" s="482"/>
      <c r="EF16" s="482"/>
      <c r="EG16" s="482"/>
      <c r="EH16" s="482"/>
      <c r="EI16" s="482"/>
      <c r="EJ16" s="482"/>
      <c r="EK16" s="482"/>
      <c r="EL16" s="482"/>
      <c r="EM16" s="482"/>
      <c r="EN16" s="482"/>
      <c r="EO16" s="482"/>
      <c r="EP16" s="482"/>
      <c r="EQ16" s="482"/>
      <c r="ER16" s="482"/>
      <c r="ES16" s="482"/>
      <c r="ET16" s="482"/>
      <c r="EU16" s="482"/>
      <c r="EV16" s="482"/>
      <c r="EW16" s="482"/>
      <c r="EX16" s="482"/>
      <c r="EY16" s="482"/>
      <c r="EZ16" s="482"/>
      <c r="FA16" s="482"/>
      <c r="FB16" s="482"/>
      <c r="FC16" s="482"/>
      <c r="FD16" s="482"/>
      <c r="FE16" s="482"/>
      <c r="FF16" s="482"/>
      <c r="FG16" s="482"/>
      <c r="FH16" s="482"/>
      <c r="FI16" s="482"/>
      <c r="FJ16" s="482"/>
      <c r="FK16" s="482"/>
      <c r="FL16" s="482"/>
      <c r="FM16" s="482"/>
      <c r="FN16" s="482"/>
      <c r="FO16" s="482"/>
      <c r="FP16" s="482"/>
      <c r="FQ16" s="482"/>
      <c r="FR16" s="482"/>
      <c r="FS16" s="482"/>
      <c r="FT16" s="482"/>
      <c r="FU16" s="482"/>
      <c r="FV16" s="482"/>
      <c r="FW16" s="482"/>
      <c r="FX16" s="482"/>
      <c r="FY16" s="482"/>
      <c r="FZ16" s="482"/>
      <c r="GA16" s="482"/>
      <c r="GB16" s="482"/>
      <c r="GC16" s="482"/>
      <c r="GD16" s="482"/>
      <c r="GE16" s="482"/>
      <c r="GF16" s="482"/>
      <c r="GG16" s="482"/>
      <c r="GH16" s="482"/>
      <c r="GI16" s="482"/>
      <c r="GJ16" s="482"/>
      <c r="GK16" s="482"/>
      <c r="GL16" s="482"/>
      <c r="GM16" s="482"/>
      <c r="GN16" s="482"/>
      <c r="GO16" s="482"/>
      <c r="GP16" s="482"/>
      <c r="GQ16" s="482"/>
      <c r="GR16" s="482"/>
      <c r="GS16" s="482"/>
      <c r="GT16" s="482"/>
      <c r="GU16" s="482"/>
      <c r="GV16" s="482"/>
      <c r="GW16" s="482"/>
      <c r="GX16" s="482"/>
      <c r="GY16" s="482"/>
      <c r="GZ16" s="482"/>
      <c r="HA16" s="482"/>
      <c r="HB16" s="482"/>
      <c r="HC16" s="482"/>
      <c r="HD16" s="482"/>
      <c r="HE16" s="482"/>
      <c r="HF16" s="482"/>
      <c r="HG16" s="482"/>
      <c r="HH16" s="482"/>
      <c r="HI16" s="482"/>
      <c r="HJ16" s="482"/>
      <c r="HK16" s="482"/>
      <c r="HL16" s="482"/>
      <c r="HM16" s="482"/>
      <c r="HN16" s="482"/>
      <c r="HO16" s="482"/>
      <c r="HP16" s="482"/>
      <c r="HQ16" s="482"/>
      <c r="HR16" s="482"/>
      <c r="HS16" s="482"/>
      <c r="HT16" s="482"/>
      <c r="HU16" s="482"/>
      <c r="HV16" s="482"/>
      <c r="HW16" s="482"/>
      <c r="HX16" s="482"/>
      <c r="HY16" s="482"/>
      <c r="HZ16" s="482"/>
      <c r="IA16" s="482"/>
      <c r="IB16" s="482"/>
      <c r="IC16" s="482"/>
      <c r="ID16" s="482"/>
      <c r="IE16" s="482"/>
      <c r="IF16" s="482"/>
      <c r="IG16" s="482"/>
      <c r="IH16" s="482"/>
      <c r="II16" s="482"/>
      <c r="IJ16" s="482"/>
      <c r="IK16" s="482"/>
      <c r="IL16" s="482"/>
      <c r="IM16" s="482"/>
      <c r="IN16" s="482"/>
      <c r="IO16" s="482"/>
      <c r="IP16" s="482"/>
      <c r="IQ16" s="482"/>
      <c r="IR16" s="482"/>
      <c r="IS16" s="482"/>
      <c r="IT16" s="482"/>
      <c r="IU16" s="482"/>
      <c r="IV16" s="482"/>
      <c r="IW16" s="482"/>
      <c r="IX16" s="482"/>
      <c r="IY16" s="482"/>
      <c r="IZ16" s="482"/>
      <c r="JA16" s="482"/>
      <c r="JB16" s="482"/>
      <c r="JC16" s="482"/>
      <c r="JD16" s="482"/>
      <c r="JE16" s="482"/>
      <c r="JF16" s="482"/>
      <c r="JG16" s="482"/>
      <c r="JH16" s="482"/>
      <c r="JI16" s="482"/>
      <c r="JJ16" s="482"/>
      <c r="JK16" s="482"/>
      <c r="JL16" s="482"/>
      <c r="JM16" s="482"/>
      <c r="JN16" s="482"/>
      <c r="JO16" s="482"/>
      <c r="JP16" s="482"/>
      <c r="JQ16" s="482"/>
      <c r="JR16" s="482"/>
      <c r="JS16" s="482"/>
      <c r="JT16" s="482"/>
      <c r="JU16" s="482"/>
      <c r="JV16" s="482"/>
      <c r="JW16" s="482"/>
      <c r="JX16" s="482"/>
      <c r="JY16" s="482"/>
      <c r="JZ16" s="482"/>
      <c r="KA16" s="482"/>
      <c r="KB16" s="482"/>
      <c r="KC16" s="482"/>
      <c r="KD16" s="482"/>
      <c r="KE16" s="482"/>
      <c r="KF16" s="482"/>
      <c r="KG16" s="482"/>
      <c r="KH16" s="482"/>
      <c r="KI16" s="482"/>
      <c r="KJ16" s="482"/>
      <c r="KK16" s="482"/>
      <c r="KL16" s="482"/>
      <c r="KM16" s="482"/>
      <c r="KN16" s="482"/>
      <c r="KO16" s="482"/>
      <c r="KP16" s="482"/>
      <c r="KQ16" s="482"/>
      <c r="KR16" s="482"/>
      <c r="KS16" s="482"/>
      <c r="KT16" s="482"/>
      <c r="KU16" s="482"/>
      <c r="KV16" s="482"/>
      <c r="KW16" s="482"/>
      <c r="KX16" s="482"/>
      <c r="KY16" s="482"/>
      <c r="KZ16" s="482"/>
      <c r="LA16" s="482"/>
      <c r="LB16" s="482"/>
      <c r="LC16" s="482"/>
      <c r="LD16" s="482"/>
      <c r="LE16" s="482"/>
      <c r="LF16" s="482"/>
      <c r="LG16" s="482"/>
      <c r="LH16" s="482"/>
      <c r="LI16" s="482"/>
      <c r="LJ16" s="482"/>
      <c r="LK16" s="482"/>
      <c r="LL16" s="482"/>
      <c r="LM16" s="482"/>
      <c r="LN16" s="482"/>
      <c r="LO16" s="482"/>
      <c r="LP16" s="482"/>
      <c r="LQ16" s="482"/>
      <c r="LR16" s="482"/>
      <c r="LS16" s="482"/>
      <c r="LT16" s="482"/>
      <c r="LU16" s="482"/>
      <c r="LV16" s="482"/>
      <c r="LW16" s="482"/>
      <c r="LX16" s="482"/>
      <c r="LY16" s="482"/>
      <c r="LZ16" s="482"/>
      <c r="MA16" s="482"/>
      <c r="MB16" s="482"/>
      <c r="MC16" s="482"/>
      <c r="MD16" s="482"/>
      <c r="ME16" s="482"/>
      <c r="MF16" s="482"/>
      <c r="MG16" s="482"/>
      <c r="MH16" s="482"/>
      <c r="MI16" s="482"/>
      <c r="MJ16" s="482"/>
      <c r="MK16" s="482"/>
      <c r="ML16" s="482"/>
      <c r="MM16" s="482"/>
      <c r="MN16" s="482"/>
      <c r="MO16" s="482"/>
      <c r="MP16" s="482"/>
      <c r="MQ16" s="482"/>
      <c r="MR16" s="482"/>
      <c r="MS16" s="482"/>
      <c r="MT16" s="482"/>
      <c r="MU16" s="482"/>
      <c r="MV16" s="482"/>
      <c r="MW16" s="482"/>
      <c r="MX16" s="482"/>
      <c r="MY16" s="482"/>
      <c r="MZ16" s="482"/>
      <c r="NA16" s="482"/>
      <c r="NB16" s="482"/>
      <c r="NC16" s="482"/>
      <c r="ND16" s="482"/>
      <c r="NE16" s="482"/>
      <c r="NF16" s="482"/>
      <c r="NG16" s="482"/>
      <c r="NH16" s="482"/>
      <c r="NI16" s="482"/>
      <c r="NJ16" s="483"/>
      <c r="NK16" s="34"/>
      <c r="NM16" s="159">
        <f>A16</f>
        <v>504394</v>
      </c>
      <c r="NN16" s="373">
        <f ca="1">COUNTIF(INDIRECT((ADDRESS(ROW(NO17),$I$11+(MATCH(NN$11,L.DATE,0))))&amp;":"&amp;(ADDRESS(ROW(NO17),$I$11+NO$11+(MATCH(NN$11,L.DATE,0))-1))),"&gt;=0")-NO16</f>
        <v>0</v>
      </c>
      <c r="NO16" s="374">
        <f ca="1">SUM(INDIRECT((ADDRESS(ROW(NO17),$I$11+(MATCH(NN$11,L.DATE,0))))&amp;":"&amp;(ADDRESS(ROW(NO17),$I$11+NO$11+(MATCH(NN$11,L.DATE,0))-1))))</f>
        <v>0</v>
      </c>
      <c r="NP16" s="373">
        <f ca="1">COUNTIF(INDIRECT((ADDRESS(ROW(NQ17),$I$11+(MATCH(NP$11,L.DATE,0))))&amp;":"&amp;(ADDRESS(ROW(NQ17),$I$11+NQ$11+(MATCH(NP$11,L.DATE,0))-1))),"&gt;=0")-NQ16</f>
        <v>17</v>
      </c>
      <c r="NQ16" s="374">
        <f ca="1">SUM(INDIRECT((ADDRESS(ROW(NQ17),$I$11+(MATCH(NP$11,L.DATE,0))))&amp;":"&amp;(ADDRESS(ROW(NQ17),$I$11+NQ$11+(MATCH(NP$11,L.DATE,0))-1))))</f>
        <v>0</v>
      </c>
      <c r="NR16" s="373">
        <f ca="1">COUNTIF(INDIRECT((ADDRESS(ROW(NS17),$I$11+(MATCH(NR$11,L.DATE,0))))&amp;":"&amp;(ADDRESS(ROW(NS17),$I$11+NS$11+(MATCH(NR$11,L.DATE,0))-1))),"&gt;=0")-NS16</f>
        <v>23</v>
      </c>
      <c r="NS16" s="374">
        <f ca="1">SUM(INDIRECT((ADDRESS(ROW(NS17),$I$11+(MATCH(NR$11,L.DATE,0))))&amp;":"&amp;(ADDRESS(ROW(NS17),$I$11+NS$11+(MATCH(NR$11,L.DATE,0))-1))))</f>
        <v>0</v>
      </c>
      <c r="NT16" s="373">
        <f ca="1">COUNTIF(INDIRECT((ADDRESS(ROW(NU17),$I$11+(MATCH(NT$11,L.DATE,0))))&amp;":"&amp;(ADDRESS(ROW(NU17),$I$11+NU$11+(MATCH(NT$11,L.DATE,0))-1))),"&gt;=0")-NU16</f>
        <v>0</v>
      </c>
      <c r="NU16" s="374">
        <f ca="1">SUM(INDIRECT((ADDRESS(ROW(NU17),$I$11+(MATCH(NT$11,L.DATE,0))))&amp;":"&amp;(ADDRESS(ROW(NU17),$I$11+NU$11+(MATCH(NT$11,L.DATE,0))-1))))</f>
        <v>0</v>
      </c>
      <c r="NV16" s="373">
        <f ca="1">COUNTIF(INDIRECT((ADDRESS(ROW(NW17),$I$11+(MATCH(NV$11,L.DATE,0))))&amp;":"&amp;(ADDRESS(ROW(NW17),$I$11+NW$11+(MATCH(NV$11,L.DATE,0))-1))),"&gt;=0")-NW16</f>
        <v>0</v>
      </c>
      <c r="NW16" s="374">
        <f ca="1">SUM(INDIRECT((ADDRESS(ROW(NW17),$I$11+(MATCH(NV$11,L.DATE,0))))&amp;":"&amp;(ADDRESS(ROW(NW17),$I$11+NW$11+(MATCH(NV$11,L.DATE,0))-1))))</f>
        <v>0</v>
      </c>
      <c r="NX16" s="373">
        <f ca="1">COUNTIF(INDIRECT((ADDRESS(ROW(NY17),$I$11+(MATCH(NX$11,L.DATE,0))))&amp;":"&amp;(ADDRESS(ROW(NY17),$I$11+NY$11+(MATCH(NX$11,L.DATE,0))-1))),"&gt;=0")-NY16</f>
        <v>0</v>
      </c>
      <c r="NY16" s="374">
        <f ca="1">SUM(INDIRECT((ADDRESS(ROW(NY17),$I$11+(MATCH(NX$11,L.DATE,0))))&amp;":"&amp;(ADDRESS(ROW(NY17),$I$11+NY$11+(MATCH(NX$11,L.DATE,0))-1))))</f>
        <v>0</v>
      </c>
      <c r="NZ16" s="373">
        <f ca="1">COUNTIF(INDIRECT((ADDRESS(ROW(OA17),$I$11+(MATCH(NZ$11,L.DATE,0))))&amp;":"&amp;(ADDRESS(ROW(OA17),$I$11+OA$11+(MATCH(NZ$11,L.DATE,0))-1))),"&gt;=0")-OA16</f>
        <v>0</v>
      </c>
      <c r="OA16" s="374">
        <f ca="1">SUM(INDIRECT((ADDRESS(ROW(OA17),$I$11+(MATCH(NZ$11,L.DATE,0))))&amp;":"&amp;(ADDRESS(ROW(OA17),$I$11+OA$11+(MATCH(NZ$11,L.DATE,0))-1))))</f>
        <v>0</v>
      </c>
      <c r="OB16" s="373">
        <f ca="1">COUNTIF(INDIRECT((ADDRESS(ROW(OC17),$I$11+(MATCH(OB$11,L.DATE,0))))&amp;":"&amp;(ADDRESS(ROW(OC17),$I$11+OC$11+(MATCH(OB$11,L.DATE,0))-1))),"&gt;=0")-OC16</f>
        <v>0</v>
      </c>
      <c r="OC16" s="374">
        <f ca="1">SUM(INDIRECT((ADDRESS(ROW(OC17),$I$11+(MATCH(OB$11,L.DATE,0))))&amp;":"&amp;(ADDRESS(ROW(OC17),$I$11+OC$11+(MATCH(OB$11,L.DATE,0))-1))))</f>
        <v>0</v>
      </c>
      <c r="OD16" s="373">
        <f ca="1">COUNTIF(INDIRECT((ADDRESS(ROW(OE17),$I$11+(MATCH(OD$11,L.DATE,0))))&amp;":"&amp;(ADDRESS(ROW(OE17),$I$11+OE$11+(MATCH(OD$11,L.DATE,0))-1))),"&gt;=0")-OE16</f>
        <v>0</v>
      </c>
      <c r="OE16" s="374">
        <f ca="1">SUM(INDIRECT((ADDRESS(ROW(OE17),$I$11+(MATCH(OD$11,L.DATE,0))))&amp;":"&amp;(ADDRESS(ROW(OE17),$I$11+OE$11+(MATCH(OD$11,L.DATE,0))-1))))</f>
        <v>0</v>
      </c>
      <c r="OF16" s="373">
        <f ca="1">COUNTIF(INDIRECT((ADDRESS(ROW(OG17),$I$11+(MATCH(OF$11,L.DATE,0))))&amp;":"&amp;(ADDRESS(ROW(OG17),$I$11+OG$11+(MATCH(OF$11,L.DATE,0))-1))),"&gt;=0")-OG16</f>
        <v>0</v>
      </c>
      <c r="OG16" s="374">
        <f ca="1">SUM(INDIRECT((ADDRESS(ROW(OG17),$I$11+(MATCH(OF$11,L.DATE,0))))&amp;":"&amp;(ADDRESS(ROW(OG17),$I$11+OG$11+(MATCH(OF$11,L.DATE,0))-1))))</f>
        <v>0</v>
      </c>
      <c r="OH16" s="373">
        <f ca="1">COUNTIF(INDIRECT((ADDRESS(ROW(OI17),$I$11+(MATCH(OH$11,L.DATE,0))))&amp;":"&amp;(ADDRESS(ROW(OI17),$I$11+OI$11+(MATCH(OH$11,L.DATE,0))-1))),"&gt;=0")-OI16</f>
        <v>0</v>
      </c>
      <c r="OI16" s="374">
        <f ca="1">SUM(INDIRECT((ADDRESS(ROW(OI17),$I$11+(MATCH(OH$11,L.DATE,0))))&amp;":"&amp;(ADDRESS(ROW(OI17),$I$11+OI$11+(MATCH(OH$11,L.DATE,0))-1))))</f>
        <v>0</v>
      </c>
      <c r="OJ16" s="373">
        <f ca="1">COUNTIF(INDIRECT((ADDRESS(ROW(OK17),$I$11+(MATCH(OJ$11,L.DATE,0))))&amp;":"&amp;(ADDRESS(ROW(OK17),$I$11+OK$11+(MATCH(OJ$11,L.DATE,0))-1))),"&gt;=0")-OK16</f>
        <v>0</v>
      </c>
      <c r="OK16" s="375">
        <f ca="1">SUM(INDIRECT((ADDRESS(ROW(OK17),$I$11+(MATCH(OJ$11,L.DATE,0))))&amp;":"&amp;(ADDRESS(ROW(OK17),$I$11+OK$11+(MATCH(OJ$11,L.DATE,0))-1))))</f>
        <v>0</v>
      </c>
      <c r="OM16" s="39">
        <f ca="1">NN16+NP16+NR16+NT16+NV16+NX16+NZ16+OB16+OD16+OF16+OJ16+OH16</f>
        <v>40</v>
      </c>
      <c r="ON16" s="40">
        <f ca="1">NO16+NQ16+NS16+NU16+NW16+NY16+OA16+OC16+OE16+OG16+OK16+OI16</f>
        <v>0</v>
      </c>
    </row>
    <row r="17" spans="1:404" x14ac:dyDescent="0.3">
      <c r="A17" s="33"/>
      <c r="B17" s="16" t="str">
        <f t="shared" ref="B17:H17" si="24">B16</f>
        <v>LECA.Perrine</v>
      </c>
      <c r="C17" s="16">
        <f t="shared" si="24"/>
        <v>1</v>
      </c>
      <c r="D17" s="16" t="str">
        <f t="shared" si="24"/>
        <v>I2S</v>
      </c>
      <c r="E17" s="16" t="str">
        <f t="shared" si="24"/>
        <v>ITG</v>
      </c>
      <c r="F17" s="16" t="str">
        <f t="shared" si="24"/>
        <v>SL</v>
      </c>
      <c r="G17" s="105" t="str">
        <f t="shared" si="24"/>
        <v>TL</v>
      </c>
      <c r="H17" s="109">
        <f t="shared" si="24"/>
        <v>1</v>
      </c>
      <c r="I17" s="28"/>
      <c r="J17" s="482"/>
      <c r="K17" s="482"/>
      <c r="L17" s="482"/>
      <c r="M17" s="482"/>
      <c r="N17" s="482"/>
      <c r="O17" s="482"/>
      <c r="P17" s="482"/>
      <c r="Q17" s="482"/>
      <c r="R17" s="482"/>
      <c r="S17" s="482"/>
      <c r="T17" s="482"/>
      <c r="U17" s="482"/>
      <c r="V17" s="482"/>
      <c r="W17" s="482"/>
      <c r="X17" s="482"/>
      <c r="Y17" s="482"/>
      <c r="Z17" s="482"/>
      <c r="AA17" s="482"/>
      <c r="AB17" s="482"/>
      <c r="AC17" s="482"/>
      <c r="AD17" s="482"/>
      <c r="AE17" s="482"/>
      <c r="AF17" s="482"/>
      <c r="AG17" s="482"/>
      <c r="AH17" s="482"/>
      <c r="AI17" s="482"/>
      <c r="AJ17" s="482"/>
      <c r="AK17" s="482"/>
      <c r="AL17" s="482"/>
      <c r="AM17" s="482"/>
      <c r="AN17" s="482"/>
      <c r="AO17" s="482"/>
      <c r="AP17" s="482"/>
      <c r="AQ17" s="482"/>
      <c r="AR17" s="482"/>
      <c r="AS17" s="482"/>
      <c r="AT17" s="485">
        <v>0</v>
      </c>
      <c r="AU17" s="485">
        <v>0</v>
      </c>
      <c r="AV17" s="485">
        <v>0</v>
      </c>
      <c r="AW17" s="485">
        <v>0</v>
      </c>
      <c r="AX17" s="485">
        <v>0</v>
      </c>
      <c r="AY17" s="482"/>
      <c r="AZ17" s="482"/>
      <c r="BA17" s="485">
        <v>0</v>
      </c>
      <c r="BB17" s="485">
        <v>0</v>
      </c>
      <c r="BC17" s="485">
        <v>0</v>
      </c>
      <c r="BD17" s="485">
        <v>0</v>
      </c>
      <c r="BE17" s="485">
        <v>0</v>
      </c>
      <c r="BF17" s="482"/>
      <c r="BG17" s="482"/>
      <c r="BH17" s="485">
        <v>0</v>
      </c>
      <c r="BI17" s="485">
        <v>0</v>
      </c>
      <c r="BJ17" s="485">
        <v>0</v>
      </c>
      <c r="BK17" s="485">
        <v>0</v>
      </c>
      <c r="BL17" s="485">
        <v>0</v>
      </c>
      <c r="BM17" s="482"/>
      <c r="BN17" s="482"/>
      <c r="BO17" s="485">
        <v>0</v>
      </c>
      <c r="BP17" s="485">
        <v>0</v>
      </c>
      <c r="BQ17" s="485">
        <v>0</v>
      </c>
      <c r="BR17" s="485">
        <v>0</v>
      </c>
      <c r="BS17" s="485">
        <v>0</v>
      </c>
      <c r="BT17" s="482"/>
      <c r="BU17" s="482"/>
      <c r="BV17" s="485">
        <v>0</v>
      </c>
      <c r="BW17" s="485">
        <v>0</v>
      </c>
      <c r="BX17" s="485">
        <v>0</v>
      </c>
      <c r="BY17" s="485">
        <v>0</v>
      </c>
      <c r="BZ17" s="485">
        <v>0</v>
      </c>
      <c r="CA17" s="482"/>
      <c r="CB17" s="482"/>
      <c r="CC17" s="485">
        <v>0</v>
      </c>
      <c r="CD17" s="485">
        <v>0</v>
      </c>
      <c r="CE17" s="485">
        <v>0</v>
      </c>
      <c r="CF17" s="485">
        <v>0</v>
      </c>
      <c r="CG17" s="485">
        <v>0</v>
      </c>
      <c r="CH17" s="482"/>
      <c r="CI17" s="482"/>
      <c r="CJ17" s="485">
        <v>0</v>
      </c>
      <c r="CK17" s="485">
        <v>0</v>
      </c>
      <c r="CL17" s="485">
        <v>0</v>
      </c>
      <c r="CM17" s="485">
        <v>0</v>
      </c>
      <c r="CN17" s="485">
        <v>0</v>
      </c>
      <c r="CO17" s="482"/>
      <c r="CP17" s="482"/>
      <c r="CQ17" s="485">
        <v>0</v>
      </c>
      <c r="CR17" s="485">
        <v>0</v>
      </c>
      <c r="CS17" s="485">
        <v>0</v>
      </c>
      <c r="CT17" s="485">
        <v>0</v>
      </c>
      <c r="CU17" s="485">
        <v>0</v>
      </c>
      <c r="CV17" s="482"/>
      <c r="CW17" s="482"/>
      <c r="CX17" s="482"/>
      <c r="CY17" s="482"/>
      <c r="CZ17" s="482"/>
      <c r="DA17" s="482"/>
      <c r="DB17" s="482"/>
      <c r="DC17" s="482"/>
      <c r="DD17" s="482"/>
      <c r="DE17" s="482"/>
      <c r="DF17" s="482"/>
      <c r="DG17" s="482"/>
      <c r="DH17" s="482"/>
      <c r="DI17" s="482"/>
      <c r="DJ17" s="482"/>
      <c r="DK17" s="482"/>
      <c r="DL17" s="482"/>
      <c r="DM17" s="482"/>
      <c r="DN17" s="482"/>
      <c r="DO17" s="482"/>
      <c r="DP17" s="482"/>
      <c r="DQ17" s="482"/>
      <c r="DR17" s="482"/>
      <c r="DS17" s="482"/>
      <c r="DT17" s="482"/>
      <c r="DU17" s="482"/>
      <c r="DV17" s="482"/>
      <c r="DW17" s="482"/>
      <c r="DX17" s="482"/>
      <c r="DY17" s="482"/>
      <c r="DZ17" s="482"/>
      <c r="EA17" s="482"/>
      <c r="EB17" s="482"/>
      <c r="EC17" s="482"/>
      <c r="ED17" s="482"/>
      <c r="EE17" s="482"/>
      <c r="EF17" s="482"/>
      <c r="EG17" s="482"/>
      <c r="EH17" s="482"/>
      <c r="EI17" s="482"/>
      <c r="EJ17" s="482"/>
      <c r="EK17" s="482"/>
      <c r="EL17" s="482"/>
      <c r="EM17" s="482"/>
      <c r="EN17" s="482"/>
      <c r="EO17" s="482"/>
      <c r="EP17" s="482"/>
      <c r="EQ17" s="482"/>
      <c r="ER17" s="482"/>
      <c r="ES17" s="482"/>
      <c r="ET17" s="482"/>
      <c r="EU17" s="482"/>
      <c r="EV17" s="482"/>
      <c r="EW17" s="482"/>
      <c r="EX17" s="482"/>
      <c r="EY17" s="482"/>
      <c r="EZ17" s="482"/>
      <c r="FA17" s="482"/>
      <c r="FB17" s="482"/>
      <c r="FC17" s="482"/>
      <c r="FD17" s="482"/>
      <c r="FE17" s="482"/>
      <c r="FF17" s="482"/>
      <c r="FG17" s="482"/>
      <c r="FH17" s="482"/>
      <c r="FI17" s="482"/>
      <c r="FJ17" s="482"/>
      <c r="FK17" s="482"/>
      <c r="FL17" s="482"/>
      <c r="FM17" s="482"/>
      <c r="FN17" s="482"/>
      <c r="FO17" s="482"/>
      <c r="FP17" s="482"/>
      <c r="FQ17" s="482"/>
      <c r="FR17" s="482"/>
      <c r="FS17" s="482"/>
      <c r="FT17" s="482"/>
      <c r="FU17" s="482"/>
      <c r="FV17" s="482"/>
      <c r="FW17" s="482"/>
      <c r="FX17" s="482"/>
      <c r="FY17" s="482"/>
      <c r="FZ17" s="482"/>
      <c r="GA17" s="482"/>
      <c r="GB17" s="482"/>
      <c r="GC17" s="482"/>
      <c r="GD17" s="482"/>
      <c r="GE17" s="482"/>
      <c r="GF17" s="482"/>
      <c r="GG17" s="482"/>
      <c r="GH17" s="482"/>
      <c r="GI17" s="482"/>
      <c r="GJ17" s="482"/>
      <c r="GK17" s="482"/>
      <c r="GL17" s="482"/>
      <c r="GM17" s="482"/>
      <c r="GN17" s="482"/>
      <c r="GO17" s="482"/>
      <c r="GP17" s="482"/>
      <c r="GQ17" s="482"/>
      <c r="GR17" s="482"/>
      <c r="GS17" s="482"/>
      <c r="GT17" s="482"/>
      <c r="GU17" s="482"/>
      <c r="GV17" s="482"/>
      <c r="GW17" s="482"/>
      <c r="GX17" s="482"/>
      <c r="GY17" s="482"/>
      <c r="GZ17" s="482"/>
      <c r="HA17" s="482"/>
      <c r="HB17" s="482"/>
      <c r="HC17" s="482"/>
      <c r="HD17" s="482"/>
      <c r="HE17" s="482"/>
      <c r="HF17" s="482"/>
      <c r="HG17" s="482"/>
      <c r="HH17" s="482"/>
      <c r="HI17" s="482"/>
      <c r="HJ17" s="482"/>
      <c r="HK17" s="482"/>
      <c r="HL17" s="482"/>
      <c r="HM17" s="482"/>
      <c r="HN17" s="482"/>
      <c r="HO17" s="482"/>
      <c r="HP17" s="482"/>
      <c r="HQ17" s="482"/>
      <c r="HR17" s="482"/>
      <c r="HS17" s="482"/>
      <c r="HT17" s="482"/>
      <c r="HU17" s="482"/>
      <c r="HV17" s="482"/>
      <c r="HW17" s="482"/>
      <c r="HX17" s="482"/>
      <c r="HY17" s="482"/>
      <c r="HZ17" s="482"/>
      <c r="IA17" s="482"/>
      <c r="IB17" s="482"/>
      <c r="IC17" s="482"/>
      <c r="ID17" s="482"/>
      <c r="IE17" s="482"/>
      <c r="IF17" s="482"/>
      <c r="IG17" s="482"/>
      <c r="IH17" s="482"/>
      <c r="II17" s="482"/>
      <c r="IJ17" s="482"/>
      <c r="IK17" s="482"/>
      <c r="IL17" s="482"/>
      <c r="IM17" s="482"/>
      <c r="IN17" s="482"/>
      <c r="IO17" s="482"/>
      <c r="IP17" s="482"/>
      <c r="IQ17" s="482"/>
      <c r="IR17" s="482"/>
      <c r="IS17" s="482"/>
      <c r="IT17" s="482"/>
      <c r="IU17" s="482"/>
      <c r="IV17" s="482"/>
      <c r="IW17" s="482"/>
      <c r="IX17" s="482"/>
      <c r="IY17" s="482"/>
      <c r="IZ17" s="482"/>
      <c r="JA17" s="482"/>
      <c r="JB17" s="482"/>
      <c r="JC17" s="482"/>
      <c r="JD17" s="482"/>
      <c r="JE17" s="482"/>
      <c r="JF17" s="482"/>
      <c r="JG17" s="482"/>
      <c r="JH17" s="482"/>
      <c r="JI17" s="482"/>
      <c r="JJ17" s="482"/>
      <c r="JK17" s="482"/>
      <c r="JL17" s="482"/>
      <c r="JM17" s="482"/>
      <c r="JN17" s="482"/>
      <c r="JO17" s="482"/>
      <c r="JP17" s="482"/>
      <c r="JQ17" s="482"/>
      <c r="JR17" s="482"/>
      <c r="JS17" s="482"/>
      <c r="JT17" s="482"/>
      <c r="JU17" s="482"/>
      <c r="JV17" s="482"/>
      <c r="JW17" s="482"/>
      <c r="JX17" s="482"/>
      <c r="JY17" s="482"/>
      <c r="JZ17" s="482"/>
      <c r="KA17" s="482"/>
      <c r="KB17" s="482"/>
      <c r="KC17" s="482"/>
      <c r="KD17" s="482"/>
      <c r="KE17" s="482"/>
      <c r="KF17" s="482"/>
      <c r="KG17" s="482"/>
      <c r="KH17" s="482"/>
      <c r="KI17" s="482"/>
      <c r="KJ17" s="482"/>
      <c r="KK17" s="482"/>
      <c r="KL17" s="482"/>
      <c r="KM17" s="482"/>
      <c r="KN17" s="482"/>
      <c r="KO17" s="482"/>
      <c r="KP17" s="482"/>
      <c r="KQ17" s="482"/>
      <c r="KR17" s="482"/>
      <c r="KS17" s="482"/>
      <c r="KT17" s="482"/>
      <c r="KU17" s="482"/>
      <c r="KV17" s="482"/>
      <c r="KW17" s="482"/>
      <c r="KX17" s="482"/>
      <c r="KY17" s="482"/>
      <c r="KZ17" s="482"/>
      <c r="LA17" s="482"/>
      <c r="LB17" s="482"/>
      <c r="LC17" s="482"/>
      <c r="LD17" s="482"/>
      <c r="LE17" s="482"/>
      <c r="LF17" s="482"/>
      <c r="LG17" s="482"/>
      <c r="LH17" s="482"/>
      <c r="LI17" s="482"/>
      <c r="LJ17" s="482"/>
      <c r="LK17" s="482"/>
      <c r="LL17" s="482"/>
      <c r="LM17" s="482"/>
      <c r="LN17" s="482"/>
      <c r="LO17" s="482"/>
      <c r="LP17" s="482"/>
      <c r="LQ17" s="482"/>
      <c r="LR17" s="482"/>
      <c r="LS17" s="482"/>
      <c r="LT17" s="482"/>
      <c r="LU17" s="482"/>
      <c r="LV17" s="482"/>
      <c r="LW17" s="482"/>
      <c r="LX17" s="482"/>
      <c r="LY17" s="482"/>
      <c r="LZ17" s="482"/>
      <c r="MA17" s="482"/>
      <c r="MB17" s="482"/>
      <c r="MC17" s="482"/>
      <c r="MD17" s="482"/>
      <c r="ME17" s="482"/>
      <c r="MF17" s="482"/>
      <c r="MG17" s="482"/>
      <c r="MH17" s="482"/>
      <c r="MI17" s="482"/>
      <c r="MJ17" s="482"/>
      <c r="MK17" s="482"/>
      <c r="ML17" s="482"/>
      <c r="MM17" s="482"/>
      <c r="MN17" s="482"/>
      <c r="MO17" s="482"/>
      <c r="MP17" s="482"/>
      <c r="MQ17" s="482"/>
      <c r="MR17" s="482"/>
      <c r="MS17" s="482"/>
      <c r="MT17" s="482"/>
      <c r="MU17" s="482"/>
      <c r="MV17" s="482"/>
      <c r="MW17" s="482"/>
      <c r="MX17" s="482"/>
      <c r="MY17" s="482"/>
      <c r="MZ17" s="482"/>
      <c r="NA17" s="482"/>
      <c r="NB17" s="482"/>
      <c r="NC17" s="482"/>
      <c r="ND17" s="482"/>
      <c r="NE17" s="482"/>
      <c r="NF17" s="482"/>
      <c r="NG17" s="482"/>
      <c r="NH17" s="482"/>
      <c r="NI17" s="482"/>
      <c r="NJ17" s="483"/>
      <c r="NK17" s="34"/>
      <c r="NM17" s="379" t="str">
        <f>NM16&amp;".b"</f>
        <v>504394.b</v>
      </c>
      <c r="NN17" s="376" t="str" cm="1">
        <f t="array" aca="1" ref="NN17" ca="1">IF(xcomp(INDIRECT((ADDRESS(ROW(NN16),$I$11+(MATCH(NN$11,L.DATE,0))))&amp;":"&amp;(ADDRESS(ROW(NN16),$I$11+NO$11+(MATCH(NN$11,L.DATE,0))-1))),L.ABSP)=0,"",
xsom(INDIRECT((ADDRESS(ROW(NN16),$I$11+(MATCH(NN$11,L.DATE,0))))&amp;":"&amp;(ADDRESS(ROW(NN16),$I$11+NO$11+(MATCH(NN$11,L.DATE,0))-1))),L.ABSP,
INDIRECT((ADDRESS(ROW(NN16)+1,$I$11+(MATCH(NN$11,L.DATE,0))))&amp;":"&amp;(ADDRESS(ROW(NN16)+1,$I$11+NO$11+(MATCH(NN$11,L.DATE,0))-1)))))</f>
        <v/>
      </c>
      <c r="NO17" s="377" t="str" cm="1">
        <f t="array" aca="1" ref="NO17" ca="1">IF(xcomp(INDIRECT((ADDRESS(ROW(NO16),$I$11+(MATCH(NN$11,L.DATE,0))))&amp;":"&amp;(ADDRESS(ROW(NO16),$I$11+NO$11+(MATCH(NN$11,L.DATE,0))-1))),L.ABS.NP)=0,"",
xsom(INDIRECT((ADDRESS(ROW(NO16),$I$11+(MATCH(NN$11,L.DATE,0))))&amp;":"&amp;(ADDRESS(ROW(NO16),$I$11+NO$11+(MATCH(NN$11,L.DATE,0))-1))),L.ABS.NP,
INDIRECT((ADDRESS(ROW(NO16)+1,$I$11+(MATCH(NN$11,L.DATE,0))))&amp;":"&amp;(ADDRESS(ROW(NO16)+1,$I$11+NO$11+(MATCH(NN$11,L.DATE,0))-1)))))</f>
        <v/>
      </c>
      <c r="NP17" s="376" cm="1">
        <f t="array" aca="1" ref="NP17" ca="1">IF(xcomp(INDIRECT((ADDRESS(ROW(NP16),$I$11+(MATCH(NP$11,L.DATE,0))))&amp;":"&amp;(ADDRESS(ROW(NP16),$I$11+NQ$11+(MATCH(NP$11,L.DATE,0))-1))),L.ABSP)=0,"",
xsom(INDIRECT((ADDRESS(ROW(NP16),$I$11+(MATCH(NP$11,L.DATE,0))))&amp;":"&amp;(ADDRESS(ROW(NP16),$I$11+NQ$11+(MATCH(NP$11,L.DATE,0))-1))),L.ABSP,
INDIRECT((ADDRESS(ROW(NP16)+1,$I$11+(MATCH(NP$11,L.DATE,0))))&amp;":"&amp;(ADDRESS(ROW(NP16)+1,$I$11+NQ$11+(MATCH(NP$11,L.DATE,0))-1)))))</f>
        <v>17</v>
      </c>
      <c r="NQ17" s="377" t="str" cm="1">
        <f t="array" aca="1" ref="NQ17" ca="1">IF(xcomp(INDIRECT((ADDRESS(ROW(NQ16),$I$11+(MATCH(NP$11,L.DATE,0))))&amp;":"&amp;(ADDRESS(ROW(NQ16),$I$11+NQ$11+(MATCH(NP$11,L.DATE,0))-1))),L.ABS.NP)=0,"",
xsom(INDIRECT((ADDRESS(ROW(NQ16),$I$11+(MATCH(NP$11,L.DATE,0))))&amp;":"&amp;(ADDRESS(ROW(NQ16),$I$11+NQ$11+(MATCH(NP$11,L.DATE,0))-1))),L.ABS.NP,
INDIRECT((ADDRESS(ROW(NQ16)+1,$I$11+(MATCH(NP$11,L.DATE,0))))&amp;":"&amp;(ADDRESS(ROW(NQ16)+1,$I$11+NQ$11+(MATCH(NP$11,L.DATE,0))-1)))))</f>
        <v/>
      </c>
      <c r="NR17" s="376" cm="1">
        <f t="array" aca="1" ref="NR17" ca="1">IF(xcomp(INDIRECT((ADDRESS(ROW(NR16),$I$11+(MATCH(NR$11,L.DATE,0))))&amp;":"&amp;(ADDRESS(ROW(NR16),$I$11+NS$11+(MATCH(NR$11,L.DATE,0))-1))),L.ABSP)=0,"",
xsom(INDIRECT((ADDRESS(ROW(NR16),$I$11+(MATCH(NR$11,L.DATE,0))))&amp;":"&amp;(ADDRESS(ROW(NR16),$I$11+NS$11+(MATCH(NR$11,L.DATE,0))-1))),L.ABSP,
INDIRECT((ADDRESS(ROW(NR16)+1,$I$11+(MATCH(NR$11,L.DATE,0))))&amp;":"&amp;(ADDRESS(ROW(NR16)+1,$I$11+NS$11+(MATCH(NR$11,L.DATE,0))-1)))))</f>
        <v>23</v>
      </c>
      <c r="NS17" s="377" t="str" cm="1">
        <f t="array" aca="1" ref="NS17" ca="1">IF(xcomp(INDIRECT((ADDRESS(ROW(NS16),$I$11+(MATCH(NR$11,L.DATE,0))))&amp;":"&amp;(ADDRESS(ROW(NS16),$I$11+NS$11+(MATCH(NR$11,L.DATE,0))-1))),L.ABS.NP)=0,"",
xsom(INDIRECT((ADDRESS(ROW(NS16),$I$11+(MATCH(NR$11,L.DATE,0))))&amp;":"&amp;(ADDRESS(ROW(NS16),$I$11+NS$11+(MATCH(NR$11,L.DATE,0))-1))),L.ABS.NP,
INDIRECT((ADDRESS(ROW(NS16)+1,$I$11+(MATCH(NR$11,L.DATE,0))))&amp;":"&amp;(ADDRESS(ROW(NS16)+1,$I$11+NS$11+(MATCH(NR$11,L.DATE,0))-1)))))</f>
        <v/>
      </c>
      <c r="NT17" s="376" t="str" cm="1">
        <f t="array" aca="1" ref="NT17" ca="1">IF(xcomp(INDIRECT((ADDRESS(ROW(NT16),$I$11+(MATCH(NT$11,L.DATE,0))))&amp;":"&amp;(ADDRESS(ROW(NT16),$I$11+NU$11+(MATCH(NT$11,L.DATE,0))-1))),L.ABSP)=0,"",
xsom(INDIRECT((ADDRESS(ROW(NT16),$I$11+(MATCH(NT$11,L.DATE,0))))&amp;":"&amp;(ADDRESS(ROW(NT16),$I$11+NU$11+(MATCH(NT$11,L.DATE,0))-1))),L.ABSP,
INDIRECT((ADDRESS(ROW(NT16)+1,$I$11+(MATCH(NT$11,L.DATE,0))))&amp;":"&amp;(ADDRESS(ROW(NT16)+1,$I$11+NU$11+(MATCH(NT$11,L.DATE,0))-1)))))</f>
        <v/>
      </c>
      <c r="NU17" s="377" t="str" cm="1">
        <f t="array" aca="1" ref="NU17" ca="1">IF(xcomp(INDIRECT((ADDRESS(ROW(NU16),$I$11+(MATCH(NT$11,L.DATE,0))))&amp;":"&amp;(ADDRESS(ROW(NU16),$I$11+NU$11+(MATCH(NT$11,L.DATE,0))-1))),L.ABS.NP)=0,"",
xsom(INDIRECT((ADDRESS(ROW(NU16),$I$11+(MATCH(NT$11,L.DATE,0))))&amp;":"&amp;(ADDRESS(ROW(NU16),$I$11+NU$11+(MATCH(NT$11,L.DATE,0))-1))),L.ABS.NP,
INDIRECT((ADDRESS(ROW(NU16)+1,$I$11+(MATCH(NT$11,L.DATE,0))))&amp;":"&amp;(ADDRESS(ROW(NU16)+1,$I$11+NU$11+(MATCH(NT$11,L.DATE,0))-1)))))</f>
        <v/>
      </c>
      <c r="NV17" s="376" t="str" cm="1">
        <f t="array" aca="1" ref="NV17" ca="1">IF(xcomp(INDIRECT((ADDRESS(ROW(NV16),$I$11+(MATCH(NV$11,L.DATE,0))))&amp;":"&amp;(ADDRESS(ROW(NV16),$I$11+NW$11+(MATCH(NV$11,L.DATE,0))-1))),L.ABSP)=0,"",
xsom(INDIRECT((ADDRESS(ROW(NV16),$I$11+(MATCH(NV$11,L.DATE,0))))&amp;":"&amp;(ADDRESS(ROW(NV16),$I$11+NW$11+(MATCH(NV$11,L.DATE,0))-1))),L.ABSP,
INDIRECT((ADDRESS(ROW(NV16)+1,$I$11+(MATCH(NV$11,L.DATE,0))))&amp;":"&amp;(ADDRESS(ROW(NV16)+1,$I$11+NW$11+(MATCH(NV$11,L.DATE,0))-1)))))</f>
        <v/>
      </c>
      <c r="NW17" s="377" t="str" cm="1">
        <f t="array" aca="1" ref="NW17" ca="1">IF(xcomp(INDIRECT((ADDRESS(ROW(NW16),$I$11+(MATCH(NV$11,L.DATE,0))))&amp;":"&amp;(ADDRESS(ROW(NW16),$I$11+NW$11+(MATCH(NV$11,L.DATE,0))-1))),L.ABS.NP)=0,"",
xsom(INDIRECT((ADDRESS(ROW(NW16),$I$11+(MATCH(NV$11,L.DATE,0))))&amp;":"&amp;(ADDRESS(ROW(NW16),$I$11+NW$11+(MATCH(NV$11,L.DATE,0))-1))),L.ABS.NP,
INDIRECT((ADDRESS(ROW(NW16)+1,$I$11+(MATCH(NV$11,L.DATE,0))))&amp;":"&amp;(ADDRESS(ROW(NW16)+1,$I$11+NW$11+(MATCH(NV$11,L.DATE,0))-1)))))</f>
        <v/>
      </c>
      <c r="NX17" s="376" t="str" cm="1">
        <f t="array" aca="1" ref="NX17" ca="1">IF(xcomp(INDIRECT((ADDRESS(ROW(NX16),$I$11+(MATCH(NX$11,L.DATE,0))))&amp;":"&amp;(ADDRESS(ROW(NX16),$I$11+NY$11+(MATCH(NX$11,L.DATE,0))-1))),L.ABSP)=0,"",
xsom(INDIRECT((ADDRESS(ROW(NX16),$I$11+(MATCH(NX$11,L.DATE,0))))&amp;":"&amp;(ADDRESS(ROW(NX16),$I$11+NY$11+(MATCH(NX$11,L.DATE,0))-1))),L.ABSP,
INDIRECT((ADDRESS(ROW(NX16)+1,$I$11+(MATCH(NX$11,L.DATE,0))))&amp;":"&amp;(ADDRESS(ROW(NX16)+1,$I$11+NY$11+(MATCH(NX$11,L.DATE,0))-1)))))</f>
        <v/>
      </c>
      <c r="NY17" s="377" t="str" cm="1">
        <f t="array" aca="1" ref="NY17" ca="1">IF(xcomp(INDIRECT((ADDRESS(ROW(NY16),$I$11+(MATCH(NX$11,L.DATE,0))))&amp;":"&amp;(ADDRESS(ROW(NY16),$I$11+NY$11+(MATCH(NX$11,L.DATE,0))-1))),L.ABS.NP)=0,"",
xsom(INDIRECT((ADDRESS(ROW(NY16),$I$11+(MATCH(NX$11,L.DATE,0))))&amp;":"&amp;(ADDRESS(ROW(NY16),$I$11+NY$11+(MATCH(NX$11,L.DATE,0))-1))),L.ABS.NP,
INDIRECT((ADDRESS(ROW(NY16)+1,$I$11+(MATCH(NX$11,L.DATE,0))))&amp;":"&amp;(ADDRESS(ROW(NY16)+1,$I$11+NY$11+(MATCH(NX$11,L.DATE,0))-1)))))</f>
        <v/>
      </c>
      <c r="NZ17" s="376" t="str" cm="1">
        <f t="array" aca="1" ref="NZ17" ca="1">IF(xcomp(INDIRECT((ADDRESS(ROW(NZ16),$I$11+(MATCH(NZ$11,L.DATE,0))))&amp;":"&amp;(ADDRESS(ROW(NZ16),$I$11+OA$11+(MATCH(NZ$11,L.DATE,0))-1))),L.ABSP)=0,"",
xsom(INDIRECT((ADDRESS(ROW(NZ16),$I$11+(MATCH(NZ$11,L.DATE,0))))&amp;":"&amp;(ADDRESS(ROW(NZ16),$I$11+OA$11+(MATCH(NZ$11,L.DATE,0))-1))),L.ABSP,
INDIRECT((ADDRESS(ROW(NZ16)+1,$I$11+(MATCH(NZ$11,L.DATE,0))))&amp;":"&amp;(ADDRESS(ROW(NZ16)+1,$I$11+OA$11+(MATCH(NZ$11,L.DATE,0))-1)))))</f>
        <v/>
      </c>
      <c r="OA17" s="377" t="str" cm="1">
        <f t="array" aca="1" ref="OA17" ca="1">IF(xcomp(INDIRECT((ADDRESS(ROW(OA16),$I$11+(MATCH(NZ$11,L.DATE,0))))&amp;":"&amp;(ADDRESS(ROW(OA16),$I$11+OA$11+(MATCH(NZ$11,L.DATE,0))-1))),L.ABS.NP)=0,"",
xsom(INDIRECT((ADDRESS(ROW(OA16),$I$11+(MATCH(NZ$11,L.DATE,0))))&amp;":"&amp;(ADDRESS(ROW(OA16),$I$11+OA$11+(MATCH(NZ$11,L.DATE,0))-1))),L.ABS.NP,
INDIRECT((ADDRESS(ROW(OA16)+1,$I$11+(MATCH(NZ$11,L.DATE,0))))&amp;":"&amp;(ADDRESS(ROW(OA16)+1,$I$11+OA$11+(MATCH(NZ$11,L.DATE,0))-1)))))</f>
        <v/>
      </c>
      <c r="OB17" s="376" t="str" cm="1">
        <f t="array" aca="1" ref="OB17" ca="1">IF(xcomp(INDIRECT((ADDRESS(ROW(OB16),$I$11+(MATCH(OB$11,L.DATE,0))))&amp;":"&amp;(ADDRESS(ROW(OB16),$I$11+OC$11+(MATCH(OB$11,L.DATE,0))-1))),L.ABSP)=0,"",
xsom(INDIRECT((ADDRESS(ROW(OB16),$I$11+(MATCH(OB$11,L.DATE,0))))&amp;":"&amp;(ADDRESS(ROW(OB16),$I$11+OC$11+(MATCH(OB$11,L.DATE,0))-1))),L.ABSP,
INDIRECT((ADDRESS(ROW(OB16)+1,$I$11+(MATCH(OB$11,L.DATE,0))))&amp;":"&amp;(ADDRESS(ROW(OB16)+1,$I$11+OC$11+(MATCH(OB$11,L.DATE,0))-1)))))</f>
        <v/>
      </c>
      <c r="OC17" s="377" t="str" cm="1">
        <f t="array" aca="1" ref="OC17" ca="1">IF(xcomp(INDIRECT((ADDRESS(ROW(OC16),$I$11+(MATCH(OB$11,L.DATE,0))))&amp;":"&amp;(ADDRESS(ROW(OC16),$I$11+OC$11+(MATCH(OB$11,L.DATE,0))-1))),L.ABS.NP)=0,"",
xsom(INDIRECT((ADDRESS(ROW(OC16),$I$11+(MATCH(OB$11,L.DATE,0))))&amp;":"&amp;(ADDRESS(ROW(OC16),$I$11+OC$11+(MATCH(OB$11,L.DATE,0))-1))),L.ABS.NP,
INDIRECT((ADDRESS(ROW(OC16)+1,$I$11+(MATCH(OB$11,L.DATE,0))))&amp;":"&amp;(ADDRESS(ROW(OC16)+1,$I$11+OC$11+(MATCH(OB$11,L.DATE,0))-1)))))</f>
        <v/>
      </c>
      <c r="OD17" s="376" t="str" cm="1">
        <f t="array" aca="1" ref="OD17" ca="1">IF(xcomp(INDIRECT((ADDRESS(ROW(OD16),$I$11+(MATCH(OD$11,L.DATE,0))))&amp;":"&amp;(ADDRESS(ROW(OD16),$I$11+OE$11+(MATCH(OD$11,L.DATE,0))-1))),L.ABSP)=0,"",
xsom(INDIRECT((ADDRESS(ROW(OD16),$I$11+(MATCH(OD$11,L.DATE,0))))&amp;":"&amp;(ADDRESS(ROW(OD16),$I$11+OE$11+(MATCH(OD$11,L.DATE,0))-1))),L.ABSP,
INDIRECT((ADDRESS(ROW(OD16)+1,$I$11+(MATCH(OD$11,L.DATE,0))))&amp;":"&amp;(ADDRESS(ROW(OD16)+1,$I$11+OE$11+(MATCH(OD$11,L.DATE,0))-1)))))</f>
        <v/>
      </c>
      <c r="OE17" s="377" t="str" cm="1">
        <f t="array" aca="1" ref="OE17" ca="1">IF(xcomp(INDIRECT((ADDRESS(ROW(OE16),$I$11+(MATCH(OD$11,L.DATE,0))))&amp;":"&amp;(ADDRESS(ROW(OE16),$I$11+OE$11+(MATCH(OD$11,L.DATE,0))-1))),L.ABS.NP)=0,"",
xsom(INDIRECT((ADDRESS(ROW(OE16),$I$11+(MATCH(OD$11,L.DATE,0))))&amp;":"&amp;(ADDRESS(ROW(OE16),$I$11+OE$11+(MATCH(OD$11,L.DATE,0))-1))),L.ABS.NP,
INDIRECT((ADDRESS(ROW(OE16)+1,$I$11+(MATCH(OD$11,L.DATE,0))))&amp;":"&amp;(ADDRESS(ROW(OE16)+1,$I$11+OE$11+(MATCH(OD$11,L.DATE,0))-1)))))</f>
        <v/>
      </c>
      <c r="OF17" s="376" t="str" cm="1">
        <f t="array" aca="1" ref="OF17" ca="1">IF(xcomp(INDIRECT((ADDRESS(ROW(OF16),$I$11+(MATCH(OF$11,L.DATE,0))))&amp;":"&amp;(ADDRESS(ROW(OF16),$I$11+OG$11+(MATCH(OF$11,L.DATE,0))-1))),L.ABSP)=0,"",
xsom(INDIRECT((ADDRESS(ROW(OF16),$I$11+(MATCH(OF$11,L.DATE,0))))&amp;":"&amp;(ADDRESS(ROW(OF16),$I$11+OG$11+(MATCH(OF$11,L.DATE,0))-1))),L.ABSP,
INDIRECT((ADDRESS(ROW(OF16)+1,$I$11+(MATCH(OF$11,L.DATE,0))))&amp;":"&amp;(ADDRESS(ROW(OF16)+1,$I$11+OG$11+(MATCH(OF$11,L.DATE,0))-1)))))</f>
        <v/>
      </c>
      <c r="OG17" s="377" t="str" cm="1">
        <f t="array" aca="1" ref="OG17" ca="1">IF(xcomp(INDIRECT((ADDRESS(ROW(OG16),$I$11+(MATCH(OF$11,L.DATE,0))))&amp;":"&amp;(ADDRESS(ROW(OG16),$I$11+OG$11+(MATCH(OF$11,L.DATE,0))-1))),L.ABS.NP)=0,"",
xsom(INDIRECT((ADDRESS(ROW(OG16),$I$11+(MATCH(OF$11,L.DATE,0))))&amp;":"&amp;(ADDRESS(ROW(OG16),$I$11+OG$11+(MATCH(OF$11,L.DATE,0))-1))),L.ABS.NP,
INDIRECT((ADDRESS(ROW(OG16)+1,$I$11+(MATCH(OF$11,L.DATE,0))))&amp;":"&amp;(ADDRESS(ROW(OG16)+1,$I$11+OG$11+(MATCH(OF$11,L.DATE,0))-1)))))</f>
        <v/>
      </c>
      <c r="OH17" s="376" t="str" cm="1">
        <f t="array" aca="1" ref="OH17" ca="1">IF(xcomp(INDIRECT((ADDRESS(ROW(OH16),$I$11+(MATCH(OH$11,L.DATE,0))))&amp;":"&amp;(ADDRESS(ROW(OH16),$I$11+OI$11+(MATCH(OH$11,L.DATE,0))-1))),L.ABSP)=0,"",
xsom(INDIRECT((ADDRESS(ROW(OH16),$I$11+(MATCH(OH$11,L.DATE,0))))&amp;":"&amp;(ADDRESS(ROW(OH16),$I$11+OI$11+(MATCH(OH$11,L.DATE,0))-1))),L.ABSP,
INDIRECT((ADDRESS(ROW(OH16)+1,$I$11+(MATCH(OH$11,L.DATE,0))))&amp;":"&amp;(ADDRESS(ROW(OH16)+1,$I$11+OI$11+(MATCH(OH$11,L.DATE,0))-1)))))</f>
        <v/>
      </c>
      <c r="OI17" s="377" t="str" cm="1">
        <f t="array" aca="1" ref="OI17" ca="1">IF(xcomp(INDIRECT((ADDRESS(ROW(OI16),$I$11+(MATCH(OH$11,L.DATE,0))))&amp;":"&amp;(ADDRESS(ROW(OI16),$I$11+OI$11+(MATCH(OH$11,L.DATE,0))-1))),L.ABS.NP)=0,"",
xsom(INDIRECT((ADDRESS(ROW(OI16),$I$11+(MATCH(OH$11,L.DATE,0))))&amp;":"&amp;(ADDRESS(ROW(OI16),$I$11+OI$11+(MATCH(OH$11,L.DATE,0))-1))),L.ABS.NP,
INDIRECT((ADDRESS(ROW(OI16)+1,$I$11+(MATCH(OH$11,L.DATE,0))))&amp;":"&amp;(ADDRESS(ROW(OI16)+1,$I$11+OI$11+(MATCH(OH$11,L.DATE,0))-1)))))</f>
        <v/>
      </c>
      <c r="OJ17" s="376" t="str" cm="1">
        <f t="array" aca="1" ref="OJ17" ca="1">IF(xcomp(INDIRECT((ADDRESS(ROW(OJ16),$I$11+(MATCH(OJ$11,L.DATE,0))))&amp;":"&amp;(ADDRESS(ROW(OJ16),$I$11+OK$11+(MATCH(OJ$11,L.DATE,0))-1))),L.ABSP)=0,"",
xsom(INDIRECT((ADDRESS(ROW(OJ16),$I$11+(MATCH(OJ$11,L.DATE,0))))&amp;":"&amp;(ADDRESS(ROW(OJ16),$I$11+OK$11+(MATCH(OJ$11,L.DATE,0))-1))),L.ABSP,
INDIRECT((ADDRESS(ROW(OJ16)+1,$I$11+(MATCH(OJ$11,L.DATE,0))))&amp;":"&amp;(ADDRESS(ROW(OJ16)+1,$I$11+OK$11+(MATCH(OJ$11,L.DATE,0))-1)))))</f>
        <v/>
      </c>
      <c r="OK17" s="378" t="str" cm="1">
        <f t="array" aca="1" ref="OK17" ca="1">IF(xcomp(INDIRECT((ADDRESS(ROW(OK16),$I$11+(MATCH(OJ$11,L.DATE,0))))&amp;":"&amp;(ADDRESS(ROW(OK16),$I$11+OK$11+(MATCH(OJ$11,L.DATE,0))-1))),L.ABS.NP)=0,"",
xsom(INDIRECT((ADDRESS(ROW(OK16),$I$11+(MATCH(OJ$11,L.DATE,0))))&amp;":"&amp;(ADDRESS(ROW(OK16),$I$11+OK$11+(MATCH(OJ$11,L.DATE,0))-1))),L.ABS.NP,
INDIRECT((ADDRESS(ROW(OK16)+1,$I$11+(MATCH(OJ$11,L.DATE,0))))&amp;":"&amp;(ADDRESS(ROW(OK16)+1,$I$11+OK$11+(MATCH(OJ$11,L.DATE,0))-1)))))</f>
        <v/>
      </c>
    </row>
    <row r="18" spans="1:404" ht="12" customHeight="1" x14ac:dyDescent="0.3">
      <c r="A18" s="394">
        <v>930773</v>
      </c>
      <c r="B18" s="381" t="s">
        <v>489</v>
      </c>
      <c r="C18" s="53">
        <v>1</v>
      </c>
      <c r="D18" s="392" t="s">
        <v>18</v>
      </c>
      <c r="E18" s="392" t="s">
        <v>484</v>
      </c>
      <c r="F18" s="392" t="s">
        <v>13</v>
      </c>
      <c r="G18" s="104" t="s">
        <v>490</v>
      </c>
      <c r="H18" s="108">
        <v>1</v>
      </c>
      <c r="I18" s="28"/>
      <c r="J18" s="482"/>
      <c r="K18" s="482"/>
      <c r="L18" s="482"/>
      <c r="M18" s="482"/>
      <c r="N18" s="482"/>
      <c r="O18" s="482"/>
      <c r="P18" s="482"/>
      <c r="Q18" s="482"/>
      <c r="R18" s="484" t="s">
        <v>27</v>
      </c>
      <c r="S18" s="484" t="s">
        <v>27</v>
      </c>
      <c r="T18" s="484" t="s">
        <v>27</v>
      </c>
      <c r="U18" s="484" t="s">
        <v>27</v>
      </c>
      <c r="V18" s="484" t="s">
        <v>27</v>
      </c>
      <c r="W18" s="482"/>
      <c r="X18" s="482"/>
      <c r="Y18" s="484" t="s">
        <v>27</v>
      </c>
      <c r="Z18" s="484" t="s">
        <v>27</v>
      </c>
      <c r="AA18" s="484" t="s">
        <v>27</v>
      </c>
      <c r="AB18" s="484" t="s">
        <v>27</v>
      </c>
      <c r="AC18" s="484" t="s">
        <v>27</v>
      </c>
      <c r="AD18" s="482"/>
      <c r="AE18" s="482"/>
      <c r="AF18" s="484" t="s">
        <v>27</v>
      </c>
      <c r="AG18" s="484" t="s">
        <v>27</v>
      </c>
      <c r="AH18" s="484" t="s">
        <v>27</v>
      </c>
      <c r="AI18" s="484" t="s">
        <v>27</v>
      </c>
      <c r="AJ18" s="484" t="s">
        <v>27</v>
      </c>
      <c r="AK18" s="482"/>
      <c r="AL18" s="482"/>
      <c r="AM18" s="484" t="s">
        <v>27</v>
      </c>
      <c r="AN18" s="484" t="s">
        <v>27</v>
      </c>
      <c r="AO18" s="484" t="s">
        <v>27</v>
      </c>
      <c r="AP18" s="484" t="s">
        <v>27</v>
      </c>
      <c r="AQ18" s="484" t="s">
        <v>27</v>
      </c>
      <c r="AR18" s="482"/>
      <c r="AS18" s="482"/>
      <c r="AT18" s="144" t="s">
        <v>150</v>
      </c>
      <c r="AU18" s="144" t="s">
        <v>150</v>
      </c>
      <c r="AV18" s="144" t="s">
        <v>150</v>
      </c>
      <c r="AW18" s="144" t="s">
        <v>150</v>
      </c>
      <c r="AX18" s="144" t="s">
        <v>150</v>
      </c>
      <c r="AY18" s="482"/>
      <c r="AZ18" s="482"/>
      <c r="BA18" s="142" t="s">
        <v>22</v>
      </c>
      <c r="BB18" s="142" t="s">
        <v>22</v>
      </c>
      <c r="BC18" s="142" t="s">
        <v>22</v>
      </c>
      <c r="BD18" s="142" t="s">
        <v>22</v>
      </c>
      <c r="BE18" s="142" t="s">
        <v>22</v>
      </c>
      <c r="BF18" s="482"/>
      <c r="BG18" s="383"/>
      <c r="BH18" s="542" t="s">
        <v>27</v>
      </c>
      <c r="BI18" s="484" t="s">
        <v>27</v>
      </c>
      <c r="BJ18" s="484" t="s">
        <v>27</v>
      </c>
      <c r="BK18" s="484" t="s">
        <v>27</v>
      </c>
      <c r="BL18" s="484" t="s">
        <v>27</v>
      </c>
      <c r="BM18" s="482"/>
      <c r="BN18" s="482"/>
      <c r="BO18" s="484" t="s">
        <v>27</v>
      </c>
      <c r="BP18" s="484" t="s">
        <v>27</v>
      </c>
      <c r="BQ18" s="484" t="s">
        <v>27</v>
      </c>
      <c r="BR18" s="484" t="s">
        <v>27</v>
      </c>
      <c r="BS18" s="484" t="s">
        <v>27</v>
      </c>
      <c r="BT18" s="482"/>
      <c r="BU18" s="482"/>
      <c r="BV18" s="484" t="s">
        <v>27</v>
      </c>
      <c r="BW18" s="484" t="s">
        <v>27</v>
      </c>
      <c r="BX18" s="484" t="s">
        <v>27</v>
      </c>
      <c r="BY18" s="484" t="s">
        <v>27</v>
      </c>
      <c r="BZ18" s="484" t="s">
        <v>27</v>
      </c>
      <c r="CA18" s="482"/>
      <c r="CB18" s="482"/>
      <c r="CC18" s="484" t="s">
        <v>27</v>
      </c>
      <c r="CD18" s="484" t="s">
        <v>27</v>
      </c>
      <c r="CE18" s="484" t="s">
        <v>27</v>
      </c>
      <c r="CF18" s="484" t="s">
        <v>27</v>
      </c>
      <c r="CG18" s="484" t="s">
        <v>27</v>
      </c>
      <c r="CH18" s="482"/>
      <c r="CI18" s="482"/>
      <c r="CJ18" s="484" t="s">
        <v>27</v>
      </c>
      <c r="CK18" s="484" t="s">
        <v>27</v>
      </c>
      <c r="CL18" s="484" t="s">
        <v>27</v>
      </c>
      <c r="CM18" s="484" t="s">
        <v>27</v>
      </c>
      <c r="CN18" s="484" t="s">
        <v>27</v>
      </c>
      <c r="CO18" s="482"/>
      <c r="CP18" s="482"/>
      <c r="CQ18" s="484" t="s">
        <v>27</v>
      </c>
      <c r="CR18" s="484" t="s">
        <v>27</v>
      </c>
      <c r="CS18" s="484" t="s">
        <v>27</v>
      </c>
      <c r="CT18" s="484" t="s">
        <v>27</v>
      </c>
      <c r="CU18" s="484" t="s">
        <v>27</v>
      </c>
      <c r="CV18" s="482"/>
      <c r="CW18" s="482"/>
      <c r="CX18" s="482"/>
      <c r="CY18" s="482"/>
      <c r="CZ18" s="482"/>
      <c r="DA18" s="482"/>
      <c r="DB18" s="482"/>
      <c r="DC18" s="482"/>
      <c r="DD18" s="482"/>
      <c r="DE18" s="144" t="s">
        <v>150</v>
      </c>
      <c r="DF18" s="144" t="s">
        <v>150</v>
      </c>
      <c r="DG18" s="144" t="s">
        <v>150</v>
      </c>
      <c r="DH18" s="144" t="s">
        <v>150</v>
      </c>
      <c r="DI18" s="144" t="s">
        <v>150</v>
      </c>
      <c r="DJ18" s="482"/>
      <c r="DK18" s="482"/>
      <c r="DL18" s="144" t="s">
        <v>150</v>
      </c>
      <c r="DM18" s="144" t="s">
        <v>150</v>
      </c>
      <c r="DN18" s="144" t="s">
        <v>150</v>
      </c>
      <c r="DO18" s="144" t="s">
        <v>150</v>
      </c>
      <c r="DP18" s="144" t="s">
        <v>150</v>
      </c>
      <c r="DQ18" s="482"/>
      <c r="DR18" s="482"/>
      <c r="DS18" s="482"/>
      <c r="DT18" s="482"/>
      <c r="DU18" s="482"/>
      <c r="DV18" s="482"/>
      <c r="DW18" s="482"/>
      <c r="DX18" s="482"/>
      <c r="DY18" s="482"/>
      <c r="DZ18" s="482"/>
      <c r="EA18" s="482"/>
      <c r="EB18" s="482"/>
      <c r="EC18" s="482"/>
      <c r="ED18" s="482"/>
      <c r="EE18" s="482"/>
      <c r="EF18" s="482"/>
      <c r="EG18" s="482"/>
      <c r="EH18" s="482"/>
      <c r="EI18" s="482"/>
      <c r="EJ18" s="482"/>
      <c r="EK18" s="482"/>
      <c r="EL18" s="482"/>
      <c r="EM18" s="482"/>
      <c r="EN18" s="482"/>
      <c r="EO18" s="482"/>
      <c r="EP18" s="482"/>
      <c r="EQ18" s="482"/>
      <c r="ER18" s="482"/>
      <c r="ES18" s="482"/>
      <c r="ET18" s="482"/>
      <c r="EU18" s="482"/>
      <c r="EV18" s="482"/>
      <c r="EW18" s="482"/>
      <c r="EX18" s="482"/>
      <c r="EY18" s="482"/>
      <c r="EZ18" s="482"/>
      <c r="FA18" s="482"/>
      <c r="FB18" s="482"/>
      <c r="FC18" s="482"/>
      <c r="FD18" s="482"/>
      <c r="FE18" s="482"/>
      <c r="FF18" s="482"/>
      <c r="FG18" s="482"/>
      <c r="FH18" s="482"/>
      <c r="FI18" s="482"/>
      <c r="FJ18" s="482"/>
      <c r="FK18" s="482"/>
      <c r="FL18" s="482"/>
      <c r="FM18" s="482"/>
      <c r="FN18" s="482"/>
      <c r="FO18" s="482"/>
      <c r="FP18" s="482"/>
      <c r="FQ18" s="482"/>
      <c r="FR18" s="482"/>
      <c r="FS18" s="482"/>
      <c r="FT18" s="482"/>
      <c r="FU18" s="482"/>
      <c r="FV18" s="482"/>
      <c r="FW18" s="482"/>
      <c r="FX18" s="482"/>
      <c r="FY18" s="482"/>
      <c r="FZ18" s="482"/>
      <c r="GA18" s="482"/>
      <c r="GB18" s="482"/>
      <c r="GC18" s="482"/>
      <c r="GD18" s="482"/>
      <c r="GE18" s="482"/>
      <c r="GF18" s="482"/>
      <c r="GG18" s="482"/>
      <c r="GH18" s="482"/>
      <c r="GI18" s="482"/>
      <c r="GJ18" s="482"/>
      <c r="GK18" s="482"/>
      <c r="GL18" s="482"/>
      <c r="GM18" s="482"/>
      <c r="GN18" s="482"/>
      <c r="GO18" s="482"/>
      <c r="GP18" s="482"/>
      <c r="GQ18" s="482"/>
      <c r="GR18" s="482"/>
      <c r="GS18" s="482"/>
      <c r="GT18" s="482"/>
      <c r="GU18" s="482"/>
      <c r="GV18" s="482"/>
      <c r="GW18" s="482"/>
      <c r="GX18" s="482"/>
      <c r="GY18" s="482"/>
      <c r="GZ18" s="482"/>
      <c r="HA18" s="482"/>
      <c r="HB18" s="482"/>
      <c r="HC18" s="482"/>
      <c r="HD18" s="482"/>
      <c r="HE18" s="482"/>
      <c r="HF18" s="482"/>
      <c r="HG18" s="482"/>
      <c r="HH18" s="482"/>
      <c r="HI18" s="482"/>
      <c r="HJ18" s="482"/>
      <c r="HK18" s="482"/>
      <c r="HL18" s="482"/>
      <c r="HM18" s="482"/>
      <c r="HN18" s="482"/>
      <c r="HO18" s="482"/>
      <c r="HP18" s="482"/>
      <c r="HQ18" s="482"/>
      <c r="HR18" s="482"/>
      <c r="HS18" s="482"/>
      <c r="HT18" s="482"/>
      <c r="HU18" s="482"/>
      <c r="HV18" s="482"/>
      <c r="HW18" s="482"/>
      <c r="HX18" s="482"/>
      <c r="HY18" s="482"/>
      <c r="HZ18" s="482"/>
      <c r="IA18" s="482"/>
      <c r="IB18" s="482"/>
      <c r="IC18" s="482"/>
      <c r="ID18" s="482"/>
      <c r="IE18" s="482"/>
      <c r="IF18" s="482"/>
      <c r="IG18" s="482"/>
      <c r="IH18" s="482"/>
      <c r="II18" s="482"/>
      <c r="IJ18" s="482"/>
      <c r="IK18" s="482"/>
      <c r="IL18" s="482"/>
      <c r="IM18" s="482"/>
      <c r="IN18" s="482"/>
      <c r="IO18" s="482"/>
      <c r="IP18" s="482"/>
      <c r="IQ18" s="482"/>
      <c r="IR18" s="482"/>
      <c r="IS18" s="482"/>
      <c r="IT18" s="482"/>
      <c r="IU18" s="482"/>
      <c r="IV18" s="482"/>
      <c r="IW18" s="482"/>
      <c r="IX18" s="482"/>
      <c r="IY18" s="482"/>
      <c r="IZ18" s="482"/>
      <c r="JA18" s="482"/>
      <c r="JB18" s="482"/>
      <c r="JC18" s="482"/>
      <c r="JD18" s="482"/>
      <c r="JE18" s="482"/>
      <c r="JF18" s="482"/>
      <c r="JG18" s="482"/>
      <c r="JH18" s="482"/>
      <c r="JI18" s="482"/>
      <c r="JJ18" s="482"/>
      <c r="JK18" s="482"/>
      <c r="JL18" s="482"/>
      <c r="JM18" s="482"/>
      <c r="JN18" s="482"/>
      <c r="JO18" s="482"/>
      <c r="JP18" s="482"/>
      <c r="JQ18" s="482"/>
      <c r="JR18" s="482"/>
      <c r="JS18" s="482"/>
      <c r="JT18" s="482"/>
      <c r="JU18" s="482"/>
      <c r="JV18" s="482"/>
      <c r="JW18" s="482"/>
      <c r="JX18" s="482"/>
      <c r="JY18" s="482"/>
      <c r="JZ18" s="482"/>
      <c r="KA18" s="482"/>
      <c r="KB18" s="482"/>
      <c r="KC18" s="482"/>
      <c r="KD18" s="482"/>
      <c r="KE18" s="482"/>
      <c r="KF18" s="482"/>
      <c r="KG18" s="482"/>
      <c r="KH18" s="482"/>
      <c r="KI18" s="482"/>
      <c r="KJ18" s="482"/>
      <c r="KK18" s="482"/>
      <c r="KL18" s="482"/>
      <c r="KM18" s="482"/>
      <c r="KN18" s="482"/>
      <c r="KO18" s="482"/>
      <c r="KP18" s="482"/>
      <c r="KQ18" s="482"/>
      <c r="KR18" s="482"/>
      <c r="KS18" s="482"/>
      <c r="KT18" s="482"/>
      <c r="KU18" s="482"/>
      <c r="KV18" s="482"/>
      <c r="KW18" s="482"/>
      <c r="KX18" s="482"/>
      <c r="KY18" s="482"/>
      <c r="KZ18" s="482"/>
      <c r="LA18" s="482"/>
      <c r="LB18" s="482"/>
      <c r="LC18" s="482"/>
      <c r="LD18" s="482"/>
      <c r="LE18" s="482"/>
      <c r="LF18" s="482"/>
      <c r="LG18" s="482"/>
      <c r="LH18" s="482"/>
      <c r="LI18" s="482"/>
      <c r="LJ18" s="482"/>
      <c r="LK18" s="482"/>
      <c r="LL18" s="482"/>
      <c r="LM18" s="482"/>
      <c r="LN18" s="482"/>
      <c r="LO18" s="482"/>
      <c r="LP18" s="482"/>
      <c r="LQ18" s="482"/>
      <c r="LR18" s="482"/>
      <c r="LS18" s="482"/>
      <c r="LT18" s="482"/>
      <c r="LU18" s="482"/>
      <c r="LV18" s="482"/>
      <c r="LW18" s="482"/>
      <c r="LX18" s="482"/>
      <c r="LY18" s="482"/>
      <c r="LZ18" s="482"/>
      <c r="MA18" s="482"/>
      <c r="MB18" s="482"/>
      <c r="MC18" s="482"/>
      <c r="MD18" s="482"/>
      <c r="ME18" s="482"/>
      <c r="MF18" s="482"/>
      <c r="MG18" s="482"/>
      <c r="MH18" s="482"/>
      <c r="MI18" s="482"/>
      <c r="MJ18" s="482"/>
      <c r="MK18" s="482"/>
      <c r="ML18" s="482"/>
      <c r="MM18" s="482"/>
      <c r="MN18" s="482"/>
      <c r="MO18" s="482"/>
      <c r="MP18" s="482"/>
      <c r="MQ18" s="482"/>
      <c r="MR18" s="482"/>
      <c r="MS18" s="482"/>
      <c r="MT18" s="482"/>
      <c r="MU18" s="482"/>
      <c r="MV18" s="482"/>
      <c r="MW18" s="482"/>
      <c r="MX18" s="482"/>
      <c r="MY18" s="482"/>
      <c r="MZ18" s="482"/>
      <c r="NA18" s="482"/>
      <c r="NB18" s="482"/>
      <c r="NC18" s="482"/>
      <c r="ND18" s="482"/>
      <c r="NE18" s="482"/>
      <c r="NF18" s="482"/>
      <c r="NG18" s="482"/>
      <c r="NH18" s="482"/>
      <c r="NI18" s="482"/>
      <c r="NJ18" s="483"/>
      <c r="NK18" s="34"/>
      <c r="NM18" s="159">
        <f>A18</f>
        <v>930773</v>
      </c>
      <c r="NN18" s="373">
        <f ca="1">COUNTIF(INDIRECT((ADDRESS(ROW(NO19),$I$11+(MATCH(NN$11,L.DATE,0))))&amp;":"&amp;(ADDRESS(ROW(NO19),$I$11+NO$11+(MATCH(NN$11,L.DATE,0))-1))),"&gt;=0")-NO18</f>
        <v>17</v>
      </c>
      <c r="NO18" s="374">
        <f ca="1">SUM(INDIRECT((ADDRESS(ROW(NO19),$I$11+(MATCH(NN$11,L.DATE,0))))&amp;":"&amp;(ADDRESS(ROW(NO19),$I$11+NO$11+(MATCH(NN$11,L.DATE,0))-1))))</f>
        <v>0</v>
      </c>
      <c r="NP18" s="373">
        <f ca="1">COUNTIF(INDIRECT((ADDRESS(ROW(NQ19),$I$11+(MATCH(NP$11,L.DATE,0))))&amp;":"&amp;(ADDRESS(ROW(NQ19),$I$11+NQ$11+(MATCH(NP$11,L.DATE,0))-1))),"&gt;=0")-NQ18</f>
        <v>20</v>
      </c>
      <c r="NQ18" s="374">
        <f ca="1">SUM(INDIRECT((ADDRESS(ROW(NQ19),$I$11+(MATCH(NP$11,L.DATE,0))))&amp;":"&amp;(ADDRESS(ROW(NQ19),$I$11+NQ$11+(MATCH(NP$11,L.DATE,0))-1))))</f>
        <v>0</v>
      </c>
      <c r="NR18" s="373">
        <f ca="1">COUNTIF(INDIRECT((ADDRESS(ROW(NS19),$I$11+(MATCH(NR$11,L.DATE,0))))&amp;":"&amp;(ADDRESS(ROW(NS19),$I$11+NS$11+(MATCH(NR$11,L.DATE,0))-1))),"&gt;=0")-NS18</f>
        <v>23</v>
      </c>
      <c r="NS18" s="374">
        <f ca="1">SUM(INDIRECT((ADDRESS(ROW(NS19),$I$11+(MATCH(NR$11,L.DATE,0))))&amp;":"&amp;(ADDRESS(ROW(NS19),$I$11+NS$11+(MATCH(NR$11,L.DATE,0))-1))))</f>
        <v>0</v>
      </c>
      <c r="NT18" s="373">
        <f ca="1">COUNTIF(INDIRECT((ADDRESS(ROW(NU19),$I$11+(MATCH(NT$11,L.DATE,0))))&amp;":"&amp;(ADDRESS(ROW(NU19),$I$11+NU$11+(MATCH(NT$11,L.DATE,0))-1))),"&gt;=0")-NU18</f>
        <v>10</v>
      </c>
      <c r="NU18" s="374">
        <f ca="1">SUM(INDIRECT((ADDRESS(ROW(NU19),$I$11+(MATCH(NT$11,L.DATE,0))))&amp;":"&amp;(ADDRESS(ROW(NU19),$I$11+NU$11+(MATCH(NT$11,L.DATE,0))-1))))</f>
        <v>0</v>
      </c>
      <c r="NV18" s="373">
        <f ca="1">COUNTIF(INDIRECT((ADDRESS(ROW(NW19),$I$11+(MATCH(NV$11,L.DATE,0))))&amp;":"&amp;(ADDRESS(ROW(NW19),$I$11+NW$11+(MATCH(NV$11,L.DATE,0))-1))),"&gt;=0")-NW18</f>
        <v>0</v>
      </c>
      <c r="NW18" s="374">
        <f ca="1">SUM(INDIRECT((ADDRESS(ROW(NW19),$I$11+(MATCH(NV$11,L.DATE,0))))&amp;":"&amp;(ADDRESS(ROW(NW19),$I$11+NW$11+(MATCH(NV$11,L.DATE,0))-1))))</f>
        <v>0</v>
      </c>
      <c r="NX18" s="373">
        <f ca="1">COUNTIF(INDIRECT((ADDRESS(ROW(NY19),$I$11+(MATCH(NX$11,L.DATE,0))))&amp;":"&amp;(ADDRESS(ROW(NY19),$I$11+NY$11+(MATCH(NX$11,L.DATE,0))-1))),"&gt;=0")-NY18</f>
        <v>0</v>
      </c>
      <c r="NY18" s="374">
        <f ca="1">SUM(INDIRECT((ADDRESS(ROW(NY19),$I$11+(MATCH(NX$11,L.DATE,0))))&amp;":"&amp;(ADDRESS(ROW(NY19),$I$11+NY$11+(MATCH(NX$11,L.DATE,0))-1))))</f>
        <v>0</v>
      </c>
      <c r="NZ18" s="373">
        <f ca="1">COUNTIF(INDIRECT((ADDRESS(ROW(OA19),$I$11+(MATCH(NZ$11,L.DATE,0))))&amp;":"&amp;(ADDRESS(ROW(OA19),$I$11+OA$11+(MATCH(NZ$11,L.DATE,0))-1))),"&gt;=0")-OA18</f>
        <v>0</v>
      </c>
      <c r="OA18" s="374">
        <f ca="1">SUM(INDIRECT((ADDRESS(ROW(OA19),$I$11+(MATCH(NZ$11,L.DATE,0))))&amp;":"&amp;(ADDRESS(ROW(OA19),$I$11+OA$11+(MATCH(NZ$11,L.DATE,0))-1))))</f>
        <v>0</v>
      </c>
      <c r="OB18" s="373">
        <f ca="1">COUNTIF(INDIRECT((ADDRESS(ROW(OC19),$I$11+(MATCH(OB$11,L.DATE,0))))&amp;":"&amp;(ADDRESS(ROW(OC19),$I$11+OC$11+(MATCH(OB$11,L.DATE,0))-1))),"&gt;=0")-OC18</f>
        <v>0</v>
      </c>
      <c r="OC18" s="374">
        <f ca="1">SUM(INDIRECT((ADDRESS(ROW(OC19),$I$11+(MATCH(OB$11,L.DATE,0))))&amp;":"&amp;(ADDRESS(ROW(OC19),$I$11+OC$11+(MATCH(OB$11,L.DATE,0))-1))))</f>
        <v>0</v>
      </c>
      <c r="OD18" s="373">
        <f ca="1">COUNTIF(INDIRECT((ADDRESS(ROW(OE19),$I$11+(MATCH(OD$11,L.DATE,0))))&amp;":"&amp;(ADDRESS(ROW(OE19),$I$11+OE$11+(MATCH(OD$11,L.DATE,0))-1))),"&gt;=0")-OE18</f>
        <v>0</v>
      </c>
      <c r="OE18" s="374">
        <f ca="1">SUM(INDIRECT((ADDRESS(ROW(OE19),$I$11+(MATCH(OD$11,L.DATE,0))))&amp;":"&amp;(ADDRESS(ROW(OE19),$I$11+OE$11+(MATCH(OD$11,L.DATE,0))-1))))</f>
        <v>0</v>
      </c>
      <c r="OF18" s="373">
        <f ca="1">COUNTIF(INDIRECT((ADDRESS(ROW(OG19),$I$11+(MATCH(OF$11,L.DATE,0))))&amp;":"&amp;(ADDRESS(ROW(OG19),$I$11+OG$11+(MATCH(OF$11,L.DATE,0))-1))),"&gt;=0")-OG18</f>
        <v>0</v>
      </c>
      <c r="OG18" s="374">
        <f ca="1">SUM(INDIRECT((ADDRESS(ROW(OG19),$I$11+(MATCH(OF$11,L.DATE,0))))&amp;":"&amp;(ADDRESS(ROW(OG19),$I$11+OG$11+(MATCH(OF$11,L.DATE,0))-1))))</f>
        <v>0</v>
      </c>
      <c r="OH18" s="373">
        <f ca="1">COUNTIF(INDIRECT((ADDRESS(ROW(OI19),$I$11+(MATCH(OH$11,L.DATE,0))))&amp;":"&amp;(ADDRESS(ROW(OI19),$I$11+OI$11+(MATCH(OH$11,L.DATE,0))-1))),"&gt;=0")-OI18</f>
        <v>0</v>
      </c>
      <c r="OI18" s="374">
        <f ca="1">SUM(INDIRECT((ADDRESS(ROW(OI19),$I$11+(MATCH(OH$11,L.DATE,0))))&amp;":"&amp;(ADDRESS(ROW(OI19),$I$11+OI$11+(MATCH(OH$11,L.DATE,0))-1))))</f>
        <v>0</v>
      </c>
      <c r="OJ18" s="373">
        <f ca="1">COUNTIF(INDIRECT((ADDRESS(ROW(OK19),$I$11+(MATCH(OJ$11,L.DATE,0))))&amp;":"&amp;(ADDRESS(ROW(OK19),$I$11+OK$11+(MATCH(OJ$11,L.DATE,0))-1))),"&gt;=0")-OK18</f>
        <v>0</v>
      </c>
      <c r="OK18" s="375">
        <f ca="1">SUM(INDIRECT((ADDRESS(ROW(OK19),$I$11+(MATCH(OJ$11,L.DATE,0))))&amp;":"&amp;(ADDRESS(ROW(OK19),$I$11+OK$11+(MATCH(OJ$11,L.DATE,0))-1))))</f>
        <v>0</v>
      </c>
      <c r="OM18" s="39">
        <f ca="1">NN18+NP18+NR18+NT18+NV18+NX18+NZ18+OB18+OD18+OF18+OJ18+OH18</f>
        <v>70</v>
      </c>
      <c r="ON18" s="40">
        <f ca="1">NO18+NQ18+NS18+NU18+NW18+NY18+OA18+OC18+OE18+OG18+OK18+OI18</f>
        <v>0</v>
      </c>
    </row>
    <row r="19" spans="1:404" x14ac:dyDescent="0.3">
      <c r="A19" s="33"/>
      <c r="B19" s="16" t="str">
        <f t="shared" ref="B19:H19" si="25">B18</f>
        <v>AUBIN.Gilles</v>
      </c>
      <c r="C19" s="16">
        <f t="shared" si="25"/>
        <v>1</v>
      </c>
      <c r="D19" s="16" t="str">
        <f t="shared" si="25"/>
        <v>I2S</v>
      </c>
      <c r="E19" s="16" t="str">
        <f t="shared" si="25"/>
        <v>ITG</v>
      </c>
      <c r="F19" s="16" t="str">
        <f t="shared" si="25"/>
        <v>SL</v>
      </c>
      <c r="G19" s="105" t="str">
        <f t="shared" si="25"/>
        <v>T2C</v>
      </c>
      <c r="H19" s="109">
        <f t="shared" si="25"/>
        <v>1</v>
      </c>
      <c r="I19" s="28"/>
      <c r="J19" s="482"/>
      <c r="K19" s="482"/>
      <c r="L19" s="482"/>
      <c r="M19" s="482"/>
      <c r="N19" s="482"/>
      <c r="O19" s="482"/>
      <c r="P19" s="482"/>
      <c r="Q19" s="482"/>
      <c r="R19" s="485">
        <v>0</v>
      </c>
      <c r="S19" s="485">
        <v>0</v>
      </c>
      <c r="T19" s="485">
        <v>0</v>
      </c>
      <c r="U19" s="485">
        <v>0</v>
      </c>
      <c r="V19" s="485">
        <v>0</v>
      </c>
      <c r="W19" s="482"/>
      <c r="X19" s="482"/>
      <c r="Y19" s="485">
        <v>0</v>
      </c>
      <c r="Z19" s="485">
        <v>0</v>
      </c>
      <c r="AA19" s="485">
        <v>0</v>
      </c>
      <c r="AB19" s="485">
        <v>0</v>
      </c>
      <c r="AC19" s="485">
        <v>0</v>
      </c>
      <c r="AD19" s="482"/>
      <c r="AE19" s="482"/>
      <c r="AF19" s="485">
        <v>0</v>
      </c>
      <c r="AG19" s="485">
        <v>0</v>
      </c>
      <c r="AH19" s="485">
        <v>0</v>
      </c>
      <c r="AI19" s="485">
        <v>0</v>
      </c>
      <c r="AJ19" s="485">
        <v>0</v>
      </c>
      <c r="AK19" s="482"/>
      <c r="AL19" s="482"/>
      <c r="AM19" s="485">
        <v>0</v>
      </c>
      <c r="AN19" s="485">
        <v>0</v>
      </c>
      <c r="AO19" s="485">
        <v>0</v>
      </c>
      <c r="AP19" s="485">
        <v>0</v>
      </c>
      <c r="AQ19" s="485">
        <v>0</v>
      </c>
      <c r="AR19" s="482"/>
      <c r="AS19" s="482"/>
      <c r="AT19" s="485">
        <v>0</v>
      </c>
      <c r="AU19" s="485">
        <v>0</v>
      </c>
      <c r="AV19" s="485">
        <v>0</v>
      </c>
      <c r="AW19" s="485">
        <v>0</v>
      </c>
      <c r="AX19" s="485">
        <v>0</v>
      </c>
      <c r="AY19" s="482"/>
      <c r="AZ19" s="482"/>
      <c r="BA19" s="485">
        <v>0</v>
      </c>
      <c r="BB19" s="485">
        <v>0</v>
      </c>
      <c r="BC19" s="485">
        <v>0</v>
      </c>
      <c r="BD19" s="485">
        <v>0</v>
      </c>
      <c r="BE19" s="485">
        <v>0</v>
      </c>
      <c r="BF19" s="482"/>
      <c r="BG19" s="485"/>
      <c r="BH19" s="485">
        <v>0</v>
      </c>
      <c r="BI19" s="485">
        <v>0</v>
      </c>
      <c r="BJ19" s="485">
        <v>0</v>
      </c>
      <c r="BK19" s="485">
        <v>0</v>
      </c>
      <c r="BL19" s="485">
        <v>0</v>
      </c>
      <c r="BM19" s="482"/>
      <c r="BN19" s="482"/>
      <c r="BO19" s="485">
        <v>0</v>
      </c>
      <c r="BP19" s="485">
        <v>0</v>
      </c>
      <c r="BQ19" s="485">
        <v>0</v>
      </c>
      <c r="BR19" s="485">
        <v>0</v>
      </c>
      <c r="BS19" s="485">
        <v>0</v>
      </c>
      <c r="BT19" s="482"/>
      <c r="BU19" s="482"/>
      <c r="BV19" s="485">
        <v>0</v>
      </c>
      <c r="BW19" s="485">
        <v>0</v>
      </c>
      <c r="BX19" s="485">
        <v>0</v>
      </c>
      <c r="BY19" s="485">
        <v>0</v>
      </c>
      <c r="BZ19" s="485">
        <v>0</v>
      </c>
      <c r="CA19" s="482"/>
      <c r="CB19" s="482"/>
      <c r="CC19" s="485">
        <v>0</v>
      </c>
      <c r="CD19" s="485">
        <v>0</v>
      </c>
      <c r="CE19" s="485">
        <v>0</v>
      </c>
      <c r="CF19" s="485">
        <v>0</v>
      </c>
      <c r="CG19" s="485">
        <v>0</v>
      </c>
      <c r="CH19" s="482"/>
      <c r="CI19" s="482"/>
      <c r="CJ19" s="485">
        <v>0</v>
      </c>
      <c r="CK19" s="485">
        <v>0</v>
      </c>
      <c r="CL19" s="485">
        <v>0</v>
      </c>
      <c r="CM19" s="485">
        <v>0</v>
      </c>
      <c r="CN19" s="485">
        <v>0</v>
      </c>
      <c r="CO19" s="482"/>
      <c r="CP19" s="482"/>
      <c r="CQ19" s="485">
        <v>0</v>
      </c>
      <c r="CR19" s="485">
        <v>0</v>
      </c>
      <c r="CS19" s="485">
        <v>0</v>
      </c>
      <c r="CT19" s="485">
        <v>0</v>
      </c>
      <c r="CU19" s="485">
        <v>0</v>
      </c>
      <c r="CV19" s="482"/>
      <c r="CW19" s="482"/>
      <c r="CX19" s="482"/>
      <c r="CY19" s="482"/>
      <c r="CZ19" s="482"/>
      <c r="DA19" s="482"/>
      <c r="DB19" s="482"/>
      <c r="DC19" s="482"/>
      <c r="DD19" s="482"/>
      <c r="DE19" s="485">
        <v>0</v>
      </c>
      <c r="DF19" s="482">
        <v>0</v>
      </c>
      <c r="DG19" s="482">
        <v>0</v>
      </c>
      <c r="DH19" s="482">
        <v>0</v>
      </c>
      <c r="DI19" s="482">
        <v>0</v>
      </c>
      <c r="DJ19" s="482"/>
      <c r="DK19" s="482"/>
      <c r="DL19" s="485">
        <v>0</v>
      </c>
      <c r="DM19" s="482">
        <v>0</v>
      </c>
      <c r="DN19" s="482">
        <v>0</v>
      </c>
      <c r="DO19" s="482">
        <v>0</v>
      </c>
      <c r="DP19" s="482">
        <v>0</v>
      </c>
      <c r="DQ19" s="482"/>
      <c r="DR19" s="482"/>
      <c r="DS19" s="482"/>
      <c r="DT19" s="482"/>
      <c r="DU19" s="482"/>
      <c r="DV19" s="482"/>
      <c r="DW19" s="482"/>
      <c r="DX19" s="482"/>
      <c r="DY19" s="482"/>
      <c r="DZ19" s="482"/>
      <c r="EA19" s="482"/>
      <c r="EB19" s="482"/>
      <c r="EC19" s="482"/>
      <c r="ED19" s="482"/>
      <c r="EE19" s="482"/>
      <c r="EF19" s="482"/>
      <c r="EG19" s="482"/>
      <c r="EH19" s="482"/>
      <c r="EI19" s="482"/>
      <c r="EJ19" s="482"/>
      <c r="EK19" s="482"/>
      <c r="EL19" s="482"/>
      <c r="EM19" s="482"/>
      <c r="EN19" s="482"/>
      <c r="EO19" s="482"/>
      <c r="EP19" s="482"/>
      <c r="EQ19" s="482"/>
      <c r="ER19" s="482"/>
      <c r="ES19" s="482"/>
      <c r="ET19" s="482"/>
      <c r="EU19" s="482"/>
      <c r="EV19" s="482"/>
      <c r="EW19" s="482"/>
      <c r="EX19" s="482"/>
      <c r="EY19" s="482"/>
      <c r="EZ19" s="482"/>
      <c r="FA19" s="482"/>
      <c r="FB19" s="482"/>
      <c r="FC19" s="482"/>
      <c r="FD19" s="482"/>
      <c r="FE19" s="482"/>
      <c r="FF19" s="482"/>
      <c r="FG19" s="482"/>
      <c r="FH19" s="482"/>
      <c r="FI19" s="482"/>
      <c r="FJ19" s="482"/>
      <c r="FK19" s="482"/>
      <c r="FL19" s="482"/>
      <c r="FM19" s="482"/>
      <c r="FN19" s="482"/>
      <c r="FO19" s="482"/>
      <c r="FP19" s="482"/>
      <c r="FQ19" s="482"/>
      <c r="FR19" s="482"/>
      <c r="FS19" s="482"/>
      <c r="FT19" s="482"/>
      <c r="FU19" s="482"/>
      <c r="FV19" s="482"/>
      <c r="FW19" s="482"/>
      <c r="FX19" s="482"/>
      <c r="FY19" s="482"/>
      <c r="FZ19" s="482"/>
      <c r="GA19" s="482"/>
      <c r="GB19" s="482"/>
      <c r="GC19" s="482"/>
      <c r="GD19" s="482"/>
      <c r="GE19" s="482"/>
      <c r="GF19" s="482"/>
      <c r="GG19" s="482"/>
      <c r="GH19" s="482"/>
      <c r="GI19" s="482"/>
      <c r="GJ19" s="482"/>
      <c r="GK19" s="482"/>
      <c r="GL19" s="482"/>
      <c r="GM19" s="482"/>
      <c r="GN19" s="482"/>
      <c r="GO19" s="482"/>
      <c r="GP19" s="482"/>
      <c r="GQ19" s="482"/>
      <c r="GR19" s="482"/>
      <c r="GS19" s="482"/>
      <c r="GT19" s="482"/>
      <c r="GU19" s="482"/>
      <c r="GV19" s="482"/>
      <c r="GW19" s="482"/>
      <c r="GX19" s="482"/>
      <c r="GY19" s="482"/>
      <c r="GZ19" s="482"/>
      <c r="HA19" s="482"/>
      <c r="HB19" s="482"/>
      <c r="HC19" s="482"/>
      <c r="HD19" s="482"/>
      <c r="HE19" s="482"/>
      <c r="HF19" s="482"/>
      <c r="HG19" s="482"/>
      <c r="HH19" s="482"/>
      <c r="HI19" s="482"/>
      <c r="HJ19" s="482"/>
      <c r="HK19" s="482"/>
      <c r="HL19" s="482"/>
      <c r="HM19" s="482"/>
      <c r="HN19" s="482"/>
      <c r="HO19" s="482"/>
      <c r="HP19" s="482"/>
      <c r="HQ19" s="482"/>
      <c r="HR19" s="482"/>
      <c r="HS19" s="482"/>
      <c r="HT19" s="482"/>
      <c r="HU19" s="482"/>
      <c r="HV19" s="482"/>
      <c r="HW19" s="482"/>
      <c r="HX19" s="482"/>
      <c r="HY19" s="482"/>
      <c r="HZ19" s="482"/>
      <c r="IA19" s="482"/>
      <c r="IB19" s="482"/>
      <c r="IC19" s="482"/>
      <c r="ID19" s="482"/>
      <c r="IE19" s="482"/>
      <c r="IF19" s="482"/>
      <c r="IG19" s="482"/>
      <c r="IH19" s="482"/>
      <c r="II19" s="482"/>
      <c r="IJ19" s="482"/>
      <c r="IK19" s="482"/>
      <c r="IL19" s="482"/>
      <c r="IM19" s="482"/>
      <c r="IN19" s="482"/>
      <c r="IO19" s="482"/>
      <c r="IP19" s="482"/>
      <c r="IQ19" s="482"/>
      <c r="IR19" s="482"/>
      <c r="IS19" s="482"/>
      <c r="IT19" s="482"/>
      <c r="IU19" s="482"/>
      <c r="IV19" s="482"/>
      <c r="IW19" s="482"/>
      <c r="IX19" s="482"/>
      <c r="IY19" s="482"/>
      <c r="IZ19" s="482"/>
      <c r="JA19" s="482"/>
      <c r="JB19" s="482"/>
      <c r="JC19" s="482"/>
      <c r="JD19" s="482"/>
      <c r="JE19" s="482"/>
      <c r="JF19" s="482"/>
      <c r="JG19" s="482"/>
      <c r="JH19" s="482"/>
      <c r="JI19" s="482"/>
      <c r="JJ19" s="482"/>
      <c r="JK19" s="482"/>
      <c r="JL19" s="482"/>
      <c r="JM19" s="482"/>
      <c r="JN19" s="482"/>
      <c r="JO19" s="482"/>
      <c r="JP19" s="482"/>
      <c r="JQ19" s="482"/>
      <c r="JR19" s="482"/>
      <c r="JS19" s="482"/>
      <c r="JT19" s="482"/>
      <c r="JU19" s="482"/>
      <c r="JV19" s="482"/>
      <c r="JW19" s="482"/>
      <c r="JX19" s="482"/>
      <c r="JY19" s="482"/>
      <c r="JZ19" s="482"/>
      <c r="KA19" s="482"/>
      <c r="KB19" s="482"/>
      <c r="KC19" s="482"/>
      <c r="KD19" s="482"/>
      <c r="KE19" s="482"/>
      <c r="KF19" s="482"/>
      <c r="KG19" s="482"/>
      <c r="KH19" s="482"/>
      <c r="KI19" s="482"/>
      <c r="KJ19" s="482"/>
      <c r="KK19" s="482"/>
      <c r="KL19" s="482"/>
      <c r="KM19" s="482"/>
      <c r="KN19" s="482"/>
      <c r="KO19" s="482"/>
      <c r="KP19" s="482"/>
      <c r="KQ19" s="482"/>
      <c r="KR19" s="482"/>
      <c r="KS19" s="482"/>
      <c r="KT19" s="482"/>
      <c r="KU19" s="482"/>
      <c r="KV19" s="482"/>
      <c r="KW19" s="482"/>
      <c r="KX19" s="482"/>
      <c r="KY19" s="482"/>
      <c r="KZ19" s="482"/>
      <c r="LA19" s="482"/>
      <c r="LB19" s="482"/>
      <c r="LC19" s="482"/>
      <c r="LD19" s="482"/>
      <c r="LE19" s="482"/>
      <c r="LF19" s="482"/>
      <c r="LG19" s="482"/>
      <c r="LH19" s="482"/>
      <c r="LI19" s="482"/>
      <c r="LJ19" s="482"/>
      <c r="LK19" s="482"/>
      <c r="LL19" s="482"/>
      <c r="LM19" s="482"/>
      <c r="LN19" s="482"/>
      <c r="LO19" s="482"/>
      <c r="LP19" s="482"/>
      <c r="LQ19" s="482"/>
      <c r="LR19" s="482"/>
      <c r="LS19" s="482"/>
      <c r="LT19" s="482"/>
      <c r="LU19" s="482"/>
      <c r="LV19" s="482"/>
      <c r="LW19" s="482"/>
      <c r="LX19" s="482"/>
      <c r="LY19" s="482"/>
      <c r="LZ19" s="482"/>
      <c r="MA19" s="482"/>
      <c r="MB19" s="482"/>
      <c r="MC19" s="482"/>
      <c r="MD19" s="482"/>
      <c r="ME19" s="482"/>
      <c r="MF19" s="482"/>
      <c r="MG19" s="482"/>
      <c r="MH19" s="482"/>
      <c r="MI19" s="482"/>
      <c r="MJ19" s="482"/>
      <c r="MK19" s="482"/>
      <c r="ML19" s="482"/>
      <c r="MM19" s="482"/>
      <c r="MN19" s="482"/>
      <c r="MO19" s="482"/>
      <c r="MP19" s="482"/>
      <c r="MQ19" s="482"/>
      <c r="MR19" s="482"/>
      <c r="MS19" s="482"/>
      <c r="MT19" s="482"/>
      <c r="MU19" s="482"/>
      <c r="MV19" s="482"/>
      <c r="MW19" s="482"/>
      <c r="MX19" s="482"/>
      <c r="MY19" s="482"/>
      <c r="MZ19" s="482"/>
      <c r="NA19" s="482"/>
      <c r="NB19" s="482"/>
      <c r="NC19" s="482"/>
      <c r="ND19" s="482"/>
      <c r="NE19" s="482"/>
      <c r="NF19" s="482"/>
      <c r="NG19" s="482"/>
      <c r="NH19" s="482"/>
      <c r="NI19" s="482"/>
      <c r="NJ19" s="483"/>
      <c r="NK19" s="34"/>
      <c r="NM19" s="379" t="str">
        <f>NM18&amp;".b"</f>
        <v>930773.b</v>
      </c>
      <c r="NN19" s="376" cm="1">
        <f t="array" aca="1" ref="NN19" ca="1">IF(xcomp(INDIRECT((ADDRESS(ROW(NN18),$I$11+(MATCH(NN$11,L.DATE,0))))&amp;":"&amp;(ADDRESS(ROW(NN18),$I$11+NO$11+(MATCH(NN$11,L.DATE,0))-1))),L.ABSP)=0,"",
xsom(INDIRECT((ADDRESS(ROW(NN18),$I$11+(MATCH(NN$11,L.DATE,0))))&amp;":"&amp;(ADDRESS(ROW(NN18),$I$11+NO$11+(MATCH(NN$11,L.DATE,0))-1))),L.ABSP,
INDIRECT((ADDRESS(ROW(NN18)+1,$I$11+(MATCH(NN$11,L.DATE,0))))&amp;":"&amp;(ADDRESS(ROW(NN18)+1,$I$11+NO$11+(MATCH(NN$11,L.DATE,0))-1)))))</f>
        <v>17</v>
      </c>
      <c r="NO19" s="377" t="str" cm="1">
        <f t="array" aca="1" ref="NO19" ca="1">IF(xcomp(INDIRECT((ADDRESS(ROW(NO18),$I$11+(MATCH(NN$11,L.DATE,0))))&amp;":"&amp;(ADDRESS(ROW(NO18),$I$11+NO$11+(MATCH(NN$11,L.DATE,0))-1))),L.ABS.NP)=0,"",
xsom(INDIRECT((ADDRESS(ROW(NO18),$I$11+(MATCH(NN$11,L.DATE,0))))&amp;":"&amp;(ADDRESS(ROW(NO18),$I$11+NO$11+(MATCH(NN$11,L.DATE,0))-1))),L.ABS.NP,
INDIRECT((ADDRESS(ROW(NO18)+1,$I$11+(MATCH(NN$11,L.DATE,0))))&amp;":"&amp;(ADDRESS(ROW(NO18)+1,$I$11+NO$11+(MATCH(NN$11,L.DATE,0))-1)))))</f>
        <v/>
      </c>
      <c r="NP19" s="376" cm="1">
        <f t="array" aca="1" ref="NP19" ca="1">IF(xcomp(INDIRECT((ADDRESS(ROW(NP18),$I$11+(MATCH(NP$11,L.DATE,0))))&amp;":"&amp;(ADDRESS(ROW(NP18),$I$11+NQ$11+(MATCH(NP$11,L.DATE,0))-1))),L.ABSP)=0,"",
xsom(INDIRECT((ADDRESS(ROW(NP18),$I$11+(MATCH(NP$11,L.DATE,0))))&amp;":"&amp;(ADDRESS(ROW(NP18),$I$11+NQ$11+(MATCH(NP$11,L.DATE,0))-1))),L.ABSP,
INDIRECT((ADDRESS(ROW(NP18)+1,$I$11+(MATCH(NP$11,L.DATE,0))))&amp;":"&amp;(ADDRESS(ROW(NP18)+1,$I$11+NQ$11+(MATCH(NP$11,L.DATE,0))-1)))))</f>
        <v>20</v>
      </c>
      <c r="NQ19" s="377" t="str" cm="1">
        <f t="array" aca="1" ref="NQ19" ca="1">IF(xcomp(INDIRECT((ADDRESS(ROW(NQ18),$I$11+(MATCH(NP$11,L.DATE,0))))&amp;":"&amp;(ADDRESS(ROW(NQ18),$I$11+NQ$11+(MATCH(NP$11,L.DATE,0))-1))),L.ABS.NP)=0,"",
xsom(INDIRECT((ADDRESS(ROW(NQ18),$I$11+(MATCH(NP$11,L.DATE,0))))&amp;":"&amp;(ADDRESS(ROW(NQ18),$I$11+NQ$11+(MATCH(NP$11,L.DATE,0))-1))),L.ABS.NP,
INDIRECT((ADDRESS(ROW(NQ18)+1,$I$11+(MATCH(NP$11,L.DATE,0))))&amp;":"&amp;(ADDRESS(ROW(NQ18)+1,$I$11+NQ$11+(MATCH(NP$11,L.DATE,0))-1)))))</f>
        <v/>
      </c>
      <c r="NR19" s="376" cm="1">
        <f t="array" aca="1" ref="NR19" ca="1">IF(xcomp(INDIRECT((ADDRESS(ROW(NR18),$I$11+(MATCH(NR$11,L.DATE,0))))&amp;":"&amp;(ADDRESS(ROW(NR18),$I$11+NS$11+(MATCH(NR$11,L.DATE,0))-1))),L.ABSP)=0,"",
xsom(INDIRECT((ADDRESS(ROW(NR18),$I$11+(MATCH(NR$11,L.DATE,0))))&amp;":"&amp;(ADDRESS(ROW(NR18),$I$11+NS$11+(MATCH(NR$11,L.DATE,0))-1))),L.ABSP,
INDIRECT((ADDRESS(ROW(NR18)+1,$I$11+(MATCH(NR$11,L.DATE,0))))&amp;":"&amp;(ADDRESS(ROW(NR18)+1,$I$11+NS$11+(MATCH(NR$11,L.DATE,0))-1)))))</f>
        <v>23</v>
      </c>
      <c r="NS19" s="377" t="str" cm="1">
        <f t="array" aca="1" ref="NS19" ca="1">IF(xcomp(INDIRECT((ADDRESS(ROW(NS18),$I$11+(MATCH(NR$11,L.DATE,0))))&amp;":"&amp;(ADDRESS(ROW(NS18),$I$11+NS$11+(MATCH(NR$11,L.DATE,0))-1))),L.ABS.NP)=0,"",
xsom(INDIRECT((ADDRESS(ROW(NS18),$I$11+(MATCH(NR$11,L.DATE,0))))&amp;":"&amp;(ADDRESS(ROW(NS18),$I$11+NS$11+(MATCH(NR$11,L.DATE,0))-1))),L.ABS.NP,
INDIRECT((ADDRESS(ROW(NS18)+1,$I$11+(MATCH(NR$11,L.DATE,0))))&amp;":"&amp;(ADDRESS(ROW(NS18)+1,$I$11+NS$11+(MATCH(NR$11,L.DATE,0))-1)))))</f>
        <v/>
      </c>
      <c r="NT19" s="376" cm="1">
        <f t="array" aca="1" ref="NT19" ca="1">IF(xcomp(INDIRECT((ADDRESS(ROW(NT18),$I$11+(MATCH(NT$11,L.DATE,0))))&amp;":"&amp;(ADDRESS(ROW(NT18),$I$11+NU$11+(MATCH(NT$11,L.DATE,0))-1))),L.ABSP)=0,"",
xsom(INDIRECT((ADDRESS(ROW(NT18),$I$11+(MATCH(NT$11,L.DATE,0))))&amp;":"&amp;(ADDRESS(ROW(NT18),$I$11+NU$11+(MATCH(NT$11,L.DATE,0))-1))),L.ABSP,
INDIRECT((ADDRESS(ROW(NT18)+1,$I$11+(MATCH(NT$11,L.DATE,0))))&amp;":"&amp;(ADDRESS(ROW(NT18)+1,$I$11+NU$11+(MATCH(NT$11,L.DATE,0))-1)))))</f>
        <v>10</v>
      </c>
      <c r="NU19" s="377" t="str" cm="1">
        <f t="array" aca="1" ref="NU19" ca="1">IF(xcomp(INDIRECT((ADDRESS(ROW(NU18),$I$11+(MATCH(NT$11,L.DATE,0))))&amp;":"&amp;(ADDRESS(ROW(NU18),$I$11+NU$11+(MATCH(NT$11,L.DATE,0))-1))),L.ABS.NP)=0,"",
xsom(INDIRECT((ADDRESS(ROW(NU18),$I$11+(MATCH(NT$11,L.DATE,0))))&amp;":"&amp;(ADDRESS(ROW(NU18),$I$11+NU$11+(MATCH(NT$11,L.DATE,0))-1))),L.ABS.NP,
INDIRECT((ADDRESS(ROW(NU18)+1,$I$11+(MATCH(NT$11,L.DATE,0))))&amp;":"&amp;(ADDRESS(ROW(NU18)+1,$I$11+NU$11+(MATCH(NT$11,L.DATE,0))-1)))))</f>
        <v/>
      </c>
      <c r="NV19" s="376" t="str" cm="1">
        <f t="array" aca="1" ref="NV19" ca="1">IF(xcomp(INDIRECT((ADDRESS(ROW(NV18),$I$11+(MATCH(NV$11,L.DATE,0))))&amp;":"&amp;(ADDRESS(ROW(NV18),$I$11+NW$11+(MATCH(NV$11,L.DATE,0))-1))),L.ABSP)=0,"",
xsom(INDIRECT((ADDRESS(ROW(NV18),$I$11+(MATCH(NV$11,L.DATE,0))))&amp;":"&amp;(ADDRESS(ROW(NV18),$I$11+NW$11+(MATCH(NV$11,L.DATE,0))-1))),L.ABSP,
INDIRECT((ADDRESS(ROW(NV18)+1,$I$11+(MATCH(NV$11,L.DATE,0))))&amp;":"&amp;(ADDRESS(ROW(NV18)+1,$I$11+NW$11+(MATCH(NV$11,L.DATE,0))-1)))))</f>
        <v/>
      </c>
      <c r="NW19" s="377" t="str" cm="1">
        <f t="array" aca="1" ref="NW19" ca="1">IF(xcomp(INDIRECT((ADDRESS(ROW(NW18),$I$11+(MATCH(NV$11,L.DATE,0))))&amp;":"&amp;(ADDRESS(ROW(NW18),$I$11+NW$11+(MATCH(NV$11,L.DATE,0))-1))),L.ABS.NP)=0,"",
xsom(INDIRECT((ADDRESS(ROW(NW18),$I$11+(MATCH(NV$11,L.DATE,0))))&amp;":"&amp;(ADDRESS(ROW(NW18),$I$11+NW$11+(MATCH(NV$11,L.DATE,0))-1))),L.ABS.NP,
INDIRECT((ADDRESS(ROW(NW18)+1,$I$11+(MATCH(NV$11,L.DATE,0))))&amp;":"&amp;(ADDRESS(ROW(NW18)+1,$I$11+NW$11+(MATCH(NV$11,L.DATE,0))-1)))))</f>
        <v/>
      </c>
      <c r="NX19" s="376" t="str" cm="1">
        <f t="array" aca="1" ref="NX19" ca="1">IF(xcomp(INDIRECT((ADDRESS(ROW(NX18),$I$11+(MATCH(NX$11,L.DATE,0))))&amp;":"&amp;(ADDRESS(ROW(NX18),$I$11+NY$11+(MATCH(NX$11,L.DATE,0))-1))),L.ABSP)=0,"",
xsom(INDIRECT((ADDRESS(ROW(NX18),$I$11+(MATCH(NX$11,L.DATE,0))))&amp;":"&amp;(ADDRESS(ROW(NX18),$I$11+NY$11+(MATCH(NX$11,L.DATE,0))-1))),L.ABSP,
INDIRECT((ADDRESS(ROW(NX18)+1,$I$11+(MATCH(NX$11,L.DATE,0))))&amp;":"&amp;(ADDRESS(ROW(NX18)+1,$I$11+NY$11+(MATCH(NX$11,L.DATE,0))-1)))))</f>
        <v/>
      </c>
      <c r="NY19" s="377" t="str" cm="1">
        <f t="array" aca="1" ref="NY19" ca="1">IF(xcomp(INDIRECT((ADDRESS(ROW(NY18),$I$11+(MATCH(NX$11,L.DATE,0))))&amp;":"&amp;(ADDRESS(ROW(NY18),$I$11+NY$11+(MATCH(NX$11,L.DATE,0))-1))),L.ABS.NP)=0,"",
xsom(INDIRECT((ADDRESS(ROW(NY18),$I$11+(MATCH(NX$11,L.DATE,0))))&amp;":"&amp;(ADDRESS(ROW(NY18),$I$11+NY$11+(MATCH(NX$11,L.DATE,0))-1))),L.ABS.NP,
INDIRECT((ADDRESS(ROW(NY18)+1,$I$11+(MATCH(NX$11,L.DATE,0))))&amp;":"&amp;(ADDRESS(ROW(NY18)+1,$I$11+NY$11+(MATCH(NX$11,L.DATE,0))-1)))))</f>
        <v/>
      </c>
      <c r="NZ19" s="376" t="str" cm="1">
        <f t="array" aca="1" ref="NZ19" ca="1">IF(xcomp(INDIRECT((ADDRESS(ROW(NZ18),$I$11+(MATCH(NZ$11,L.DATE,0))))&amp;":"&amp;(ADDRESS(ROW(NZ18),$I$11+OA$11+(MATCH(NZ$11,L.DATE,0))-1))),L.ABSP)=0,"",
xsom(INDIRECT((ADDRESS(ROW(NZ18),$I$11+(MATCH(NZ$11,L.DATE,0))))&amp;":"&amp;(ADDRESS(ROW(NZ18),$I$11+OA$11+(MATCH(NZ$11,L.DATE,0))-1))),L.ABSP,
INDIRECT((ADDRESS(ROW(NZ18)+1,$I$11+(MATCH(NZ$11,L.DATE,0))))&amp;":"&amp;(ADDRESS(ROW(NZ18)+1,$I$11+OA$11+(MATCH(NZ$11,L.DATE,0))-1)))))</f>
        <v/>
      </c>
      <c r="OA19" s="377" t="str" cm="1">
        <f t="array" aca="1" ref="OA19" ca="1">IF(xcomp(INDIRECT((ADDRESS(ROW(OA18),$I$11+(MATCH(NZ$11,L.DATE,0))))&amp;":"&amp;(ADDRESS(ROW(OA18),$I$11+OA$11+(MATCH(NZ$11,L.DATE,0))-1))),L.ABS.NP)=0,"",
xsom(INDIRECT((ADDRESS(ROW(OA18),$I$11+(MATCH(NZ$11,L.DATE,0))))&amp;":"&amp;(ADDRESS(ROW(OA18),$I$11+OA$11+(MATCH(NZ$11,L.DATE,0))-1))),L.ABS.NP,
INDIRECT((ADDRESS(ROW(OA18)+1,$I$11+(MATCH(NZ$11,L.DATE,0))))&amp;":"&amp;(ADDRESS(ROW(OA18)+1,$I$11+OA$11+(MATCH(NZ$11,L.DATE,0))-1)))))</f>
        <v/>
      </c>
      <c r="OB19" s="376" t="str" cm="1">
        <f t="array" aca="1" ref="OB19" ca="1">IF(xcomp(INDIRECT((ADDRESS(ROW(OB18),$I$11+(MATCH(OB$11,L.DATE,0))))&amp;":"&amp;(ADDRESS(ROW(OB18),$I$11+OC$11+(MATCH(OB$11,L.DATE,0))-1))),L.ABSP)=0,"",
xsom(INDIRECT((ADDRESS(ROW(OB18),$I$11+(MATCH(OB$11,L.DATE,0))))&amp;":"&amp;(ADDRESS(ROW(OB18),$I$11+OC$11+(MATCH(OB$11,L.DATE,0))-1))),L.ABSP,
INDIRECT((ADDRESS(ROW(OB18)+1,$I$11+(MATCH(OB$11,L.DATE,0))))&amp;":"&amp;(ADDRESS(ROW(OB18)+1,$I$11+OC$11+(MATCH(OB$11,L.DATE,0))-1)))))</f>
        <v/>
      </c>
      <c r="OC19" s="377" t="str" cm="1">
        <f t="array" aca="1" ref="OC19" ca="1">IF(xcomp(INDIRECT((ADDRESS(ROW(OC18),$I$11+(MATCH(OB$11,L.DATE,0))))&amp;":"&amp;(ADDRESS(ROW(OC18),$I$11+OC$11+(MATCH(OB$11,L.DATE,0))-1))),L.ABS.NP)=0,"",
xsom(INDIRECT((ADDRESS(ROW(OC18),$I$11+(MATCH(OB$11,L.DATE,0))))&amp;":"&amp;(ADDRESS(ROW(OC18),$I$11+OC$11+(MATCH(OB$11,L.DATE,0))-1))),L.ABS.NP,
INDIRECT((ADDRESS(ROW(OC18)+1,$I$11+(MATCH(OB$11,L.DATE,0))))&amp;":"&amp;(ADDRESS(ROW(OC18)+1,$I$11+OC$11+(MATCH(OB$11,L.DATE,0))-1)))))</f>
        <v/>
      </c>
      <c r="OD19" s="376" t="str" cm="1">
        <f t="array" aca="1" ref="OD19" ca="1">IF(xcomp(INDIRECT((ADDRESS(ROW(OD18),$I$11+(MATCH(OD$11,L.DATE,0))))&amp;":"&amp;(ADDRESS(ROW(OD18),$I$11+OE$11+(MATCH(OD$11,L.DATE,0))-1))),L.ABSP)=0,"",
xsom(INDIRECT((ADDRESS(ROW(OD18),$I$11+(MATCH(OD$11,L.DATE,0))))&amp;":"&amp;(ADDRESS(ROW(OD18),$I$11+OE$11+(MATCH(OD$11,L.DATE,0))-1))),L.ABSP,
INDIRECT((ADDRESS(ROW(OD18)+1,$I$11+(MATCH(OD$11,L.DATE,0))))&amp;":"&amp;(ADDRESS(ROW(OD18)+1,$I$11+OE$11+(MATCH(OD$11,L.DATE,0))-1)))))</f>
        <v/>
      </c>
      <c r="OE19" s="377" t="str" cm="1">
        <f t="array" aca="1" ref="OE19" ca="1">IF(xcomp(INDIRECT((ADDRESS(ROW(OE18),$I$11+(MATCH(OD$11,L.DATE,0))))&amp;":"&amp;(ADDRESS(ROW(OE18),$I$11+OE$11+(MATCH(OD$11,L.DATE,0))-1))),L.ABS.NP)=0,"",
xsom(INDIRECT((ADDRESS(ROW(OE18),$I$11+(MATCH(OD$11,L.DATE,0))))&amp;":"&amp;(ADDRESS(ROW(OE18),$I$11+OE$11+(MATCH(OD$11,L.DATE,0))-1))),L.ABS.NP,
INDIRECT((ADDRESS(ROW(OE18)+1,$I$11+(MATCH(OD$11,L.DATE,0))))&amp;":"&amp;(ADDRESS(ROW(OE18)+1,$I$11+OE$11+(MATCH(OD$11,L.DATE,0))-1)))))</f>
        <v/>
      </c>
      <c r="OF19" s="376" t="str" cm="1">
        <f t="array" aca="1" ref="OF19" ca="1">IF(xcomp(INDIRECT((ADDRESS(ROW(OF18),$I$11+(MATCH(OF$11,L.DATE,0))))&amp;":"&amp;(ADDRESS(ROW(OF18),$I$11+OG$11+(MATCH(OF$11,L.DATE,0))-1))),L.ABSP)=0,"",
xsom(INDIRECT((ADDRESS(ROW(OF18),$I$11+(MATCH(OF$11,L.DATE,0))))&amp;":"&amp;(ADDRESS(ROW(OF18),$I$11+OG$11+(MATCH(OF$11,L.DATE,0))-1))),L.ABSP,
INDIRECT((ADDRESS(ROW(OF18)+1,$I$11+(MATCH(OF$11,L.DATE,0))))&amp;":"&amp;(ADDRESS(ROW(OF18)+1,$I$11+OG$11+(MATCH(OF$11,L.DATE,0))-1)))))</f>
        <v/>
      </c>
      <c r="OG19" s="377" t="str" cm="1">
        <f t="array" aca="1" ref="OG19" ca="1">IF(xcomp(INDIRECT((ADDRESS(ROW(OG18),$I$11+(MATCH(OF$11,L.DATE,0))))&amp;":"&amp;(ADDRESS(ROW(OG18),$I$11+OG$11+(MATCH(OF$11,L.DATE,0))-1))),L.ABS.NP)=0,"",
xsom(INDIRECT((ADDRESS(ROW(OG18),$I$11+(MATCH(OF$11,L.DATE,0))))&amp;":"&amp;(ADDRESS(ROW(OG18),$I$11+OG$11+(MATCH(OF$11,L.DATE,0))-1))),L.ABS.NP,
INDIRECT((ADDRESS(ROW(OG18)+1,$I$11+(MATCH(OF$11,L.DATE,0))))&amp;":"&amp;(ADDRESS(ROW(OG18)+1,$I$11+OG$11+(MATCH(OF$11,L.DATE,0))-1)))))</f>
        <v/>
      </c>
      <c r="OH19" s="376" t="str" cm="1">
        <f t="array" aca="1" ref="OH19" ca="1">IF(xcomp(INDIRECT((ADDRESS(ROW(OH18),$I$11+(MATCH(OH$11,L.DATE,0))))&amp;":"&amp;(ADDRESS(ROW(OH18),$I$11+OI$11+(MATCH(OH$11,L.DATE,0))-1))),L.ABSP)=0,"",
xsom(INDIRECT((ADDRESS(ROW(OH18),$I$11+(MATCH(OH$11,L.DATE,0))))&amp;":"&amp;(ADDRESS(ROW(OH18),$I$11+OI$11+(MATCH(OH$11,L.DATE,0))-1))),L.ABSP,
INDIRECT((ADDRESS(ROW(OH18)+1,$I$11+(MATCH(OH$11,L.DATE,0))))&amp;":"&amp;(ADDRESS(ROW(OH18)+1,$I$11+OI$11+(MATCH(OH$11,L.DATE,0))-1)))))</f>
        <v/>
      </c>
      <c r="OI19" s="377" t="str" cm="1">
        <f t="array" aca="1" ref="OI19" ca="1">IF(xcomp(INDIRECT((ADDRESS(ROW(OI18),$I$11+(MATCH(OH$11,L.DATE,0))))&amp;":"&amp;(ADDRESS(ROW(OI18),$I$11+OI$11+(MATCH(OH$11,L.DATE,0))-1))),L.ABS.NP)=0,"",
xsom(INDIRECT((ADDRESS(ROW(OI18),$I$11+(MATCH(OH$11,L.DATE,0))))&amp;":"&amp;(ADDRESS(ROW(OI18),$I$11+OI$11+(MATCH(OH$11,L.DATE,0))-1))),L.ABS.NP,
INDIRECT((ADDRESS(ROW(OI18)+1,$I$11+(MATCH(OH$11,L.DATE,0))))&amp;":"&amp;(ADDRESS(ROW(OI18)+1,$I$11+OI$11+(MATCH(OH$11,L.DATE,0))-1)))))</f>
        <v/>
      </c>
      <c r="OJ19" s="376" t="str" cm="1">
        <f t="array" aca="1" ref="OJ19" ca="1">IF(xcomp(INDIRECT((ADDRESS(ROW(OJ18),$I$11+(MATCH(OJ$11,L.DATE,0))))&amp;":"&amp;(ADDRESS(ROW(OJ18),$I$11+OK$11+(MATCH(OJ$11,L.DATE,0))-1))),L.ABSP)=0,"",
xsom(INDIRECT((ADDRESS(ROW(OJ18),$I$11+(MATCH(OJ$11,L.DATE,0))))&amp;":"&amp;(ADDRESS(ROW(OJ18),$I$11+OK$11+(MATCH(OJ$11,L.DATE,0))-1))),L.ABSP,
INDIRECT((ADDRESS(ROW(OJ18)+1,$I$11+(MATCH(OJ$11,L.DATE,0))))&amp;":"&amp;(ADDRESS(ROW(OJ18)+1,$I$11+OK$11+(MATCH(OJ$11,L.DATE,0))-1)))))</f>
        <v/>
      </c>
      <c r="OK19" s="378" t="str" cm="1">
        <f t="array" aca="1" ref="OK19" ca="1">IF(xcomp(INDIRECT((ADDRESS(ROW(OK18),$I$11+(MATCH(OJ$11,L.DATE,0))))&amp;":"&amp;(ADDRESS(ROW(OK18),$I$11+OK$11+(MATCH(OJ$11,L.DATE,0))-1))),L.ABS.NP)=0,"",
xsom(INDIRECT((ADDRESS(ROW(OK18),$I$11+(MATCH(OJ$11,L.DATE,0))))&amp;":"&amp;(ADDRESS(ROW(OK18),$I$11+OK$11+(MATCH(OJ$11,L.DATE,0))-1))),L.ABS.NP,
INDIRECT((ADDRESS(ROW(OK18)+1,$I$11+(MATCH(OJ$11,L.DATE,0))))&amp;":"&amp;(ADDRESS(ROW(OK18)+1,$I$11+OK$11+(MATCH(OJ$11,L.DATE,0))-1)))))</f>
        <v/>
      </c>
    </row>
    <row r="20" spans="1:404" ht="12" customHeight="1" x14ac:dyDescent="0.3">
      <c r="A20" s="394">
        <v>107263</v>
      </c>
      <c r="B20" s="381" t="s">
        <v>491</v>
      </c>
      <c r="C20" s="53">
        <v>1</v>
      </c>
      <c r="D20" s="392" t="s">
        <v>18</v>
      </c>
      <c r="E20" s="392" t="s">
        <v>484</v>
      </c>
      <c r="F20" s="392" t="s">
        <v>13</v>
      </c>
      <c r="G20" s="104" t="s">
        <v>492</v>
      </c>
      <c r="H20" s="108">
        <v>1</v>
      </c>
      <c r="I20" s="28"/>
      <c r="J20" s="482"/>
      <c r="K20" s="482"/>
      <c r="L20" s="482"/>
      <c r="M20" s="482"/>
      <c r="N20" s="482"/>
      <c r="O20" s="482"/>
      <c r="P20" s="482"/>
      <c r="Q20" s="482"/>
      <c r="R20" s="484" t="s">
        <v>27</v>
      </c>
      <c r="S20" s="484" t="s">
        <v>27</v>
      </c>
      <c r="T20" s="484" t="s">
        <v>27</v>
      </c>
      <c r="U20" s="484" t="s">
        <v>27</v>
      </c>
      <c r="V20" s="484" t="s">
        <v>27</v>
      </c>
      <c r="W20" s="482"/>
      <c r="X20" s="482"/>
      <c r="Y20" s="484" t="s">
        <v>27</v>
      </c>
      <c r="Z20" s="484" t="s">
        <v>27</v>
      </c>
      <c r="AA20" s="484" t="s">
        <v>27</v>
      </c>
      <c r="AB20" s="484" t="s">
        <v>27</v>
      </c>
      <c r="AC20" s="484" t="s">
        <v>27</v>
      </c>
      <c r="AD20" s="482"/>
      <c r="AE20" s="482"/>
      <c r="AF20" s="484" t="s">
        <v>27</v>
      </c>
      <c r="AG20" s="484" t="s">
        <v>27</v>
      </c>
      <c r="AH20" s="484" t="s">
        <v>27</v>
      </c>
      <c r="AI20" s="484" t="s">
        <v>27</v>
      </c>
      <c r="AJ20" s="484" t="s">
        <v>27</v>
      </c>
      <c r="AK20" s="482"/>
      <c r="AL20" s="482"/>
      <c r="AM20" s="484" t="s">
        <v>27</v>
      </c>
      <c r="AN20" s="484" t="s">
        <v>27</v>
      </c>
      <c r="AO20" s="484" t="s">
        <v>27</v>
      </c>
      <c r="AP20" s="484" t="s">
        <v>27</v>
      </c>
      <c r="AQ20" s="484" t="s">
        <v>27</v>
      </c>
      <c r="AR20" s="482"/>
      <c r="AS20" s="482"/>
      <c r="AT20" s="484" t="s">
        <v>27</v>
      </c>
      <c r="AU20" s="484" t="s">
        <v>27</v>
      </c>
      <c r="AV20" s="484" t="s">
        <v>27</v>
      </c>
      <c r="AW20" s="484" t="s">
        <v>27</v>
      </c>
      <c r="AX20" s="484" t="s">
        <v>27</v>
      </c>
      <c r="AY20" s="482"/>
      <c r="AZ20" s="482"/>
      <c r="BA20" s="484" t="s">
        <v>27</v>
      </c>
      <c r="BB20" s="484" t="s">
        <v>27</v>
      </c>
      <c r="BC20" s="484" t="s">
        <v>27</v>
      </c>
      <c r="BD20" s="484" t="s">
        <v>27</v>
      </c>
      <c r="BE20" s="484" t="s">
        <v>27</v>
      </c>
      <c r="BF20" s="482"/>
      <c r="BG20" s="482"/>
      <c r="BH20" s="484" t="s">
        <v>27</v>
      </c>
      <c r="BI20" s="484" t="s">
        <v>27</v>
      </c>
      <c r="BJ20" s="484" t="s">
        <v>27</v>
      </c>
      <c r="BK20" s="484" t="s">
        <v>27</v>
      </c>
      <c r="BL20" s="484" t="s">
        <v>27</v>
      </c>
      <c r="BM20" s="482"/>
      <c r="BN20" s="482"/>
      <c r="BO20" s="484" t="s">
        <v>27</v>
      </c>
      <c r="BP20" s="484" t="s">
        <v>27</v>
      </c>
      <c r="BQ20" s="484" t="s">
        <v>27</v>
      </c>
      <c r="BR20" s="484" t="s">
        <v>27</v>
      </c>
      <c r="BS20" s="484" t="s">
        <v>27</v>
      </c>
      <c r="BT20" s="482"/>
      <c r="BU20" s="482"/>
      <c r="BV20" s="484" t="s">
        <v>27</v>
      </c>
      <c r="BW20" s="484" t="s">
        <v>27</v>
      </c>
      <c r="BX20" s="484" t="s">
        <v>27</v>
      </c>
      <c r="BY20" s="484" t="s">
        <v>27</v>
      </c>
      <c r="BZ20" s="484" t="s">
        <v>27</v>
      </c>
      <c r="CA20" s="482"/>
      <c r="CB20" s="482"/>
      <c r="CC20" s="484" t="s">
        <v>27</v>
      </c>
      <c r="CD20" s="484" t="s">
        <v>27</v>
      </c>
      <c r="CE20" s="484" t="s">
        <v>27</v>
      </c>
      <c r="CF20" s="484" t="s">
        <v>27</v>
      </c>
      <c r="CG20" s="484" t="s">
        <v>27</v>
      </c>
      <c r="CH20" s="482"/>
      <c r="CI20" s="482"/>
      <c r="CJ20" s="484" t="s">
        <v>27</v>
      </c>
      <c r="CK20" s="484" t="s">
        <v>27</v>
      </c>
      <c r="CL20" s="484" t="s">
        <v>27</v>
      </c>
      <c r="CM20" s="484" t="s">
        <v>27</v>
      </c>
      <c r="CN20" s="484" t="s">
        <v>27</v>
      </c>
      <c r="CO20" s="482"/>
      <c r="CP20" s="482"/>
      <c r="CQ20" s="484" t="s">
        <v>27</v>
      </c>
      <c r="CR20" s="484" t="s">
        <v>27</v>
      </c>
      <c r="CS20" s="484" t="s">
        <v>27</v>
      </c>
      <c r="CT20" s="484" t="s">
        <v>27</v>
      </c>
      <c r="CU20" s="484" t="s">
        <v>27</v>
      </c>
      <c r="CV20" s="482"/>
      <c r="CW20" s="482"/>
      <c r="CX20" s="482"/>
      <c r="CY20" s="482"/>
      <c r="CZ20" s="482"/>
      <c r="DA20" s="482"/>
      <c r="DB20" s="482"/>
      <c r="DC20" s="482"/>
      <c r="DD20" s="482"/>
      <c r="DE20" s="482">
        <v>0</v>
      </c>
      <c r="DF20" s="482"/>
      <c r="DG20" s="482"/>
      <c r="DH20" s="482"/>
      <c r="DI20" s="482"/>
      <c r="DJ20" s="482"/>
      <c r="DK20" s="482"/>
      <c r="DL20" s="482"/>
      <c r="DM20" s="482"/>
      <c r="DN20" s="482"/>
      <c r="DO20" s="482"/>
      <c r="DP20" s="482"/>
      <c r="DQ20" s="482"/>
      <c r="DR20" s="482"/>
      <c r="DS20" s="482"/>
      <c r="DT20" s="482"/>
      <c r="DU20" s="482"/>
      <c r="DV20" s="482"/>
      <c r="DW20" s="482"/>
      <c r="DX20" s="482"/>
      <c r="DY20" s="482"/>
      <c r="DZ20" s="482"/>
      <c r="EA20" s="482"/>
      <c r="EB20" s="482"/>
      <c r="EC20" s="482"/>
      <c r="ED20" s="482"/>
      <c r="EE20" s="482"/>
      <c r="EF20" s="482"/>
      <c r="EG20" s="482"/>
      <c r="EH20" s="482"/>
      <c r="EI20" s="482"/>
      <c r="EJ20" s="482"/>
      <c r="EK20" s="482"/>
      <c r="EL20" s="482"/>
      <c r="EM20" s="482"/>
      <c r="EN20" s="482"/>
      <c r="EO20" s="482"/>
      <c r="EP20" s="482"/>
      <c r="EQ20" s="482"/>
      <c r="ER20" s="482"/>
      <c r="ES20" s="482"/>
      <c r="ET20" s="482"/>
      <c r="EU20" s="482"/>
      <c r="EV20" s="482"/>
      <c r="EW20" s="482"/>
      <c r="EX20" s="482"/>
      <c r="EY20" s="482"/>
      <c r="EZ20" s="482"/>
      <c r="FA20" s="482"/>
      <c r="FB20" s="482"/>
      <c r="FC20" s="482"/>
      <c r="FD20" s="482"/>
      <c r="FE20" s="482"/>
      <c r="FF20" s="482"/>
      <c r="FG20" s="482"/>
      <c r="FH20" s="482"/>
      <c r="FI20" s="482"/>
      <c r="FJ20" s="482"/>
      <c r="FK20" s="482"/>
      <c r="FL20" s="482"/>
      <c r="FM20" s="482"/>
      <c r="FN20" s="482"/>
      <c r="FO20" s="482"/>
      <c r="FP20" s="482"/>
      <c r="FQ20" s="482"/>
      <c r="FR20" s="482"/>
      <c r="FS20" s="482"/>
      <c r="FT20" s="482"/>
      <c r="FU20" s="482"/>
      <c r="FV20" s="482"/>
      <c r="FW20" s="482"/>
      <c r="FX20" s="482"/>
      <c r="FY20" s="482"/>
      <c r="FZ20" s="482"/>
      <c r="GA20" s="482"/>
      <c r="GB20" s="482"/>
      <c r="GC20" s="482"/>
      <c r="GD20" s="482"/>
      <c r="GE20" s="482"/>
      <c r="GF20" s="482"/>
      <c r="GG20" s="482"/>
      <c r="GH20" s="482"/>
      <c r="GI20" s="482"/>
      <c r="GJ20" s="482"/>
      <c r="GK20" s="482"/>
      <c r="GL20" s="482"/>
      <c r="GM20" s="482"/>
      <c r="GN20" s="482"/>
      <c r="GO20" s="482"/>
      <c r="GP20" s="482"/>
      <c r="GQ20" s="482"/>
      <c r="GR20" s="482"/>
      <c r="GS20" s="482"/>
      <c r="GT20" s="482"/>
      <c r="GU20" s="482"/>
      <c r="GV20" s="482"/>
      <c r="GW20" s="482"/>
      <c r="GX20" s="482"/>
      <c r="GY20" s="482"/>
      <c r="GZ20" s="482"/>
      <c r="HA20" s="482"/>
      <c r="HB20" s="482"/>
      <c r="HC20" s="482"/>
      <c r="HD20" s="482"/>
      <c r="HE20" s="482"/>
      <c r="HF20" s="482"/>
      <c r="HG20" s="482"/>
      <c r="HH20" s="482"/>
      <c r="HI20" s="482"/>
      <c r="HJ20" s="482"/>
      <c r="HK20" s="482"/>
      <c r="HL20" s="482"/>
      <c r="HM20" s="482"/>
      <c r="HN20" s="482"/>
      <c r="HO20" s="482"/>
      <c r="HP20" s="482"/>
      <c r="HQ20" s="482"/>
      <c r="HR20" s="482"/>
      <c r="HS20" s="482"/>
      <c r="HT20" s="482"/>
      <c r="HU20" s="482"/>
      <c r="HV20" s="482"/>
      <c r="HW20" s="482"/>
      <c r="HX20" s="482"/>
      <c r="HY20" s="482"/>
      <c r="HZ20" s="482"/>
      <c r="IA20" s="482"/>
      <c r="IB20" s="482"/>
      <c r="IC20" s="482"/>
      <c r="ID20" s="482"/>
      <c r="IE20" s="482"/>
      <c r="IF20" s="482"/>
      <c r="IG20" s="482"/>
      <c r="IH20" s="482"/>
      <c r="II20" s="482"/>
      <c r="IJ20" s="482"/>
      <c r="IK20" s="482"/>
      <c r="IL20" s="482"/>
      <c r="IM20" s="482"/>
      <c r="IN20" s="482"/>
      <c r="IO20" s="482"/>
      <c r="IP20" s="482"/>
      <c r="IQ20" s="482"/>
      <c r="IR20" s="482"/>
      <c r="IS20" s="482"/>
      <c r="IT20" s="482"/>
      <c r="IU20" s="482"/>
      <c r="IV20" s="482"/>
      <c r="IW20" s="482"/>
      <c r="IX20" s="482"/>
      <c r="IY20" s="482"/>
      <c r="IZ20" s="482"/>
      <c r="JA20" s="482"/>
      <c r="JB20" s="482"/>
      <c r="JC20" s="482"/>
      <c r="JD20" s="482"/>
      <c r="JE20" s="482"/>
      <c r="JF20" s="482"/>
      <c r="JG20" s="482"/>
      <c r="JH20" s="482"/>
      <c r="JI20" s="482"/>
      <c r="JJ20" s="482"/>
      <c r="JK20" s="482"/>
      <c r="JL20" s="482"/>
      <c r="JM20" s="482"/>
      <c r="JN20" s="482"/>
      <c r="JO20" s="482"/>
      <c r="JP20" s="482"/>
      <c r="JQ20" s="482"/>
      <c r="JR20" s="482"/>
      <c r="JS20" s="482"/>
      <c r="JT20" s="482"/>
      <c r="JU20" s="482"/>
      <c r="JV20" s="482"/>
      <c r="JW20" s="482"/>
      <c r="JX20" s="482"/>
      <c r="JY20" s="482"/>
      <c r="JZ20" s="482"/>
      <c r="KA20" s="482"/>
      <c r="KB20" s="482"/>
      <c r="KC20" s="482"/>
      <c r="KD20" s="482"/>
      <c r="KE20" s="482"/>
      <c r="KF20" s="482"/>
      <c r="KG20" s="482"/>
      <c r="KH20" s="482"/>
      <c r="KI20" s="482"/>
      <c r="KJ20" s="482"/>
      <c r="KK20" s="482"/>
      <c r="KL20" s="482"/>
      <c r="KM20" s="482"/>
      <c r="KN20" s="482"/>
      <c r="KO20" s="482"/>
      <c r="KP20" s="482"/>
      <c r="KQ20" s="482"/>
      <c r="KR20" s="482"/>
      <c r="KS20" s="482"/>
      <c r="KT20" s="482"/>
      <c r="KU20" s="482"/>
      <c r="KV20" s="482"/>
      <c r="KW20" s="482"/>
      <c r="KX20" s="482"/>
      <c r="KY20" s="482"/>
      <c r="KZ20" s="482"/>
      <c r="LA20" s="482"/>
      <c r="LB20" s="482"/>
      <c r="LC20" s="482"/>
      <c r="LD20" s="482"/>
      <c r="LE20" s="482"/>
      <c r="LF20" s="482"/>
      <c r="LG20" s="482"/>
      <c r="LH20" s="482"/>
      <c r="LI20" s="482"/>
      <c r="LJ20" s="482"/>
      <c r="LK20" s="482"/>
      <c r="LL20" s="482"/>
      <c r="LM20" s="482"/>
      <c r="LN20" s="482"/>
      <c r="LO20" s="482"/>
      <c r="LP20" s="482"/>
      <c r="LQ20" s="482"/>
      <c r="LR20" s="482"/>
      <c r="LS20" s="482"/>
      <c r="LT20" s="482"/>
      <c r="LU20" s="482"/>
      <c r="LV20" s="482"/>
      <c r="LW20" s="482"/>
      <c r="LX20" s="482"/>
      <c r="LY20" s="482"/>
      <c r="LZ20" s="482"/>
      <c r="MA20" s="482"/>
      <c r="MB20" s="482"/>
      <c r="MC20" s="482"/>
      <c r="MD20" s="482"/>
      <c r="ME20" s="482"/>
      <c r="MF20" s="482"/>
      <c r="MG20" s="482"/>
      <c r="MH20" s="482"/>
      <c r="MI20" s="482"/>
      <c r="MJ20" s="482"/>
      <c r="MK20" s="482"/>
      <c r="ML20" s="482"/>
      <c r="MM20" s="482"/>
      <c r="MN20" s="482"/>
      <c r="MO20" s="482"/>
      <c r="MP20" s="482"/>
      <c r="MQ20" s="482"/>
      <c r="MR20" s="482"/>
      <c r="MS20" s="482"/>
      <c r="MT20" s="482"/>
      <c r="MU20" s="482"/>
      <c r="MV20" s="482"/>
      <c r="MW20" s="482"/>
      <c r="MX20" s="482"/>
      <c r="MY20" s="482"/>
      <c r="MZ20" s="482"/>
      <c r="NA20" s="482"/>
      <c r="NB20" s="482"/>
      <c r="NC20" s="482"/>
      <c r="ND20" s="482"/>
      <c r="NE20" s="482"/>
      <c r="NF20" s="482"/>
      <c r="NG20" s="482"/>
      <c r="NH20" s="482"/>
      <c r="NI20" s="482"/>
      <c r="NJ20" s="483"/>
      <c r="NK20" s="34"/>
      <c r="NM20" s="159">
        <f>A20</f>
        <v>107263</v>
      </c>
      <c r="NN20" s="373">
        <f ca="1">COUNTIF(INDIRECT((ADDRESS(ROW(NO21),$I$11+(MATCH(NN$11,L.DATE,0))))&amp;":"&amp;(ADDRESS(ROW(NO21),$I$11+NO$11+(MATCH(NN$11,L.DATE,0))-1))),"&gt;=0")-NO20</f>
        <v>17</v>
      </c>
      <c r="NO20" s="374">
        <f ca="1">SUM(INDIRECT((ADDRESS(ROW(NO21),$I$11+(MATCH(NN$11,L.DATE,0))))&amp;":"&amp;(ADDRESS(ROW(NO21),$I$11+NO$11+(MATCH(NN$11,L.DATE,0))-1))))</f>
        <v>0</v>
      </c>
      <c r="NP20" s="373">
        <f ca="1">COUNTIF(INDIRECT((ADDRESS(ROW(NQ21),$I$11+(MATCH(NP$11,L.DATE,0))))&amp;":"&amp;(ADDRESS(ROW(NQ21),$I$11+NQ$11+(MATCH(NP$11,L.DATE,0))-1))),"&gt;=0")-NQ20</f>
        <v>20</v>
      </c>
      <c r="NQ20" s="374">
        <f ca="1">SUM(INDIRECT((ADDRESS(ROW(NQ21),$I$11+(MATCH(NP$11,L.DATE,0))))&amp;":"&amp;(ADDRESS(ROW(NQ21),$I$11+NQ$11+(MATCH(NP$11,L.DATE,0))-1))))</f>
        <v>0</v>
      </c>
      <c r="NR20" s="373">
        <f ca="1">COUNTIF(INDIRECT((ADDRESS(ROW(NS21),$I$11+(MATCH(NR$11,L.DATE,0))))&amp;":"&amp;(ADDRESS(ROW(NS21),$I$11+NS$11+(MATCH(NR$11,L.DATE,0))-1))),"&gt;=0")-NS20</f>
        <v>23</v>
      </c>
      <c r="NS20" s="374">
        <f ca="1">SUM(INDIRECT((ADDRESS(ROW(NS21),$I$11+(MATCH(NR$11,L.DATE,0))))&amp;":"&amp;(ADDRESS(ROW(NS21),$I$11+NS$11+(MATCH(NR$11,L.DATE,0))-1))))</f>
        <v>0</v>
      </c>
      <c r="NT20" s="373">
        <f ca="1">COUNTIF(INDIRECT((ADDRESS(ROW(NU21),$I$11+(MATCH(NT$11,L.DATE,0))))&amp;":"&amp;(ADDRESS(ROW(NU21),$I$11+NU$11+(MATCH(NT$11,L.DATE,0))-1))),"&gt;=0")-NU20</f>
        <v>0</v>
      </c>
      <c r="NU20" s="374">
        <f ca="1">SUM(INDIRECT((ADDRESS(ROW(NU21),$I$11+(MATCH(NT$11,L.DATE,0))))&amp;":"&amp;(ADDRESS(ROW(NU21),$I$11+NU$11+(MATCH(NT$11,L.DATE,0))-1))))</f>
        <v>0</v>
      </c>
      <c r="NV20" s="373">
        <f ca="1">COUNTIF(INDIRECT((ADDRESS(ROW(NW21),$I$11+(MATCH(NV$11,L.DATE,0))))&amp;":"&amp;(ADDRESS(ROW(NW21),$I$11+NW$11+(MATCH(NV$11,L.DATE,0))-1))),"&gt;=0")-NW20</f>
        <v>0</v>
      </c>
      <c r="NW20" s="374">
        <f ca="1">SUM(INDIRECT((ADDRESS(ROW(NW21),$I$11+(MATCH(NV$11,L.DATE,0))))&amp;":"&amp;(ADDRESS(ROW(NW21),$I$11+NW$11+(MATCH(NV$11,L.DATE,0))-1))))</f>
        <v>0</v>
      </c>
      <c r="NX20" s="373">
        <f ca="1">COUNTIF(INDIRECT((ADDRESS(ROW(NY21),$I$11+(MATCH(NX$11,L.DATE,0))))&amp;":"&amp;(ADDRESS(ROW(NY21),$I$11+NY$11+(MATCH(NX$11,L.DATE,0))-1))),"&gt;=0")-NY20</f>
        <v>0</v>
      </c>
      <c r="NY20" s="374">
        <f ca="1">SUM(INDIRECT((ADDRESS(ROW(NY21),$I$11+(MATCH(NX$11,L.DATE,0))))&amp;":"&amp;(ADDRESS(ROW(NY21),$I$11+NY$11+(MATCH(NX$11,L.DATE,0))-1))))</f>
        <v>0</v>
      </c>
      <c r="NZ20" s="373">
        <f ca="1">COUNTIF(INDIRECT((ADDRESS(ROW(OA21),$I$11+(MATCH(NZ$11,L.DATE,0))))&amp;":"&amp;(ADDRESS(ROW(OA21),$I$11+OA$11+(MATCH(NZ$11,L.DATE,0))-1))),"&gt;=0")-OA20</f>
        <v>0</v>
      </c>
      <c r="OA20" s="374">
        <f ca="1">SUM(INDIRECT((ADDRESS(ROW(OA21),$I$11+(MATCH(NZ$11,L.DATE,0))))&amp;":"&amp;(ADDRESS(ROW(OA21),$I$11+OA$11+(MATCH(NZ$11,L.DATE,0))-1))))</f>
        <v>0</v>
      </c>
      <c r="OB20" s="373">
        <f ca="1">COUNTIF(INDIRECT((ADDRESS(ROW(OC21),$I$11+(MATCH(OB$11,L.DATE,0))))&amp;":"&amp;(ADDRESS(ROW(OC21),$I$11+OC$11+(MATCH(OB$11,L.DATE,0))-1))),"&gt;=0")-OC20</f>
        <v>0</v>
      </c>
      <c r="OC20" s="374">
        <f ca="1">SUM(INDIRECT((ADDRESS(ROW(OC21),$I$11+(MATCH(OB$11,L.DATE,0))))&amp;":"&amp;(ADDRESS(ROW(OC21),$I$11+OC$11+(MATCH(OB$11,L.DATE,0))-1))))</f>
        <v>0</v>
      </c>
      <c r="OD20" s="373">
        <f ca="1">COUNTIF(INDIRECT((ADDRESS(ROW(OE21),$I$11+(MATCH(OD$11,L.DATE,0))))&amp;":"&amp;(ADDRESS(ROW(OE21),$I$11+OE$11+(MATCH(OD$11,L.DATE,0))-1))),"&gt;=0")-OE20</f>
        <v>0</v>
      </c>
      <c r="OE20" s="374">
        <f ca="1">SUM(INDIRECT((ADDRESS(ROW(OE21),$I$11+(MATCH(OD$11,L.DATE,0))))&amp;":"&amp;(ADDRESS(ROW(OE21),$I$11+OE$11+(MATCH(OD$11,L.DATE,0))-1))))</f>
        <v>0</v>
      </c>
      <c r="OF20" s="373">
        <f ca="1">COUNTIF(INDIRECT((ADDRESS(ROW(OG21),$I$11+(MATCH(OF$11,L.DATE,0))))&amp;":"&amp;(ADDRESS(ROW(OG21),$I$11+OG$11+(MATCH(OF$11,L.DATE,0))-1))),"&gt;=0")-OG20</f>
        <v>0</v>
      </c>
      <c r="OG20" s="374">
        <f ca="1">SUM(INDIRECT((ADDRESS(ROW(OG21),$I$11+(MATCH(OF$11,L.DATE,0))))&amp;":"&amp;(ADDRESS(ROW(OG21),$I$11+OG$11+(MATCH(OF$11,L.DATE,0))-1))))</f>
        <v>0</v>
      </c>
      <c r="OH20" s="373">
        <f ca="1">COUNTIF(INDIRECT((ADDRESS(ROW(OI21),$I$11+(MATCH(OH$11,L.DATE,0))))&amp;":"&amp;(ADDRESS(ROW(OI21),$I$11+OI$11+(MATCH(OH$11,L.DATE,0))-1))),"&gt;=0")-OI20</f>
        <v>0</v>
      </c>
      <c r="OI20" s="374">
        <f ca="1">SUM(INDIRECT((ADDRESS(ROW(OI21),$I$11+(MATCH(OH$11,L.DATE,0))))&amp;":"&amp;(ADDRESS(ROW(OI21),$I$11+OI$11+(MATCH(OH$11,L.DATE,0))-1))))</f>
        <v>0</v>
      </c>
      <c r="OJ20" s="373">
        <f ca="1">COUNTIF(INDIRECT((ADDRESS(ROW(OK21),$I$11+(MATCH(OJ$11,L.DATE,0))))&amp;":"&amp;(ADDRESS(ROW(OK21),$I$11+OK$11+(MATCH(OJ$11,L.DATE,0))-1))),"&gt;=0")-OK20</f>
        <v>0</v>
      </c>
      <c r="OK20" s="375">
        <f ca="1">SUM(INDIRECT((ADDRESS(ROW(OK21),$I$11+(MATCH(OJ$11,L.DATE,0))))&amp;":"&amp;(ADDRESS(ROW(OK21),$I$11+OK$11+(MATCH(OJ$11,L.DATE,0))-1))))</f>
        <v>0</v>
      </c>
      <c r="OM20" s="39">
        <f ca="1">NN20+NP20+NR20+NT20+NV20+NX20+NZ20+OB20+OD20+OF20+OJ20+OH20</f>
        <v>60</v>
      </c>
      <c r="ON20" s="40">
        <f ca="1">NO20+NQ20+NS20+NU20+NW20+NY20+OA20+OC20+OE20+OG20+OK20+OI20</f>
        <v>0</v>
      </c>
    </row>
    <row r="21" spans="1:404" x14ac:dyDescent="0.3">
      <c r="A21" s="33"/>
      <c r="B21" s="16" t="str">
        <f t="shared" ref="B21:H21" si="26">B20</f>
        <v>HOARAU.Johan</v>
      </c>
      <c r="C21" s="16">
        <f t="shared" si="26"/>
        <v>1</v>
      </c>
      <c r="D21" s="16" t="str">
        <f t="shared" si="26"/>
        <v>I2S</v>
      </c>
      <c r="E21" s="16" t="str">
        <f t="shared" si="26"/>
        <v>ITG</v>
      </c>
      <c r="F21" s="16" t="str">
        <f t="shared" si="26"/>
        <v>SL</v>
      </c>
      <c r="G21" s="105" t="str">
        <f t="shared" si="26"/>
        <v>N1+</v>
      </c>
      <c r="H21" s="109">
        <f t="shared" si="26"/>
        <v>1</v>
      </c>
      <c r="I21" s="28"/>
      <c r="J21" s="482"/>
      <c r="K21" s="482"/>
      <c r="L21" s="482"/>
      <c r="M21" s="482"/>
      <c r="N21" s="482"/>
      <c r="O21" s="482"/>
      <c r="P21" s="482"/>
      <c r="Q21" s="482"/>
      <c r="R21" s="485">
        <v>0</v>
      </c>
      <c r="S21" s="485">
        <v>0</v>
      </c>
      <c r="T21" s="485">
        <v>0</v>
      </c>
      <c r="U21" s="485">
        <v>0</v>
      </c>
      <c r="V21" s="485">
        <v>0</v>
      </c>
      <c r="W21" s="482"/>
      <c r="X21" s="482"/>
      <c r="Y21" s="485">
        <v>0</v>
      </c>
      <c r="Z21" s="485">
        <v>0</v>
      </c>
      <c r="AA21" s="485">
        <v>0</v>
      </c>
      <c r="AB21" s="485">
        <v>0</v>
      </c>
      <c r="AC21" s="485">
        <v>0</v>
      </c>
      <c r="AD21" s="482"/>
      <c r="AE21" s="482"/>
      <c r="AF21" s="485">
        <v>0</v>
      </c>
      <c r="AG21" s="485">
        <v>0</v>
      </c>
      <c r="AH21" s="485">
        <v>0</v>
      </c>
      <c r="AI21" s="485">
        <v>0</v>
      </c>
      <c r="AJ21" s="485">
        <v>0</v>
      </c>
      <c r="AK21" s="482"/>
      <c r="AL21" s="482"/>
      <c r="AM21" s="485">
        <v>0</v>
      </c>
      <c r="AN21" s="485">
        <v>0</v>
      </c>
      <c r="AO21" s="485">
        <v>0</v>
      </c>
      <c r="AP21" s="485">
        <v>0</v>
      </c>
      <c r="AQ21" s="485">
        <v>0</v>
      </c>
      <c r="AR21" s="482"/>
      <c r="AS21" s="482"/>
      <c r="AT21" s="485">
        <v>0</v>
      </c>
      <c r="AU21" s="485">
        <v>0</v>
      </c>
      <c r="AV21" s="485">
        <v>0</v>
      </c>
      <c r="AW21" s="485">
        <v>0</v>
      </c>
      <c r="AX21" s="485">
        <v>0</v>
      </c>
      <c r="AY21" s="482"/>
      <c r="AZ21" s="482"/>
      <c r="BA21" s="485">
        <v>0</v>
      </c>
      <c r="BB21" s="485">
        <v>0</v>
      </c>
      <c r="BC21" s="485">
        <v>0</v>
      </c>
      <c r="BD21" s="485">
        <v>0</v>
      </c>
      <c r="BE21" s="485">
        <v>0</v>
      </c>
      <c r="BF21" s="482"/>
      <c r="BG21" s="482"/>
      <c r="BH21" s="485">
        <v>0</v>
      </c>
      <c r="BI21" s="485">
        <v>0</v>
      </c>
      <c r="BJ21" s="485">
        <v>0</v>
      </c>
      <c r="BK21" s="485">
        <v>0</v>
      </c>
      <c r="BL21" s="485">
        <v>0</v>
      </c>
      <c r="BM21" s="482"/>
      <c r="BN21" s="482"/>
      <c r="BO21" s="485">
        <v>0</v>
      </c>
      <c r="BP21" s="485">
        <v>0</v>
      </c>
      <c r="BQ21" s="485">
        <v>0</v>
      </c>
      <c r="BR21" s="485">
        <v>0</v>
      </c>
      <c r="BS21" s="485">
        <v>0</v>
      </c>
      <c r="BT21" s="482"/>
      <c r="BU21" s="482"/>
      <c r="BV21" s="485">
        <v>0</v>
      </c>
      <c r="BW21" s="485">
        <v>0</v>
      </c>
      <c r="BX21" s="485">
        <v>0</v>
      </c>
      <c r="BY21" s="485">
        <v>0</v>
      </c>
      <c r="BZ21" s="485">
        <v>0</v>
      </c>
      <c r="CA21" s="482"/>
      <c r="CB21" s="482"/>
      <c r="CC21" s="485">
        <v>0</v>
      </c>
      <c r="CD21" s="485">
        <v>0</v>
      </c>
      <c r="CE21" s="485">
        <v>0</v>
      </c>
      <c r="CF21" s="485">
        <v>0</v>
      </c>
      <c r="CG21" s="485">
        <v>0</v>
      </c>
      <c r="CH21" s="482"/>
      <c r="CI21" s="482"/>
      <c r="CJ21" s="485">
        <v>0</v>
      </c>
      <c r="CK21" s="485">
        <v>0</v>
      </c>
      <c r="CL21" s="485">
        <v>0</v>
      </c>
      <c r="CM21" s="485">
        <v>0</v>
      </c>
      <c r="CN21" s="485">
        <v>0</v>
      </c>
      <c r="CO21" s="482"/>
      <c r="CP21" s="482"/>
      <c r="CQ21" s="485">
        <v>0</v>
      </c>
      <c r="CR21" s="485">
        <v>0</v>
      </c>
      <c r="CS21" s="485">
        <v>0</v>
      </c>
      <c r="CT21" s="485">
        <v>0</v>
      </c>
      <c r="CU21" s="485">
        <v>0</v>
      </c>
      <c r="CV21" s="482"/>
      <c r="CW21" s="482"/>
      <c r="CX21" s="482"/>
      <c r="CY21" s="482"/>
      <c r="CZ21" s="482"/>
      <c r="DA21" s="482"/>
      <c r="DB21" s="482"/>
      <c r="DC21" s="482"/>
      <c r="DD21" s="482"/>
      <c r="DE21" s="482"/>
      <c r="DF21" s="482"/>
      <c r="DG21" s="482"/>
      <c r="DH21" s="482"/>
      <c r="DI21" s="482"/>
      <c r="DJ21" s="482"/>
      <c r="DK21" s="482"/>
      <c r="DL21" s="482"/>
      <c r="DM21" s="482"/>
      <c r="DN21" s="482"/>
      <c r="DO21" s="482"/>
      <c r="DP21" s="482"/>
      <c r="DQ21" s="482"/>
      <c r="DR21" s="482"/>
      <c r="DS21" s="482"/>
      <c r="DT21" s="482"/>
      <c r="DU21" s="482"/>
      <c r="DV21" s="482"/>
      <c r="DW21" s="482"/>
      <c r="DX21" s="482"/>
      <c r="DY21" s="482"/>
      <c r="DZ21" s="482"/>
      <c r="EA21" s="482"/>
      <c r="EB21" s="482"/>
      <c r="EC21" s="482"/>
      <c r="ED21" s="482"/>
      <c r="EE21" s="482"/>
      <c r="EF21" s="482"/>
      <c r="EG21" s="482"/>
      <c r="EH21" s="482"/>
      <c r="EI21" s="482"/>
      <c r="EJ21" s="482"/>
      <c r="EK21" s="482"/>
      <c r="EL21" s="482"/>
      <c r="EM21" s="482"/>
      <c r="EN21" s="482"/>
      <c r="EO21" s="482"/>
      <c r="EP21" s="482"/>
      <c r="EQ21" s="482"/>
      <c r="ER21" s="482"/>
      <c r="ES21" s="482"/>
      <c r="ET21" s="482"/>
      <c r="EU21" s="482"/>
      <c r="EV21" s="482"/>
      <c r="EW21" s="482"/>
      <c r="EX21" s="482"/>
      <c r="EY21" s="482"/>
      <c r="EZ21" s="482"/>
      <c r="FA21" s="482"/>
      <c r="FB21" s="482"/>
      <c r="FC21" s="482"/>
      <c r="FD21" s="482"/>
      <c r="FE21" s="482"/>
      <c r="FF21" s="482"/>
      <c r="FG21" s="482"/>
      <c r="FH21" s="482"/>
      <c r="FI21" s="482"/>
      <c r="FJ21" s="482"/>
      <c r="FK21" s="482"/>
      <c r="FL21" s="482"/>
      <c r="FM21" s="482"/>
      <c r="FN21" s="482"/>
      <c r="FO21" s="482"/>
      <c r="FP21" s="482"/>
      <c r="FQ21" s="482"/>
      <c r="FR21" s="482"/>
      <c r="FS21" s="482"/>
      <c r="FT21" s="482"/>
      <c r="FU21" s="482"/>
      <c r="FV21" s="482"/>
      <c r="FW21" s="482"/>
      <c r="FX21" s="482"/>
      <c r="FY21" s="482"/>
      <c r="FZ21" s="482"/>
      <c r="GA21" s="482"/>
      <c r="GB21" s="482"/>
      <c r="GC21" s="482"/>
      <c r="GD21" s="482"/>
      <c r="GE21" s="482"/>
      <c r="GF21" s="482"/>
      <c r="GG21" s="482"/>
      <c r="GH21" s="482"/>
      <c r="GI21" s="482"/>
      <c r="GJ21" s="482"/>
      <c r="GK21" s="482"/>
      <c r="GL21" s="482"/>
      <c r="GM21" s="482"/>
      <c r="GN21" s="482"/>
      <c r="GO21" s="482"/>
      <c r="GP21" s="482"/>
      <c r="GQ21" s="482"/>
      <c r="GR21" s="482"/>
      <c r="GS21" s="482"/>
      <c r="GT21" s="482"/>
      <c r="GU21" s="482"/>
      <c r="GV21" s="482"/>
      <c r="GW21" s="482"/>
      <c r="GX21" s="482"/>
      <c r="GY21" s="482"/>
      <c r="GZ21" s="482"/>
      <c r="HA21" s="482"/>
      <c r="HB21" s="482"/>
      <c r="HC21" s="482"/>
      <c r="HD21" s="482"/>
      <c r="HE21" s="482"/>
      <c r="HF21" s="482"/>
      <c r="HG21" s="482"/>
      <c r="HH21" s="482"/>
      <c r="HI21" s="482"/>
      <c r="HJ21" s="482"/>
      <c r="HK21" s="482"/>
      <c r="HL21" s="482"/>
      <c r="HM21" s="482"/>
      <c r="HN21" s="482"/>
      <c r="HO21" s="482"/>
      <c r="HP21" s="482"/>
      <c r="HQ21" s="482"/>
      <c r="HR21" s="482"/>
      <c r="HS21" s="482"/>
      <c r="HT21" s="482"/>
      <c r="HU21" s="482"/>
      <c r="HV21" s="482"/>
      <c r="HW21" s="482"/>
      <c r="HX21" s="482"/>
      <c r="HY21" s="482"/>
      <c r="HZ21" s="482"/>
      <c r="IA21" s="482"/>
      <c r="IB21" s="482"/>
      <c r="IC21" s="482"/>
      <c r="ID21" s="482"/>
      <c r="IE21" s="482"/>
      <c r="IF21" s="482"/>
      <c r="IG21" s="482"/>
      <c r="IH21" s="482"/>
      <c r="II21" s="482"/>
      <c r="IJ21" s="482"/>
      <c r="IK21" s="482"/>
      <c r="IL21" s="482"/>
      <c r="IM21" s="482"/>
      <c r="IN21" s="482"/>
      <c r="IO21" s="482"/>
      <c r="IP21" s="482"/>
      <c r="IQ21" s="482"/>
      <c r="IR21" s="482"/>
      <c r="IS21" s="482"/>
      <c r="IT21" s="482"/>
      <c r="IU21" s="482"/>
      <c r="IV21" s="482"/>
      <c r="IW21" s="482"/>
      <c r="IX21" s="482"/>
      <c r="IY21" s="482"/>
      <c r="IZ21" s="482"/>
      <c r="JA21" s="482"/>
      <c r="JB21" s="482"/>
      <c r="JC21" s="482"/>
      <c r="JD21" s="482"/>
      <c r="JE21" s="482"/>
      <c r="JF21" s="482"/>
      <c r="JG21" s="482"/>
      <c r="JH21" s="482"/>
      <c r="JI21" s="482"/>
      <c r="JJ21" s="482"/>
      <c r="JK21" s="482"/>
      <c r="JL21" s="482"/>
      <c r="JM21" s="482"/>
      <c r="JN21" s="482"/>
      <c r="JO21" s="482"/>
      <c r="JP21" s="482"/>
      <c r="JQ21" s="482"/>
      <c r="JR21" s="482"/>
      <c r="JS21" s="482"/>
      <c r="JT21" s="482"/>
      <c r="JU21" s="482"/>
      <c r="JV21" s="482"/>
      <c r="JW21" s="482"/>
      <c r="JX21" s="482"/>
      <c r="JY21" s="482"/>
      <c r="JZ21" s="482"/>
      <c r="KA21" s="482"/>
      <c r="KB21" s="482"/>
      <c r="KC21" s="482"/>
      <c r="KD21" s="482"/>
      <c r="KE21" s="482"/>
      <c r="KF21" s="482"/>
      <c r="KG21" s="482"/>
      <c r="KH21" s="482"/>
      <c r="KI21" s="482"/>
      <c r="KJ21" s="482"/>
      <c r="KK21" s="482"/>
      <c r="KL21" s="482"/>
      <c r="KM21" s="482"/>
      <c r="KN21" s="482"/>
      <c r="KO21" s="482"/>
      <c r="KP21" s="482"/>
      <c r="KQ21" s="482"/>
      <c r="KR21" s="482"/>
      <c r="KS21" s="482"/>
      <c r="KT21" s="482"/>
      <c r="KU21" s="482"/>
      <c r="KV21" s="482"/>
      <c r="KW21" s="482"/>
      <c r="KX21" s="482"/>
      <c r="KY21" s="482"/>
      <c r="KZ21" s="482"/>
      <c r="LA21" s="482"/>
      <c r="LB21" s="482"/>
      <c r="LC21" s="482"/>
      <c r="LD21" s="482"/>
      <c r="LE21" s="482"/>
      <c r="LF21" s="482"/>
      <c r="LG21" s="482"/>
      <c r="LH21" s="482"/>
      <c r="LI21" s="482"/>
      <c r="LJ21" s="482"/>
      <c r="LK21" s="482"/>
      <c r="LL21" s="482"/>
      <c r="LM21" s="482"/>
      <c r="LN21" s="482"/>
      <c r="LO21" s="482"/>
      <c r="LP21" s="482"/>
      <c r="LQ21" s="482"/>
      <c r="LR21" s="482"/>
      <c r="LS21" s="482"/>
      <c r="LT21" s="482"/>
      <c r="LU21" s="482"/>
      <c r="LV21" s="482"/>
      <c r="LW21" s="482"/>
      <c r="LX21" s="482"/>
      <c r="LY21" s="482"/>
      <c r="LZ21" s="482"/>
      <c r="MA21" s="482"/>
      <c r="MB21" s="482"/>
      <c r="MC21" s="482"/>
      <c r="MD21" s="482"/>
      <c r="ME21" s="482"/>
      <c r="MF21" s="482"/>
      <c r="MG21" s="482"/>
      <c r="MH21" s="482"/>
      <c r="MI21" s="482"/>
      <c r="MJ21" s="482"/>
      <c r="MK21" s="482"/>
      <c r="ML21" s="482"/>
      <c r="MM21" s="482"/>
      <c r="MN21" s="482"/>
      <c r="MO21" s="482"/>
      <c r="MP21" s="482"/>
      <c r="MQ21" s="482"/>
      <c r="MR21" s="482"/>
      <c r="MS21" s="482"/>
      <c r="MT21" s="482"/>
      <c r="MU21" s="482"/>
      <c r="MV21" s="482"/>
      <c r="MW21" s="482"/>
      <c r="MX21" s="482"/>
      <c r="MY21" s="482"/>
      <c r="MZ21" s="482"/>
      <c r="NA21" s="482"/>
      <c r="NB21" s="482"/>
      <c r="NC21" s="482"/>
      <c r="ND21" s="482"/>
      <c r="NE21" s="482"/>
      <c r="NF21" s="482"/>
      <c r="NG21" s="482"/>
      <c r="NH21" s="482"/>
      <c r="NI21" s="482"/>
      <c r="NJ21" s="483"/>
      <c r="NK21" s="34"/>
      <c r="NM21" s="379" t="str">
        <f>NM20&amp;".b"</f>
        <v>107263.b</v>
      </c>
      <c r="NN21" s="376" cm="1">
        <f t="array" aca="1" ref="NN21" ca="1">IF(xcomp(INDIRECT((ADDRESS(ROW(NN20),$I$11+(MATCH(NN$11,L.DATE,0))))&amp;":"&amp;(ADDRESS(ROW(NN20),$I$11+NO$11+(MATCH(NN$11,L.DATE,0))-1))),L.ABSP)=0,"",
xsom(INDIRECT((ADDRESS(ROW(NN20),$I$11+(MATCH(NN$11,L.DATE,0))))&amp;":"&amp;(ADDRESS(ROW(NN20),$I$11+NO$11+(MATCH(NN$11,L.DATE,0))-1))),L.ABSP,
INDIRECT((ADDRESS(ROW(NN20)+1,$I$11+(MATCH(NN$11,L.DATE,0))))&amp;":"&amp;(ADDRESS(ROW(NN20)+1,$I$11+NO$11+(MATCH(NN$11,L.DATE,0))-1)))))</f>
        <v>17</v>
      </c>
      <c r="NO21" s="377" t="str" cm="1">
        <f t="array" aca="1" ref="NO21" ca="1">IF(xcomp(INDIRECT((ADDRESS(ROW(NO20),$I$11+(MATCH(NN$11,L.DATE,0))))&amp;":"&amp;(ADDRESS(ROW(NO20),$I$11+NO$11+(MATCH(NN$11,L.DATE,0))-1))),L.ABS.NP)=0,"",
xsom(INDIRECT((ADDRESS(ROW(NO20),$I$11+(MATCH(NN$11,L.DATE,0))))&amp;":"&amp;(ADDRESS(ROW(NO20),$I$11+NO$11+(MATCH(NN$11,L.DATE,0))-1))),L.ABS.NP,
INDIRECT((ADDRESS(ROW(NO20)+1,$I$11+(MATCH(NN$11,L.DATE,0))))&amp;":"&amp;(ADDRESS(ROW(NO20)+1,$I$11+NO$11+(MATCH(NN$11,L.DATE,0))-1)))))</f>
        <v/>
      </c>
      <c r="NP21" s="376" cm="1">
        <f t="array" aca="1" ref="NP21" ca="1">IF(xcomp(INDIRECT((ADDRESS(ROW(NP20),$I$11+(MATCH(NP$11,L.DATE,0))))&amp;":"&amp;(ADDRESS(ROW(NP20),$I$11+NQ$11+(MATCH(NP$11,L.DATE,0))-1))),L.ABSP)=0,"",
xsom(INDIRECT((ADDRESS(ROW(NP20),$I$11+(MATCH(NP$11,L.DATE,0))))&amp;":"&amp;(ADDRESS(ROW(NP20),$I$11+NQ$11+(MATCH(NP$11,L.DATE,0))-1))),L.ABSP,
INDIRECT((ADDRESS(ROW(NP20)+1,$I$11+(MATCH(NP$11,L.DATE,0))))&amp;":"&amp;(ADDRESS(ROW(NP20)+1,$I$11+NQ$11+(MATCH(NP$11,L.DATE,0))-1)))))</f>
        <v>20</v>
      </c>
      <c r="NQ21" s="377" t="str" cm="1">
        <f t="array" aca="1" ref="NQ21" ca="1">IF(xcomp(INDIRECT((ADDRESS(ROW(NQ20),$I$11+(MATCH(NP$11,L.DATE,0))))&amp;":"&amp;(ADDRESS(ROW(NQ20),$I$11+NQ$11+(MATCH(NP$11,L.DATE,0))-1))),L.ABS.NP)=0,"",
xsom(INDIRECT((ADDRESS(ROW(NQ20),$I$11+(MATCH(NP$11,L.DATE,0))))&amp;":"&amp;(ADDRESS(ROW(NQ20),$I$11+NQ$11+(MATCH(NP$11,L.DATE,0))-1))),L.ABS.NP,
INDIRECT((ADDRESS(ROW(NQ20)+1,$I$11+(MATCH(NP$11,L.DATE,0))))&amp;":"&amp;(ADDRESS(ROW(NQ20)+1,$I$11+NQ$11+(MATCH(NP$11,L.DATE,0))-1)))))</f>
        <v/>
      </c>
      <c r="NR21" s="376" cm="1">
        <f t="array" aca="1" ref="NR21" ca="1">IF(xcomp(INDIRECT((ADDRESS(ROW(NR20),$I$11+(MATCH(NR$11,L.DATE,0))))&amp;":"&amp;(ADDRESS(ROW(NR20),$I$11+NS$11+(MATCH(NR$11,L.DATE,0))-1))),L.ABSP)=0,"",
xsom(INDIRECT((ADDRESS(ROW(NR20),$I$11+(MATCH(NR$11,L.DATE,0))))&amp;":"&amp;(ADDRESS(ROW(NR20),$I$11+NS$11+(MATCH(NR$11,L.DATE,0))-1))),L.ABSP,
INDIRECT((ADDRESS(ROW(NR20)+1,$I$11+(MATCH(NR$11,L.DATE,0))))&amp;":"&amp;(ADDRESS(ROW(NR20)+1,$I$11+NS$11+(MATCH(NR$11,L.DATE,0))-1)))))</f>
        <v>23</v>
      </c>
      <c r="NS21" s="377" t="str" cm="1">
        <f t="array" aca="1" ref="NS21" ca="1">IF(xcomp(INDIRECT((ADDRESS(ROW(NS20),$I$11+(MATCH(NR$11,L.DATE,0))))&amp;":"&amp;(ADDRESS(ROW(NS20),$I$11+NS$11+(MATCH(NR$11,L.DATE,0))-1))),L.ABS.NP)=0,"",
xsom(INDIRECT((ADDRESS(ROW(NS20),$I$11+(MATCH(NR$11,L.DATE,0))))&amp;":"&amp;(ADDRESS(ROW(NS20),$I$11+NS$11+(MATCH(NR$11,L.DATE,0))-1))),L.ABS.NP,
INDIRECT((ADDRESS(ROW(NS20)+1,$I$11+(MATCH(NR$11,L.DATE,0))))&amp;":"&amp;(ADDRESS(ROW(NS20)+1,$I$11+NS$11+(MATCH(NR$11,L.DATE,0))-1)))))</f>
        <v/>
      </c>
      <c r="NT21" s="376" t="str" cm="1">
        <f t="array" aca="1" ref="NT21" ca="1">IF(xcomp(INDIRECT((ADDRESS(ROW(NT20),$I$11+(MATCH(NT$11,L.DATE,0))))&amp;":"&amp;(ADDRESS(ROW(NT20),$I$11+NU$11+(MATCH(NT$11,L.DATE,0))-1))),L.ABSP)=0,"",
xsom(INDIRECT((ADDRESS(ROW(NT20),$I$11+(MATCH(NT$11,L.DATE,0))))&amp;":"&amp;(ADDRESS(ROW(NT20),$I$11+NU$11+(MATCH(NT$11,L.DATE,0))-1))),L.ABSP,
INDIRECT((ADDRESS(ROW(NT20)+1,$I$11+(MATCH(NT$11,L.DATE,0))))&amp;":"&amp;(ADDRESS(ROW(NT20)+1,$I$11+NU$11+(MATCH(NT$11,L.DATE,0))-1)))))</f>
        <v/>
      </c>
      <c r="NU21" s="377" t="str" cm="1">
        <f t="array" aca="1" ref="NU21" ca="1">IF(xcomp(INDIRECT((ADDRESS(ROW(NU20),$I$11+(MATCH(NT$11,L.DATE,0))))&amp;":"&amp;(ADDRESS(ROW(NU20),$I$11+NU$11+(MATCH(NT$11,L.DATE,0))-1))),L.ABS.NP)=0,"",
xsom(INDIRECT((ADDRESS(ROW(NU20),$I$11+(MATCH(NT$11,L.DATE,0))))&amp;":"&amp;(ADDRESS(ROW(NU20),$I$11+NU$11+(MATCH(NT$11,L.DATE,0))-1))),L.ABS.NP,
INDIRECT((ADDRESS(ROW(NU20)+1,$I$11+(MATCH(NT$11,L.DATE,0))))&amp;":"&amp;(ADDRESS(ROW(NU20)+1,$I$11+NU$11+(MATCH(NT$11,L.DATE,0))-1)))))</f>
        <v/>
      </c>
      <c r="NV21" s="376" t="str" cm="1">
        <f t="array" aca="1" ref="NV21" ca="1">IF(xcomp(INDIRECT((ADDRESS(ROW(NV20),$I$11+(MATCH(NV$11,L.DATE,0))))&amp;":"&amp;(ADDRESS(ROW(NV20),$I$11+NW$11+(MATCH(NV$11,L.DATE,0))-1))),L.ABSP)=0,"",
xsom(INDIRECT((ADDRESS(ROW(NV20),$I$11+(MATCH(NV$11,L.DATE,0))))&amp;":"&amp;(ADDRESS(ROW(NV20),$I$11+NW$11+(MATCH(NV$11,L.DATE,0))-1))),L.ABSP,
INDIRECT((ADDRESS(ROW(NV20)+1,$I$11+(MATCH(NV$11,L.DATE,0))))&amp;":"&amp;(ADDRESS(ROW(NV20)+1,$I$11+NW$11+(MATCH(NV$11,L.DATE,0))-1)))))</f>
        <v/>
      </c>
      <c r="NW21" s="377" t="str" cm="1">
        <f t="array" aca="1" ref="NW21" ca="1">IF(xcomp(INDIRECT((ADDRESS(ROW(NW20),$I$11+(MATCH(NV$11,L.DATE,0))))&amp;":"&amp;(ADDRESS(ROW(NW20),$I$11+NW$11+(MATCH(NV$11,L.DATE,0))-1))),L.ABS.NP)=0,"",
xsom(INDIRECT((ADDRESS(ROW(NW20),$I$11+(MATCH(NV$11,L.DATE,0))))&amp;":"&amp;(ADDRESS(ROW(NW20),$I$11+NW$11+(MATCH(NV$11,L.DATE,0))-1))),L.ABS.NP,
INDIRECT((ADDRESS(ROW(NW20)+1,$I$11+(MATCH(NV$11,L.DATE,0))))&amp;":"&amp;(ADDRESS(ROW(NW20)+1,$I$11+NW$11+(MATCH(NV$11,L.DATE,0))-1)))))</f>
        <v/>
      </c>
      <c r="NX21" s="376" t="str" cm="1">
        <f t="array" aca="1" ref="NX21" ca="1">IF(xcomp(INDIRECT((ADDRESS(ROW(NX20),$I$11+(MATCH(NX$11,L.DATE,0))))&amp;":"&amp;(ADDRESS(ROW(NX20),$I$11+NY$11+(MATCH(NX$11,L.DATE,0))-1))),L.ABSP)=0,"",
xsom(INDIRECT((ADDRESS(ROW(NX20),$I$11+(MATCH(NX$11,L.DATE,0))))&amp;":"&amp;(ADDRESS(ROW(NX20),$I$11+NY$11+(MATCH(NX$11,L.DATE,0))-1))),L.ABSP,
INDIRECT((ADDRESS(ROW(NX20)+1,$I$11+(MATCH(NX$11,L.DATE,0))))&amp;":"&amp;(ADDRESS(ROW(NX20)+1,$I$11+NY$11+(MATCH(NX$11,L.DATE,0))-1)))))</f>
        <v/>
      </c>
      <c r="NY21" s="377" t="str" cm="1">
        <f t="array" aca="1" ref="NY21" ca="1">IF(xcomp(INDIRECT((ADDRESS(ROW(NY20),$I$11+(MATCH(NX$11,L.DATE,0))))&amp;":"&amp;(ADDRESS(ROW(NY20),$I$11+NY$11+(MATCH(NX$11,L.DATE,0))-1))),L.ABS.NP)=0,"",
xsom(INDIRECT((ADDRESS(ROW(NY20),$I$11+(MATCH(NX$11,L.DATE,0))))&amp;":"&amp;(ADDRESS(ROW(NY20),$I$11+NY$11+(MATCH(NX$11,L.DATE,0))-1))),L.ABS.NP,
INDIRECT((ADDRESS(ROW(NY20)+1,$I$11+(MATCH(NX$11,L.DATE,0))))&amp;":"&amp;(ADDRESS(ROW(NY20)+1,$I$11+NY$11+(MATCH(NX$11,L.DATE,0))-1)))))</f>
        <v/>
      </c>
      <c r="NZ21" s="376" t="str" cm="1">
        <f t="array" aca="1" ref="NZ21" ca="1">IF(xcomp(INDIRECT((ADDRESS(ROW(NZ20),$I$11+(MATCH(NZ$11,L.DATE,0))))&amp;":"&amp;(ADDRESS(ROW(NZ20),$I$11+OA$11+(MATCH(NZ$11,L.DATE,0))-1))),L.ABSP)=0,"",
xsom(INDIRECT((ADDRESS(ROW(NZ20),$I$11+(MATCH(NZ$11,L.DATE,0))))&amp;":"&amp;(ADDRESS(ROW(NZ20),$I$11+OA$11+(MATCH(NZ$11,L.DATE,0))-1))),L.ABSP,
INDIRECT((ADDRESS(ROW(NZ20)+1,$I$11+(MATCH(NZ$11,L.DATE,0))))&amp;":"&amp;(ADDRESS(ROW(NZ20)+1,$I$11+OA$11+(MATCH(NZ$11,L.DATE,0))-1)))))</f>
        <v/>
      </c>
      <c r="OA21" s="377" t="str" cm="1">
        <f t="array" aca="1" ref="OA21" ca="1">IF(xcomp(INDIRECT((ADDRESS(ROW(OA20),$I$11+(MATCH(NZ$11,L.DATE,0))))&amp;":"&amp;(ADDRESS(ROW(OA20),$I$11+OA$11+(MATCH(NZ$11,L.DATE,0))-1))),L.ABS.NP)=0,"",
xsom(INDIRECT((ADDRESS(ROW(OA20),$I$11+(MATCH(NZ$11,L.DATE,0))))&amp;":"&amp;(ADDRESS(ROW(OA20),$I$11+OA$11+(MATCH(NZ$11,L.DATE,0))-1))),L.ABS.NP,
INDIRECT((ADDRESS(ROW(OA20)+1,$I$11+(MATCH(NZ$11,L.DATE,0))))&amp;":"&amp;(ADDRESS(ROW(OA20)+1,$I$11+OA$11+(MATCH(NZ$11,L.DATE,0))-1)))))</f>
        <v/>
      </c>
      <c r="OB21" s="376" t="str" cm="1">
        <f t="array" aca="1" ref="OB21" ca="1">IF(xcomp(INDIRECT((ADDRESS(ROW(OB20),$I$11+(MATCH(OB$11,L.DATE,0))))&amp;":"&amp;(ADDRESS(ROW(OB20),$I$11+OC$11+(MATCH(OB$11,L.DATE,0))-1))),L.ABSP)=0,"",
xsom(INDIRECT((ADDRESS(ROW(OB20),$I$11+(MATCH(OB$11,L.DATE,0))))&amp;":"&amp;(ADDRESS(ROW(OB20),$I$11+OC$11+(MATCH(OB$11,L.DATE,0))-1))),L.ABSP,
INDIRECT((ADDRESS(ROW(OB20)+1,$I$11+(MATCH(OB$11,L.DATE,0))))&amp;":"&amp;(ADDRESS(ROW(OB20)+1,$I$11+OC$11+(MATCH(OB$11,L.DATE,0))-1)))))</f>
        <v/>
      </c>
      <c r="OC21" s="377" t="str" cm="1">
        <f t="array" aca="1" ref="OC21" ca="1">IF(xcomp(INDIRECT((ADDRESS(ROW(OC20),$I$11+(MATCH(OB$11,L.DATE,0))))&amp;":"&amp;(ADDRESS(ROW(OC20),$I$11+OC$11+(MATCH(OB$11,L.DATE,0))-1))),L.ABS.NP)=0,"",
xsom(INDIRECT((ADDRESS(ROW(OC20),$I$11+(MATCH(OB$11,L.DATE,0))))&amp;":"&amp;(ADDRESS(ROW(OC20),$I$11+OC$11+(MATCH(OB$11,L.DATE,0))-1))),L.ABS.NP,
INDIRECT((ADDRESS(ROW(OC20)+1,$I$11+(MATCH(OB$11,L.DATE,0))))&amp;":"&amp;(ADDRESS(ROW(OC20)+1,$I$11+OC$11+(MATCH(OB$11,L.DATE,0))-1)))))</f>
        <v/>
      </c>
      <c r="OD21" s="376" t="str" cm="1">
        <f t="array" aca="1" ref="OD21" ca="1">IF(xcomp(INDIRECT((ADDRESS(ROW(OD20),$I$11+(MATCH(OD$11,L.DATE,0))))&amp;":"&amp;(ADDRESS(ROW(OD20),$I$11+OE$11+(MATCH(OD$11,L.DATE,0))-1))),L.ABSP)=0,"",
xsom(INDIRECT((ADDRESS(ROW(OD20),$I$11+(MATCH(OD$11,L.DATE,0))))&amp;":"&amp;(ADDRESS(ROW(OD20),$I$11+OE$11+(MATCH(OD$11,L.DATE,0))-1))),L.ABSP,
INDIRECT((ADDRESS(ROW(OD20)+1,$I$11+(MATCH(OD$11,L.DATE,0))))&amp;":"&amp;(ADDRESS(ROW(OD20)+1,$I$11+OE$11+(MATCH(OD$11,L.DATE,0))-1)))))</f>
        <v/>
      </c>
      <c r="OE21" s="377" t="str" cm="1">
        <f t="array" aca="1" ref="OE21" ca="1">IF(xcomp(INDIRECT((ADDRESS(ROW(OE20),$I$11+(MATCH(OD$11,L.DATE,0))))&amp;":"&amp;(ADDRESS(ROW(OE20),$I$11+OE$11+(MATCH(OD$11,L.DATE,0))-1))),L.ABS.NP)=0,"",
xsom(INDIRECT((ADDRESS(ROW(OE20),$I$11+(MATCH(OD$11,L.DATE,0))))&amp;":"&amp;(ADDRESS(ROW(OE20),$I$11+OE$11+(MATCH(OD$11,L.DATE,0))-1))),L.ABS.NP,
INDIRECT((ADDRESS(ROW(OE20)+1,$I$11+(MATCH(OD$11,L.DATE,0))))&amp;":"&amp;(ADDRESS(ROW(OE20)+1,$I$11+OE$11+(MATCH(OD$11,L.DATE,0))-1)))))</f>
        <v/>
      </c>
      <c r="OF21" s="376" t="str" cm="1">
        <f t="array" aca="1" ref="OF21" ca="1">IF(xcomp(INDIRECT((ADDRESS(ROW(OF20),$I$11+(MATCH(OF$11,L.DATE,0))))&amp;":"&amp;(ADDRESS(ROW(OF20),$I$11+OG$11+(MATCH(OF$11,L.DATE,0))-1))),L.ABSP)=0,"",
xsom(INDIRECT((ADDRESS(ROW(OF20),$I$11+(MATCH(OF$11,L.DATE,0))))&amp;":"&amp;(ADDRESS(ROW(OF20),$I$11+OG$11+(MATCH(OF$11,L.DATE,0))-1))),L.ABSP,
INDIRECT((ADDRESS(ROW(OF20)+1,$I$11+(MATCH(OF$11,L.DATE,0))))&amp;":"&amp;(ADDRESS(ROW(OF20)+1,$I$11+OG$11+(MATCH(OF$11,L.DATE,0))-1)))))</f>
        <v/>
      </c>
      <c r="OG21" s="377" t="str" cm="1">
        <f t="array" aca="1" ref="OG21" ca="1">IF(xcomp(INDIRECT((ADDRESS(ROW(OG20),$I$11+(MATCH(OF$11,L.DATE,0))))&amp;":"&amp;(ADDRESS(ROW(OG20),$I$11+OG$11+(MATCH(OF$11,L.DATE,0))-1))),L.ABS.NP)=0,"",
xsom(INDIRECT((ADDRESS(ROW(OG20),$I$11+(MATCH(OF$11,L.DATE,0))))&amp;":"&amp;(ADDRESS(ROW(OG20),$I$11+OG$11+(MATCH(OF$11,L.DATE,0))-1))),L.ABS.NP,
INDIRECT((ADDRESS(ROW(OG20)+1,$I$11+(MATCH(OF$11,L.DATE,0))))&amp;":"&amp;(ADDRESS(ROW(OG20)+1,$I$11+OG$11+(MATCH(OF$11,L.DATE,0))-1)))))</f>
        <v/>
      </c>
      <c r="OH21" s="376" t="str" cm="1">
        <f t="array" aca="1" ref="OH21" ca="1">IF(xcomp(INDIRECT((ADDRESS(ROW(OH20),$I$11+(MATCH(OH$11,L.DATE,0))))&amp;":"&amp;(ADDRESS(ROW(OH20),$I$11+OI$11+(MATCH(OH$11,L.DATE,0))-1))),L.ABSP)=0,"",
xsom(INDIRECT((ADDRESS(ROW(OH20),$I$11+(MATCH(OH$11,L.DATE,0))))&amp;":"&amp;(ADDRESS(ROW(OH20),$I$11+OI$11+(MATCH(OH$11,L.DATE,0))-1))),L.ABSP,
INDIRECT((ADDRESS(ROW(OH20)+1,$I$11+(MATCH(OH$11,L.DATE,0))))&amp;":"&amp;(ADDRESS(ROW(OH20)+1,$I$11+OI$11+(MATCH(OH$11,L.DATE,0))-1)))))</f>
        <v/>
      </c>
      <c r="OI21" s="377" t="str" cm="1">
        <f t="array" aca="1" ref="OI21" ca="1">IF(xcomp(INDIRECT((ADDRESS(ROW(OI20),$I$11+(MATCH(OH$11,L.DATE,0))))&amp;":"&amp;(ADDRESS(ROW(OI20),$I$11+OI$11+(MATCH(OH$11,L.DATE,0))-1))),L.ABS.NP)=0,"",
xsom(INDIRECT((ADDRESS(ROW(OI20),$I$11+(MATCH(OH$11,L.DATE,0))))&amp;":"&amp;(ADDRESS(ROW(OI20),$I$11+OI$11+(MATCH(OH$11,L.DATE,0))-1))),L.ABS.NP,
INDIRECT((ADDRESS(ROW(OI20)+1,$I$11+(MATCH(OH$11,L.DATE,0))))&amp;":"&amp;(ADDRESS(ROW(OI20)+1,$I$11+OI$11+(MATCH(OH$11,L.DATE,0))-1)))))</f>
        <v/>
      </c>
      <c r="OJ21" s="376" t="str" cm="1">
        <f t="array" aca="1" ref="OJ21" ca="1">IF(xcomp(INDIRECT((ADDRESS(ROW(OJ20),$I$11+(MATCH(OJ$11,L.DATE,0))))&amp;":"&amp;(ADDRESS(ROW(OJ20),$I$11+OK$11+(MATCH(OJ$11,L.DATE,0))-1))),L.ABSP)=0,"",
xsom(INDIRECT((ADDRESS(ROW(OJ20),$I$11+(MATCH(OJ$11,L.DATE,0))))&amp;":"&amp;(ADDRESS(ROW(OJ20),$I$11+OK$11+(MATCH(OJ$11,L.DATE,0))-1))),L.ABSP,
INDIRECT((ADDRESS(ROW(OJ20)+1,$I$11+(MATCH(OJ$11,L.DATE,0))))&amp;":"&amp;(ADDRESS(ROW(OJ20)+1,$I$11+OK$11+(MATCH(OJ$11,L.DATE,0))-1)))))</f>
        <v/>
      </c>
      <c r="OK21" s="378" t="str" cm="1">
        <f t="array" aca="1" ref="OK21" ca="1">IF(xcomp(INDIRECT((ADDRESS(ROW(OK20),$I$11+(MATCH(OJ$11,L.DATE,0))))&amp;":"&amp;(ADDRESS(ROW(OK20),$I$11+OK$11+(MATCH(OJ$11,L.DATE,0))-1))),L.ABS.NP)=0,"",
xsom(INDIRECT((ADDRESS(ROW(OK20),$I$11+(MATCH(OJ$11,L.DATE,0))))&amp;":"&amp;(ADDRESS(ROW(OK20),$I$11+OK$11+(MATCH(OJ$11,L.DATE,0))-1))),L.ABS.NP,
INDIRECT((ADDRESS(ROW(OK20)+1,$I$11+(MATCH(OJ$11,L.DATE,0))))&amp;":"&amp;(ADDRESS(ROW(OK20)+1,$I$11+OK$11+(MATCH(OJ$11,L.DATE,0))-1)))))</f>
        <v/>
      </c>
    </row>
    <row r="22" spans="1:404" ht="12" customHeight="1" x14ac:dyDescent="0.3">
      <c r="A22" s="394">
        <v>137532</v>
      </c>
      <c r="B22" s="381" t="s">
        <v>493</v>
      </c>
      <c r="C22" s="53">
        <v>1</v>
      </c>
      <c r="D22" s="392" t="s">
        <v>18</v>
      </c>
      <c r="E22" s="392" t="s">
        <v>484</v>
      </c>
      <c r="F22" s="392" t="s">
        <v>13</v>
      </c>
      <c r="G22" s="104" t="s">
        <v>492</v>
      </c>
      <c r="H22" s="108">
        <v>1</v>
      </c>
      <c r="I22" s="28"/>
      <c r="J22" s="482"/>
      <c r="K22" s="482"/>
      <c r="L22" s="482"/>
      <c r="M22" s="482"/>
      <c r="N22" s="482"/>
      <c r="O22" s="482"/>
      <c r="P22" s="482"/>
      <c r="Q22" s="482"/>
      <c r="R22" s="484" t="s">
        <v>27</v>
      </c>
      <c r="S22" s="484" t="s">
        <v>27</v>
      </c>
      <c r="T22" s="484" t="s">
        <v>27</v>
      </c>
      <c r="U22" s="484" t="s">
        <v>27</v>
      </c>
      <c r="V22" s="484" t="s">
        <v>27</v>
      </c>
      <c r="W22" s="482"/>
      <c r="X22" s="482"/>
      <c r="Y22" s="484" t="s">
        <v>27</v>
      </c>
      <c r="Z22" s="484" t="s">
        <v>27</v>
      </c>
      <c r="AA22" s="484" t="s">
        <v>27</v>
      </c>
      <c r="AB22" s="484" t="s">
        <v>27</v>
      </c>
      <c r="AC22" s="484" t="s">
        <v>27</v>
      </c>
      <c r="AD22" s="482"/>
      <c r="AE22" s="482"/>
      <c r="AF22" s="484" t="s">
        <v>27</v>
      </c>
      <c r="AG22" s="484" t="s">
        <v>27</v>
      </c>
      <c r="AH22" s="484" t="s">
        <v>27</v>
      </c>
      <c r="AI22" s="484" t="s">
        <v>27</v>
      </c>
      <c r="AJ22" s="484" t="s">
        <v>27</v>
      </c>
      <c r="AK22" s="482"/>
      <c r="AL22" s="482"/>
      <c r="AM22" s="484" t="s">
        <v>27</v>
      </c>
      <c r="AN22" s="484" t="s">
        <v>27</v>
      </c>
      <c r="AO22" s="484" t="s">
        <v>27</v>
      </c>
      <c r="AP22" s="484" t="s">
        <v>27</v>
      </c>
      <c r="AQ22" s="484" t="s">
        <v>27</v>
      </c>
      <c r="AR22" s="482"/>
      <c r="AS22" s="482"/>
      <c r="AT22" s="484" t="s">
        <v>27</v>
      </c>
      <c r="AU22" s="484" t="s">
        <v>27</v>
      </c>
      <c r="AV22" s="484" t="s">
        <v>27</v>
      </c>
      <c r="AW22" s="484" t="s">
        <v>27</v>
      </c>
      <c r="AX22" s="484" t="s">
        <v>27</v>
      </c>
      <c r="AY22" s="482"/>
      <c r="AZ22" s="482"/>
      <c r="BA22" s="484" t="s">
        <v>27</v>
      </c>
      <c r="BB22" s="484" t="s">
        <v>27</v>
      </c>
      <c r="BC22" s="484" t="s">
        <v>27</v>
      </c>
      <c r="BD22" s="484" t="s">
        <v>27</v>
      </c>
      <c r="BE22" s="484" t="s">
        <v>27</v>
      </c>
      <c r="BF22" s="482"/>
      <c r="BG22" s="482"/>
      <c r="BH22" s="484" t="s">
        <v>27</v>
      </c>
      <c r="BI22" s="484" t="s">
        <v>27</v>
      </c>
      <c r="BJ22" s="484" t="s">
        <v>27</v>
      </c>
      <c r="BK22" s="484" t="s">
        <v>27</v>
      </c>
      <c r="BL22" s="484" t="s">
        <v>27</v>
      </c>
      <c r="BM22" s="482"/>
      <c r="BN22" s="482"/>
      <c r="BO22" s="484" t="s">
        <v>27</v>
      </c>
      <c r="BP22" s="484" t="s">
        <v>27</v>
      </c>
      <c r="BQ22" s="484" t="s">
        <v>27</v>
      </c>
      <c r="BR22" s="484" t="s">
        <v>27</v>
      </c>
      <c r="BS22" s="484" t="s">
        <v>27</v>
      </c>
      <c r="BT22" s="482"/>
      <c r="BU22" s="482"/>
      <c r="BV22" s="484" t="s">
        <v>27</v>
      </c>
      <c r="BW22" s="484" t="s">
        <v>27</v>
      </c>
      <c r="BX22" s="484" t="s">
        <v>27</v>
      </c>
      <c r="BY22" s="484" t="s">
        <v>27</v>
      </c>
      <c r="BZ22" s="484" t="s">
        <v>27</v>
      </c>
      <c r="CA22" s="482"/>
      <c r="CB22" s="482"/>
      <c r="CC22" s="484" t="s">
        <v>27</v>
      </c>
      <c r="CD22" s="484" t="s">
        <v>27</v>
      </c>
      <c r="CE22" s="484" t="s">
        <v>27</v>
      </c>
      <c r="CF22" s="484" t="s">
        <v>27</v>
      </c>
      <c r="CG22" s="484" t="s">
        <v>27</v>
      </c>
      <c r="CH22" s="482"/>
      <c r="CI22" s="482"/>
      <c r="CJ22" s="484" t="s">
        <v>27</v>
      </c>
      <c r="CK22" s="484" t="s">
        <v>27</v>
      </c>
      <c r="CL22" s="484" t="s">
        <v>27</v>
      </c>
      <c r="CM22" s="484" t="s">
        <v>27</v>
      </c>
      <c r="CN22" s="484" t="s">
        <v>27</v>
      </c>
      <c r="CO22" s="482"/>
      <c r="CP22" s="482"/>
      <c r="CQ22" s="484" t="s">
        <v>27</v>
      </c>
      <c r="CR22" s="484" t="s">
        <v>27</v>
      </c>
      <c r="CS22" s="484" t="s">
        <v>27</v>
      </c>
      <c r="CT22" s="484" t="s">
        <v>27</v>
      </c>
      <c r="CU22" s="484" t="s">
        <v>27</v>
      </c>
      <c r="CV22" s="482"/>
      <c r="CW22" s="482"/>
      <c r="CX22" s="482"/>
      <c r="CY22" s="482"/>
      <c r="CZ22" s="482"/>
      <c r="DA22" s="482"/>
      <c r="DB22" s="482"/>
      <c r="DC22" s="482"/>
      <c r="DD22" s="482"/>
      <c r="DE22" s="482"/>
      <c r="DF22" s="482"/>
      <c r="DG22" s="482"/>
      <c r="DH22" s="482"/>
      <c r="DI22" s="482"/>
      <c r="DJ22" s="482"/>
      <c r="DK22" s="482"/>
      <c r="DL22" s="482"/>
      <c r="DM22" s="482"/>
      <c r="DN22" s="482"/>
      <c r="DO22" s="482"/>
      <c r="DP22" s="482"/>
      <c r="DQ22" s="482"/>
      <c r="DR22" s="482"/>
      <c r="DS22" s="482"/>
      <c r="DT22" s="482"/>
      <c r="DU22" s="482"/>
      <c r="DV22" s="482"/>
      <c r="DW22" s="482"/>
      <c r="DX22" s="482"/>
      <c r="DY22" s="482"/>
      <c r="DZ22" s="482"/>
      <c r="EA22" s="482"/>
      <c r="EB22" s="482"/>
      <c r="EC22" s="482"/>
      <c r="ED22" s="482"/>
      <c r="EE22" s="482"/>
      <c r="EF22" s="482"/>
      <c r="EG22" s="482"/>
      <c r="EH22" s="482"/>
      <c r="EI22" s="482"/>
      <c r="EJ22" s="482"/>
      <c r="EK22" s="482"/>
      <c r="EL22" s="482"/>
      <c r="EM22" s="482"/>
      <c r="EN22" s="482"/>
      <c r="EO22" s="482"/>
      <c r="EP22" s="482"/>
      <c r="EQ22" s="482"/>
      <c r="ER22" s="482"/>
      <c r="ES22" s="482"/>
      <c r="ET22" s="482"/>
      <c r="EU22" s="482"/>
      <c r="EV22" s="482"/>
      <c r="EW22" s="482"/>
      <c r="EX22" s="482"/>
      <c r="EY22" s="482"/>
      <c r="EZ22" s="482"/>
      <c r="FA22" s="482"/>
      <c r="FB22" s="482"/>
      <c r="FC22" s="482"/>
      <c r="FD22" s="482"/>
      <c r="FE22" s="482"/>
      <c r="FF22" s="482"/>
      <c r="FG22" s="482"/>
      <c r="FH22" s="482"/>
      <c r="FI22" s="482"/>
      <c r="FJ22" s="482"/>
      <c r="FK22" s="482"/>
      <c r="FL22" s="482"/>
      <c r="FM22" s="482"/>
      <c r="FN22" s="482"/>
      <c r="FO22" s="482"/>
      <c r="FP22" s="482"/>
      <c r="FQ22" s="482"/>
      <c r="FR22" s="482"/>
      <c r="FS22" s="482"/>
      <c r="FT22" s="482"/>
      <c r="FU22" s="482"/>
      <c r="FV22" s="482"/>
      <c r="FW22" s="482"/>
      <c r="FX22" s="482"/>
      <c r="FY22" s="482"/>
      <c r="FZ22" s="482"/>
      <c r="GA22" s="482"/>
      <c r="GB22" s="482"/>
      <c r="GC22" s="482"/>
      <c r="GD22" s="482"/>
      <c r="GE22" s="482"/>
      <c r="GF22" s="482"/>
      <c r="GG22" s="482"/>
      <c r="GH22" s="482"/>
      <c r="GI22" s="482"/>
      <c r="GJ22" s="482"/>
      <c r="GK22" s="482"/>
      <c r="GL22" s="482"/>
      <c r="GM22" s="482"/>
      <c r="GN22" s="482"/>
      <c r="GO22" s="482"/>
      <c r="GP22" s="482"/>
      <c r="GQ22" s="482"/>
      <c r="GR22" s="482"/>
      <c r="GS22" s="482"/>
      <c r="GT22" s="482"/>
      <c r="GU22" s="482"/>
      <c r="GV22" s="482"/>
      <c r="GW22" s="482"/>
      <c r="GX22" s="482"/>
      <c r="GY22" s="482"/>
      <c r="GZ22" s="482"/>
      <c r="HA22" s="482"/>
      <c r="HB22" s="482"/>
      <c r="HC22" s="482"/>
      <c r="HD22" s="482"/>
      <c r="HE22" s="482"/>
      <c r="HF22" s="482"/>
      <c r="HG22" s="482"/>
      <c r="HH22" s="482"/>
      <c r="HI22" s="482"/>
      <c r="HJ22" s="482"/>
      <c r="HK22" s="482"/>
      <c r="HL22" s="482"/>
      <c r="HM22" s="482"/>
      <c r="HN22" s="482"/>
      <c r="HO22" s="482"/>
      <c r="HP22" s="482"/>
      <c r="HQ22" s="482"/>
      <c r="HR22" s="482"/>
      <c r="HS22" s="482"/>
      <c r="HT22" s="482"/>
      <c r="HU22" s="482"/>
      <c r="HV22" s="482"/>
      <c r="HW22" s="482"/>
      <c r="HX22" s="482"/>
      <c r="HY22" s="482"/>
      <c r="HZ22" s="482"/>
      <c r="IA22" s="482"/>
      <c r="IB22" s="482"/>
      <c r="IC22" s="482"/>
      <c r="ID22" s="482"/>
      <c r="IE22" s="482"/>
      <c r="IF22" s="482"/>
      <c r="IG22" s="482"/>
      <c r="IH22" s="482"/>
      <c r="II22" s="482"/>
      <c r="IJ22" s="482"/>
      <c r="IK22" s="482"/>
      <c r="IL22" s="482"/>
      <c r="IM22" s="482"/>
      <c r="IN22" s="482"/>
      <c r="IO22" s="482"/>
      <c r="IP22" s="482"/>
      <c r="IQ22" s="482"/>
      <c r="IR22" s="482"/>
      <c r="IS22" s="482"/>
      <c r="IT22" s="482"/>
      <c r="IU22" s="482"/>
      <c r="IV22" s="482"/>
      <c r="IW22" s="482"/>
      <c r="IX22" s="482"/>
      <c r="IY22" s="482"/>
      <c r="IZ22" s="482"/>
      <c r="JA22" s="482"/>
      <c r="JB22" s="482"/>
      <c r="JC22" s="482"/>
      <c r="JD22" s="482"/>
      <c r="JE22" s="482"/>
      <c r="JF22" s="482"/>
      <c r="JG22" s="482"/>
      <c r="JH22" s="482"/>
      <c r="JI22" s="482"/>
      <c r="JJ22" s="482"/>
      <c r="JK22" s="482"/>
      <c r="JL22" s="482"/>
      <c r="JM22" s="482"/>
      <c r="JN22" s="482"/>
      <c r="JO22" s="482"/>
      <c r="JP22" s="482"/>
      <c r="JQ22" s="482"/>
      <c r="JR22" s="482"/>
      <c r="JS22" s="482"/>
      <c r="JT22" s="482"/>
      <c r="JU22" s="482"/>
      <c r="JV22" s="482"/>
      <c r="JW22" s="482"/>
      <c r="JX22" s="482"/>
      <c r="JY22" s="482"/>
      <c r="JZ22" s="482"/>
      <c r="KA22" s="482"/>
      <c r="KB22" s="482"/>
      <c r="KC22" s="482"/>
      <c r="KD22" s="482"/>
      <c r="KE22" s="482"/>
      <c r="KF22" s="482"/>
      <c r="KG22" s="482"/>
      <c r="KH22" s="482"/>
      <c r="KI22" s="482"/>
      <c r="KJ22" s="482"/>
      <c r="KK22" s="482"/>
      <c r="KL22" s="482"/>
      <c r="KM22" s="482"/>
      <c r="KN22" s="482"/>
      <c r="KO22" s="482"/>
      <c r="KP22" s="482"/>
      <c r="KQ22" s="482"/>
      <c r="KR22" s="482"/>
      <c r="KS22" s="482"/>
      <c r="KT22" s="482"/>
      <c r="KU22" s="482"/>
      <c r="KV22" s="482"/>
      <c r="KW22" s="482"/>
      <c r="KX22" s="482"/>
      <c r="KY22" s="482"/>
      <c r="KZ22" s="482"/>
      <c r="LA22" s="482"/>
      <c r="LB22" s="482"/>
      <c r="LC22" s="482"/>
      <c r="LD22" s="482"/>
      <c r="LE22" s="482"/>
      <c r="LF22" s="482"/>
      <c r="LG22" s="482"/>
      <c r="LH22" s="482"/>
      <c r="LI22" s="482"/>
      <c r="LJ22" s="482"/>
      <c r="LK22" s="482"/>
      <c r="LL22" s="482"/>
      <c r="LM22" s="482"/>
      <c r="LN22" s="482"/>
      <c r="LO22" s="482"/>
      <c r="LP22" s="482"/>
      <c r="LQ22" s="482"/>
      <c r="LR22" s="482"/>
      <c r="LS22" s="482"/>
      <c r="LT22" s="482"/>
      <c r="LU22" s="482"/>
      <c r="LV22" s="482"/>
      <c r="LW22" s="482"/>
      <c r="LX22" s="482"/>
      <c r="LY22" s="482"/>
      <c r="LZ22" s="482"/>
      <c r="MA22" s="482"/>
      <c r="MB22" s="482"/>
      <c r="MC22" s="482"/>
      <c r="MD22" s="482"/>
      <c r="ME22" s="482"/>
      <c r="MF22" s="482"/>
      <c r="MG22" s="482"/>
      <c r="MH22" s="482"/>
      <c r="MI22" s="482"/>
      <c r="MJ22" s="482"/>
      <c r="MK22" s="482"/>
      <c r="ML22" s="482"/>
      <c r="MM22" s="482"/>
      <c r="MN22" s="482"/>
      <c r="MO22" s="482"/>
      <c r="MP22" s="482"/>
      <c r="MQ22" s="482"/>
      <c r="MR22" s="482"/>
      <c r="MS22" s="482"/>
      <c r="MT22" s="482"/>
      <c r="MU22" s="482"/>
      <c r="MV22" s="482"/>
      <c r="MW22" s="482"/>
      <c r="MX22" s="482"/>
      <c r="MY22" s="482"/>
      <c r="MZ22" s="482"/>
      <c r="NA22" s="482"/>
      <c r="NB22" s="482"/>
      <c r="NC22" s="482"/>
      <c r="ND22" s="482"/>
      <c r="NE22" s="482"/>
      <c r="NF22" s="482"/>
      <c r="NG22" s="482"/>
      <c r="NH22" s="482"/>
      <c r="NI22" s="482"/>
      <c r="NJ22" s="483"/>
      <c r="NK22" s="34"/>
      <c r="NM22" s="159">
        <f>A22</f>
        <v>137532</v>
      </c>
      <c r="NN22" s="373">
        <f ca="1">COUNTIF(INDIRECT((ADDRESS(ROW(NO23),$I$11+(MATCH(NN$11,L.DATE,0))))&amp;":"&amp;(ADDRESS(ROW(NO23),$I$11+NO$11+(MATCH(NN$11,L.DATE,0))-1))),"&gt;=0")-NO22</f>
        <v>17</v>
      </c>
      <c r="NO22" s="374">
        <f ca="1">SUM(INDIRECT((ADDRESS(ROW(NO23),$I$11+(MATCH(NN$11,L.DATE,0))))&amp;":"&amp;(ADDRESS(ROW(NO23),$I$11+NO$11+(MATCH(NN$11,L.DATE,0))-1))))</f>
        <v>0</v>
      </c>
      <c r="NP22" s="373">
        <f ca="1">COUNTIF(INDIRECT((ADDRESS(ROW(NQ23),$I$11+(MATCH(NP$11,L.DATE,0))))&amp;":"&amp;(ADDRESS(ROW(NQ23),$I$11+NQ$11+(MATCH(NP$11,L.DATE,0))-1))),"&gt;=0")-NQ22</f>
        <v>20</v>
      </c>
      <c r="NQ22" s="374">
        <f ca="1">SUM(INDIRECT((ADDRESS(ROW(NQ23),$I$11+(MATCH(NP$11,L.DATE,0))))&amp;":"&amp;(ADDRESS(ROW(NQ23),$I$11+NQ$11+(MATCH(NP$11,L.DATE,0))-1))))</f>
        <v>0</v>
      </c>
      <c r="NR22" s="373">
        <f ca="1">COUNTIF(INDIRECT((ADDRESS(ROW(NS23),$I$11+(MATCH(NR$11,L.DATE,0))))&amp;":"&amp;(ADDRESS(ROW(NS23),$I$11+NS$11+(MATCH(NR$11,L.DATE,0))-1))),"&gt;=0")-NS22</f>
        <v>23</v>
      </c>
      <c r="NS22" s="374">
        <f ca="1">SUM(INDIRECT((ADDRESS(ROW(NS23),$I$11+(MATCH(NR$11,L.DATE,0))))&amp;":"&amp;(ADDRESS(ROW(NS23),$I$11+NS$11+(MATCH(NR$11,L.DATE,0))-1))))</f>
        <v>0</v>
      </c>
      <c r="NT22" s="373">
        <f ca="1">COUNTIF(INDIRECT((ADDRESS(ROW(NU23),$I$11+(MATCH(NT$11,L.DATE,0))))&amp;":"&amp;(ADDRESS(ROW(NU23),$I$11+NU$11+(MATCH(NT$11,L.DATE,0))-1))),"&gt;=0")-NU22</f>
        <v>0</v>
      </c>
      <c r="NU22" s="374">
        <f ca="1">SUM(INDIRECT((ADDRESS(ROW(NU23),$I$11+(MATCH(NT$11,L.DATE,0))))&amp;":"&amp;(ADDRESS(ROW(NU23),$I$11+NU$11+(MATCH(NT$11,L.DATE,0))-1))))</f>
        <v>0</v>
      </c>
      <c r="NV22" s="373">
        <f ca="1">COUNTIF(INDIRECT((ADDRESS(ROW(NW23),$I$11+(MATCH(NV$11,L.DATE,0))))&amp;":"&amp;(ADDRESS(ROW(NW23),$I$11+NW$11+(MATCH(NV$11,L.DATE,0))-1))),"&gt;=0")-NW22</f>
        <v>0</v>
      </c>
      <c r="NW22" s="374">
        <f ca="1">SUM(INDIRECT((ADDRESS(ROW(NW23),$I$11+(MATCH(NV$11,L.DATE,0))))&amp;":"&amp;(ADDRESS(ROW(NW23),$I$11+NW$11+(MATCH(NV$11,L.DATE,0))-1))))</f>
        <v>0</v>
      </c>
      <c r="NX22" s="373">
        <f ca="1">COUNTIF(INDIRECT((ADDRESS(ROW(NY23),$I$11+(MATCH(NX$11,L.DATE,0))))&amp;":"&amp;(ADDRESS(ROW(NY23),$I$11+NY$11+(MATCH(NX$11,L.DATE,0))-1))),"&gt;=0")-NY22</f>
        <v>0</v>
      </c>
      <c r="NY22" s="374">
        <f ca="1">SUM(INDIRECT((ADDRESS(ROW(NY23),$I$11+(MATCH(NX$11,L.DATE,0))))&amp;":"&amp;(ADDRESS(ROW(NY23),$I$11+NY$11+(MATCH(NX$11,L.DATE,0))-1))))</f>
        <v>0</v>
      </c>
      <c r="NZ22" s="373">
        <f ca="1">COUNTIF(INDIRECT((ADDRESS(ROW(OA23),$I$11+(MATCH(NZ$11,L.DATE,0))))&amp;":"&amp;(ADDRESS(ROW(OA23),$I$11+OA$11+(MATCH(NZ$11,L.DATE,0))-1))),"&gt;=0")-OA22</f>
        <v>0</v>
      </c>
      <c r="OA22" s="374">
        <f ca="1">SUM(INDIRECT((ADDRESS(ROW(OA23),$I$11+(MATCH(NZ$11,L.DATE,0))))&amp;":"&amp;(ADDRESS(ROW(OA23),$I$11+OA$11+(MATCH(NZ$11,L.DATE,0))-1))))</f>
        <v>0</v>
      </c>
      <c r="OB22" s="373">
        <f ca="1">COUNTIF(INDIRECT((ADDRESS(ROW(OC23),$I$11+(MATCH(OB$11,L.DATE,0))))&amp;":"&amp;(ADDRESS(ROW(OC23),$I$11+OC$11+(MATCH(OB$11,L.DATE,0))-1))),"&gt;=0")-OC22</f>
        <v>0</v>
      </c>
      <c r="OC22" s="374">
        <f ca="1">SUM(INDIRECT((ADDRESS(ROW(OC23),$I$11+(MATCH(OB$11,L.DATE,0))))&amp;":"&amp;(ADDRESS(ROW(OC23),$I$11+OC$11+(MATCH(OB$11,L.DATE,0))-1))))</f>
        <v>0</v>
      </c>
      <c r="OD22" s="373">
        <f ca="1">COUNTIF(INDIRECT((ADDRESS(ROW(OE23),$I$11+(MATCH(OD$11,L.DATE,0))))&amp;":"&amp;(ADDRESS(ROW(OE23),$I$11+OE$11+(MATCH(OD$11,L.DATE,0))-1))),"&gt;=0")-OE22</f>
        <v>0</v>
      </c>
      <c r="OE22" s="374">
        <f ca="1">SUM(INDIRECT((ADDRESS(ROW(OE23),$I$11+(MATCH(OD$11,L.DATE,0))))&amp;":"&amp;(ADDRESS(ROW(OE23),$I$11+OE$11+(MATCH(OD$11,L.DATE,0))-1))))</f>
        <v>0</v>
      </c>
      <c r="OF22" s="373">
        <f ca="1">COUNTIF(INDIRECT((ADDRESS(ROW(OG23),$I$11+(MATCH(OF$11,L.DATE,0))))&amp;":"&amp;(ADDRESS(ROW(OG23),$I$11+OG$11+(MATCH(OF$11,L.DATE,0))-1))),"&gt;=0")-OG22</f>
        <v>0</v>
      </c>
      <c r="OG22" s="374">
        <f ca="1">SUM(INDIRECT((ADDRESS(ROW(OG23),$I$11+(MATCH(OF$11,L.DATE,0))))&amp;":"&amp;(ADDRESS(ROW(OG23),$I$11+OG$11+(MATCH(OF$11,L.DATE,0))-1))))</f>
        <v>0</v>
      </c>
      <c r="OH22" s="373">
        <f ca="1">COUNTIF(INDIRECT((ADDRESS(ROW(OI23),$I$11+(MATCH(OH$11,L.DATE,0))))&amp;":"&amp;(ADDRESS(ROW(OI23),$I$11+OI$11+(MATCH(OH$11,L.DATE,0))-1))),"&gt;=0")-OI22</f>
        <v>0</v>
      </c>
      <c r="OI22" s="374">
        <f ca="1">SUM(INDIRECT((ADDRESS(ROW(OI23),$I$11+(MATCH(OH$11,L.DATE,0))))&amp;":"&amp;(ADDRESS(ROW(OI23),$I$11+OI$11+(MATCH(OH$11,L.DATE,0))-1))))</f>
        <v>0</v>
      </c>
      <c r="OJ22" s="373">
        <f ca="1">COUNTIF(INDIRECT((ADDRESS(ROW(OK23),$I$11+(MATCH(OJ$11,L.DATE,0))))&amp;":"&amp;(ADDRESS(ROW(OK23),$I$11+OK$11+(MATCH(OJ$11,L.DATE,0))-1))),"&gt;=0")-OK22</f>
        <v>0</v>
      </c>
      <c r="OK22" s="375">
        <f ca="1">SUM(INDIRECT((ADDRESS(ROW(OK23),$I$11+(MATCH(OJ$11,L.DATE,0))))&amp;":"&amp;(ADDRESS(ROW(OK23),$I$11+OK$11+(MATCH(OJ$11,L.DATE,0))-1))))</f>
        <v>0</v>
      </c>
      <c r="OM22" s="39">
        <f ca="1">NN22+NP22+NR22+NT22+NV22+NX22+NZ22+OB22+OD22+OF22+OJ22+OH22</f>
        <v>60</v>
      </c>
      <c r="ON22" s="40">
        <f ca="1">NO22+NQ22+NS22+NU22+NW22+NY22+OA22+OC22+OE22+OG22+OK22+OI22</f>
        <v>0</v>
      </c>
    </row>
    <row r="23" spans="1:404" x14ac:dyDescent="0.3">
      <c r="A23" s="33"/>
      <c r="B23" s="16" t="str">
        <f t="shared" ref="B23:H23" si="27">B22</f>
        <v>MARTIN.Mathis</v>
      </c>
      <c r="C23" s="16">
        <f t="shared" si="27"/>
        <v>1</v>
      </c>
      <c r="D23" s="16" t="str">
        <f t="shared" si="27"/>
        <v>I2S</v>
      </c>
      <c r="E23" s="16" t="str">
        <f t="shared" si="27"/>
        <v>ITG</v>
      </c>
      <c r="F23" s="16" t="str">
        <f t="shared" si="27"/>
        <v>SL</v>
      </c>
      <c r="G23" s="105" t="str">
        <f t="shared" si="27"/>
        <v>N1+</v>
      </c>
      <c r="H23" s="109">
        <f t="shared" si="27"/>
        <v>1</v>
      </c>
      <c r="I23" s="28"/>
      <c r="J23" s="482"/>
      <c r="K23" s="483"/>
      <c r="L23" s="486"/>
      <c r="M23" s="482"/>
      <c r="N23" s="482"/>
      <c r="O23" s="482"/>
      <c r="P23" s="482"/>
      <c r="Q23" s="482"/>
      <c r="R23" s="485">
        <v>0</v>
      </c>
      <c r="S23" s="485">
        <v>0</v>
      </c>
      <c r="T23" s="485">
        <v>0</v>
      </c>
      <c r="U23" s="485">
        <v>0</v>
      </c>
      <c r="V23" s="485">
        <v>0</v>
      </c>
      <c r="W23" s="482"/>
      <c r="X23" s="482"/>
      <c r="Y23" s="485">
        <v>0</v>
      </c>
      <c r="Z23" s="485">
        <v>0</v>
      </c>
      <c r="AA23" s="485">
        <v>0</v>
      </c>
      <c r="AB23" s="485">
        <v>0</v>
      </c>
      <c r="AC23" s="485">
        <v>0</v>
      </c>
      <c r="AD23" s="482"/>
      <c r="AE23" s="482"/>
      <c r="AF23" s="485">
        <v>0</v>
      </c>
      <c r="AG23" s="485">
        <v>0</v>
      </c>
      <c r="AH23" s="485">
        <v>0</v>
      </c>
      <c r="AI23" s="485">
        <v>0</v>
      </c>
      <c r="AJ23" s="485">
        <v>0</v>
      </c>
      <c r="AK23" s="482"/>
      <c r="AL23" s="482"/>
      <c r="AM23" s="485">
        <v>0</v>
      </c>
      <c r="AN23" s="485">
        <v>0</v>
      </c>
      <c r="AO23" s="485">
        <v>0</v>
      </c>
      <c r="AP23" s="485">
        <v>0</v>
      </c>
      <c r="AQ23" s="485">
        <v>0</v>
      </c>
      <c r="AR23" s="482"/>
      <c r="AS23" s="482"/>
      <c r="AT23" s="485">
        <v>0</v>
      </c>
      <c r="AU23" s="485">
        <v>0</v>
      </c>
      <c r="AV23" s="485">
        <v>0</v>
      </c>
      <c r="AW23" s="485">
        <v>0</v>
      </c>
      <c r="AX23" s="485">
        <v>0</v>
      </c>
      <c r="AY23" s="482"/>
      <c r="AZ23" s="482"/>
      <c r="BA23" s="485">
        <v>0</v>
      </c>
      <c r="BB23" s="485">
        <v>0</v>
      </c>
      <c r="BC23" s="485">
        <v>0</v>
      </c>
      <c r="BD23" s="485">
        <v>0</v>
      </c>
      <c r="BE23" s="485">
        <v>0</v>
      </c>
      <c r="BF23" s="482"/>
      <c r="BG23" s="482"/>
      <c r="BH23" s="485">
        <v>0</v>
      </c>
      <c r="BI23" s="485">
        <v>0</v>
      </c>
      <c r="BJ23" s="485">
        <v>0</v>
      </c>
      <c r="BK23" s="485">
        <v>0</v>
      </c>
      <c r="BL23" s="485">
        <v>0</v>
      </c>
      <c r="BM23" s="482"/>
      <c r="BN23" s="482"/>
      <c r="BO23" s="485">
        <v>0</v>
      </c>
      <c r="BP23" s="485">
        <v>0</v>
      </c>
      <c r="BQ23" s="485">
        <v>0</v>
      </c>
      <c r="BR23" s="485">
        <v>0</v>
      </c>
      <c r="BS23" s="485">
        <v>0</v>
      </c>
      <c r="BT23" s="482"/>
      <c r="BU23" s="482"/>
      <c r="BV23" s="485">
        <v>0</v>
      </c>
      <c r="BW23" s="485">
        <v>0</v>
      </c>
      <c r="BX23" s="485">
        <v>0</v>
      </c>
      <c r="BY23" s="485">
        <v>0</v>
      </c>
      <c r="BZ23" s="485">
        <v>0</v>
      </c>
      <c r="CA23" s="482"/>
      <c r="CB23" s="482"/>
      <c r="CC23" s="485">
        <v>0</v>
      </c>
      <c r="CD23" s="485">
        <v>0</v>
      </c>
      <c r="CE23" s="485">
        <v>0</v>
      </c>
      <c r="CF23" s="485">
        <v>0</v>
      </c>
      <c r="CG23" s="485">
        <v>0</v>
      </c>
      <c r="CH23" s="482"/>
      <c r="CI23" s="482"/>
      <c r="CJ23" s="485">
        <v>0</v>
      </c>
      <c r="CK23" s="485">
        <v>0</v>
      </c>
      <c r="CL23" s="485">
        <v>0</v>
      </c>
      <c r="CM23" s="485">
        <v>0</v>
      </c>
      <c r="CN23" s="485">
        <v>0</v>
      </c>
      <c r="CO23" s="482"/>
      <c r="CP23" s="482"/>
      <c r="CQ23" s="485">
        <v>0</v>
      </c>
      <c r="CR23" s="485">
        <v>0</v>
      </c>
      <c r="CS23" s="485">
        <v>0</v>
      </c>
      <c r="CT23" s="485">
        <v>0</v>
      </c>
      <c r="CU23" s="485">
        <v>0</v>
      </c>
      <c r="CV23" s="482"/>
      <c r="CW23" s="482"/>
      <c r="CX23" s="482"/>
      <c r="CY23" s="482"/>
      <c r="CZ23" s="482"/>
      <c r="DA23" s="482"/>
      <c r="DB23" s="482"/>
      <c r="DC23" s="482"/>
      <c r="DD23" s="482"/>
      <c r="DE23" s="482"/>
      <c r="DF23" s="482"/>
      <c r="DG23" s="482"/>
      <c r="DH23" s="482"/>
      <c r="DI23" s="482"/>
      <c r="DJ23" s="482"/>
      <c r="DK23" s="482"/>
      <c r="DL23" s="482"/>
      <c r="DM23" s="482"/>
      <c r="DN23" s="482"/>
      <c r="DO23" s="482"/>
      <c r="DP23" s="482"/>
      <c r="DQ23" s="482"/>
      <c r="DR23" s="482"/>
      <c r="DS23" s="482"/>
      <c r="DT23" s="482"/>
      <c r="DU23" s="482"/>
      <c r="DV23" s="482"/>
      <c r="DW23" s="482"/>
      <c r="DX23" s="482"/>
      <c r="DY23" s="482"/>
      <c r="DZ23" s="482"/>
      <c r="EA23" s="482"/>
      <c r="EB23" s="482"/>
      <c r="EC23" s="482"/>
      <c r="ED23" s="482"/>
      <c r="EE23" s="482"/>
      <c r="EF23" s="482"/>
      <c r="EG23" s="482"/>
      <c r="EH23" s="482"/>
      <c r="EI23" s="482"/>
      <c r="EJ23" s="482"/>
      <c r="EK23" s="482"/>
      <c r="EL23" s="482"/>
      <c r="EM23" s="482"/>
      <c r="EN23" s="482"/>
      <c r="EO23" s="482"/>
      <c r="EP23" s="482"/>
      <c r="EQ23" s="482"/>
      <c r="ER23" s="482"/>
      <c r="ES23" s="482"/>
      <c r="ET23" s="482"/>
      <c r="EU23" s="482"/>
      <c r="EV23" s="482"/>
      <c r="EW23" s="482"/>
      <c r="EX23" s="482"/>
      <c r="EY23" s="482"/>
      <c r="EZ23" s="482"/>
      <c r="FA23" s="482"/>
      <c r="FB23" s="482"/>
      <c r="FC23" s="482"/>
      <c r="FD23" s="482"/>
      <c r="FE23" s="482"/>
      <c r="FF23" s="482"/>
      <c r="FG23" s="482"/>
      <c r="FH23" s="482"/>
      <c r="FI23" s="482"/>
      <c r="FJ23" s="482"/>
      <c r="FK23" s="482"/>
      <c r="FL23" s="482"/>
      <c r="FM23" s="482"/>
      <c r="FN23" s="482"/>
      <c r="FO23" s="482"/>
      <c r="FP23" s="482"/>
      <c r="FQ23" s="482"/>
      <c r="FR23" s="482"/>
      <c r="FS23" s="482"/>
      <c r="FT23" s="482"/>
      <c r="FU23" s="482"/>
      <c r="FV23" s="482"/>
      <c r="FW23" s="482"/>
      <c r="FX23" s="482"/>
      <c r="FY23" s="482"/>
      <c r="FZ23" s="482"/>
      <c r="GA23" s="482"/>
      <c r="GB23" s="482"/>
      <c r="GC23" s="482"/>
      <c r="GD23" s="482"/>
      <c r="GE23" s="482"/>
      <c r="GF23" s="482"/>
      <c r="GG23" s="482"/>
      <c r="GH23" s="482"/>
      <c r="GI23" s="482"/>
      <c r="GJ23" s="482"/>
      <c r="GK23" s="482"/>
      <c r="GL23" s="482"/>
      <c r="GM23" s="482"/>
      <c r="GN23" s="482"/>
      <c r="GO23" s="482"/>
      <c r="GP23" s="482"/>
      <c r="GQ23" s="482"/>
      <c r="GR23" s="482"/>
      <c r="GS23" s="482"/>
      <c r="GT23" s="482"/>
      <c r="GU23" s="482"/>
      <c r="GV23" s="482"/>
      <c r="GW23" s="482"/>
      <c r="GX23" s="482"/>
      <c r="GY23" s="482"/>
      <c r="GZ23" s="482"/>
      <c r="HA23" s="482"/>
      <c r="HB23" s="482"/>
      <c r="HC23" s="482"/>
      <c r="HD23" s="482"/>
      <c r="HE23" s="482"/>
      <c r="HF23" s="482"/>
      <c r="HG23" s="482"/>
      <c r="HH23" s="482"/>
      <c r="HI23" s="482"/>
      <c r="HJ23" s="482"/>
      <c r="HK23" s="482"/>
      <c r="HL23" s="482"/>
      <c r="HM23" s="482"/>
      <c r="HN23" s="482"/>
      <c r="HO23" s="482"/>
      <c r="HP23" s="482"/>
      <c r="HQ23" s="482"/>
      <c r="HR23" s="482"/>
      <c r="HS23" s="482"/>
      <c r="HT23" s="482"/>
      <c r="HU23" s="482"/>
      <c r="HV23" s="482"/>
      <c r="HW23" s="482"/>
      <c r="HX23" s="482"/>
      <c r="HY23" s="482"/>
      <c r="HZ23" s="482"/>
      <c r="IA23" s="482"/>
      <c r="IB23" s="482"/>
      <c r="IC23" s="482"/>
      <c r="ID23" s="482"/>
      <c r="IE23" s="482"/>
      <c r="IF23" s="482"/>
      <c r="IG23" s="482"/>
      <c r="IH23" s="482"/>
      <c r="II23" s="482"/>
      <c r="IJ23" s="482"/>
      <c r="IK23" s="482"/>
      <c r="IL23" s="482"/>
      <c r="IM23" s="482"/>
      <c r="IN23" s="482"/>
      <c r="IO23" s="482"/>
      <c r="IP23" s="482"/>
      <c r="IQ23" s="482"/>
      <c r="IR23" s="482"/>
      <c r="IS23" s="482"/>
      <c r="IT23" s="482"/>
      <c r="IU23" s="482"/>
      <c r="IV23" s="482"/>
      <c r="IW23" s="482"/>
      <c r="IX23" s="482"/>
      <c r="IY23" s="482"/>
      <c r="IZ23" s="482"/>
      <c r="JA23" s="482"/>
      <c r="JB23" s="482"/>
      <c r="JC23" s="482"/>
      <c r="JD23" s="482"/>
      <c r="JE23" s="482"/>
      <c r="JF23" s="482"/>
      <c r="JG23" s="482"/>
      <c r="JH23" s="482"/>
      <c r="JI23" s="482"/>
      <c r="JJ23" s="482"/>
      <c r="JK23" s="482"/>
      <c r="JL23" s="482"/>
      <c r="JM23" s="482"/>
      <c r="JN23" s="482"/>
      <c r="JO23" s="482"/>
      <c r="JP23" s="482"/>
      <c r="JQ23" s="482"/>
      <c r="JR23" s="482"/>
      <c r="JS23" s="482"/>
      <c r="JT23" s="482"/>
      <c r="JU23" s="482"/>
      <c r="JV23" s="482"/>
      <c r="JW23" s="482"/>
      <c r="JX23" s="482"/>
      <c r="JY23" s="482"/>
      <c r="JZ23" s="482"/>
      <c r="KA23" s="482"/>
      <c r="KB23" s="482"/>
      <c r="KC23" s="482"/>
      <c r="KD23" s="482"/>
      <c r="KE23" s="482"/>
      <c r="KF23" s="482"/>
      <c r="KG23" s="482"/>
      <c r="KH23" s="482"/>
      <c r="KI23" s="482"/>
      <c r="KJ23" s="482"/>
      <c r="KK23" s="482"/>
      <c r="KL23" s="482"/>
      <c r="KM23" s="482"/>
      <c r="KN23" s="482"/>
      <c r="KO23" s="482"/>
      <c r="KP23" s="482"/>
      <c r="KQ23" s="482"/>
      <c r="KR23" s="482"/>
      <c r="KS23" s="482"/>
      <c r="KT23" s="482"/>
      <c r="KU23" s="482"/>
      <c r="KV23" s="482"/>
      <c r="KW23" s="482"/>
      <c r="KX23" s="482"/>
      <c r="KY23" s="482"/>
      <c r="KZ23" s="482"/>
      <c r="LA23" s="482"/>
      <c r="LB23" s="482"/>
      <c r="LC23" s="482"/>
      <c r="LD23" s="482"/>
      <c r="LE23" s="482"/>
      <c r="LF23" s="482"/>
      <c r="LG23" s="482"/>
      <c r="LH23" s="482"/>
      <c r="LI23" s="482"/>
      <c r="LJ23" s="482"/>
      <c r="LK23" s="482"/>
      <c r="LL23" s="482"/>
      <c r="LM23" s="482"/>
      <c r="LN23" s="482"/>
      <c r="LO23" s="482"/>
      <c r="LP23" s="482"/>
      <c r="LQ23" s="482"/>
      <c r="LR23" s="482"/>
      <c r="LS23" s="482"/>
      <c r="LT23" s="482"/>
      <c r="LU23" s="482"/>
      <c r="LV23" s="482"/>
      <c r="LW23" s="482"/>
      <c r="LX23" s="482"/>
      <c r="LY23" s="482"/>
      <c r="LZ23" s="482"/>
      <c r="MA23" s="482"/>
      <c r="MB23" s="482"/>
      <c r="MC23" s="482"/>
      <c r="MD23" s="482"/>
      <c r="ME23" s="482"/>
      <c r="MF23" s="482"/>
      <c r="MG23" s="482"/>
      <c r="MH23" s="482"/>
      <c r="MI23" s="482"/>
      <c r="MJ23" s="482"/>
      <c r="MK23" s="482"/>
      <c r="ML23" s="482"/>
      <c r="MM23" s="482"/>
      <c r="MN23" s="482"/>
      <c r="MO23" s="482"/>
      <c r="MP23" s="482"/>
      <c r="MQ23" s="482"/>
      <c r="MR23" s="482"/>
      <c r="MS23" s="482"/>
      <c r="MT23" s="482"/>
      <c r="MU23" s="482"/>
      <c r="MV23" s="482"/>
      <c r="MW23" s="482"/>
      <c r="MX23" s="482"/>
      <c r="MY23" s="482"/>
      <c r="MZ23" s="482"/>
      <c r="NA23" s="482"/>
      <c r="NB23" s="482"/>
      <c r="NC23" s="482"/>
      <c r="ND23" s="482"/>
      <c r="NE23" s="482"/>
      <c r="NF23" s="482"/>
      <c r="NG23" s="482"/>
      <c r="NH23" s="482"/>
      <c r="NI23" s="482"/>
      <c r="NJ23" s="483"/>
      <c r="NK23" s="34"/>
      <c r="NM23" s="379" t="str">
        <f>NM22&amp;".b"</f>
        <v>137532.b</v>
      </c>
      <c r="NN23" s="376" cm="1">
        <f t="array" aca="1" ref="NN23" ca="1">IF(xcomp(INDIRECT((ADDRESS(ROW(NN22),$I$11+(MATCH(NN$11,L.DATE,0))))&amp;":"&amp;(ADDRESS(ROW(NN22),$I$11+NO$11+(MATCH(NN$11,L.DATE,0))-1))),L.ABSP)=0,"",
xsom(INDIRECT((ADDRESS(ROW(NN22),$I$11+(MATCH(NN$11,L.DATE,0))))&amp;":"&amp;(ADDRESS(ROW(NN22),$I$11+NO$11+(MATCH(NN$11,L.DATE,0))-1))),L.ABSP,
INDIRECT((ADDRESS(ROW(NN22)+1,$I$11+(MATCH(NN$11,L.DATE,0))))&amp;":"&amp;(ADDRESS(ROW(NN22)+1,$I$11+NO$11+(MATCH(NN$11,L.DATE,0))-1)))))</f>
        <v>17</v>
      </c>
      <c r="NO23" s="377" t="str" cm="1">
        <f t="array" aca="1" ref="NO23" ca="1">IF(xcomp(INDIRECT((ADDRESS(ROW(NO22),$I$11+(MATCH(NN$11,L.DATE,0))))&amp;":"&amp;(ADDRESS(ROW(NO22),$I$11+NO$11+(MATCH(NN$11,L.DATE,0))-1))),L.ABS.NP)=0,"",
xsom(INDIRECT((ADDRESS(ROW(NO22),$I$11+(MATCH(NN$11,L.DATE,0))))&amp;":"&amp;(ADDRESS(ROW(NO22),$I$11+NO$11+(MATCH(NN$11,L.DATE,0))-1))),L.ABS.NP,
INDIRECT((ADDRESS(ROW(NO22)+1,$I$11+(MATCH(NN$11,L.DATE,0))))&amp;":"&amp;(ADDRESS(ROW(NO22)+1,$I$11+NO$11+(MATCH(NN$11,L.DATE,0))-1)))))</f>
        <v/>
      </c>
      <c r="NP23" s="376" cm="1">
        <f t="array" aca="1" ref="NP23" ca="1">IF(xcomp(INDIRECT((ADDRESS(ROW(NP22),$I$11+(MATCH(NP$11,L.DATE,0))))&amp;":"&amp;(ADDRESS(ROW(NP22),$I$11+NQ$11+(MATCH(NP$11,L.DATE,0))-1))),L.ABSP)=0,"",
xsom(INDIRECT((ADDRESS(ROW(NP22),$I$11+(MATCH(NP$11,L.DATE,0))))&amp;":"&amp;(ADDRESS(ROW(NP22),$I$11+NQ$11+(MATCH(NP$11,L.DATE,0))-1))),L.ABSP,
INDIRECT((ADDRESS(ROW(NP22)+1,$I$11+(MATCH(NP$11,L.DATE,0))))&amp;":"&amp;(ADDRESS(ROW(NP22)+1,$I$11+NQ$11+(MATCH(NP$11,L.DATE,0))-1)))))</f>
        <v>20</v>
      </c>
      <c r="NQ23" s="377" t="str" cm="1">
        <f t="array" aca="1" ref="NQ23" ca="1">IF(xcomp(INDIRECT((ADDRESS(ROW(NQ22),$I$11+(MATCH(NP$11,L.DATE,0))))&amp;":"&amp;(ADDRESS(ROW(NQ22),$I$11+NQ$11+(MATCH(NP$11,L.DATE,0))-1))),L.ABS.NP)=0,"",
xsom(INDIRECT((ADDRESS(ROW(NQ22),$I$11+(MATCH(NP$11,L.DATE,0))))&amp;":"&amp;(ADDRESS(ROW(NQ22),$I$11+NQ$11+(MATCH(NP$11,L.DATE,0))-1))),L.ABS.NP,
INDIRECT((ADDRESS(ROW(NQ22)+1,$I$11+(MATCH(NP$11,L.DATE,0))))&amp;":"&amp;(ADDRESS(ROW(NQ22)+1,$I$11+NQ$11+(MATCH(NP$11,L.DATE,0))-1)))))</f>
        <v/>
      </c>
      <c r="NR23" s="376" cm="1">
        <f t="array" aca="1" ref="NR23" ca="1">IF(xcomp(INDIRECT((ADDRESS(ROW(NR22),$I$11+(MATCH(NR$11,L.DATE,0))))&amp;":"&amp;(ADDRESS(ROW(NR22),$I$11+NS$11+(MATCH(NR$11,L.DATE,0))-1))),L.ABSP)=0,"",
xsom(INDIRECT((ADDRESS(ROW(NR22),$I$11+(MATCH(NR$11,L.DATE,0))))&amp;":"&amp;(ADDRESS(ROW(NR22),$I$11+NS$11+(MATCH(NR$11,L.DATE,0))-1))),L.ABSP,
INDIRECT((ADDRESS(ROW(NR22)+1,$I$11+(MATCH(NR$11,L.DATE,0))))&amp;":"&amp;(ADDRESS(ROW(NR22)+1,$I$11+NS$11+(MATCH(NR$11,L.DATE,0))-1)))))</f>
        <v>23</v>
      </c>
      <c r="NS23" s="377" t="str" cm="1">
        <f t="array" aca="1" ref="NS23" ca="1">IF(xcomp(INDIRECT((ADDRESS(ROW(NS22),$I$11+(MATCH(NR$11,L.DATE,0))))&amp;":"&amp;(ADDRESS(ROW(NS22),$I$11+NS$11+(MATCH(NR$11,L.DATE,0))-1))),L.ABS.NP)=0,"",
xsom(INDIRECT((ADDRESS(ROW(NS22),$I$11+(MATCH(NR$11,L.DATE,0))))&amp;":"&amp;(ADDRESS(ROW(NS22),$I$11+NS$11+(MATCH(NR$11,L.DATE,0))-1))),L.ABS.NP,
INDIRECT((ADDRESS(ROW(NS22)+1,$I$11+(MATCH(NR$11,L.DATE,0))))&amp;":"&amp;(ADDRESS(ROW(NS22)+1,$I$11+NS$11+(MATCH(NR$11,L.DATE,0))-1)))))</f>
        <v/>
      </c>
      <c r="NT23" s="376" t="str" cm="1">
        <f t="array" aca="1" ref="NT23" ca="1">IF(xcomp(INDIRECT((ADDRESS(ROW(NT22),$I$11+(MATCH(NT$11,L.DATE,0))))&amp;":"&amp;(ADDRESS(ROW(NT22),$I$11+NU$11+(MATCH(NT$11,L.DATE,0))-1))),L.ABSP)=0,"",
xsom(INDIRECT((ADDRESS(ROW(NT22),$I$11+(MATCH(NT$11,L.DATE,0))))&amp;":"&amp;(ADDRESS(ROW(NT22),$I$11+NU$11+(MATCH(NT$11,L.DATE,0))-1))),L.ABSP,
INDIRECT((ADDRESS(ROW(NT22)+1,$I$11+(MATCH(NT$11,L.DATE,0))))&amp;":"&amp;(ADDRESS(ROW(NT22)+1,$I$11+NU$11+(MATCH(NT$11,L.DATE,0))-1)))))</f>
        <v/>
      </c>
      <c r="NU23" s="377" t="str" cm="1">
        <f t="array" aca="1" ref="NU23" ca="1">IF(xcomp(INDIRECT((ADDRESS(ROW(NU22),$I$11+(MATCH(NT$11,L.DATE,0))))&amp;":"&amp;(ADDRESS(ROW(NU22),$I$11+NU$11+(MATCH(NT$11,L.DATE,0))-1))),L.ABS.NP)=0,"",
xsom(INDIRECT((ADDRESS(ROW(NU22),$I$11+(MATCH(NT$11,L.DATE,0))))&amp;":"&amp;(ADDRESS(ROW(NU22),$I$11+NU$11+(MATCH(NT$11,L.DATE,0))-1))),L.ABS.NP,
INDIRECT((ADDRESS(ROW(NU22)+1,$I$11+(MATCH(NT$11,L.DATE,0))))&amp;":"&amp;(ADDRESS(ROW(NU22)+1,$I$11+NU$11+(MATCH(NT$11,L.DATE,0))-1)))))</f>
        <v/>
      </c>
      <c r="NV23" s="376" t="str" cm="1">
        <f t="array" aca="1" ref="NV23" ca="1">IF(xcomp(INDIRECT((ADDRESS(ROW(NV22),$I$11+(MATCH(NV$11,L.DATE,0))))&amp;":"&amp;(ADDRESS(ROW(NV22),$I$11+NW$11+(MATCH(NV$11,L.DATE,0))-1))),L.ABSP)=0,"",
xsom(INDIRECT((ADDRESS(ROW(NV22),$I$11+(MATCH(NV$11,L.DATE,0))))&amp;":"&amp;(ADDRESS(ROW(NV22),$I$11+NW$11+(MATCH(NV$11,L.DATE,0))-1))),L.ABSP,
INDIRECT((ADDRESS(ROW(NV22)+1,$I$11+(MATCH(NV$11,L.DATE,0))))&amp;":"&amp;(ADDRESS(ROW(NV22)+1,$I$11+NW$11+(MATCH(NV$11,L.DATE,0))-1)))))</f>
        <v/>
      </c>
      <c r="NW23" s="377" t="str" cm="1">
        <f t="array" aca="1" ref="NW23" ca="1">IF(xcomp(INDIRECT((ADDRESS(ROW(NW22),$I$11+(MATCH(NV$11,L.DATE,0))))&amp;":"&amp;(ADDRESS(ROW(NW22),$I$11+NW$11+(MATCH(NV$11,L.DATE,0))-1))),L.ABS.NP)=0,"",
xsom(INDIRECT((ADDRESS(ROW(NW22),$I$11+(MATCH(NV$11,L.DATE,0))))&amp;":"&amp;(ADDRESS(ROW(NW22),$I$11+NW$11+(MATCH(NV$11,L.DATE,0))-1))),L.ABS.NP,
INDIRECT((ADDRESS(ROW(NW22)+1,$I$11+(MATCH(NV$11,L.DATE,0))))&amp;":"&amp;(ADDRESS(ROW(NW22)+1,$I$11+NW$11+(MATCH(NV$11,L.DATE,0))-1)))))</f>
        <v/>
      </c>
      <c r="NX23" s="376" t="str" cm="1">
        <f t="array" aca="1" ref="NX23" ca="1">IF(xcomp(INDIRECT((ADDRESS(ROW(NX22),$I$11+(MATCH(NX$11,L.DATE,0))))&amp;":"&amp;(ADDRESS(ROW(NX22),$I$11+NY$11+(MATCH(NX$11,L.DATE,0))-1))),L.ABSP)=0,"",
xsom(INDIRECT((ADDRESS(ROW(NX22),$I$11+(MATCH(NX$11,L.DATE,0))))&amp;":"&amp;(ADDRESS(ROW(NX22),$I$11+NY$11+(MATCH(NX$11,L.DATE,0))-1))),L.ABSP,
INDIRECT((ADDRESS(ROW(NX22)+1,$I$11+(MATCH(NX$11,L.DATE,0))))&amp;":"&amp;(ADDRESS(ROW(NX22)+1,$I$11+NY$11+(MATCH(NX$11,L.DATE,0))-1)))))</f>
        <v/>
      </c>
      <c r="NY23" s="377" t="str" cm="1">
        <f t="array" aca="1" ref="NY23" ca="1">IF(xcomp(INDIRECT((ADDRESS(ROW(NY22),$I$11+(MATCH(NX$11,L.DATE,0))))&amp;":"&amp;(ADDRESS(ROW(NY22),$I$11+NY$11+(MATCH(NX$11,L.DATE,0))-1))),L.ABS.NP)=0,"",
xsom(INDIRECT((ADDRESS(ROW(NY22),$I$11+(MATCH(NX$11,L.DATE,0))))&amp;":"&amp;(ADDRESS(ROW(NY22),$I$11+NY$11+(MATCH(NX$11,L.DATE,0))-1))),L.ABS.NP,
INDIRECT((ADDRESS(ROW(NY22)+1,$I$11+(MATCH(NX$11,L.DATE,0))))&amp;":"&amp;(ADDRESS(ROW(NY22)+1,$I$11+NY$11+(MATCH(NX$11,L.DATE,0))-1)))))</f>
        <v/>
      </c>
      <c r="NZ23" s="376" t="str" cm="1">
        <f t="array" aca="1" ref="NZ23" ca="1">IF(xcomp(INDIRECT((ADDRESS(ROW(NZ22),$I$11+(MATCH(NZ$11,L.DATE,0))))&amp;":"&amp;(ADDRESS(ROW(NZ22),$I$11+OA$11+(MATCH(NZ$11,L.DATE,0))-1))),L.ABSP)=0,"",
xsom(INDIRECT((ADDRESS(ROW(NZ22),$I$11+(MATCH(NZ$11,L.DATE,0))))&amp;":"&amp;(ADDRESS(ROW(NZ22),$I$11+OA$11+(MATCH(NZ$11,L.DATE,0))-1))),L.ABSP,
INDIRECT((ADDRESS(ROW(NZ22)+1,$I$11+(MATCH(NZ$11,L.DATE,0))))&amp;":"&amp;(ADDRESS(ROW(NZ22)+1,$I$11+OA$11+(MATCH(NZ$11,L.DATE,0))-1)))))</f>
        <v/>
      </c>
      <c r="OA23" s="377" t="str" cm="1">
        <f t="array" aca="1" ref="OA23" ca="1">IF(xcomp(INDIRECT((ADDRESS(ROW(OA22),$I$11+(MATCH(NZ$11,L.DATE,0))))&amp;":"&amp;(ADDRESS(ROW(OA22),$I$11+OA$11+(MATCH(NZ$11,L.DATE,0))-1))),L.ABS.NP)=0,"",
xsom(INDIRECT((ADDRESS(ROW(OA22),$I$11+(MATCH(NZ$11,L.DATE,0))))&amp;":"&amp;(ADDRESS(ROW(OA22),$I$11+OA$11+(MATCH(NZ$11,L.DATE,0))-1))),L.ABS.NP,
INDIRECT((ADDRESS(ROW(OA22)+1,$I$11+(MATCH(NZ$11,L.DATE,0))))&amp;":"&amp;(ADDRESS(ROW(OA22)+1,$I$11+OA$11+(MATCH(NZ$11,L.DATE,0))-1)))))</f>
        <v/>
      </c>
      <c r="OB23" s="376" t="str" cm="1">
        <f t="array" aca="1" ref="OB23" ca="1">IF(xcomp(INDIRECT((ADDRESS(ROW(OB22),$I$11+(MATCH(OB$11,L.DATE,0))))&amp;":"&amp;(ADDRESS(ROW(OB22),$I$11+OC$11+(MATCH(OB$11,L.DATE,0))-1))),L.ABSP)=0,"",
xsom(INDIRECT((ADDRESS(ROW(OB22),$I$11+(MATCH(OB$11,L.DATE,0))))&amp;":"&amp;(ADDRESS(ROW(OB22),$I$11+OC$11+(MATCH(OB$11,L.DATE,0))-1))),L.ABSP,
INDIRECT((ADDRESS(ROW(OB22)+1,$I$11+(MATCH(OB$11,L.DATE,0))))&amp;":"&amp;(ADDRESS(ROW(OB22)+1,$I$11+OC$11+(MATCH(OB$11,L.DATE,0))-1)))))</f>
        <v/>
      </c>
      <c r="OC23" s="377" t="str" cm="1">
        <f t="array" aca="1" ref="OC23" ca="1">IF(xcomp(INDIRECT((ADDRESS(ROW(OC22),$I$11+(MATCH(OB$11,L.DATE,0))))&amp;":"&amp;(ADDRESS(ROW(OC22),$I$11+OC$11+(MATCH(OB$11,L.DATE,0))-1))),L.ABS.NP)=0,"",
xsom(INDIRECT((ADDRESS(ROW(OC22),$I$11+(MATCH(OB$11,L.DATE,0))))&amp;":"&amp;(ADDRESS(ROW(OC22),$I$11+OC$11+(MATCH(OB$11,L.DATE,0))-1))),L.ABS.NP,
INDIRECT((ADDRESS(ROW(OC22)+1,$I$11+(MATCH(OB$11,L.DATE,0))))&amp;":"&amp;(ADDRESS(ROW(OC22)+1,$I$11+OC$11+(MATCH(OB$11,L.DATE,0))-1)))))</f>
        <v/>
      </c>
      <c r="OD23" s="376" t="str" cm="1">
        <f t="array" aca="1" ref="OD23" ca="1">IF(xcomp(INDIRECT((ADDRESS(ROW(OD22),$I$11+(MATCH(OD$11,L.DATE,0))))&amp;":"&amp;(ADDRESS(ROW(OD22),$I$11+OE$11+(MATCH(OD$11,L.DATE,0))-1))),L.ABSP)=0,"",
xsom(INDIRECT((ADDRESS(ROW(OD22),$I$11+(MATCH(OD$11,L.DATE,0))))&amp;":"&amp;(ADDRESS(ROW(OD22),$I$11+OE$11+(MATCH(OD$11,L.DATE,0))-1))),L.ABSP,
INDIRECT((ADDRESS(ROW(OD22)+1,$I$11+(MATCH(OD$11,L.DATE,0))))&amp;":"&amp;(ADDRESS(ROW(OD22)+1,$I$11+OE$11+(MATCH(OD$11,L.DATE,0))-1)))))</f>
        <v/>
      </c>
      <c r="OE23" s="377" t="str" cm="1">
        <f t="array" aca="1" ref="OE23" ca="1">IF(xcomp(INDIRECT((ADDRESS(ROW(OE22),$I$11+(MATCH(OD$11,L.DATE,0))))&amp;":"&amp;(ADDRESS(ROW(OE22),$I$11+OE$11+(MATCH(OD$11,L.DATE,0))-1))),L.ABS.NP)=0,"",
xsom(INDIRECT((ADDRESS(ROW(OE22),$I$11+(MATCH(OD$11,L.DATE,0))))&amp;":"&amp;(ADDRESS(ROW(OE22),$I$11+OE$11+(MATCH(OD$11,L.DATE,0))-1))),L.ABS.NP,
INDIRECT((ADDRESS(ROW(OE22)+1,$I$11+(MATCH(OD$11,L.DATE,0))))&amp;":"&amp;(ADDRESS(ROW(OE22)+1,$I$11+OE$11+(MATCH(OD$11,L.DATE,0))-1)))))</f>
        <v/>
      </c>
      <c r="OF23" s="376" t="str" cm="1">
        <f t="array" aca="1" ref="OF23" ca="1">IF(xcomp(INDIRECT((ADDRESS(ROW(OF22),$I$11+(MATCH(OF$11,L.DATE,0))))&amp;":"&amp;(ADDRESS(ROW(OF22),$I$11+OG$11+(MATCH(OF$11,L.DATE,0))-1))),L.ABSP)=0,"",
xsom(INDIRECT((ADDRESS(ROW(OF22),$I$11+(MATCH(OF$11,L.DATE,0))))&amp;":"&amp;(ADDRESS(ROW(OF22),$I$11+OG$11+(MATCH(OF$11,L.DATE,0))-1))),L.ABSP,
INDIRECT((ADDRESS(ROW(OF22)+1,$I$11+(MATCH(OF$11,L.DATE,0))))&amp;":"&amp;(ADDRESS(ROW(OF22)+1,$I$11+OG$11+(MATCH(OF$11,L.DATE,0))-1)))))</f>
        <v/>
      </c>
      <c r="OG23" s="377" t="str" cm="1">
        <f t="array" aca="1" ref="OG23" ca="1">IF(xcomp(INDIRECT((ADDRESS(ROW(OG22),$I$11+(MATCH(OF$11,L.DATE,0))))&amp;":"&amp;(ADDRESS(ROW(OG22),$I$11+OG$11+(MATCH(OF$11,L.DATE,0))-1))),L.ABS.NP)=0,"",
xsom(INDIRECT((ADDRESS(ROW(OG22),$I$11+(MATCH(OF$11,L.DATE,0))))&amp;":"&amp;(ADDRESS(ROW(OG22),$I$11+OG$11+(MATCH(OF$11,L.DATE,0))-1))),L.ABS.NP,
INDIRECT((ADDRESS(ROW(OG22)+1,$I$11+(MATCH(OF$11,L.DATE,0))))&amp;":"&amp;(ADDRESS(ROW(OG22)+1,$I$11+OG$11+(MATCH(OF$11,L.DATE,0))-1)))))</f>
        <v/>
      </c>
      <c r="OH23" s="376" t="str" cm="1">
        <f t="array" aca="1" ref="OH23" ca="1">IF(xcomp(INDIRECT((ADDRESS(ROW(OH22),$I$11+(MATCH(OH$11,L.DATE,0))))&amp;":"&amp;(ADDRESS(ROW(OH22),$I$11+OI$11+(MATCH(OH$11,L.DATE,0))-1))),L.ABSP)=0,"",
xsom(INDIRECT((ADDRESS(ROW(OH22),$I$11+(MATCH(OH$11,L.DATE,0))))&amp;":"&amp;(ADDRESS(ROW(OH22),$I$11+OI$11+(MATCH(OH$11,L.DATE,0))-1))),L.ABSP,
INDIRECT((ADDRESS(ROW(OH22)+1,$I$11+(MATCH(OH$11,L.DATE,0))))&amp;":"&amp;(ADDRESS(ROW(OH22)+1,$I$11+OI$11+(MATCH(OH$11,L.DATE,0))-1)))))</f>
        <v/>
      </c>
      <c r="OI23" s="377" t="str" cm="1">
        <f t="array" aca="1" ref="OI23" ca="1">IF(xcomp(INDIRECT((ADDRESS(ROW(OI22),$I$11+(MATCH(OH$11,L.DATE,0))))&amp;":"&amp;(ADDRESS(ROW(OI22),$I$11+OI$11+(MATCH(OH$11,L.DATE,0))-1))),L.ABS.NP)=0,"",
xsom(INDIRECT((ADDRESS(ROW(OI22),$I$11+(MATCH(OH$11,L.DATE,0))))&amp;":"&amp;(ADDRESS(ROW(OI22),$I$11+OI$11+(MATCH(OH$11,L.DATE,0))-1))),L.ABS.NP,
INDIRECT((ADDRESS(ROW(OI22)+1,$I$11+(MATCH(OH$11,L.DATE,0))))&amp;":"&amp;(ADDRESS(ROW(OI22)+1,$I$11+OI$11+(MATCH(OH$11,L.DATE,0))-1)))))</f>
        <v/>
      </c>
      <c r="OJ23" s="376" t="str" cm="1">
        <f t="array" aca="1" ref="OJ23" ca="1">IF(xcomp(INDIRECT((ADDRESS(ROW(OJ22),$I$11+(MATCH(OJ$11,L.DATE,0))))&amp;":"&amp;(ADDRESS(ROW(OJ22),$I$11+OK$11+(MATCH(OJ$11,L.DATE,0))-1))),L.ABSP)=0,"",
xsom(INDIRECT((ADDRESS(ROW(OJ22),$I$11+(MATCH(OJ$11,L.DATE,0))))&amp;":"&amp;(ADDRESS(ROW(OJ22),$I$11+OK$11+(MATCH(OJ$11,L.DATE,0))-1))),L.ABSP,
INDIRECT((ADDRESS(ROW(OJ22)+1,$I$11+(MATCH(OJ$11,L.DATE,0))))&amp;":"&amp;(ADDRESS(ROW(OJ22)+1,$I$11+OK$11+(MATCH(OJ$11,L.DATE,0))-1)))))</f>
        <v/>
      </c>
      <c r="OK23" s="378" t="str" cm="1">
        <f t="array" aca="1" ref="OK23" ca="1">IF(xcomp(INDIRECT((ADDRESS(ROW(OK22),$I$11+(MATCH(OJ$11,L.DATE,0))))&amp;":"&amp;(ADDRESS(ROW(OK22),$I$11+OK$11+(MATCH(OJ$11,L.DATE,0))-1))),L.ABS.NP)=0,"",
xsom(INDIRECT((ADDRESS(ROW(OK22),$I$11+(MATCH(OJ$11,L.DATE,0))))&amp;":"&amp;(ADDRESS(ROW(OK22),$I$11+OK$11+(MATCH(OJ$11,L.DATE,0))-1))),L.ABS.NP,
INDIRECT((ADDRESS(ROW(OK22)+1,$I$11+(MATCH(OJ$11,L.DATE,0))))&amp;":"&amp;(ADDRESS(ROW(OK22)+1,$I$11+OK$11+(MATCH(OJ$11,L.DATE,0))-1)))))</f>
        <v/>
      </c>
    </row>
    <row r="24" spans="1:404" ht="12" customHeight="1" x14ac:dyDescent="0.3">
      <c r="A24" s="394">
        <v>111480</v>
      </c>
      <c r="B24" s="381" t="s">
        <v>494</v>
      </c>
      <c r="C24" s="53">
        <v>1</v>
      </c>
      <c r="D24" s="392" t="s">
        <v>18</v>
      </c>
      <c r="E24" s="392" t="s">
        <v>484</v>
      </c>
      <c r="F24" s="392" t="s">
        <v>13</v>
      </c>
      <c r="G24" s="104" t="s">
        <v>498</v>
      </c>
      <c r="H24" s="108">
        <v>1</v>
      </c>
      <c r="I24" s="28"/>
      <c r="J24" s="482"/>
      <c r="K24" s="483"/>
      <c r="L24" s="486"/>
      <c r="M24" s="482"/>
      <c r="N24" s="482"/>
      <c r="O24" s="482"/>
      <c r="P24" s="482"/>
      <c r="Q24" s="482"/>
      <c r="R24" s="482"/>
      <c r="S24" s="482"/>
      <c r="T24" s="482"/>
      <c r="U24" s="482"/>
      <c r="V24" s="482"/>
      <c r="W24" s="482"/>
      <c r="X24" s="482"/>
      <c r="Y24" s="482"/>
      <c r="Z24" s="482"/>
      <c r="AA24" s="482"/>
      <c r="AB24" s="482"/>
      <c r="AC24" s="482"/>
      <c r="AD24" s="482"/>
      <c r="AE24" s="482"/>
      <c r="AF24" s="482"/>
      <c r="AG24" s="482"/>
      <c r="AH24" s="482"/>
      <c r="AI24" s="482"/>
      <c r="AJ24" s="482"/>
      <c r="AK24" s="482"/>
      <c r="AL24" s="482"/>
      <c r="AM24" s="482"/>
      <c r="AN24" s="482"/>
      <c r="AO24" s="482"/>
      <c r="AP24" s="482"/>
      <c r="AQ24" s="383"/>
      <c r="AR24" s="486"/>
      <c r="AS24" s="482"/>
      <c r="AT24" s="482"/>
      <c r="AU24" s="482"/>
      <c r="AV24" s="482"/>
      <c r="AW24" s="482"/>
      <c r="AX24" s="482"/>
      <c r="AY24" s="482"/>
      <c r="AZ24" s="482"/>
      <c r="BA24" s="482"/>
      <c r="BB24" s="482"/>
      <c r="BC24" s="482"/>
      <c r="BD24" s="482"/>
      <c r="BE24" s="482"/>
      <c r="BF24" s="482"/>
      <c r="BG24" s="482"/>
      <c r="BH24" s="482"/>
      <c r="BI24" s="482"/>
      <c r="BJ24" s="482"/>
      <c r="BK24" s="482"/>
      <c r="BL24" s="482"/>
      <c r="BM24" s="482"/>
      <c r="BN24" s="482"/>
      <c r="BO24" s="484" t="s">
        <v>27</v>
      </c>
      <c r="BP24" s="484" t="s">
        <v>27</v>
      </c>
      <c r="BQ24" s="484" t="s">
        <v>27</v>
      </c>
      <c r="BR24" s="484" t="s">
        <v>27</v>
      </c>
      <c r="BS24" s="484" t="s">
        <v>27</v>
      </c>
      <c r="BT24" s="482"/>
      <c r="BU24" s="482"/>
      <c r="BV24" s="484" t="s">
        <v>27</v>
      </c>
      <c r="BW24" s="484" t="s">
        <v>27</v>
      </c>
      <c r="BX24" s="484" t="s">
        <v>27</v>
      </c>
      <c r="BY24" s="484" t="s">
        <v>27</v>
      </c>
      <c r="BZ24" s="484" t="s">
        <v>27</v>
      </c>
      <c r="CA24" s="482"/>
      <c r="CB24" s="482"/>
      <c r="CC24" s="484" t="s">
        <v>27</v>
      </c>
      <c r="CD24" s="484" t="s">
        <v>27</v>
      </c>
      <c r="CE24" s="484" t="s">
        <v>27</v>
      </c>
      <c r="CF24" s="484" t="s">
        <v>27</v>
      </c>
      <c r="CG24" s="484" t="s">
        <v>27</v>
      </c>
      <c r="CH24" s="482"/>
      <c r="CI24" s="482"/>
      <c r="CJ24" s="484" t="s">
        <v>27</v>
      </c>
      <c r="CK24" s="484" t="s">
        <v>27</v>
      </c>
      <c r="CL24" s="484" t="s">
        <v>27</v>
      </c>
      <c r="CM24" s="484" t="s">
        <v>27</v>
      </c>
      <c r="CN24" s="484" t="s">
        <v>27</v>
      </c>
      <c r="CO24" s="482"/>
      <c r="CP24" s="482"/>
      <c r="CQ24" s="484" t="s">
        <v>27</v>
      </c>
      <c r="CR24" s="484" t="s">
        <v>27</v>
      </c>
      <c r="CS24" s="484" t="s">
        <v>27</v>
      </c>
      <c r="CT24" s="484" t="s">
        <v>27</v>
      </c>
      <c r="CU24" s="484" t="s">
        <v>27</v>
      </c>
      <c r="CV24" s="482"/>
      <c r="CW24" s="482"/>
      <c r="CX24" s="482"/>
      <c r="CY24" s="482"/>
      <c r="CZ24" s="482"/>
      <c r="DA24" s="482"/>
      <c r="DB24" s="482"/>
      <c r="DC24" s="482"/>
      <c r="DD24" s="482"/>
      <c r="DE24" s="482"/>
      <c r="DF24" s="482"/>
      <c r="DG24" s="482"/>
      <c r="DH24" s="482"/>
      <c r="DI24" s="482"/>
      <c r="DJ24" s="482"/>
      <c r="DK24" s="482"/>
      <c r="DL24" s="482"/>
      <c r="DM24" s="482"/>
      <c r="DN24" s="482"/>
      <c r="DO24" s="482"/>
      <c r="DP24" s="482"/>
      <c r="DQ24" s="482"/>
      <c r="DR24" s="482"/>
      <c r="DS24" s="482"/>
      <c r="DT24" s="482"/>
      <c r="DU24" s="482"/>
      <c r="DV24" s="482"/>
      <c r="DW24" s="482"/>
      <c r="DX24" s="482"/>
      <c r="DY24" s="482"/>
      <c r="DZ24" s="482"/>
      <c r="EA24" s="482"/>
      <c r="EB24" s="482"/>
      <c r="EC24" s="482"/>
      <c r="ED24" s="482"/>
      <c r="EE24" s="482"/>
      <c r="EF24" s="482"/>
      <c r="EG24" s="482"/>
      <c r="EH24" s="482"/>
      <c r="EI24" s="482"/>
      <c r="EJ24" s="482"/>
      <c r="EK24" s="482"/>
      <c r="EL24" s="482"/>
      <c r="EM24" s="482"/>
      <c r="EN24" s="482"/>
      <c r="EO24" s="482"/>
      <c r="EP24" s="482"/>
      <c r="EQ24" s="482"/>
      <c r="ER24" s="482"/>
      <c r="ES24" s="482"/>
      <c r="ET24" s="482"/>
      <c r="EU24" s="482"/>
      <c r="EV24" s="482"/>
      <c r="EW24" s="482"/>
      <c r="EX24" s="482"/>
      <c r="EY24" s="482"/>
      <c r="EZ24" s="482"/>
      <c r="FA24" s="482"/>
      <c r="FB24" s="482"/>
      <c r="FC24" s="482"/>
      <c r="FD24" s="482"/>
      <c r="FE24" s="482"/>
      <c r="FF24" s="482"/>
      <c r="FG24" s="482"/>
      <c r="FH24" s="482"/>
      <c r="FI24" s="482"/>
      <c r="FJ24" s="482"/>
      <c r="FK24" s="482"/>
      <c r="FL24" s="482"/>
      <c r="FM24" s="482"/>
      <c r="FN24" s="482"/>
      <c r="FO24" s="482"/>
      <c r="FP24" s="482"/>
      <c r="FQ24" s="482"/>
      <c r="FR24" s="482"/>
      <c r="FS24" s="482"/>
      <c r="FT24" s="482"/>
      <c r="FU24" s="482"/>
      <c r="FV24" s="482"/>
      <c r="FW24" s="482"/>
      <c r="FX24" s="482"/>
      <c r="FY24" s="482"/>
      <c r="FZ24" s="482"/>
      <c r="GA24" s="482"/>
      <c r="GB24" s="482"/>
      <c r="GC24" s="482"/>
      <c r="GD24" s="482"/>
      <c r="GE24" s="482"/>
      <c r="GF24" s="482"/>
      <c r="GG24" s="482"/>
      <c r="GH24" s="482"/>
      <c r="GI24" s="482"/>
      <c r="GJ24" s="482"/>
      <c r="GK24" s="482"/>
      <c r="GL24" s="482"/>
      <c r="GM24" s="482"/>
      <c r="GN24" s="482"/>
      <c r="GO24" s="482"/>
      <c r="GP24" s="482"/>
      <c r="GQ24" s="482"/>
      <c r="GR24" s="482"/>
      <c r="GS24" s="482"/>
      <c r="GT24" s="482"/>
      <c r="GU24" s="482"/>
      <c r="GV24" s="482"/>
      <c r="GW24" s="482"/>
      <c r="GX24" s="482"/>
      <c r="GY24" s="482"/>
      <c r="GZ24" s="482"/>
      <c r="HA24" s="482"/>
      <c r="HB24" s="482"/>
      <c r="HC24" s="482"/>
      <c r="HD24" s="482"/>
      <c r="HE24" s="482"/>
      <c r="HF24" s="482"/>
      <c r="HG24" s="482"/>
      <c r="HH24" s="482"/>
      <c r="HI24" s="482"/>
      <c r="HJ24" s="482"/>
      <c r="HK24" s="482"/>
      <c r="HL24" s="482"/>
      <c r="HM24" s="482"/>
      <c r="HN24" s="482"/>
      <c r="HO24" s="482"/>
      <c r="HP24" s="482"/>
      <c r="HQ24" s="482"/>
      <c r="HR24" s="482"/>
      <c r="HS24" s="482"/>
      <c r="HT24" s="482"/>
      <c r="HU24" s="482"/>
      <c r="HV24" s="482"/>
      <c r="HW24" s="482"/>
      <c r="HX24" s="482"/>
      <c r="HY24" s="482"/>
      <c r="HZ24" s="482"/>
      <c r="IA24" s="482"/>
      <c r="IB24" s="482"/>
      <c r="IC24" s="482"/>
      <c r="ID24" s="482"/>
      <c r="IE24" s="482"/>
      <c r="IF24" s="482"/>
      <c r="IG24" s="482"/>
      <c r="IH24" s="482"/>
      <c r="II24" s="482"/>
      <c r="IJ24" s="482"/>
      <c r="IK24" s="482"/>
      <c r="IL24" s="482"/>
      <c r="IM24" s="482"/>
      <c r="IN24" s="482"/>
      <c r="IO24" s="482"/>
      <c r="IP24" s="482"/>
      <c r="IQ24" s="482"/>
      <c r="IR24" s="482"/>
      <c r="IS24" s="482"/>
      <c r="IT24" s="482"/>
      <c r="IU24" s="482"/>
      <c r="IV24" s="482"/>
      <c r="IW24" s="482"/>
      <c r="IX24" s="482"/>
      <c r="IY24" s="482"/>
      <c r="IZ24" s="482"/>
      <c r="JA24" s="482"/>
      <c r="JB24" s="482"/>
      <c r="JC24" s="482"/>
      <c r="JD24" s="482"/>
      <c r="JE24" s="482"/>
      <c r="JF24" s="482"/>
      <c r="JG24" s="482"/>
      <c r="JH24" s="482"/>
      <c r="JI24" s="482"/>
      <c r="JJ24" s="482"/>
      <c r="JK24" s="482"/>
      <c r="JL24" s="482"/>
      <c r="JM24" s="482"/>
      <c r="JN24" s="482"/>
      <c r="JO24" s="482"/>
      <c r="JP24" s="482"/>
      <c r="JQ24" s="482"/>
      <c r="JR24" s="482"/>
      <c r="JS24" s="482"/>
      <c r="JT24" s="482"/>
      <c r="JU24" s="482"/>
      <c r="JV24" s="482"/>
      <c r="JW24" s="482"/>
      <c r="JX24" s="482"/>
      <c r="JY24" s="482"/>
      <c r="JZ24" s="482"/>
      <c r="KA24" s="482"/>
      <c r="KB24" s="482"/>
      <c r="KC24" s="482"/>
      <c r="KD24" s="482"/>
      <c r="KE24" s="482"/>
      <c r="KF24" s="482"/>
      <c r="KG24" s="482"/>
      <c r="KH24" s="482"/>
      <c r="KI24" s="482"/>
      <c r="KJ24" s="482"/>
      <c r="KK24" s="482"/>
      <c r="KL24" s="482"/>
      <c r="KM24" s="482"/>
      <c r="KN24" s="482"/>
      <c r="KO24" s="482"/>
      <c r="KP24" s="482"/>
      <c r="KQ24" s="482"/>
      <c r="KR24" s="482"/>
      <c r="KS24" s="482"/>
      <c r="KT24" s="482"/>
      <c r="KU24" s="482"/>
      <c r="KV24" s="482"/>
      <c r="KW24" s="482"/>
      <c r="KX24" s="482"/>
      <c r="KY24" s="482"/>
      <c r="KZ24" s="482"/>
      <c r="LA24" s="482"/>
      <c r="LB24" s="482"/>
      <c r="LC24" s="482"/>
      <c r="LD24" s="482"/>
      <c r="LE24" s="482"/>
      <c r="LF24" s="482"/>
      <c r="LG24" s="482"/>
      <c r="LH24" s="482"/>
      <c r="LI24" s="482"/>
      <c r="LJ24" s="482"/>
      <c r="LK24" s="482"/>
      <c r="LL24" s="482"/>
      <c r="LM24" s="482"/>
      <c r="LN24" s="482"/>
      <c r="LO24" s="482"/>
      <c r="LP24" s="482"/>
      <c r="LQ24" s="482"/>
      <c r="LR24" s="482"/>
      <c r="LS24" s="482"/>
      <c r="LT24" s="482"/>
      <c r="LU24" s="482"/>
      <c r="LV24" s="482"/>
      <c r="LW24" s="482"/>
      <c r="LX24" s="482"/>
      <c r="LY24" s="482"/>
      <c r="LZ24" s="482"/>
      <c r="MA24" s="482"/>
      <c r="MB24" s="482"/>
      <c r="MC24" s="482"/>
      <c r="MD24" s="482"/>
      <c r="ME24" s="482"/>
      <c r="MF24" s="482"/>
      <c r="MG24" s="482"/>
      <c r="MH24" s="482"/>
      <c r="MI24" s="482"/>
      <c r="MJ24" s="482"/>
      <c r="MK24" s="482"/>
      <c r="ML24" s="482"/>
      <c r="MM24" s="482"/>
      <c r="MN24" s="482"/>
      <c r="MO24" s="482"/>
      <c r="MP24" s="482"/>
      <c r="MQ24" s="482"/>
      <c r="MR24" s="482"/>
      <c r="MS24" s="482"/>
      <c r="MT24" s="482"/>
      <c r="MU24" s="482"/>
      <c r="MV24" s="482"/>
      <c r="MW24" s="482"/>
      <c r="MX24" s="482"/>
      <c r="MY24" s="482"/>
      <c r="MZ24" s="482"/>
      <c r="NA24" s="482"/>
      <c r="NB24" s="482"/>
      <c r="NC24" s="482"/>
      <c r="ND24" s="482"/>
      <c r="NE24" s="482"/>
      <c r="NF24" s="482"/>
      <c r="NG24" s="482"/>
      <c r="NH24" s="482"/>
      <c r="NI24" s="482"/>
      <c r="NJ24" s="483"/>
      <c r="NK24" s="34"/>
      <c r="NM24" s="159">
        <f>A24</f>
        <v>111480</v>
      </c>
      <c r="NN24" s="373">
        <f ca="1">COUNTIF(INDIRECT((ADDRESS(ROW(NO25),$I$11+(MATCH(NN$11,L.DATE,0))))&amp;":"&amp;(ADDRESS(ROW(NO25),$I$11+NO$11+(MATCH(NN$11,L.DATE,0))-1))),"&gt;=0")-NO24</f>
        <v>0</v>
      </c>
      <c r="NO24" s="374">
        <f ca="1">SUM(INDIRECT((ADDRESS(ROW(NO25),$I$11+(MATCH(NN$11,L.DATE,0))))&amp;":"&amp;(ADDRESS(ROW(NO25),$I$11+NO$11+(MATCH(NN$11,L.DATE,0))-1))))</f>
        <v>0</v>
      </c>
      <c r="NP24" s="373">
        <f ca="1">COUNTIF(INDIRECT((ADDRESS(ROW(NQ25),$I$11+(MATCH(NP$11,L.DATE,0))))&amp;":"&amp;(ADDRESS(ROW(NQ25),$I$11+NQ$11+(MATCH(NP$11,L.DATE,0))-1))),"&gt;=0")-NQ24</f>
        <v>2</v>
      </c>
      <c r="NQ24" s="374">
        <f ca="1">SUM(INDIRECT((ADDRESS(ROW(NQ25),$I$11+(MATCH(NP$11,L.DATE,0))))&amp;":"&amp;(ADDRESS(ROW(NQ25),$I$11+NQ$11+(MATCH(NP$11,L.DATE,0))-1))))</f>
        <v>0</v>
      </c>
      <c r="NR24" s="373">
        <f ca="1">COUNTIF(INDIRECT((ADDRESS(ROW(NS25),$I$11+(MATCH(NR$11,L.DATE,0))))&amp;":"&amp;(ADDRESS(ROW(NS25),$I$11+NS$11+(MATCH(NR$11,L.DATE,0))-1))),"&gt;=0")-NS24</f>
        <v>23</v>
      </c>
      <c r="NS24" s="374">
        <f ca="1">SUM(INDIRECT((ADDRESS(ROW(NS25),$I$11+(MATCH(NR$11,L.DATE,0))))&amp;":"&amp;(ADDRESS(ROW(NS25),$I$11+NS$11+(MATCH(NR$11,L.DATE,0))-1))))</f>
        <v>0</v>
      </c>
      <c r="NT24" s="373">
        <f ca="1">COUNTIF(INDIRECT((ADDRESS(ROW(NU25),$I$11+(MATCH(NT$11,L.DATE,0))))&amp;":"&amp;(ADDRESS(ROW(NU25),$I$11+NU$11+(MATCH(NT$11,L.DATE,0))-1))),"&gt;=0")-NU24</f>
        <v>0</v>
      </c>
      <c r="NU24" s="374">
        <f ca="1">SUM(INDIRECT((ADDRESS(ROW(NU25),$I$11+(MATCH(NT$11,L.DATE,0))))&amp;":"&amp;(ADDRESS(ROW(NU25),$I$11+NU$11+(MATCH(NT$11,L.DATE,0))-1))))</f>
        <v>0</v>
      </c>
      <c r="NV24" s="373">
        <f ca="1">COUNTIF(INDIRECT((ADDRESS(ROW(NW25),$I$11+(MATCH(NV$11,L.DATE,0))))&amp;":"&amp;(ADDRESS(ROW(NW25),$I$11+NW$11+(MATCH(NV$11,L.DATE,0))-1))),"&gt;=0")-NW24</f>
        <v>0</v>
      </c>
      <c r="NW24" s="374">
        <f ca="1">SUM(INDIRECT((ADDRESS(ROW(NW25),$I$11+(MATCH(NV$11,L.DATE,0))))&amp;":"&amp;(ADDRESS(ROW(NW25),$I$11+NW$11+(MATCH(NV$11,L.DATE,0))-1))))</f>
        <v>0</v>
      </c>
      <c r="NX24" s="373">
        <f ca="1">COUNTIF(INDIRECT((ADDRESS(ROW(NY25),$I$11+(MATCH(NX$11,L.DATE,0))))&amp;":"&amp;(ADDRESS(ROW(NY25),$I$11+NY$11+(MATCH(NX$11,L.DATE,0))-1))),"&gt;=0")-NY24</f>
        <v>0</v>
      </c>
      <c r="NY24" s="374">
        <f ca="1">SUM(INDIRECT((ADDRESS(ROW(NY25),$I$11+(MATCH(NX$11,L.DATE,0))))&amp;":"&amp;(ADDRESS(ROW(NY25),$I$11+NY$11+(MATCH(NX$11,L.DATE,0))-1))))</f>
        <v>0</v>
      </c>
      <c r="NZ24" s="373">
        <f ca="1">COUNTIF(INDIRECT((ADDRESS(ROW(OA25),$I$11+(MATCH(NZ$11,L.DATE,0))))&amp;":"&amp;(ADDRESS(ROW(OA25),$I$11+OA$11+(MATCH(NZ$11,L.DATE,0))-1))),"&gt;=0")-OA24</f>
        <v>0</v>
      </c>
      <c r="OA24" s="374">
        <f ca="1">SUM(INDIRECT((ADDRESS(ROW(OA25),$I$11+(MATCH(NZ$11,L.DATE,0))))&amp;":"&amp;(ADDRESS(ROW(OA25),$I$11+OA$11+(MATCH(NZ$11,L.DATE,0))-1))))</f>
        <v>0</v>
      </c>
      <c r="OB24" s="373">
        <f ca="1">COUNTIF(INDIRECT((ADDRESS(ROW(OC25),$I$11+(MATCH(OB$11,L.DATE,0))))&amp;":"&amp;(ADDRESS(ROW(OC25),$I$11+OC$11+(MATCH(OB$11,L.DATE,0))-1))),"&gt;=0")-OC24</f>
        <v>0</v>
      </c>
      <c r="OC24" s="374">
        <f ca="1">SUM(INDIRECT((ADDRESS(ROW(OC25),$I$11+(MATCH(OB$11,L.DATE,0))))&amp;":"&amp;(ADDRESS(ROW(OC25),$I$11+OC$11+(MATCH(OB$11,L.DATE,0))-1))))</f>
        <v>0</v>
      </c>
      <c r="OD24" s="373">
        <f ca="1">COUNTIF(INDIRECT((ADDRESS(ROW(OE25),$I$11+(MATCH(OD$11,L.DATE,0))))&amp;":"&amp;(ADDRESS(ROW(OE25),$I$11+OE$11+(MATCH(OD$11,L.DATE,0))-1))),"&gt;=0")-OE24</f>
        <v>0</v>
      </c>
      <c r="OE24" s="374">
        <f ca="1">SUM(INDIRECT((ADDRESS(ROW(OE25),$I$11+(MATCH(OD$11,L.DATE,0))))&amp;":"&amp;(ADDRESS(ROW(OE25),$I$11+OE$11+(MATCH(OD$11,L.DATE,0))-1))))</f>
        <v>0</v>
      </c>
      <c r="OF24" s="373">
        <f ca="1">COUNTIF(INDIRECT((ADDRESS(ROW(OG25),$I$11+(MATCH(OF$11,L.DATE,0))))&amp;":"&amp;(ADDRESS(ROW(OG25),$I$11+OG$11+(MATCH(OF$11,L.DATE,0))-1))),"&gt;=0")-OG24</f>
        <v>0</v>
      </c>
      <c r="OG24" s="374">
        <f ca="1">SUM(INDIRECT((ADDRESS(ROW(OG25),$I$11+(MATCH(OF$11,L.DATE,0))))&amp;":"&amp;(ADDRESS(ROW(OG25),$I$11+OG$11+(MATCH(OF$11,L.DATE,0))-1))))</f>
        <v>0</v>
      </c>
      <c r="OH24" s="373">
        <f ca="1">COUNTIF(INDIRECT((ADDRESS(ROW(OI25),$I$11+(MATCH(OH$11,L.DATE,0))))&amp;":"&amp;(ADDRESS(ROW(OI25),$I$11+OI$11+(MATCH(OH$11,L.DATE,0))-1))),"&gt;=0")-OI24</f>
        <v>0</v>
      </c>
      <c r="OI24" s="374">
        <f ca="1">SUM(INDIRECT((ADDRESS(ROW(OI25),$I$11+(MATCH(OH$11,L.DATE,0))))&amp;":"&amp;(ADDRESS(ROW(OI25),$I$11+OI$11+(MATCH(OH$11,L.DATE,0))-1))))</f>
        <v>0</v>
      </c>
      <c r="OJ24" s="373">
        <f ca="1">COUNTIF(INDIRECT((ADDRESS(ROW(OK25),$I$11+(MATCH(OJ$11,L.DATE,0))))&amp;":"&amp;(ADDRESS(ROW(OK25),$I$11+OK$11+(MATCH(OJ$11,L.DATE,0))-1))),"&gt;=0")-OK24</f>
        <v>0</v>
      </c>
      <c r="OK24" s="375">
        <f ca="1">SUM(INDIRECT((ADDRESS(ROW(OK25),$I$11+(MATCH(OJ$11,L.DATE,0))))&amp;":"&amp;(ADDRESS(ROW(OK25),$I$11+OK$11+(MATCH(OJ$11,L.DATE,0))-1))))</f>
        <v>0</v>
      </c>
      <c r="OM24" s="39">
        <f ca="1">NN24+NP24+NR24+NT24+NV24+NX24+NZ24+OB24+OD24+OF24+OJ24+OH24</f>
        <v>25</v>
      </c>
      <c r="ON24" s="40">
        <f ca="1">NO24+NQ24+NS24+NU24+NW24+NY24+OA24+OC24+OE24+OG24+OK24+OI24</f>
        <v>0</v>
      </c>
    </row>
    <row r="25" spans="1:404" x14ac:dyDescent="0.3">
      <c r="A25" s="33"/>
      <c r="B25" s="16" t="str">
        <f t="shared" ref="B25:H25" si="28">B24</f>
        <v>QUIOC.Clotilde</v>
      </c>
      <c r="C25" s="16">
        <f t="shared" si="28"/>
        <v>1</v>
      </c>
      <c r="D25" s="16" t="str">
        <f t="shared" si="28"/>
        <v>I2S</v>
      </c>
      <c r="E25" s="16" t="str">
        <f t="shared" si="28"/>
        <v>ITG</v>
      </c>
      <c r="F25" s="16" t="str">
        <f t="shared" si="28"/>
        <v>SL</v>
      </c>
      <c r="G25" s="105" t="str">
        <f t="shared" si="28"/>
        <v>N1</v>
      </c>
      <c r="H25" s="109">
        <f t="shared" si="28"/>
        <v>1</v>
      </c>
      <c r="I25" s="28"/>
      <c r="J25" s="482"/>
      <c r="K25" s="483"/>
      <c r="L25" s="486"/>
      <c r="M25" s="482"/>
      <c r="N25" s="482"/>
      <c r="O25" s="482"/>
      <c r="P25" s="482"/>
      <c r="Q25" s="482"/>
      <c r="R25" s="482"/>
      <c r="S25" s="482"/>
      <c r="T25" s="482"/>
      <c r="U25" s="482"/>
      <c r="V25" s="482"/>
      <c r="W25" s="482"/>
      <c r="X25" s="482"/>
      <c r="Y25" s="482"/>
      <c r="Z25" s="482"/>
      <c r="AA25" s="482"/>
      <c r="AB25" s="482"/>
      <c r="AC25" s="482"/>
      <c r="AD25" s="482"/>
      <c r="AE25" s="482"/>
      <c r="AF25" s="482"/>
      <c r="AG25" s="482"/>
      <c r="AH25" s="482"/>
      <c r="AI25" s="482"/>
      <c r="AJ25" s="482"/>
      <c r="AK25" s="482"/>
      <c r="AL25" s="482"/>
      <c r="AM25" s="482"/>
      <c r="AN25" s="482"/>
      <c r="AO25" s="482"/>
      <c r="AP25" s="482"/>
      <c r="AQ25" s="485"/>
      <c r="AR25" s="482"/>
      <c r="AS25" s="482"/>
      <c r="AT25" s="482"/>
      <c r="AU25" s="482"/>
      <c r="AV25" s="482"/>
      <c r="AW25" s="482"/>
      <c r="AX25" s="482"/>
      <c r="AY25" s="482"/>
      <c r="AZ25" s="482"/>
      <c r="BA25" s="482"/>
      <c r="BB25" s="482"/>
      <c r="BC25" s="482"/>
      <c r="BD25" s="482"/>
      <c r="BE25" s="482"/>
      <c r="BF25" s="482"/>
      <c r="BG25" s="482"/>
      <c r="BH25" s="482"/>
      <c r="BI25" s="482"/>
      <c r="BJ25" s="482"/>
      <c r="BK25" s="482"/>
      <c r="BL25" s="482"/>
      <c r="BM25" s="482"/>
      <c r="BN25" s="482"/>
      <c r="BO25" s="485">
        <v>0</v>
      </c>
      <c r="BP25" s="485">
        <v>0</v>
      </c>
      <c r="BQ25" s="485">
        <v>0</v>
      </c>
      <c r="BR25" s="485">
        <v>0</v>
      </c>
      <c r="BS25" s="485">
        <v>0</v>
      </c>
      <c r="BT25" s="482"/>
      <c r="BU25" s="482"/>
      <c r="BV25" s="485">
        <v>0</v>
      </c>
      <c r="BW25" s="485">
        <v>0</v>
      </c>
      <c r="BX25" s="485">
        <v>0</v>
      </c>
      <c r="BY25" s="485">
        <v>0</v>
      </c>
      <c r="BZ25" s="485">
        <v>0</v>
      </c>
      <c r="CA25" s="482"/>
      <c r="CB25" s="482"/>
      <c r="CC25" s="485">
        <v>0</v>
      </c>
      <c r="CD25" s="485">
        <v>0</v>
      </c>
      <c r="CE25" s="485">
        <v>0</v>
      </c>
      <c r="CF25" s="485">
        <v>0</v>
      </c>
      <c r="CG25" s="485">
        <v>0</v>
      </c>
      <c r="CH25" s="482"/>
      <c r="CI25" s="482"/>
      <c r="CJ25" s="485">
        <v>0</v>
      </c>
      <c r="CK25" s="485">
        <v>0</v>
      </c>
      <c r="CL25" s="485">
        <v>0</v>
      </c>
      <c r="CM25" s="485">
        <v>0</v>
      </c>
      <c r="CN25" s="485">
        <v>0</v>
      </c>
      <c r="CO25" s="482"/>
      <c r="CP25" s="482"/>
      <c r="CQ25" s="485">
        <v>0</v>
      </c>
      <c r="CR25" s="485">
        <v>0</v>
      </c>
      <c r="CS25" s="485">
        <v>0</v>
      </c>
      <c r="CT25" s="485">
        <v>0</v>
      </c>
      <c r="CU25" s="485">
        <v>0</v>
      </c>
      <c r="CV25" s="482"/>
      <c r="CW25" s="482"/>
      <c r="CX25" s="482"/>
      <c r="CY25" s="482"/>
      <c r="CZ25" s="482"/>
      <c r="DA25" s="482"/>
      <c r="DB25" s="482"/>
      <c r="DC25" s="482"/>
      <c r="DD25" s="482"/>
      <c r="DE25" s="482"/>
      <c r="DF25" s="482"/>
      <c r="DG25" s="482"/>
      <c r="DH25" s="482"/>
      <c r="DI25" s="482"/>
      <c r="DJ25" s="482"/>
      <c r="DK25" s="482"/>
      <c r="DL25" s="482"/>
      <c r="DM25" s="482"/>
      <c r="DN25" s="482"/>
      <c r="DO25" s="482"/>
      <c r="DP25" s="482"/>
      <c r="DQ25" s="482"/>
      <c r="DR25" s="482"/>
      <c r="DS25" s="482"/>
      <c r="DT25" s="482"/>
      <c r="DU25" s="482"/>
      <c r="DV25" s="482"/>
      <c r="DW25" s="482"/>
      <c r="DX25" s="482"/>
      <c r="DY25" s="482"/>
      <c r="DZ25" s="482"/>
      <c r="EA25" s="482"/>
      <c r="EB25" s="482"/>
      <c r="EC25" s="482"/>
      <c r="ED25" s="482"/>
      <c r="EE25" s="482"/>
      <c r="EF25" s="482"/>
      <c r="EG25" s="482"/>
      <c r="EH25" s="482"/>
      <c r="EI25" s="482"/>
      <c r="EJ25" s="482"/>
      <c r="EK25" s="482"/>
      <c r="EL25" s="482"/>
      <c r="EM25" s="482"/>
      <c r="EN25" s="482"/>
      <c r="EO25" s="482"/>
      <c r="EP25" s="482"/>
      <c r="EQ25" s="482"/>
      <c r="ER25" s="482"/>
      <c r="ES25" s="482"/>
      <c r="ET25" s="482"/>
      <c r="EU25" s="482"/>
      <c r="EV25" s="482"/>
      <c r="EW25" s="482"/>
      <c r="EX25" s="482"/>
      <c r="EY25" s="482"/>
      <c r="EZ25" s="482"/>
      <c r="FA25" s="482"/>
      <c r="FB25" s="482"/>
      <c r="FC25" s="482"/>
      <c r="FD25" s="482"/>
      <c r="FE25" s="482"/>
      <c r="FF25" s="482"/>
      <c r="FG25" s="482"/>
      <c r="FH25" s="482"/>
      <c r="FI25" s="482"/>
      <c r="FJ25" s="482"/>
      <c r="FK25" s="482"/>
      <c r="FL25" s="482"/>
      <c r="FM25" s="482"/>
      <c r="FN25" s="482"/>
      <c r="FO25" s="482"/>
      <c r="FP25" s="482"/>
      <c r="FQ25" s="482"/>
      <c r="FR25" s="482"/>
      <c r="FS25" s="482"/>
      <c r="FT25" s="482"/>
      <c r="FU25" s="482"/>
      <c r="FV25" s="482"/>
      <c r="FW25" s="482"/>
      <c r="FX25" s="482"/>
      <c r="FY25" s="482"/>
      <c r="FZ25" s="482"/>
      <c r="GA25" s="482"/>
      <c r="GB25" s="482"/>
      <c r="GC25" s="482"/>
      <c r="GD25" s="482"/>
      <c r="GE25" s="482"/>
      <c r="GF25" s="482"/>
      <c r="GG25" s="482"/>
      <c r="GH25" s="482"/>
      <c r="GI25" s="482"/>
      <c r="GJ25" s="482"/>
      <c r="GK25" s="482"/>
      <c r="GL25" s="482"/>
      <c r="GM25" s="482"/>
      <c r="GN25" s="482"/>
      <c r="GO25" s="482"/>
      <c r="GP25" s="482"/>
      <c r="GQ25" s="482"/>
      <c r="GR25" s="482"/>
      <c r="GS25" s="482"/>
      <c r="GT25" s="482"/>
      <c r="GU25" s="482"/>
      <c r="GV25" s="482"/>
      <c r="GW25" s="482"/>
      <c r="GX25" s="482"/>
      <c r="GY25" s="482"/>
      <c r="GZ25" s="482"/>
      <c r="HA25" s="482"/>
      <c r="HB25" s="482"/>
      <c r="HC25" s="482"/>
      <c r="HD25" s="482"/>
      <c r="HE25" s="482"/>
      <c r="HF25" s="482"/>
      <c r="HG25" s="482"/>
      <c r="HH25" s="482"/>
      <c r="HI25" s="482"/>
      <c r="HJ25" s="482"/>
      <c r="HK25" s="482"/>
      <c r="HL25" s="482"/>
      <c r="HM25" s="482"/>
      <c r="HN25" s="482"/>
      <c r="HO25" s="482"/>
      <c r="HP25" s="482"/>
      <c r="HQ25" s="482"/>
      <c r="HR25" s="482"/>
      <c r="HS25" s="482"/>
      <c r="HT25" s="482"/>
      <c r="HU25" s="482"/>
      <c r="HV25" s="482"/>
      <c r="HW25" s="482"/>
      <c r="HX25" s="482"/>
      <c r="HY25" s="482"/>
      <c r="HZ25" s="482"/>
      <c r="IA25" s="482"/>
      <c r="IB25" s="482"/>
      <c r="IC25" s="482"/>
      <c r="ID25" s="482"/>
      <c r="IE25" s="482"/>
      <c r="IF25" s="482"/>
      <c r="IG25" s="482"/>
      <c r="IH25" s="482"/>
      <c r="II25" s="482"/>
      <c r="IJ25" s="482"/>
      <c r="IK25" s="482"/>
      <c r="IL25" s="482"/>
      <c r="IM25" s="482"/>
      <c r="IN25" s="482"/>
      <c r="IO25" s="482"/>
      <c r="IP25" s="482"/>
      <c r="IQ25" s="482"/>
      <c r="IR25" s="482"/>
      <c r="IS25" s="482"/>
      <c r="IT25" s="482"/>
      <c r="IU25" s="482"/>
      <c r="IV25" s="482"/>
      <c r="IW25" s="482"/>
      <c r="IX25" s="482"/>
      <c r="IY25" s="482"/>
      <c r="IZ25" s="482"/>
      <c r="JA25" s="482"/>
      <c r="JB25" s="482"/>
      <c r="JC25" s="482"/>
      <c r="JD25" s="482"/>
      <c r="JE25" s="482"/>
      <c r="JF25" s="482"/>
      <c r="JG25" s="482"/>
      <c r="JH25" s="482"/>
      <c r="JI25" s="482"/>
      <c r="JJ25" s="482"/>
      <c r="JK25" s="482"/>
      <c r="JL25" s="482"/>
      <c r="JM25" s="482"/>
      <c r="JN25" s="482"/>
      <c r="JO25" s="482"/>
      <c r="JP25" s="482"/>
      <c r="JQ25" s="482"/>
      <c r="JR25" s="482"/>
      <c r="JS25" s="482"/>
      <c r="JT25" s="482"/>
      <c r="JU25" s="482"/>
      <c r="JV25" s="482"/>
      <c r="JW25" s="482"/>
      <c r="JX25" s="482"/>
      <c r="JY25" s="482"/>
      <c r="JZ25" s="482"/>
      <c r="KA25" s="482"/>
      <c r="KB25" s="482"/>
      <c r="KC25" s="482"/>
      <c r="KD25" s="482"/>
      <c r="KE25" s="482"/>
      <c r="KF25" s="482"/>
      <c r="KG25" s="482"/>
      <c r="KH25" s="482"/>
      <c r="KI25" s="482"/>
      <c r="KJ25" s="482"/>
      <c r="KK25" s="482"/>
      <c r="KL25" s="482"/>
      <c r="KM25" s="482"/>
      <c r="KN25" s="482"/>
      <c r="KO25" s="482"/>
      <c r="KP25" s="482"/>
      <c r="KQ25" s="482"/>
      <c r="KR25" s="482"/>
      <c r="KS25" s="482"/>
      <c r="KT25" s="482"/>
      <c r="KU25" s="482"/>
      <c r="KV25" s="482"/>
      <c r="KW25" s="482"/>
      <c r="KX25" s="482"/>
      <c r="KY25" s="482"/>
      <c r="KZ25" s="482"/>
      <c r="LA25" s="482"/>
      <c r="LB25" s="482"/>
      <c r="LC25" s="482"/>
      <c r="LD25" s="482"/>
      <c r="LE25" s="482"/>
      <c r="LF25" s="482"/>
      <c r="LG25" s="482"/>
      <c r="LH25" s="482"/>
      <c r="LI25" s="482"/>
      <c r="LJ25" s="482"/>
      <c r="LK25" s="482"/>
      <c r="LL25" s="482"/>
      <c r="LM25" s="482"/>
      <c r="LN25" s="482"/>
      <c r="LO25" s="482"/>
      <c r="LP25" s="482"/>
      <c r="LQ25" s="482"/>
      <c r="LR25" s="482"/>
      <c r="LS25" s="482"/>
      <c r="LT25" s="482"/>
      <c r="LU25" s="482"/>
      <c r="LV25" s="482"/>
      <c r="LW25" s="482"/>
      <c r="LX25" s="482"/>
      <c r="LY25" s="482"/>
      <c r="LZ25" s="482"/>
      <c r="MA25" s="482"/>
      <c r="MB25" s="482"/>
      <c r="MC25" s="482"/>
      <c r="MD25" s="482"/>
      <c r="ME25" s="482"/>
      <c r="MF25" s="482"/>
      <c r="MG25" s="482"/>
      <c r="MH25" s="482"/>
      <c r="MI25" s="482"/>
      <c r="MJ25" s="482"/>
      <c r="MK25" s="482"/>
      <c r="ML25" s="482"/>
      <c r="MM25" s="482"/>
      <c r="MN25" s="482"/>
      <c r="MO25" s="482"/>
      <c r="MP25" s="482"/>
      <c r="MQ25" s="482"/>
      <c r="MR25" s="482"/>
      <c r="MS25" s="482"/>
      <c r="MT25" s="482"/>
      <c r="MU25" s="482"/>
      <c r="MV25" s="482"/>
      <c r="MW25" s="482"/>
      <c r="MX25" s="482"/>
      <c r="MY25" s="482"/>
      <c r="MZ25" s="482"/>
      <c r="NA25" s="482"/>
      <c r="NB25" s="482"/>
      <c r="NC25" s="482"/>
      <c r="ND25" s="482"/>
      <c r="NE25" s="482"/>
      <c r="NF25" s="482"/>
      <c r="NG25" s="482"/>
      <c r="NH25" s="482"/>
      <c r="NI25" s="482"/>
      <c r="NJ25" s="483"/>
      <c r="NK25" s="34"/>
      <c r="NM25" s="379" t="str">
        <f>NM24&amp;".b"</f>
        <v>111480.b</v>
      </c>
      <c r="NN25" s="376" t="str" cm="1">
        <f t="array" aca="1" ref="NN25" ca="1">IF(xcomp(INDIRECT((ADDRESS(ROW(NN24),$I$11+(MATCH(NN$11,L.DATE,0))))&amp;":"&amp;(ADDRESS(ROW(NN24),$I$11+NO$11+(MATCH(NN$11,L.DATE,0))-1))),L.ABSP)=0,"",
xsom(INDIRECT((ADDRESS(ROW(NN24),$I$11+(MATCH(NN$11,L.DATE,0))))&amp;":"&amp;(ADDRESS(ROW(NN24),$I$11+NO$11+(MATCH(NN$11,L.DATE,0))-1))),L.ABSP,
INDIRECT((ADDRESS(ROW(NN24)+1,$I$11+(MATCH(NN$11,L.DATE,0))))&amp;":"&amp;(ADDRESS(ROW(NN24)+1,$I$11+NO$11+(MATCH(NN$11,L.DATE,0))-1)))))</f>
        <v/>
      </c>
      <c r="NO25" s="377" t="str" cm="1">
        <f t="array" aca="1" ref="NO25" ca="1">IF(xcomp(INDIRECT((ADDRESS(ROW(NO24),$I$11+(MATCH(NN$11,L.DATE,0))))&amp;":"&amp;(ADDRESS(ROW(NO24),$I$11+NO$11+(MATCH(NN$11,L.DATE,0))-1))),L.ABS.NP)=0,"",
xsom(INDIRECT((ADDRESS(ROW(NO24),$I$11+(MATCH(NN$11,L.DATE,0))))&amp;":"&amp;(ADDRESS(ROW(NO24),$I$11+NO$11+(MATCH(NN$11,L.DATE,0))-1))),L.ABS.NP,
INDIRECT((ADDRESS(ROW(NO24)+1,$I$11+(MATCH(NN$11,L.DATE,0))))&amp;":"&amp;(ADDRESS(ROW(NO24)+1,$I$11+NO$11+(MATCH(NN$11,L.DATE,0))-1)))))</f>
        <v/>
      </c>
      <c r="NP25" s="376" cm="1">
        <f t="array" aca="1" ref="NP25" ca="1">IF(xcomp(INDIRECT((ADDRESS(ROW(NP24),$I$11+(MATCH(NP$11,L.DATE,0))))&amp;":"&amp;(ADDRESS(ROW(NP24),$I$11+NQ$11+(MATCH(NP$11,L.DATE,0))-1))),L.ABSP)=0,"",
xsom(INDIRECT((ADDRESS(ROW(NP24),$I$11+(MATCH(NP$11,L.DATE,0))))&amp;":"&amp;(ADDRESS(ROW(NP24),$I$11+NQ$11+(MATCH(NP$11,L.DATE,0))-1))),L.ABSP,
INDIRECT((ADDRESS(ROW(NP24)+1,$I$11+(MATCH(NP$11,L.DATE,0))))&amp;":"&amp;(ADDRESS(ROW(NP24)+1,$I$11+NQ$11+(MATCH(NP$11,L.DATE,0))-1)))))</f>
        <v>2</v>
      </c>
      <c r="NQ25" s="377" t="str" cm="1">
        <f t="array" aca="1" ref="NQ25" ca="1">IF(xcomp(INDIRECT((ADDRESS(ROW(NQ24),$I$11+(MATCH(NP$11,L.DATE,0))))&amp;":"&amp;(ADDRESS(ROW(NQ24),$I$11+NQ$11+(MATCH(NP$11,L.DATE,0))-1))),L.ABS.NP)=0,"",
xsom(INDIRECT((ADDRESS(ROW(NQ24),$I$11+(MATCH(NP$11,L.DATE,0))))&amp;":"&amp;(ADDRESS(ROW(NQ24),$I$11+NQ$11+(MATCH(NP$11,L.DATE,0))-1))),L.ABS.NP,
INDIRECT((ADDRESS(ROW(NQ24)+1,$I$11+(MATCH(NP$11,L.DATE,0))))&amp;":"&amp;(ADDRESS(ROW(NQ24)+1,$I$11+NQ$11+(MATCH(NP$11,L.DATE,0))-1)))))</f>
        <v/>
      </c>
      <c r="NR25" s="376" cm="1">
        <f t="array" aca="1" ref="NR25" ca="1">IF(xcomp(INDIRECT((ADDRESS(ROW(NR24),$I$11+(MATCH(NR$11,L.DATE,0))))&amp;":"&amp;(ADDRESS(ROW(NR24),$I$11+NS$11+(MATCH(NR$11,L.DATE,0))-1))),L.ABSP)=0,"",
xsom(INDIRECT((ADDRESS(ROW(NR24),$I$11+(MATCH(NR$11,L.DATE,0))))&amp;":"&amp;(ADDRESS(ROW(NR24),$I$11+NS$11+(MATCH(NR$11,L.DATE,0))-1))),L.ABSP,
INDIRECT((ADDRESS(ROW(NR24)+1,$I$11+(MATCH(NR$11,L.DATE,0))))&amp;":"&amp;(ADDRESS(ROW(NR24)+1,$I$11+NS$11+(MATCH(NR$11,L.DATE,0))-1)))))</f>
        <v>23</v>
      </c>
      <c r="NS25" s="377" t="str" cm="1">
        <f t="array" aca="1" ref="NS25" ca="1">IF(xcomp(INDIRECT((ADDRESS(ROW(NS24),$I$11+(MATCH(NR$11,L.DATE,0))))&amp;":"&amp;(ADDRESS(ROW(NS24),$I$11+NS$11+(MATCH(NR$11,L.DATE,0))-1))),L.ABS.NP)=0,"",
xsom(INDIRECT((ADDRESS(ROW(NS24),$I$11+(MATCH(NR$11,L.DATE,0))))&amp;":"&amp;(ADDRESS(ROW(NS24),$I$11+NS$11+(MATCH(NR$11,L.DATE,0))-1))),L.ABS.NP,
INDIRECT((ADDRESS(ROW(NS24)+1,$I$11+(MATCH(NR$11,L.DATE,0))))&amp;":"&amp;(ADDRESS(ROW(NS24)+1,$I$11+NS$11+(MATCH(NR$11,L.DATE,0))-1)))))</f>
        <v/>
      </c>
      <c r="NT25" s="376" t="str" cm="1">
        <f t="array" aca="1" ref="NT25" ca="1">IF(xcomp(INDIRECT((ADDRESS(ROW(NT24),$I$11+(MATCH(NT$11,L.DATE,0))))&amp;":"&amp;(ADDRESS(ROW(NT24),$I$11+NU$11+(MATCH(NT$11,L.DATE,0))-1))),L.ABSP)=0,"",
xsom(INDIRECT((ADDRESS(ROW(NT24),$I$11+(MATCH(NT$11,L.DATE,0))))&amp;":"&amp;(ADDRESS(ROW(NT24),$I$11+NU$11+(MATCH(NT$11,L.DATE,0))-1))),L.ABSP,
INDIRECT((ADDRESS(ROW(NT24)+1,$I$11+(MATCH(NT$11,L.DATE,0))))&amp;":"&amp;(ADDRESS(ROW(NT24)+1,$I$11+NU$11+(MATCH(NT$11,L.DATE,0))-1)))))</f>
        <v/>
      </c>
      <c r="NU25" s="377" t="str" cm="1">
        <f t="array" aca="1" ref="NU25" ca="1">IF(xcomp(INDIRECT((ADDRESS(ROW(NU24),$I$11+(MATCH(NT$11,L.DATE,0))))&amp;":"&amp;(ADDRESS(ROW(NU24),$I$11+NU$11+(MATCH(NT$11,L.DATE,0))-1))),L.ABS.NP)=0,"",
xsom(INDIRECT((ADDRESS(ROW(NU24),$I$11+(MATCH(NT$11,L.DATE,0))))&amp;":"&amp;(ADDRESS(ROW(NU24),$I$11+NU$11+(MATCH(NT$11,L.DATE,0))-1))),L.ABS.NP,
INDIRECT((ADDRESS(ROW(NU24)+1,$I$11+(MATCH(NT$11,L.DATE,0))))&amp;":"&amp;(ADDRESS(ROW(NU24)+1,$I$11+NU$11+(MATCH(NT$11,L.DATE,0))-1)))))</f>
        <v/>
      </c>
      <c r="NV25" s="376" t="str" cm="1">
        <f t="array" aca="1" ref="NV25" ca="1">IF(xcomp(INDIRECT((ADDRESS(ROW(NV24),$I$11+(MATCH(NV$11,L.DATE,0))))&amp;":"&amp;(ADDRESS(ROW(NV24),$I$11+NW$11+(MATCH(NV$11,L.DATE,0))-1))),L.ABSP)=0,"",
xsom(INDIRECT((ADDRESS(ROW(NV24),$I$11+(MATCH(NV$11,L.DATE,0))))&amp;":"&amp;(ADDRESS(ROW(NV24),$I$11+NW$11+(MATCH(NV$11,L.DATE,0))-1))),L.ABSP,
INDIRECT((ADDRESS(ROW(NV24)+1,$I$11+(MATCH(NV$11,L.DATE,0))))&amp;":"&amp;(ADDRESS(ROW(NV24)+1,$I$11+NW$11+(MATCH(NV$11,L.DATE,0))-1)))))</f>
        <v/>
      </c>
      <c r="NW25" s="377" t="str" cm="1">
        <f t="array" aca="1" ref="NW25" ca="1">IF(xcomp(INDIRECT((ADDRESS(ROW(NW24),$I$11+(MATCH(NV$11,L.DATE,0))))&amp;":"&amp;(ADDRESS(ROW(NW24),$I$11+NW$11+(MATCH(NV$11,L.DATE,0))-1))),L.ABS.NP)=0,"",
xsom(INDIRECT((ADDRESS(ROW(NW24),$I$11+(MATCH(NV$11,L.DATE,0))))&amp;":"&amp;(ADDRESS(ROW(NW24),$I$11+NW$11+(MATCH(NV$11,L.DATE,0))-1))),L.ABS.NP,
INDIRECT((ADDRESS(ROW(NW24)+1,$I$11+(MATCH(NV$11,L.DATE,0))))&amp;":"&amp;(ADDRESS(ROW(NW24)+1,$I$11+NW$11+(MATCH(NV$11,L.DATE,0))-1)))))</f>
        <v/>
      </c>
      <c r="NX25" s="376" t="str" cm="1">
        <f t="array" aca="1" ref="NX25" ca="1">IF(xcomp(INDIRECT((ADDRESS(ROW(NX24),$I$11+(MATCH(NX$11,L.DATE,0))))&amp;":"&amp;(ADDRESS(ROW(NX24),$I$11+NY$11+(MATCH(NX$11,L.DATE,0))-1))),L.ABSP)=0,"",
xsom(INDIRECT((ADDRESS(ROW(NX24),$I$11+(MATCH(NX$11,L.DATE,0))))&amp;":"&amp;(ADDRESS(ROW(NX24),$I$11+NY$11+(MATCH(NX$11,L.DATE,0))-1))),L.ABSP,
INDIRECT((ADDRESS(ROW(NX24)+1,$I$11+(MATCH(NX$11,L.DATE,0))))&amp;":"&amp;(ADDRESS(ROW(NX24)+1,$I$11+NY$11+(MATCH(NX$11,L.DATE,0))-1)))))</f>
        <v/>
      </c>
      <c r="NY25" s="377" t="str" cm="1">
        <f t="array" aca="1" ref="NY25" ca="1">IF(xcomp(INDIRECT((ADDRESS(ROW(NY24),$I$11+(MATCH(NX$11,L.DATE,0))))&amp;":"&amp;(ADDRESS(ROW(NY24),$I$11+NY$11+(MATCH(NX$11,L.DATE,0))-1))),L.ABS.NP)=0,"",
xsom(INDIRECT((ADDRESS(ROW(NY24),$I$11+(MATCH(NX$11,L.DATE,0))))&amp;":"&amp;(ADDRESS(ROW(NY24),$I$11+NY$11+(MATCH(NX$11,L.DATE,0))-1))),L.ABS.NP,
INDIRECT((ADDRESS(ROW(NY24)+1,$I$11+(MATCH(NX$11,L.DATE,0))))&amp;":"&amp;(ADDRESS(ROW(NY24)+1,$I$11+NY$11+(MATCH(NX$11,L.DATE,0))-1)))))</f>
        <v/>
      </c>
      <c r="NZ25" s="376" t="str" cm="1">
        <f t="array" aca="1" ref="NZ25" ca="1">IF(xcomp(INDIRECT((ADDRESS(ROW(NZ24),$I$11+(MATCH(NZ$11,L.DATE,0))))&amp;":"&amp;(ADDRESS(ROW(NZ24),$I$11+OA$11+(MATCH(NZ$11,L.DATE,0))-1))),L.ABSP)=0,"",
xsom(INDIRECT((ADDRESS(ROW(NZ24),$I$11+(MATCH(NZ$11,L.DATE,0))))&amp;":"&amp;(ADDRESS(ROW(NZ24),$I$11+OA$11+(MATCH(NZ$11,L.DATE,0))-1))),L.ABSP,
INDIRECT((ADDRESS(ROW(NZ24)+1,$I$11+(MATCH(NZ$11,L.DATE,0))))&amp;":"&amp;(ADDRESS(ROW(NZ24)+1,$I$11+OA$11+(MATCH(NZ$11,L.DATE,0))-1)))))</f>
        <v/>
      </c>
      <c r="OA25" s="377" t="str" cm="1">
        <f t="array" aca="1" ref="OA25" ca="1">IF(xcomp(INDIRECT((ADDRESS(ROW(OA24),$I$11+(MATCH(NZ$11,L.DATE,0))))&amp;":"&amp;(ADDRESS(ROW(OA24),$I$11+OA$11+(MATCH(NZ$11,L.DATE,0))-1))),L.ABS.NP)=0,"",
xsom(INDIRECT((ADDRESS(ROW(OA24),$I$11+(MATCH(NZ$11,L.DATE,0))))&amp;":"&amp;(ADDRESS(ROW(OA24),$I$11+OA$11+(MATCH(NZ$11,L.DATE,0))-1))),L.ABS.NP,
INDIRECT((ADDRESS(ROW(OA24)+1,$I$11+(MATCH(NZ$11,L.DATE,0))))&amp;":"&amp;(ADDRESS(ROW(OA24)+1,$I$11+OA$11+(MATCH(NZ$11,L.DATE,0))-1)))))</f>
        <v/>
      </c>
      <c r="OB25" s="376" t="str" cm="1">
        <f t="array" aca="1" ref="OB25" ca="1">IF(xcomp(INDIRECT((ADDRESS(ROW(OB24),$I$11+(MATCH(OB$11,L.DATE,0))))&amp;":"&amp;(ADDRESS(ROW(OB24),$I$11+OC$11+(MATCH(OB$11,L.DATE,0))-1))),L.ABSP)=0,"",
xsom(INDIRECT((ADDRESS(ROW(OB24),$I$11+(MATCH(OB$11,L.DATE,0))))&amp;":"&amp;(ADDRESS(ROW(OB24),$I$11+OC$11+(MATCH(OB$11,L.DATE,0))-1))),L.ABSP,
INDIRECT((ADDRESS(ROW(OB24)+1,$I$11+(MATCH(OB$11,L.DATE,0))))&amp;":"&amp;(ADDRESS(ROW(OB24)+1,$I$11+OC$11+(MATCH(OB$11,L.DATE,0))-1)))))</f>
        <v/>
      </c>
      <c r="OC25" s="377" t="str" cm="1">
        <f t="array" aca="1" ref="OC25" ca="1">IF(xcomp(INDIRECT((ADDRESS(ROW(OC24),$I$11+(MATCH(OB$11,L.DATE,0))))&amp;":"&amp;(ADDRESS(ROW(OC24),$I$11+OC$11+(MATCH(OB$11,L.DATE,0))-1))),L.ABS.NP)=0,"",
xsom(INDIRECT((ADDRESS(ROW(OC24),$I$11+(MATCH(OB$11,L.DATE,0))))&amp;":"&amp;(ADDRESS(ROW(OC24),$I$11+OC$11+(MATCH(OB$11,L.DATE,0))-1))),L.ABS.NP,
INDIRECT((ADDRESS(ROW(OC24)+1,$I$11+(MATCH(OB$11,L.DATE,0))))&amp;":"&amp;(ADDRESS(ROW(OC24)+1,$I$11+OC$11+(MATCH(OB$11,L.DATE,0))-1)))))</f>
        <v/>
      </c>
      <c r="OD25" s="376" t="str" cm="1">
        <f t="array" aca="1" ref="OD25" ca="1">IF(xcomp(INDIRECT((ADDRESS(ROW(OD24),$I$11+(MATCH(OD$11,L.DATE,0))))&amp;":"&amp;(ADDRESS(ROW(OD24),$I$11+OE$11+(MATCH(OD$11,L.DATE,0))-1))),L.ABSP)=0,"",
xsom(INDIRECT((ADDRESS(ROW(OD24),$I$11+(MATCH(OD$11,L.DATE,0))))&amp;":"&amp;(ADDRESS(ROW(OD24),$I$11+OE$11+(MATCH(OD$11,L.DATE,0))-1))),L.ABSP,
INDIRECT((ADDRESS(ROW(OD24)+1,$I$11+(MATCH(OD$11,L.DATE,0))))&amp;":"&amp;(ADDRESS(ROW(OD24)+1,$I$11+OE$11+(MATCH(OD$11,L.DATE,0))-1)))))</f>
        <v/>
      </c>
      <c r="OE25" s="377" t="str" cm="1">
        <f t="array" aca="1" ref="OE25" ca="1">IF(xcomp(INDIRECT((ADDRESS(ROW(OE24),$I$11+(MATCH(OD$11,L.DATE,0))))&amp;":"&amp;(ADDRESS(ROW(OE24),$I$11+OE$11+(MATCH(OD$11,L.DATE,0))-1))),L.ABS.NP)=0,"",
xsom(INDIRECT((ADDRESS(ROW(OE24),$I$11+(MATCH(OD$11,L.DATE,0))))&amp;":"&amp;(ADDRESS(ROW(OE24),$I$11+OE$11+(MATCH(OD$11,L.DATE,0))-1))),L.ABS.NP,
INDIRECT((ADDRESS(ROW(OE24)+1,$I$11+(MATCH(OD$11,L.DATE,0))))&amp;":"&amp;(ADDRESS(ROW(OE24)+1,$I$11+OE$11+(MATCH(OD$11,L.DATE,0))-1)))))</f>
        <v/>
      </c>
      <c r="OF25" s="376" t="str" cm="1">
        <f t="array" aca="1" ref="OF25" ca="1">IF(xcomp(INDIRECT((ADDRESS(ROW(OF24),$I$11+(MATCH(OF$11,L.DATE,0))))&amp;":"&amp;(ADDRESS(ROW(OF24),$I$11+OG$11+(MATCH(OF$11,L.DATE,0))-1))),L.ABSP)=0,"",
xsom(INDIRECT((ADDRESS(ROW(OF24),$I$11+(MATCH(OF$11,L.DATE,0))))&amp;":"&amp;(ADDRESS(ROW(OF24),$I$11+OG$11+(MATCH(OF$11,L.DATE,0))-1))),L.ABSP,
INDIRECT((ADDRESS(ROW(OF24)+1,$I$11+(MATCH(OF$11,L.DATE,0))))&amp;":"&amp;(ADDRESS(ROW(OF24)+1,$I$11+OG$11+(MATCH(OF$11,L.DATE,0))-1)))))</f>
        <v/>
      </c>
      <c r="OG25" s="377" t="str" cm="1">
        <f t="array" aca="1" ref="OG25" ca="1">IF(xcomp(INDIRECT((ADDRESS(ROW(OG24),$I$11+(MATCH(OF$11,L.DATE,0))))&amp;":"&amp;(ADDRESS(ROW(OG24),$I$11+OG$11+(MATCH(OF$11,L.DATE,0))-1))),L.ABS.NP)=0,"",
xsom(INDIRECT((ADDRESS(ROW(OG24),$I$11+(MATCH(OF$11,L.DATE,0))))&amp;":"&amp;(ADDRESS(ROW(OG24),$I$11+OG$11+(MATCH(OF$11,L.DATE,0))-1))),L.ABS.NP,
INDIRECT((ADDRESS(ROW(OG24)+1,$I$11+(MATCH(OF$11,L.DATE,0))))&amp;":"&amp;(ADDRESS(ROW(OG24)+1,$I$11+OG$11+(MATCH(OF$11,L.DATE,0))-1)))))</f>
        <v/>
      </c>
      <c r="OH25" s="376" t="str" cm="1">
        <f t="array" aca="1" ref="OH25" ca="1">IF(xcomp(INDIRECT((ADDRESS(ROW(OH24),$I$11+(MATCH(OH$11,L.DATE,0))))&amp;":"&amp;(ADDRESS(ROW(OH24),$I$11+OI$11+(MATCH(OH$11,L.DATE,0))-1))),L.ABSP)=0,"",
xsom(INDIRECT((ADDRESS(ROW(OH24),$I$11+(MATCH(OH$11,L.DATE,0))))&amp;":"&amp;(ADDRESS(ROW(OH24),$I$11+OI$11+(MATCH(OH$11,L.DATE,0))-1))),L.ABSP,
INDIRECT((ADDRESS(ROW(OH24)+1,$I$11+(MATCH(OH$11,L.DATE,0))))&amp;":"&amp;(ADDRESS(ROW(OH24)+1,$I$11+OI$11+(MATCH(OH$11,L.DATE,0))-1)))))</f>
        <v/>
      </c>
      <c r="OI25" s="377" t="str" cm="1">
        <f t="array" aca="1" ref="OI25" ca="1">IF(xcomp(INDIRECT((ADDRESS(ROW(OI24),$I$11+(MATCH(OH$11,L.DATE,0))))&amp;":"&amp;(ADDRESS(ROW(OI24),$I$11+OI$11+(MATCH(OH$11,L.DATE,0))-1))),L.ABS.NP)=0,"",
xsom(INDIRECT((ADDRESS(ROW(OI24),$I$11+(MATCH(OH$11,L.DATE,0))))&amp;":"&amp;(ADDRESS(ROW(OI24),$I$11+OI$11+(MATCH(OH$11,L.DATE,0))-1))),L.ABS.NP,
INDIRECT((ADDRESS(ROW(OI24)+1,$I$11+(MATCH(OH$11,L.DATE,0))))&amp;":"&amp;(ADDRESS(ROW(OI24)+1,$I$11+OI$11+(MATCH(OH$11,L.DATE,0))-1)))))</f>
        <v/>
      </c>
      <c r="OJ25" s="376" t="str" cm="1">
        <f t="array" aca="1" ref="OJ25" ca="1">IF(xcomp(INDIRECT((ADDRESS(ROW(OJ24),$I$11+(MATCH(OJ$11,L.DATE,0))))&amp;":"&amp;(ADDRESS(ROW(OJ24),$I$11+OK$11+(MATCH(OJ$11,L.DATE,0))-1))),L.ABSP)=0,"",
xsom(INDIRECT((ADDRESS(ROW(OJ24),$I$11+(MATCH(OJ$11,L.DATE,0))))&amp;":"&amp;(ADDRESS(ROW(OJ24),$I$11+OK$11+(MATCH(OJ$11,L.DATE,0))-1))),L.ABSP,
INDIRECT((ADDRESS(ROW(OJ24)+1,$I$11+(MATCH(OJ$11,L.DATE,0))))&amp;":"&amp;(ADDRESS(ROW(OJ24)+1,$I$11+OK$11+(MATCH(OJ$11,L.DATE,0))-1)))))</f>
        <v/>
      </c>
      <c r="OK25" s="378" t="str" cm="1">
        <f t="array" aca="1" ref="OK25" ca="1">IF(xcomp(INDIRECT((ADDRESS(ROW(OK24),$I$11+(MATCH(OJ$11,L.DATE,0))))&amp;":"&amp;(ADDRESS(ROW(OK24),$I$11+OK$11+(MATCH(OJ$11,L.DATE,0))-1))),L.ABS.NP)=0,"",
xsom(INDIRECT((ADDRESS(ROW(OK24),$I$11+(MATCH(OJ$11,L.DATE,0))))&amp;":"&amp;(ADDRESS(ROW(OK24),$I$11+OK$11+(MATCH(OJ$11,L.DATE,0))-1))),L.ABS.NP,
INDIRECT((ADDRESS(ROW(OK24)+1,$I$11+(MATCH(OJ$11,L.DATE,0))))&amp;":"&amp;(ADDRESS(ROW(OK24)+1,$I$11+OK$11+(MATCH(OJ$11,L.DATE,0))-1)))))</f>
        <v/>
      </c>
    </row>
    <row r="26" spans="1:404" ht="12" customHeight="1" x14ac:dyDescent="0.3">
      <c r="A26" s="394">
        <v>930755</v>
      </c>
      <c r="B26" s="381" t="s">
        <v>495</v>
      </c>
      <c r="C26" s="53">
        <v>1</v>
      </c>
      <c r="D26" s="53" t="s">
        <v>18</v>
      </c>
      <c r="E26" s="53" t="s">
        <v>484</v>
      </c>
      <c r="F26" s="53" t="s">
        <v>13</v>
      </c>
      <c r="G26" s="104" t="s">
        <v>498</v>
      </c>
      <c r="H26" s="108">
        <v>1</v>
      </c>
      <c r="I26" s="28"/>
      <c r="J26" s="482"/>
      <c r="K26" s="483"/>
      <c r="L26" s="486"/>
      <c r="M26" s="482"/>
      <c r="N26" s="482"/>
      <c r="O26" s="482"/>
      <c r="P26" s="482"/>
      <c r="Q26" s="482"/>
      <c r="R26" s="482"/>
      <c r="S26" s="482"/>
      <c r="T26" s="482"/>
      <c r="U26" s="482"/>
      <c r="V26" s="482"/>
      <c r="W26" s="482"/>
      <c r="X26" s="482"/>
      <c r="Y26" s="482"/>
      <c r="Z26" s="482"/>
      <c r="AA26" s="482"/>
      <c r="AB26" s="482"/>
      <c r="AC26" s="482"/>
      <c r="AD26" s="482"/>
      <c r="AE26" s="482"/>
      <c r="AF26" s="482"/>
      <c r="AG26" s="482"/>
      <c r="AH26" s="482"/>
      <c r="AI26" s="482"/>
      <c r="AJ26" s="482"/>
      <c r="AK26" s="482"/>
      <c r="AL26" s="482"/>
      <c r="AM26" s="482"/>
      <c r="AN26" s="482"/>
      <c r="AO26" s="482"/>
      <c r="AP26" s="482"/>
      <c r="AQ26" s="482"/>
      <c r="AR26" s="482"/>
      <c r="AS26" s="482"/>
      <c r="AT26" s="482"/>
      <c r="AU26" s="482"/>
      <c r="AV26" s="482"/>
      <c r="AW26" s="482"/>
      <c r="AX26" s="482"/>
      <c r="AY26" s="482"/>
      <c r="AZ26" s="482"/>
      <c r="BA26" s="482"/>
      <c r="BB26" s="482"/>
      <c r="BC26" s="482"/>
      <c r="BD26" s="482"/>
      <c r="BE26" s="482"/>
      <c r="BF26" s="482"/>
      <c r="BG26" s="482"/>
      <c r="BH26" s="482"/>
      <c r="BI26" s="482"/>
      <c r="BJ26" s="482"/>
      <c r="BK26" s="482"/>
      <c r="BL26" s="482"/>
      <c r="BM26" s="482"/>
      <c r="BN26" s="482"/>
      <c r="BO26" s="484" t="s">
        <v>27</v>
      </c>
      <c r="BP26" s="484" t="s">
        <v>27</v>
      </c>
      <c r="BQ26" s="484" t="s">
        <v>27</v>
      </c>
      <c r="BR26" s="484" t="s">
        <v>27</v>
      </c>
      <c r="BS26" s="484" t="s">
        <v>27</v>
      </c>
      <c r="BT26" s="482"/>
      <c r="BU26" s="482"/>
      <c r="BV26" s="484" t="s">
        <v>27</v>
      </c>
      <c r="BW26" s="484" t="s">
        <v>27</v>
      </c>
      <c r="BX26" s="484" t="s">
        <v>27</v>
      </c>
      <c r="BY26" s="484" t="s">
        <v>27</v>
      </c>
      <c r="BZ26" s="484" t="s">
        <v>27</v>
      </c>
      <c r="CA26" s="482"/>
      <c r="CB26" s="482"/>
      <c r="CC26" s="484" t="s">
        <v>27</v>
      </c>
      <c r="CD26" s="484" t="s">
        <v>27</v>
      </c>
      <c r="CE26" s="484" t="s">
        <v>27</v>
      </c>
      <c r="CF26" s="484" t="s">
        <v>27</v>
      </c>
      <c r="CG26" s="484" t="s">
        <v>27</v>
      </c>
      <c r="CH26" s="482"/>
      <c r="CI26" s="482"/>
      <c r="CJ26" s="484" t="s">
        <v>27</v>
      </c>
      <c r="CK26" s="484" t="s">
        <v>27</v>
      </c>
      <c r="CL26" s="484" t="s">
        <v>27</v>
      </c>
      <c r="CM26" s="484" t="s">
        <v>27</v>
      </c>
      <c r="CN26" s="484" t="s">
        <v>27</v>
      </c>
      <c r="CO26" s="482"/>
      <c r="CP26" s="482"/>
      <c r="CQ26" s="484" t="s">
        <v>27</v>
      </c>
      <c r="CR26" s="484" t="s">
        <v>27</v>
      </c>
      <c r="CS26" s="484" t="s">
        <v>27</v>
      </c>
      <c r="CT26" s="484" t="s">
        <v>27</v>
      </c>
      <c r="CU26" s="484" t="s">
        <v>27</v>
      </c>
      <c r="CV26" s="482"/>
      <c r="CW26" s="482"/>
      <c r="CX26" s="482"/>
      <c r="CY26" s="482"/>
      <c r="CZ26" s="482"/>
      <c r="DA26" s="482"/>
      <c r="DB26" s="482"/>
      <c r="DC26" s="482"/>
      <c r="DD26" s="482"/>
      <c r="DE26" s="482"/>
      <c r="DF26" s="482"/>
      <c r="DG26" s="482"/>
      <c r="DH26" s="482"/>
      <c r="DI26" s="482"/>
      <c r="DJ26" s="482"/>
      <c r="DK26" s="482"/>
      <c r="DL26" s="482"/>
      <c r="DM26" s="482"/>
      <c r="DN26" s="482"/>
      <c r="DO26" s="482"/>
      <c r="DP26" s="482"/>
      <c r="DQ26" s="482"/>
      <c r="DR26" s="482"/>
      <c r="DS26" s="482"/>
      <c r="DT26" s="482"/>
      <c r="DU26" s="482"/>
      <c r="DV26" s="482"/>
      <c r="DW26" s="482"/>
      <c r="DX26" s="482"/>
      <c r="DY26" s="482"/>
      <c r="DZ26" s="482"/>
      <c r="EA26" s="482"/>
      <c r="EB26" s="482"/>
      <c r="EC26" s="482"/>
      <c r="ED26" s="482"/>
      <c r="EE26" s="482"/>
      <c r="EF26" s="482"/>
      <c r="EG26" s="482"/>
      <c r="EH26" s="482"/>
      <c r="EI26" s="482"/>
      <c r="EJ26" s="482"/>
      <c r="EK26" s="482"/>
      <c r="EL26" s="482"/>
      <c r="EM26" s="482"/>
      <c r="EN26" s="482"/>
      <c r="EO26" s="482"/>
      <c r="EP26" s="482"/>
      <c r="EQ26" s="482"/>
      <c r="ER26" s="482"/>
      <c r="ES26" s="482"/>
      <c r="ET26" s="482"/>
      <c r="EU26" s="482"/>
      <c r="EV26" s="482"/>
      <c r="EW26" s="482"/>
      <c r="EX26" s="482"/>
      <c r="EY26" s="482"/>
      <c r="EZ26" s="482"/>
      <c r="FA26" s="482"/>
      <c r="FB26" s="482"/>
      <c r="FC26" s="482"/>
      <c r="FD26" s="482"/>
      <c r="FE26" s="482"/>
      <c r="FF26" s="482"/>
      <c r="FG26" s="482"/>
      <c r="FH26" s="482"/>
      <c r="FI26" s="482"/>
      <c r="FJ26" s="482"/>
      <c r="FK26" s="482"/>
      <c r="FL26" s="482"/>
      <c r="FM26" s="482"/>
      <c r="FN26" s="482"/>
      <c r="FO26" s="482"/>
      <c r="FP26" s="482"/>
      <c r="FQ26" s="482"/>
      <c r="FR26" s="482"/>
      <c r="FS26" s="482"/>
      <c r="FT26" s="482"/>
      <c r="FU26" s="482"/>
      <c r="FV26" s="482"/>
      <c r="FW26" s="482"/>
      <c r="FX26" s="482"/>
      <c r="FY26" s="482"/>
      <c r="FZ26" s="482"/>
      <c r="GA26" s="482"/>
      <c r="GB26" s="482"/>
      <c r="GC26" s="482"/>
      <c r="GD26" s="482"/>
      <c r="GE26" s="482"/>
      <c r="GF26" s="482"/>
      <c r="GG26" s="482"/>
      <c r="GH26" s="482"/>
      <c r="GI26" s="482"/>
      <c r="GJ26" s="482"/>
      <c r="GK26" s="482"/>
      <c r="GL26" s="482"/>
      <c r="GM26" s="482"/>
      <c r="GN26" s="482"/>
      <c r="GO26" s="482"/>
      <c r="GP26" s="482"/>
      <c r="GQ26" s="482"/>
      <c r="GR26" s="482"/>
      <c r="GS26" s="482"/>
      <c r="GT26" s="482"/>
      <c r="GU26" s="482"/>
      <c r="GV26" s="482"/>
      <c r="GW26" s="482"/>
      <c r="GX26" s="482"/>
      <c r="GY26" s="482"/>
      <c r="GZ26" s="482"/>
      <c r="HA26" s="482"/>
      <c r="HB26" s="482"/>
      <c r="HC26" s="482"/>
      <c r="HD26" s="482"/>
      <c r="HE26" s="482"/>
      <c r="HF26" s="482"/>
      <c r="HG26" s="482"/>
      <c r="HH26" s="482"/>
      <c r="HI26" s="482"/>
      <c r="HJ26" s="482"/>
      <c r="HK26" s="482"/>
      <c r="HL26" s="482"/>
      <c r="HM26" s="482"/>
      <c r="HN26" s="482"/>
      <c r="HO26" s="482"/>
      <c r="HP26" s="482"/>
      <c r="HQ26" s="482"/>
      <c r="HR26" s="482"/>
      <c r="HS26" s="482"/>
      <c r="HT26" s="482"/>
      <c r="HU26" s="482"/>
      <c r="HV26" s="482"/>
      <c r="HW26" s="482"/>
      <c r="HX26" s="482"/>
      <c r="HY26" s="482"/>
      <c r="HZ26" s="482"/>
      <c r="IA26" s="482"/>
      <c r="IB26" s="482"/>
      <c r="IC26" s="482"/>
      <c r="ID26" s="482"/>
      <c r="IE26" s="482"/>
      <c r="IF26" s="482"/>
      <c r="IG26" s="482"/>
      <c r="IH26" s="482"/>
      <c r="II26" s="482"/>
      <c r="IJ26" s="482"/>
      <c r="IK26" s="482"/>
      <c r="IL26" s="482"/>
      <c r="IM26" s="482"/>
      <c r="IN26" s="482"/>
      <c r="IO26" s="482"/>
      <c r="IP26" s="482"/>
      <c r="IQ26" s="482"/>
      <c r="IR26" s="482"/>
      <c r="IS26" s="482"/>
      <c r="IT26" s="482"/>
      <c r="IU26" s="482"/>
      <c r="IV26" s="482"/>
      <c r="IW26" s="482"/>
      <c r="IX26" s="482"/>
      <c r="IY26" s="482"/>
      <c r="IZ26" s="482"/>
      <c r="JA26" s="482"/>
      <c r="JB26" s="482"/>
      <c r="JC26" s="482"/>
      <c r="JD26" s="482"/>
      <c r="JE26" s="482"/>
      <c r="JF26" s="482"/>
      <c r="JG26" s="482"/>
      <c r="JH26" s="482"/>
      <c r="JI26" s="482"/>
      <c r="JJ26" s="482"/>
      <c r="JK26" s="482"/>
      <c r="JL26" s="482"/>
      <c r="JM26" s="482"/>
      <c r="JN26" s="482"/>
      <c r="JO26" s="482"/>
      <c r="JP26" s="482"/>
      <c r="JQ26" s="482"/>
      <c r="JR26" s="482"/>
      <c r="JS26" s="482"/>
      <c r="JT26" s="482"/>
      <c r="JU26" s="482"/>
      <c r="JV26" s="482"/>
      <c r="JW26" s="482"/>
      <c r="JX26" s="482"/>
      <c r="JY26" s="482"/>
      <c r="JZ26" s="482"/>
      <c r="KA26" s="482"/>
      <c r="KB26" s="482"/>
      <c r="KC26" s="482"/>
      <c r="KD26" s="482"/>
      <c r="KE26" s="482"/>
      <c r="KF26" s="482"/>
      <c r="KG26" s="482"/>
      <c r="KH26" s="482"/>
      <c r="KI26" s="482"/>
      <c r="KJ26" s="482"/>
      <c r="KK26" s="482"/>
      <c r="KL26" s="482"/>
      <c r="KM26" s="482"/>
      <c r="KN26" s="482"/>
      <c r="KO26" s="482"/>
      <c r="KP26" s="482"/>
      <c r="KQ26" s="482"/>
      <c r="KR26" s="482"/>
      <c r="KS26" s="482"/>
      <c r="KT26" s="482"/>
      <c r="KU26" s="482"/>
      <c r="KV26" s="482"/>
      <c r="KW26" s="482"/>
      <c r="KX26" s="482"/>
      <c r="KY26" s="482"/>
      <c r="KZ26" s="482"/>
      <c r="LA26" s="482"/>
      <c r="LB26" s="482"/>
      <c r="LC26" s="482"/>
      <c r="LD26" s="482"/>
      <c r="LE26" s="482"/>
      <c r="LF26" s="482"/>
      <c r="LG26" s="482"/>
      <c r="LH26" s="482"/>
      <c r="LI26" s="482"/>
      <c r="LJ26" s="482"/>
      <c r="LK26" s="482"/>
      <c r="LL26" s="482"/>
      <c r="LM26" s="482"/>
      <c r="LN26" s="482"/>
      <c r="LO26" s="482"/>
      <c r="LP26" s="482"/>
      <c r="LQ26" s="482"/>
      <c r="LR26" s="482"/>
      <c r="LS26" s="482"/>
      <c r="LT26" s="482"/>
      <c r="LU26" s="482"/>
      <c r="LV26" s="482"/>
      <c r="LW26" s="482"/>
      <c r="LX26" s="482"/>
      <c r="LY26" s="482"/>
      <c r="LZ26" s="482"/>
      <c r="MA26" s="482"/>
      <c r="MB26" s="482"/>
      <c r="MC26" s="482"/>
      <c r="MD26" s="482"/>
      <c r="ME26" s="482"/>
      <c r="MF26" s="482"/>
      <c r="MG26" s="482"/>
      <c r="MH26" s="482"/>
      <c r="MI26" s="482"/>
      <c r="MJ26" s="482"/>
      <c r="MK26" s="482"/>
      <c r="ML26" s="482"/>
      <c r="MM26" s="482"/>
      <c r="MN26" s="482"/>
      <c r="MO26" s="482"/>
      <c r="MP26" s="482"/>
      <c r="MQ26" s="482"/>
      <c r="MR26" s="482"/>
      <c r="MS26" s="482"/>
      <c r="MT26" s="482"/>
      <c r="MU26" s="482"/>
      <c r="MV26" s="482"/>
      <c r="MW26" s="482"/>
      <c r="MX26" s="482"/>
      <c r="MY26" s="482"/>
      <c r="MZ26" s="482"/>
      <c r="NA26" s="482"/>
      <c r="NB26" s="482"/>
      <c r="NC26" s="482"/>
      <c r="ND26" s="482"/>
      <c r="NE26" s="482"/>
      <c r="NF26" s="482"/>
      <c r="NG26" s="482"/>
      <c r="NH26" s="482"/>
      <c r="NI26" s="482"/>
      <c r="NJ26" s="483"/>
      <c r="NK26" s="34"/>
      <c r="NM26" s="159">
        <f>A26</f>
        <v>930755</v>
      </c>
      <c r="NN26" s="373">
        <f ca="1">COUNTIF(INDIRECT((ADDRESS(ROW(NO27),$I$11+(MATCH(NN$11,L.DATE,0))))&amp;":"&amp;(ADDRESS(ROW(NO27),$I$11+NO$11+(MATCH(NN$11,L.DATE,0))-1))),"&gt;=0")-NO26</f>
        <v>0</v>
      </c>
      <c r="NO26" s="374">
        <f ca="1">SUM(INDIRECT((ADDRESS(ROW(NO27),$I$11+(MATCH(NN$11,L.DATE,0))))&amp;":"&amp;(ADDRESS(ROW(NO27),$I$11+NO$11+(MATCH(NN$11,L.DATE,0))-1))))</f>
        <v>0</v>
      </c>
      <c r="NP26" s="373">
        <f ca="1">COUNTIF(INDIRECT((ADDRESS(ROW(NQ27),$I$11+(MATCH(NP$11,L.DATE,0))))&amp;":"&amp;(ADDRESS(ROW(NQ27),$I$11+NQ$11+(MATCH(NP$11,L.DATE,0))-1))),"&gt;=0")-NQ26</f>
        <v>2</v>
      </c>
      <c r="NQ26" s="374">
        <f ca="1">SUM(INDIRECT((ADDRESS(ROW(NQ27),$I$11+(MATCH(NP$11,L.DATE,0))))&amp;":"&amp;(ADDRESS(ROW(NQ27),$I$11+NQ$11+(MATCH(NP$11,L.DATE,0))-1))))</f>
        <v>0</v>
      </c>
      <c r="NR26" s="373">
        <f ca="1">COUNTIF(INDIRECT((ADDRESS(ROW(NS27),$I$11+(MATCH(NR$11,L.DATE,0))))&amp;":"&amp;(ADDRESS(ROW(NS27),$I$11+NS$11+(MATCH(NR$11,L.DATE,0))-1))),"&gt;=0")-NS26</f>
        <v>23</v>
      </c>
      <c r="NS26" s="374">
        <f ca="1">SUM(INDIRECT((ADDRESS(ROW(NS27),$I$11+(MATCH(NR$11,L.DATE,0))))&amp;":"&amp;(ADDRESS(ROW(NS27),$I$11+NS$11+(MATCH(NR$11,L.DATE,0))-1))))</f>
        <v>0</v>
      </c>
      <c r="NT26" s="373">
        <f ca="1">COUNTIF(INDIRECT((ADDRESS(ROW(NU27),$I$11+(MATCH(NT$11,L.DATE,0))))&amp;":"&amp;(ADDRESS(ROW(NU27),$I$11+NU$11+(MATCH(NT$11,L.DATE,0))-1))),"&gt;=0")-NU26</f>
        <v>0</v>
      </c>
      <c r="NU26" s="374">
        <f ca="1">SUM(INDIRECT((ADDRESS(ROW(NU27),$I$11+(MATCH(NT$11,L.DATE,0))))&amp;":"&amp;(ADDRESS(ROW(NU27),$I$11+NU$11+(MATCH(NT$11,L.DATE,0))-1))))</f>
        <v>0</v>
      </c>
      <c r="NV26" s="373">
        <f ca="1">COUNTIF(INDIRECT((ADDRESS(ROW(NW27),$I$11+(MATCH(NV$11,L.DATE,0))))&amp;":"&amp;(ADDRESS(ROW(NW27),$I$11+NW$11+(MATCH(NV$11,L.DATE,0))-1))),"&gt;=0")-NW26</f>
        <v>0</v>
      </c>
      <c r="NW26" s="374">
        <f ca="1">SUM(INDIRECT((ADDRESS(ROW(NW27),$I$11+(MATCH(NV$11,L.DATE,0))))&amp;":"&amp;(ADDRESS(ROW(NW27),$I$11+NW$11+(MATCH(NV$11,L.DATE,0))-1))))</f>
        <v>0</v>
      </c>
      <c r="NX26" s="373">
        <f ca="1">COUNTIF(INDIRECT((ADDRESS(ROW(NY27),$I$11+(MATCH(NX$11,L.DATE,0))))&amp;":"&amp;(ADDRESS(ROW(NY27),$I$11+NY$11+(MATCH(NX$11,L.DATE,0))-1))),"&gt;=0")-NY26</f>
        <v>0</v>
      </c>
      <c r="NY26" s="374">
        <f ca="1">SUM(INDIRECT((ADDRESS(ROW(NY27),$I$11+(MATCH(NX$11,L.DATE,0))))&amp;":"&amp;(ADDRESS(ROW(NY27),$I$11+NY$11+(MATCH(NX$11,L.DATE,0))-1))))</f>
        <v>0</v>
      </c>
      <c r="NZ26" s="373">
        <f ca="1">COUNTIF(INDIRECT((ADDRESS(ROW(OA27),$I$11+(MATCH(NZ$11,L.DATE,0))))&amp;":"&amp;(ADDRESS(ROW(OA27),$I$11+OA$11+(MATCH(NZ$11,L.DATE,0))-1))),"&gt;=0")-OA26</f>
        <v>0</v>
      </c>
      <c r="OA26" s="374">
        <f ca="1">SUM(INDIRECT((ADDRESS(ROW(OA27),$I$11+(MATCH(NZ$11,L.DATE,0))))&amp;":"&amp;(ADDRESS(ROW(OA27),$I$11+OA$11+(MATCH(NZ$11,L.DATE,0))-1))))</f>
        <v>0</v>
      </c>
      <c r="OB26" s="373">
        <f ca="1">COUNTIF(INDIRECT((ADDRESS(ROW(OC27),$I$11+(MATCH(OB$11,L.DATE,0))))&amp;":"&amp;(ADDRESS(ROW(OC27),$I$11+OC$11+(MATCH(OB$11,L.DATE,0))-1))),"&gt;=0")-OC26</f>
        <v>0</v>
      </c>
      <c r="OC26" s="374">
        <f ca="1">SUM(INDIRECT((ADDRESS(ROW(OC27),$I$11+(MATCH(OB$11,L.DATE,0))))&amp;":"&amp;(ADDRESS(ROW(OC27),$I$11+OC$11+(MATCH(OB$11,L.DATE,0))-1))))</f>
        <v>0</v>
      </c>
      <c r="OD26" s="373">
        <f ca="1">COUNTIF(INDIRECT((ADDRESS(ROW(OE27),$I$11+(MATCH(OD$11,L.DATE,0))))&amp;":"&amp;(ADDRESS(ROW(OE27),$I$11+OE$11+(MATCH(OD$11,L.DATE,0))-1))),"&gt;=0")-OE26</f>
        <v>0</v>
      </c>
      <c r="OE26" s="374">
        <f ca="1">SUM(INDIRECT((ADDRESS(ROW(OE27),$I$11+(MATCH(OD$11,L.DATE,0))))&amp;":"&amp;(ADDRESS(ROW(OE27),$I$11+OE$11+(MATCH(OD$11,L.DATE,0))-1))))</f>
        <v>0</v>
      </c>
      <c r="OF26" s="373">
        <f ca="1">COUNTIF(INDIRECT((ADDRESS(ROW(OG27),$I$11+(MATCH(OF$11,L.DATE,0))))&amp;":"&amp;(ADDRESS(ROW(OG27),$I$11+OG$11+(MATCH(OF$11,L.DATE,0))-1))),"&gt;=0")-OG26</f>
        <v>0</v>
      </c>
      <c r="OG26" s="374">
        <f ca="1">SUM(INDIRECT((ADDRESS(ROW(OG27),$I$11+(MATCH(OF$11,L.DATE,0))))&amp;":"&amp;(ADDRESS(ROW(OG27),$I$11+OG$11+(MATCH(OF$11,L.DATE,0))-1))))</f>
        <v>0</v>
      </c>
      <c r="OH26" s="373">
        <f ca="1">COUNTIF(INDIRECT((ADDRESS(ROW(OI27),$I$11+(MATCH(OH$11,L.DATE,0))))&amp;":"&amp;(ADDRESS(ROW(OI27),$I$11+OI$11+(MATCH(OH$11,L.DATE,0))-1))),"&gt;=0")-OI26</f>
        <v>0</v>
      </c>
      <c r="OI26" s="374">
        <f ca="1">SUM(INDIRECT((ADDRESS(ROW(OI27),$I$11+(MATCH(OH$11,L.DATE,0))))&amp;":"&amp;(ADDRESS(ROW(OI27),$I$11+OI$11+(MATCH(OH$11,L.DATE,0))-1))))</f>
        <v>0</v>
      </c>
      <c r="OJ26" s="373">
        <f ca="1">COUNTIF(INDIRECT((ADDRESS(ROW(OK27),$I$11+(MATCH(OJ$11,L.DATE,0))))&amp;":"&amp;(ADDRESS(ROW(OK27),$I$11+OK$11+(MATCH(OJ$11,L.DATE,0))-1))),"&gt;=0")-OK26</f>
        <v>0</v>
      </c>
      <c r="OK26" s="375">
        <f ca="1">SUM(INDIRECT((ADDRESS(ROW(OK27),$I$11+(MATCH(OJ$11,L.DATE,0))))&amp;":"&amp;(ADDRESS(ROW(OK27),$I$11+OK$11+(MATCH(OJ$11,L.DATE,0))-1))))</f>
        <v>0</v>
      </c>
      <c r="OM26" s="39">
        <f ca="1">NN26+NP26+NR26+NT26+NV26+NX26+NZ26+OB26+OD26+OF26+OJ26+OH26</f>
        <v>25</v>
      </c>
      <c r="ON26" s="40">
        <f ca="1">NO26+NQ26+NS26+NU26+NW26+NY26+OA26+OC26+OE26+OG26+OK26+OI26</f>
        <v>0</v>
      </c>
    </row>
    <row r="27" spans="1:404" x14ac:dyDescent="0.3">
      <c r="A27" s="33"/>
      <c r="B27" s="460" t="str">
        <f>B26</f>
        <v>OUACHEK.Fatma</v>
      </c>
      <c r="C27" s="16">
        <f t="shared" ref="B27:H27" si="29">C26</f>
        <v>1</v>
      </c>
      <c r="D27" s="16" t="str">
        <f t="shared" si="29"/>
        <v>I2S</v>
      </c>
      <c r="E27" s="16" t="str">
        <f t="shared" si="29"/>
        <v>ITG</v>
      </c>
      <c r="F27" s="16" t="str">
        <f t="shared" si="29"/>
        <v>SL</v>
      </c>
      <c r="G27" s="105" t="str">
        <f t="shared" si="29"/>
        <v>N1</v>
      </c>
      <c r="H27" s="109">
        <f t="shared" si="29"/>
        <v>1</v>
      </c>
      <c r="I27" s="28"/>
      <c r="J27" s="482"/>
      <c r="K27" s="483"/>
      <c r="L27" s="486"/>
      <c r="M27" s="482"/>
      <c r="N27" s="482"/>
      <c r="O27" s="482"/>
      <c r="P27" s="482"/>
      <c r="Q27" s="482"/>
      <c r="R27" s="482"/>
      <c r="S27" s="482"/>
      <c r="T27" s="482"/>
      <c r="U27" s="482"/>
      <c r="V27" s="482"/>
      <c r="W27" s="482"/>
      <c r="X27" s="482"/>
      <c r="Y27" s="482"/>
      <c r="Z27" s="482"/>
      <c r="AA27" s="482"/>
      <c r="AB27" s="482"/>
      <c r="AC27" s="482"/>
      <c r="AD27" s="482"/>
      <c r="AE27" s="482"/>
      <c r="AF27" s="482"/>
      <c r="AG27" s="482"/>
      <c r="AH27" s="482"/>
      <c r="AI27" s="482"/>
      <c r="AJ27" s="482"/>
      <c r="AK27" s="482"/>
      <c r="AL27" s="482"/>
      <c r="AM27" s="482"/>
      <c r="AN27" s="482"/>
      <c r="AO27" s="482"/>
      <c r="AP27" s="482"/>
      <c r="AQ27" s="482"/>
      <c r="AR27" s="482"/>
      <c r="AS27" s="482"/>
      <c r="AT27" s="482"/>
      <c r="AU27" s="482"/>
      <c r="AV27" s="482"/>
      <c r="AW27" s="482"/>
      <c r="AX27" s="482"/>
      <c r="AY27" s="482"/>
      <c r="AZ27" s="482"/>
      <c r="BA27" s="482"/>
      <c r="BB27" s="482"/>
      <c r="BC27" s="482"/>
      <c r="BD27" s="482"/>
      <c r="BE27" s="482"/>
      <c r="BF27" s="482"/>
      <c r="BG27" s="482"/>
      <c r="BH27" s="482"/>
      <c r="BI27" s="482"/>
      <c r="BJ27" s="482"/>
      <c r="BK27" s="482"/>
      <c r="BL27" s="482"/>
      <c r="BM27" s="482"/>
      <c r="BN27" s="482"/>
      <c r="BO27" s="485">
        <v>0</v>
      </c>
      <c r="BP27" s="485">
        <v>0</v>
      </c>
      <c r="BQ27" s="485">
        <v>0</v>
      </c>
      <c r="BR27" s="485">
        <v>0</v>
      </c>
      <c r="BS27" s="485">
        <v>0</v>
      </c>
      <c r="BT27" s="482"/>
      <c r="BU27" s="482"/>
      <c r="BV27" s="485">
        <v>0</v>
      </c>
      <c r="BW27" s="485">
        <v>0</v>
      </c>
      <c r="BX27" s="485">
        <v>0</v>
      </c>
      <c r="BY27" s="485">
        <v>0</v>
      </c>
      <c r="BZ27" s="485">
        <v>0</v>
      </c>
      <c r="CA27" s="482"/>
      <c r="CB27" s="482"/>
      <c r="CC27" s="485">
        <v>0</v>
      </c>
      <c r="CD27" s="485">
        <v>0</v>
      </c>
      <c r="CE27" s="485">
        <v>0</v>
      </c>
      <c r="CF27" s="485">
        <v>0</v>
      </c>
      <c r="CG27" s="485">
        <v>0</v>
      </c>
      <c r="CH27" s="482"/>
      <c r="CI27" s="482"/>
      <c r="CJ27" s="485">
        <v>0</v>
      </c>
      <c r="CK27" s="485">
        <v>0</v>
      </c>
      <c r="CL27" s="485">
        <v>0</v>
      </c>
      <c r="CM27" s="485">
        <v>0</v>
      </c>
      <c r="CN27" s="485">
        <v>0</v>
      </c>
      <c r="CO27" s="482"/>
      <c r="CP27" s="482"/>
      <c r="CQ27" s="485">
        <v>0</v>
      </c>
      <c r="CR27" s="485">
        <v>0</v>
      </c>
      <c r="CS27" s="485">
        <v>0</v>
      </c>
      <c r="CT27" s="485">
        <v>0</v>
      </c>
      <c r="CU27" s="485">
        <v>0</v>
      </c>
      <c r="CV27" s="482"/>
      <c r="CW27" s="482"/>
      <c r="CX27" s="482"/>
      <c r="CY27" s="482"/>
      <c r="CZ27" s="482"/>
      <c r="DA27" s="482"/>
      <c r="DB27" s="482"/>
      <c r="DC27" s="482"/>
      <c r="DD27" s="482"/>
      <c r="DE27" s="482"/>
      <c r="DF27" s="482"/>
      <c r="DG27" s="482"/>
      <c r="DH27" s="482"/>
      <c r="DI27" s="482"/>
      <c r="DJ27" s="482"/>
      <c r="DK27" s="482"/>
      <c r="DL27" s="482"/>
      <c r="DM27" s="482"/>
      <c r="DN27" s="482"/>
      <c r="DO27" s="482"/>
      <c r="DP27" s="482"/>
      <c r="DQ27" s="482"/>
      <c r="DR27" s="482"/>
      <c r="DS27" s="482"/>
      <c r="DT27" s="482"/>
      <c r="DU27" s="482"/>
      <c r="DV27" s="482"/>
      <c r="DW27" s="482"/>
      <c r="DX27" s="482"/>
      <c r="DY27" s="482"/>
      <c r="DZ27" s="482"/>
      <c r="EA27" s="482"/>
      <c r="EB27" s="482"/>
      <c r="EC27" s="482"/>
      <c r="ED27" s="482"/>
      <c r="EE27" s="482"/>
      <c r="EF27" s="482"/>
      <c r="EG27" s="482"/>
      <c r="EH27" s="482"/>
      <c r="EI27" s="482"/>
      <c r="EJ27" s="482"/>
      <c r="EK27" s="482"/>
      <c r="EL27" s="482"/>
      <c r="EM27" s="482"/>
      <c r="EN27" s="482"/>
      <c r="EO27" s="482"/>
      <c r="EP27" s="482"/>
      <c r="EQ27" s="482"/>
      <c r="ER27" s="482"/>
      <c r="ES27" s="482"/>
      <c r="ET27" s="482"/>
      <c r="EU27" s="482"/>
      <c r="EV27" s="482"/>
      <c r="EW27" s="482"/>
      <c r="EX27" s="482"/>
      <c r="EY27" s="482"/>
      <c r="EZ27" s="482"/>
      <c r="FA27" s="482"/>
      <c r="FB27" s="482"/>
      <c r="FC27" s="482"/>
      <c r="FD27" s="482"/>
      <c r="FE27" s="482"/>
      <c r="FF27" s="482"/>
      <c r="FG27" s="482"/>
      <c r="FH27" s="482"/>
      <c r="FI27" s="482"/>
      <c r="FJ27" s="482"/>
      <c r="FK27" s="482"/>
      <c r="FL27" s="482"/>
      <c r="FM27" s="482"/>
      <c r="FN27" s="482"/>
      <c r="FO27" s="482"/>
      <c r="FP27" s="482"/>
      <c r="FQ27" s="482"/>
      <c r="FR27" s="482"/>
      <c r="FS27" s="482"/>
      <c r="FT27" s="482"/>
      <c r="FU27" s="482"/>
      <c r="FV27" s="482"/>
      <c r="FW27" s="482"/>
      <c r="FX27" s="482"/>
      <c r="FY27" s="482"/>
      <c r="FZ27" s="482"/>
      <c r="GA27" s="482"/>
      <c r="GB27" s="482"/>
      <c r="GC27" s="482"/>
      <c r="GD27" s="482"/>
      <c r="GE27" s="482"/>
      <c r="GF27" s="482"/>
      <c r="GG27" s="482"/>
      <c r="GH27" s="482"/>
      <c r="GI27" s="482"/>
      <c r="GJ27" s="482"/>
      <c r="GK27" s="482"/>
      <c r="GL27" s="482"/>
      <c r="GM27" s="482"/>
      <c r="GN27" s="482"/>
      <c r="GO27" s="482"/>
      <c r="GP27" s="482"/>
      <c r="GQ27" s="482"/>
      <c r="GR27" s="482"/>
      <c r="GS27" s="482"/>
      <c r="GT27" s="482"/>
      <c r="GU27" s="482"/>
      <c r="GV27" s="482"/>
      <c r="GW27" s="482"/>
      <c r="GX27" s="482"/>
      <c r="GY27" s="482"/>
      <c r="GZ27" s="482"/>
      <c r="HA27" s="482"/>
      <c r="HB27" s="482"/>
      <c r="HC27" s="482"/>
      <c r="HD27" s="482"/>
      <c r="HE27" s="482"/>
      <c r="HF27" s="482"/>
      <c r="HG27" s="482"/>
      <c r="HH27" s="482"/>
      <c r="HI27" s="482"/>
      <c r="HJ27" s="482"/>
      <c r="HK27" s="482"/>
      <c r="HL27" s="482"/>
      <c r="HM27" s="482"/>
      <c r="HN27" s="482"/>
      <c r="HO27" s="482"/>
      <c r="HP27" s="482"/>
      <c r="HQ27" s="482"/>
      <c r="HR27" s="482"/>
      <c r="HS27" s="482"/>
      <c r="HT27" s="482"/>
      <c r="HU27" s="482"/>
      <c r="HV27" s="482"/>
      <c r="HW27" s="482"/>
      <c r="HX27" s="482"/>
      <c r="HY27" s="482"/>
      <c r="HZ27" s="482"/>
      <c r="IA27" s="482"/>
      <c r="IB27" s="482"/>
      <c r="IC27" s="482"/>
      <c r="ID27" s="482"/>
      <c r="IE27" s="482"/>
      <c r="IF27" s="482"/>
      <c r="IG27" s="482"/>
      <c r="IH27" s="482"/>
      <c r="II27" s="482"/>
      <c r="IJ27" s="482"/>
      <c r="IK27" s="482"/>
      <c r="IL27" s="482"/>
      <c r="IM27" s="482"/>
      <c r="IN27" s="482"/>
      <c r="IO27" s="482"/>
      <c r="IP27" s="482"/>
      <c r="IQ27" s="482"/>
      <c r="IR27" s="482"/>
      <c r="IS27" s="482"/>
      <c r="IT27" s="482"/>
      <c r="IU27" s="482"/>
      <c r="IV27" s="482"/>
      <c r="IW27" s="482"/>
      <c r="IX27" s="482"/>
      <c r="IY27" s="482"/>
      <c r="IZ27" s="482"/>
      <c r="JA27" s="482"/>
      <c r="JB27" s="482"/>
      <c r="JC27" s="482"/>
      <c r="JD27" s="482"/>
      <c r="JE27" s="482"/>
      <c r="JF27" s="482"/>
      <c r="JG27" s="482"/>
      <c r="JH27" s="482"/>
      <c r="JI27" s="482"/>
      <c r="JJ27" s="482"/>
      <c r="JK27" s="482"/>
      <c r="JL27" s="482"/>
      <c r="JM27" s="482"/>
      <c r="JN27" s="482"/>
      <c r="JO27" s="482"/>
      <c r="JP27" s="482"/>
      <c r="JQ27" s="482"/>
      <c r="JR27" s="482"/>
      <c r="JS27" s="482"/>
      <c r="JT27" s="482"/>
      <c r="JU27" s="482"/>
      <c r="JV27" s="482"/>
      <c r="JW27" s="482"/>
      <c r="JX27" s="482"/>
      <c r="JY27" s="482"/>
      <c r="JZ27" s="482"/>
      <c r="KA27" s="482"/>
      <c r="KB27" s="482"/>
      <c r="KC27" s="482"/>
      <c r="KD27" s="482"/>
      <c r="KE27" s="482"/>
      <c r="KF27" s="482"/>
      <c r="KG27" s="482"/>
      <c r="KH27" s="482"/>
      <c r="KI27" s="482"/>
      <c r="KJ27" s="482"/>
      <c r="KK27" s="482"/>
      <c r="KL27" s="482"/>
      <c r="KM27" s="482"/>
      <c r="KN27" s="482"/>
      <c r="KO27" s="482"/>
      <c r="KP27" s="482"/>
      <c r="KQ27" s="482"/>
      <c r="KR27" s="482"/>
      <c r="KS27" s="482"/>
      <c r="KT27" s="482"/>
      <c r="KU27" s="482"/>
      <c r="KV27" s="482"/>
      <c r="KW27" s="482"/>
      <c r="KX27" s="482"/>
      <c r="KY27" s="482"/>
      <c r="KZ27" s="482"/>
      <c r="LA27" s="482"/>
      <c r="LB27" s="482"/>
      <c r="LC27" s="482"/>
      <c r="LD27" s="482"/>
      <c r="LE27" s="482"/>
      <c r="LF27" s="482"/>
      <c r="LG27" s="482"/>
      <c r="LH27" s="482"/>
      <c r="LI27" s="482"/>
      <c r="LJ27" s="482"/>
      <c r="LK27" s="482"/>
      <c r="LL27" s="482"/>
      <c r="LM27" s="482"/>
      <c r="LN27" s="482"/>
      <c r="LO27" s="482"/>
      <c r="LP27" s="482"/>
      <c r="LQ27" s="482"/>
      <c r="LR27" s="482"/>
      <c r="LS27" s="482"/>
      <c r="LT27" s="482"/>
      <c r="LU27" s="482"/>
      <c r="LV27" s="482"/>
      <c r="LW27" s="482"/>
      <c r="LX27" s="482"/>
      <c r="LY27" s="482"/>
      <c r="LZ27" s="482"/>
      <c r="MA27" s="482"/>
      <c r="MB27" s="482"/>
      <c r="MC27" s="482"/>
      <c r="MD27" s="482"/>
      <c r="ME27" s="482"/>
      <c r="MF27" s="482"/>
      <c r="MG27" s="482"/>
      <c r="MH27" s="482"/>
      <c r="MI27" s="482"/>
      <c r="MJ27" s="482"/>
      <c r="MK27" s="482"/>
      <c r="ML27" s="482"/>
      <c r="MM27" s="482"/>
      <c r="MN27" s="482"/>
      <c r="MO27" s="482"/>
      <c r="MP27" s="482"/>
      <c r="MQ27" s="482"/>
      <c r="MR27" s="482"/>
      <c r="MS27" s="482"/>
      <c r="MT27" s="482"/>
      <c r="MU27" s="482"/>
      <c r="MV27" s="482"/>
      <c r="MW27" s="482"/>
      <c r="MX27" s="482"/>
      <c r="MY27" s="482"/>
      <c r="MZ27" s="482"/>
      <c r="NA27" s="482"/>
      <c r="NB27" s="482"/>
      <c r="NC27" s="482"/>
      <c r="ND27" s="482"/>
      <c r="NE27" s="482"/>
      <c r="NF27" s="482"/>
      <c r="NG27" s="482"/>
      <c r="NH27" s="482"/>
      <c r="NI27" s="482"/>
      <c r="NJ27" s="483"/>
      <c r="NK27" s="34"/>
      <c r="NM27" s="379" t="str">
        <f>NM26&amp;".b"</f>
        <v>930755.b</v>
      </c>
      <c r="NN27" s="376" t="str" cm="1">
        <f t="array" aca="1" ref="NN27" ca="1">IF(xcomp(INDIRECT((ADDRESS(ROW(NN26),$I$11+(MATCH(NN$11,L.DATE,0))))&amp;":"&amp;(ADDRESS(ROW(NN26),$I$11+NO$11+(MATCH(NN$11,L.DATE,0))-1))),L.ABSP)=0,"",
xsom(INDIRECT((ADDRESS(ROW(NN26),$I$11+(MATCH(NN$11,L.DATE,0))))&amp;":"&amp;(ADDRESS(ROW(NN26),$I$11+NO$11+(MATCH(NN$11,L.DATE,0))-1))),L.ABSP,
INDIRECT((ADDRESS(ROW(NN26)+1,$I$11+(MATCH(NN$11,L.DATE,0))))&amp;":"&amp;(ADDRESS(ROW(NN26)+1,$I$11+NO$11+(MATCH(NN$11,L.DATE,0))-1)))))</f>
        <v/>
      </c>
      <c r="NO27" s="377" t="str" cm="1">
        <f t="array" aca="1" ref="NO27" ca="1">IF(xcomp(INDIRECT((ADDRESS(ROW(NO26),$I$11+(MATCH(NN$11,L.DATE,0))))&amp;":"&amp;(ADDRESS(ROW(NO26),$I$11+NO$11+(MATCH(NN$11,L.DATE,0))-1))),L.ABS.NP)=0,"",
xsom(INDIRECT((ADDRESS(ROW(NO26),$I$11+(MATCH(NN$11,L.DATE,0))))&amp;":"&amp;(ADDRESS(ROW(NO26),$I$11+NO$11+(MATCH(NN$11,L.DATE,0))-1))),L.ABS.NP,
INDIRECT((ADDRESS(ROW(NO26)+1,$I$11+(MATCH(NN$11,L.DATE,0))))&amp;":"&amp;(ADDRESS(ROW(NO26)+1,$I$11+NO$11+(MATCH(NN$11,L.DATE,0))-1)))))</f>
        <v/>
      </c>
      <c r="NP27" s="376" cm="1">
        <f t="array" aca="1" ref="NP27" ca="1">IF(xcomp(INDIRECT((ADDRESS(ROW(NP26),$I$11+(MATCH(NP$11,L.DATE,0))))&amp;":"&amp;(ADDRESS(ROW(NP26),$I$11+NQ$11+(MATCH(NP$11,L.DATE,0))-1))),L.ABSP)=0,"",
xsom(INDIRECT((ADDRESS(ROW(NP26),$I$11+(MATCH(NP$11,L.DATE,0))))&amp;":"&amp;(ADDRESS(ROW(NP26),$I$11+NQ$11+(MATCH(NP$11,L.DATE,0))-1))),L.ABSP,
INDIRECT((ADDRESS(ROW(NP26)+1,$I$11+(MATCH(NP$11,L.DATE,0))))&amp;":"&amp;(ADDRESS(ROW(NP26)+1,$I$11+NQ$11+(MATCH(NP$11,L.DATE,0))-1)))))</f>
        <v>2</v>
      </c>
      <c r="NQ27" s="377" t="str" cm="1">
        <f t="array" aca="1" ref="NQ27" ca="1">IF(xcomp(INDIRECT((ADDRESS(ROW(NQ26),$I$11+(MATCH(NP$11,L.DATE,0))))&amp;":"&amp;(ADDRESS(ROW(NQ26),$I$11+NQ$11+(MATCH(NP$11,L.DATE,0))-1))),L.ABS.NP)=0,"",
xsom(INDIRECT((ADDRESS(ROW(NQ26),$I$11+(MATCH(NP$11,L.DATE,0))))&amp;":"&amp;(ADDRESS(ROW(NQ26),$I$11+NQ$11+(MATCH(NP$11,L.DATE,0))-1))),L.ABS.NP,
INDIRECT((ADDRESS(ROW(NQ26)+1,$I$11+(MATCH(NP$11,L.DATE,0))))&amp;":"&amp;(ADDRESS(ROW(NQ26)+1,$I$11+NQ$11+(MATCH(NP$11,L.DATE,0))-1)))))</f>
        <v/>
      </c>
      <c r="NR27" s="376" cm="1">
        <f t="array" aca="1" ref="NR27" ca="1">IF(xcomp(INDIRECT((ADDRESS(ROW(NR26),$I$11+(MATCH(NR$11,L.DATE,0))))&amp;":"&amp;(ADDRESS(ROW(NR26),$I$11+NS$11+(MATCH(NR$11,L.DATE,0))-1))),L.ABSP)=0,"",
xsom(INDIRECT((ADDRESS(ROW(NR26),$I$11+(MATCH(NR$11,L.DATE,0))))&amp;":"&amp;(ADDRESS(ROW(NR26),$I$11+NS$11+(MATCH(NR$11,L.DATE,0))-1))),L.ABSP,
INDIRECT((ADDRESS(ROW(NR26)+1,$I$11+(MATCH(NR$11,L.DATE,0))))&amp;":"&amp;(ADDRESS(ROW(NR26)+1,$I$11+NS$11+(MATCH(NR$11,L.DATE,0))-1)))))</f>
        <v>23</v>
      </c>
      <c r="NS27" s="377" t="str" cm="1">
        <f t="array" aca="1" ref="NS27" ca="1">IF(xcomp(INDIRECT((ADDRESS(ROW(NS26),$I$11+(MATCH(NR$11,L.DATE,0))))&amp;":"&amp;(ADDRESS(ROW(NS26),$I$11+NS$11+(MATCH(NR$11,L.DATE,0))-1))),L.ABS.NP)=0,"",
xsom(INDIRECT((ADDRESS(ROW(NS26),$I$11+(MATCH(NR$11,L.DATE,0))))&amp;":"&amp;(ADDRESS(ROW(NS26),$I$11+NS$11+(MATCH(NR$11,L.DATE,0))-1))),L.ABS.NP,
INDIRECT((ADDRESS(ROW(NS26)+1,$I$11+(MATCH(NR$11,L.DATE,0))))&amp;":"&amp;(ADDRESS(ROW(NS26)+1,$I$11+NS$11+(MATCH(NR$11,L.DATE,0))-1)))))</f>
        <v/>
      </c>
      <c r="NT27" s="376" t="str" cm="1">
        <f t="array" aca="1" ref="NT27" ca="1">IF(xcomp(INDIRECT((ADDRESS(ROW(NT26),$I$11+(MATCH(NT$11,L.DATE,0))))&amp;":"&amp;(ADDRESS(ROW(NT26),$I$11+NU$11+(MATCH(NT$11,L.DATE,0))-1))),L.ABSP)=0,"",
xsom(INDIRECT((ADDRESS(ROW(NT26),$I$11+(MATCH(NT$11,L.DATE,0))))&amp;":"&amp;(ADDRESS(ROW(NT26),$I$11+NU$11+(MATCH(NT$11,L.DATE,0))-1))),L.ABSP,
INDIRECT((ADDRESS(ROW(NT26)+1,$I$11+(MATCH(NT$11,L.DATE,0))))&amp;":"&amp;(ADDRESS(ROW(NT26)+1,$I$11+NU$11+(MATCH(NT$11,L.DATE,0))-1)))))</f>
        <v/>
      </c>
      <c r="NU27" s="377" t="str" cm="1">
        <f t="array" aca="1" ref="NU27" ca="1">IF(xcomp(INDIRECT((ADDRESS(ROW(NU26),$I$11+(MATCH(NT$11,L.DATE,0))))&amp;":"&amp;(ADDRESS(ROW(NU26),$I$11+NU$11+(MATCH(NT$11,L.DATE,0))-1))),L.ABS.NP)=0,"",
xsom(INDIRECT((ADDRESS(ROW(NU26),$I$11+(MATCH(NT$11,L.DATE,0))))&amp;":"&amp;(ADDRESS(ROW(NU26),$I$11+NU$11+(MATCH(NT$11,L.DATE,0))-1))),L.ABS.NP,
INDIRECT((ADDRESS(ROW(NU26)+1,$I$11+(MATCH(NT$11,L.DATE,0))))&amp;":"&amp;(ADDRESS(ROW(NU26)+1,$I$11+NU$11+(MATCH(NT$11,L.DATE,0))-1)))))</f>
        <v/>
      </c>
      <c r="NV27" s="376" t="str" cm="1">
        <f t="array" aca="1" ref="NV27" ca="1">IF(xcomp(INDIRECT((ADDRESS(ROW(NV26),$I$11+(MATCH(NV$11,L.DATE,0))))&amp;":"&amp;(ADDRESS(ROW(NV26),$I$11+NW$11+(MATCH(NV$11,L.DATE,0))-1))),L.ABSP)=0,"",
xsom(INDIRECT((ADDRESS(ROW(NV26),$I$11+(MATCH(NV$11,L.DATE,0))))&amp;":"&amp;(ADDRESS(ROW(NV26),$I$11+NW$11+(MATCH(NV$11,L.DATE,0))-1))),L.ABSP,
INDIRECT((ADDRESS(ROW(NV26)+1,$I$11+(MATCH(NV$11,L.DATE,0))))&amp;":"&amp;(ADDRESS(ROW(NV26)+1,$I$11+NW$11+(MATCH(NV$11,L.DATE,0))-1)))))</f>
        <v/>
      </c>
      <c r="NW27" s="377" t="str" cm="1">
        <f t="array" aca="1" ref="NW27" ca="1">IF(xcomp(INDIRECT((ADDRESS(ROW(NW26),$I$11+(MATCH(NV$11,L.DATE,0))))&amp;":"&amp;(ADDRESS(ROW(NW26),$I$11+NW$11+(MATCH(NV$11,L.DATE,0))-1))),L.ABS.NP)=0,"",
xsom(INDIRECT((ADDRESS(ROW(NW26),$I$11+(MATCH(NV$11,L.DATE,0))))&amp;":"&amp;(ADDRESS(ROW(NW26),$I$11+NW$11+(MATCH(NV$11,L.DATE,0))-1))),L.ABS.NP,
INDIRECT((ADDRESS(ROW(NW26)+1,$I$11+(MATCH(NV$11,L.DATE,0))))&amp;":"&amp;(ADDRESS(ROW(NW26)+1,$I$11+NW$11+(MATCH(NV$11,L.DATE,0))-1)))))</f>
        <v/>
      </c>
      <c r="NX27" s="376" t="str" cm="1">
        <f t="array" aca="1" ref="NX27" ca="1">IF(xcomp(INDIRECT((ADDRESS(ROW(NX26),$I$11+(MATCH(NX$11,L.DATE,0))))&amp;":"&amp;(ADDRESS(ROW(NX26),$I$11+NY$11+(MATCH(NX$11,L.DATE,0))-1))),L.ABSP)=0,"",
xsom(INDIRECT((ADDRESS(ROW(NX26),$I$11+(MATCH(NX$11,L.DATE,0))))&amp;":"&amp;(ADDRESS(ROW(NX26),$I$11+NY$11+(MATCH(NX$11,L.DATE,0))-1))),L.ABSP,
INDIRECT((ADDRESS(ROW(NX26)+1,$I$11+(MATCH(NX$11,L.DATE,0))))&amp;":"&amp;(ADDRESS(ROW(NX26)+1,$I$11+NY$11+(MATCH(NX$11,L.DATE,0))-1)))))</f>
        <v/>
      </c>
      <c r="NY27" s="377" t="str" cm="1">
        <f t="array" aca="1" ref="NY27" ca="1">IF(xcomp(INDIRECT((ADDRESS(ROW(NY26),$I$11+(MATCH(NX$11,L.DATE,0))))&amp;":"&amp;(ADDRESS(ROW(NY26),$I$11+NY$11+(MATCH(NX$11,L.DATE,0))-1))),L.ABS.NP)=0,"",
xsom(INDIRECT((ADDRESS(ROW(NY26),$I$11+(MATCH(NX$11,L.DATE,0))))&amp;":"&amp;(ADDRESS(ROW(NY26),$I$11+NY$11+(MATCH(NX$11,L.DATE,0))-1))),L.ABS.NP,
INDIRECT((ADDRESS(ROW(NY26)+1,$I$11+(MATCH(NX$11,L.DATE,0))))&amp;":"&amp;(ADDRESS(ROW(NY26)+1,$I$11+NY$11+(MATCH(NX$11,L.DATE,0))-1)))))</f>
        <v/>
      </c>
      <c r="NZ27" s="376" t="str" cm="1">
        <f t="array" aca="1" ref="NZ27" ca="1">IF(xcomp(INDIRECT((ADDRESS(ROW(NZ26),$I$11+(MATCH(NZ$11,L.DATE,0))))&amp;":"&amp;(ADDRESS(ROW(NZ26),$I$11+OA$11+(MATCH(NZ$11,L.DATE,0))-1))),L.ABSP)=0,"",
xsom(INDIRECT((ADDRESS(ROW(NZ26),$I$11+(MATCH(NZ$11,L.DATE,0))))&amp;":"&amp;(ADDRESS(ROW(NZ26),$I$11+OA$11+(MATCH(NZ$11,L.DATE,0))-1))),L.ABSP,
INDIRECT((ADDRESS(ROW(NZ26)+1,$I$11+(MATCH(NZ$11,L.DATE,0))))&amp;":"&amp;(ADDRESS(ROW(NZ26)+1,$I$11+OA$11+(MATCH(NZ$11,L.DATE,0))-1)))))</f>
        <v/>
      </c>
      <c r="OA27" s="377" t="str" cm="1">
        <f t="array" aca="1" ref="OA27" ca="1">IF(xcomp(INDIRECT((ADDRESS(ROW(OA26),$I$11+(MATCH(NZ$11,L.DATE,0))))&amp;":"&amp;(ADDRESS(ROW(OA26),$I$11+OA$11+(MATCH(NZ$11,L.DATE,0))-1))),L.ABS.NP)=0,"",
xsom(INDIRECT((ADDRESS(ROW(OA26),$I$11+(MATCH(NZ$11,L.DATE,0))))&amp;":"&amp;(ADDRESS(ROW(OA26),$I$11+OA$11+(MATCH(NZ$11,L.DATE,0))-1))),L.ABS.NP,
INDIRECT((ADDRESS(ROW(OA26)+1,$I$11+(MATCH(NZ$11,L.DATE,0))))&amp;":"&amp;(ADDRESS(ROW(OA26)+1,$I$11+OA$11+(MATCH(NZ$11,L.DATE,0))-1)))))</f>
        <v/>
      </c>
      <c r="OB27" s="376" t="str" cm="1">
        <f t="array" aca="1" ref="OB27" ca="1">IF(xcomp(INDIRECT((ADDRESS(ROW(OB26),$I$11+(MATCH(OB$11,L.DATE,0))))&amp;":"&amp;(ADDRESS(ROW(OB26),$I$11+OC$11+(MATCH(OB$11,L.DATE,0))-1))),L.ABSP)=0,"",
xsom(INDIRECT((ADDRESS(ROW(OB26),$I$11+(MATCH(OB$11,L.DATE,0))))&amp;":"&amp;(ADDRESS(ROW(OB26),$I$11+OC$11+(MATCH(OB$11,L.DATE,0))-1))),L.ABSP,
INDIRECT((ADDRESS(ROW(OB26)+1,$I$11+(MATCH(OB$11,L.DATE,0))))&amp;":"&amp;(ADDRESS(ROW(OB26)+1,$I$11+OC$11+(MATCH(OB$11,L.DATE,0))-1)))))</f>
        <v/>
      </c>
      <c r="OC27" s="377" t="str" cm="1">
        <f t="array" aca="1" ref="OC27" ca="1">IF(xcomp(INDIRECT((ADDRESS(ROW(OC26),$I$11+(MATCH(OB$11,L.DATE,0))))&amp;":"&amp;(ADDRESS(ROW(OC26),$I$11+OC$11+(MATCH(OB$11,L.DATE,0))-1))),L.ABS.NP)=0,"",
xsom(INDIRECT((ADDRESS(ROW(OC26),$I$11+(MATCH(OB$11,L.DATE,0))))&amp;":"&amp;(ADDRESS(ROW(OC26),$I$11+OC$11+(MATCH(OB$11,L.DATE,0))-1))),L.ABS.NP,
INDIRECT((ADDRESS(ROW(OC26)+1,$I$11+(MATCH(OB$11,L.DATE,0))))&amp;":"&amp;(ADDRESS(ROW(OC26)+1,$I$11+OC$11+(MATCH(OB$11,L.DATE,0))-1)))))</f>
        <v/>
      </c>
      <c r="OD27" s="376" t="str" cm="1">
        <f t="array" aca="1" ref="OD27" ca="1">IF(xcomp(INDIRECT((ADDRESS(ROW(OD26),$I$11+(MATCH(OD$11,L.DATE,0))))&amp;":"&amp;(ADDRESS(ROW(OD26),$I$11+OE$11+(MATCH(OD$11,L.DATE,0))-1))),L.ABSP)=0,"",
xsom(INDIRECT((ADDRESS(ROW(OD26),$I$11+(MATCH(OD$11,L.DATE,0))))&amp;":"&amp;(ADDRESS(ROW(OD26),$I$11+OE$11+(MATCH(OD$11,L.DATE,0))-1))),L.ABSP,
INDIRECT((ADDRESS(ROW(OD26)+1,$I$11+(MATCH(OD$11,L.DATE,0))))&amp;":"&amp;(ADDRESS(ROW(OD26)+1,$I$11+OE$11+(MATCH(OD$11,L.DATE,0))-1)))))</f>
        <v/>
      </c>
      <c r="OE27" s="377" t="str" cm="1">
        <f t="array" aca="1" ref="OE27" ca="1">IF(xcomp(INDIRECT((ADDRESS(ROW(OE26),$I$11+(MATCH(OD$11,L.DATE,0))))&amp;":"&amp;(ADDRESS(ROW(OE26),$I$11+OE$11+(MATCH(OD$11,L.DATE,0))-1))),L.ABS.NP)=0,"",
xsom(INDIRECT((ADDRESS(ROW(OE26),$I$11+(MATCH(OD$11,L.DATE,0))))&amp;":"&amp;(ADDRESS(ROW(OE26),$I$11+OE$11+(MATCH(OD$11,L.DATE,0))-1))),L.ABS.NP,
INDIRECT((ADDRESS(ROW(OE26)+1,$I$11+(MATCH(OD$11,L.DATE,0))))&amp;":"&amp;(ADDRESS(ROW(OE26)+1,$I$11+OE$11+(MATCH(OD$11,L.DATE,0))-1)))))</f>
        <v/>
      </c>
      <c r="OF27" s="376" t="str" cm="1">
        <f t="array" aca="1" ref="OF27" ca="1">IF(xcomp(INDIRECT((ADDRESS(ROW(OF26),$I$11+(MATCH(OF$11,L.DATE,0))))&amp;":"&amp;(ADDRESS(ROW(OF26),$I$11+OG$11+(MATCH(OF$11,L.DATE,0))-1))),L.ABSP)=0,"",
xsom(INDIRECT((ADDRESS(ROW(OF26),$I$11+(MATCH(OF$11,L.DATE,0))))&amp;":"&amp;(ADDRESS(ROW(OF26),$I$11+OG$11+(MATCH(OF$11,L.DATE,0))-1))),L.ABSP,
INDIRECT((ADDRESS(ROW(OF26)+1,$I$11+(MATCH(OF$11,L.DATE,0))))&amp;":"&amp;(ADDRESS(ROW(OF26)+1,$I$11+OG$11+(MATCH(OF$11,L.DATE,0))-1)))))</f>
        <v/>
      </c>
      <c r="OG27" s="377" t="str" cm="1">
        <f t="array" aca="1" ref="OG27" ca="1">IF(xcomp(INDIRECT((ADDRESS(ROW(OG26),$I$11+(MATCH(OF$11,L.DATE,0))))&amp;":"&amp;(ADDRESS(ROW(OG26),$I$11+OG$11+(MATCH(OF$11,L.DATE,0))-1))),L.ABS.NP)=0,"",
xsom(INDIRECT((ADDRESS(ROW(OG26),$I$11+(MATCH(OF$11,L.DATE,0))))&amp;":"&amp;(ADDRESS(ROW(OG26),$I$11+OG$11+(MATCH(OF$11,L.DATE,0))-1))),L.ABS.NP,
INDIRECT((ADDRESS(ROW(OG26)+1,$I$11+(MATCH(OF$11,L.DATE,0))))&amp;":"&amp;(ADDRESS(ROW(OG26)+1,$I$11+OG$11+(MATCH(OF$11,L.DATE,0))-1)))))</f>
        <v/>
      </c>
      <c r="OH27" s="376" t="str" cm="1">
        <f t="array" aca="1" ref="OH27" ca="1">IF(xcomp(INDIRECT((ADDRESS(ROW(OH26),$I$11+(MATCH(OH$11,L.DATE,0))))&amp;":"&amp;(ADDRESS(ROW(OH26),$I$11+OI$11+(MATCH(OH$11,L.DATE,0))-1))),L.ABSP)=0,"",
xsom(INDIRECT((ADDRESS(ROW(OH26),$I$11+(MATCH(OH$11,L.DATE,0))))&amp;":"&amp;(ADDRESS(ROW(OH26),$I$11+OI$11+(MATCH(OH$11,L.DATE,0))-1))),L.ABSP,
INDIRECT((ADDRESS(ROW(OH26)+1,$I$11+(MATCH(OH$11,L.DATE,0))))&amp;":"&amp;(ADDRESS(ROW(OH26)+1,$I$11+OI$11+(MATCH(OH$11,L.DATE,0))-1)))))</f>
        <v/>
      </c>
      <c r="OI27" s="377" t="str" cm="1">
        <f t="array" aca="1" ref="OI27" ca="1">IF(xcomp(INDIRECT((ADDRESS(ROW(OI26),$I$11+(MATCH(OH$11,L.DATE,0))))&amp;":"&amp;(ADDRESS(ROW(OI26),$I$11+OI$11+(MATCH(OH$11,L.DATE,0))-1))),L.ABS.NP)=0,"",
xsom(INDIRECT((ADDRESS(ROW(OI26),$I$11+(MATCH(OH$11,L.DATE,0))))&amp;":"&amp;(ADDRESS(ROW(OI26),$I$11+OI$11+(MATCH(OH$11,L.DATE,0))-1))),L.ABS.NP,
INDIRECT((ADDRESS(ROW(OI26)+1,$I$11+(MATCH(OH$11,L.DATE,0))))&amp;":"&amp;(ADDRESS(ROW(OI26)+1,$I$11+OI$11+(MATCH(OH$11,L.DATE,0))-1)))))</f>
        <v/>
      </c>
      <c r="OJ27" s="376" t="str" cm="1">
        <f t="array" aca="1" ref="OJ27" ca="1">IF(xcomp(INDIRECT((ADDRESS(ROW(OJ26),$I$11+(MATCH(OJ$11,L.DATE,0))))&amp;":"&amp;(ADDRESS(ROW(OJ26),$I$11+OK$11+(MATCH(OJ$11,L.DATE,0))-1))),L.ABSP)=0,"",
xsom(INDIRECT((ADDRESS(ROW(OJ26),$I$11+(MATCH(OJ$11,L.DATE,0))))&amp;":"&amp;(ADDRESS(ROW(OJ26),$I$11+OK$11+(MATCH(OJ$11,L.DATE,0))-1))),L.ABSP,
INDIRECT((ADDRESS(ROW(OJ26)+1,$I$11+(MATCH(OJ$11,L.DATE,0))))&amp;":"&amp;(ADDRESS(ROW(OJ26)+1,$I$11+OK$11+(MATCH(OJ$11,L.DATE,0))-1)))))</f>
        <v/>
      </c>
      <c r="OK27" s="378" t="str" cm="1">
        <f t="array" aca="1" ref="OK27" ca="1">IF(xcomp(INDIRECT((ADDRESS(ROW(OK26),$I$11+(MATCH(OJ$11,L.DATE,0))))&amp;":"&amp;(ADDRESS(ROW(OK26),$I$11+OK$11+(MATCH(OJ$11,L.DATE,0))-1))),L.ABS.NP)=0,"",
xsom(INDIRECT((ADDRESS(ROW(OK26),$I$11+(MATCH(OJ$11,L.DATE,0))))&amp;":"&amp;(ADDRESS(ROW(OK26),$I$11+OK$11+(MATCH(OJ$11,L.DATE,0))-1))),L.ABS.NP,
INDIRECT((ADDRESS(ROW(OK26)+1,$I$11+(MATCH(OJ$11,L.DATE,0))))&amp;":"&amp;(ADDRESS(ROW(OK26)+1,$I$11+OK$11+(MATCH(OJ$11,L.DATE,0))-1)))))</f>
        <v/>
      </c>
    </row>
    <row r="28" spans="1:404" ht="12" customHeight="1" x14ac:dyDescent="0.3">
      <c r="A28" s="394">
        <v>114720</v>
      </c>
      <c r="B28" s="381" t="s">
        <v>496</v>
      </c>
      <c r="C28" s="53">
        <v>1</v>
      </c>
      <c r="D28" s="392" t="s">
        <v>18</v>
      </c>
      <c r="E28" s="392" t="s">
        <v>484</v>
      </c>
      <c r="F28" s="392" t="s">
        <v>13</v>
      </c>
      <c r="G28" s="104" t="s">
        <v>498</v>
      </c>
      <c r="H28" s="108">
        <v>1</v>
      </c>
      <c r="I28" s="28"/>
      <c r="J28" s="482"/>
      <c r="K28" s="483"/>
      <c r="L28" s="486"/>
      <c r="M28" s="482"/>
      <c r="N28" s="482"/>
      <c r="O28" s="482"/>
      <c r="P28" s="482"/>
      <c r="Q28" s="482"/>
      <c r="R28" s="482"/>
      <c r="S28" s="482"/>
      <c r="T28" s="482"/>
      <c r="U28" s="482"/>
      <c r="V28" s="482"/>
      <c r="W28" s="482"/>
      <c r="X28" s="482"/>
      <c r="Y28" s="482"/>
      <c r="Z28" s="482"/>
      <c r="AA28" s="482"/>
      <c r="AB28" s="482"/>
      <c r="AC28" s="482"/>
      <c r="AD28" s="482"/>
      <c r="AE28" s="482"/>
      <c r="AF28" s="482"/>
      <c r="AG28" s="482"/>
      <c r="AH28" s="482"/>
      <c r="AI28" s="482"/>
      <c r="AJ28" s="482"/>
      <c r="AK28" s="482"/>
      <c r="AL28" s="482"/>
      <c r="AM28" s="482"/>
      <c r="AN28" s="482"/>
      <c r="AO28" s="482"/>
      <c r="AP28" s="482"/>
      <c r="AQ28" s="482"/>
      <c r="AR28" s="482"/>
      <c r="AS28" s="482"/>
      <c r="AT28" s="482"/>
      <c r="AU28" s="482"/>
      <c r="AV28" s="482"/>
      <c r="AW28" s="482"/>
      <c r="AX28" s="482"/>
      <c r="AY28" s="482"/>
      <c r="AZ28" s="482"/>
      <c r="BA28" s="482"/>
      <c r="BB28" s="482"/>
      <c r="BC28" s="482"/>
      <c r="BD28" s="482"/>
      <c r="BE28" s="482"/>
      <c r="BF28" s="482"/>
      <c r="BG28" s="482"/>
      <c r="BH28" s="482"/>
      <c r="BI28" s="482"/>
      <c r="BJ28" s="482"/>
      <c r="BK28" s="482"/>
      <c r="BL28" s="482"/>
      <c r="BM28" s="482"/>
      <c r="BN28" s="482"/>
      <c r="BO28" s="482"/>
      <c r="BP28" s="482"/>
      <c r="BQ28" s="482"/>
      <c r="BR28" s="482"/>
      <c r="BS28" s="482"/>
      <c r="BT28" s="482"/>
      <c r="BU28" s="482"/>
      <c r="BV28" s="482"/>
      <c r="BW28" s="482"/>
      <c r="BX28" s="482"/>
      <c r="BY28" s="482"/>
      <c r="BZ28" s="482"/>
      <c r="CA28" s="482"/>
      <c r="CB28" s="482"/>
      <c r="CC28" s="484" t="s">
        <v>27</v>
      </c>
      <c r="CD28" s="484" t="s">
        <v>27</v>
      </c>
      <c r="CE28" s="484" t="s">
        <v>27</v>
      </c>
      <c r="CF28" s="484" t="s">
        <v>27</v>
      </c>
      <c r="CG28" s="484" t="s">
        <v>27</v>
      </c>
      <c r="CH28" s="482"/>
      <c r="CI28" s="482"/>
      <c r="CJ28" s="484" t="s">
        <v>27</v>
      </c>
      <c r="CK28" s="484" t="s">
        <v>27</v>
      </c>
      <c r="CL28" s="484" t="s">
        <v>27</v>
      </c>
      <c r="CM28" s="484" t="s">
        <v>27</v>
      </c>
      <c r="CN28" s="484" t="s">
        <v>27</v>
      </c>
      <c r="CO28" s="482"/>
      <c r="CP28" s="482"/>
      <c r="CQ28" s="484" t="s">
        <v>27</v>
      </c>
      <c r="CR28" s="484" t="s">
        <v>27</v>
      </c>
      <c r="CS28" s="484" t="s">
        <v>27</v>
      </c>
      <c r="CT28" s="484" t="s">
        <v>27</v>
      </c>
      <c r="CU28" s="484" t="s">
        <v>27</v>
      </c>
      <c r="CV28" s="482"/>
      <c r="CW28" s="482"/>
      <c r="CX28" s="482"/>
      <c r="CY28" s="482"/>
      <c r="CZ28" s="482"/>
      <c r="DA28" s="482"/>
      <c r="DB28" s="482"/>
      <c r="DC28" s="482"/>
      <c r="DD28" s="482"/>
      <c r="DE28" s="482"/>
      <c r="DF28" s="482"/>
      <c r="DG28" s="482"/>
      <c r="DH28" s="482"/>
      <c r="DI28" s="482"/>
      <c r="DJ28" s="482"/>
      <c r="DK28" s="482"/>
      <c r="DL28" s="482"/>
      <c r="DM28" s="482"/>
      <c r="DN28" s="482"/>
      <c r="DO28" s="482"/>
      <c r="DP28" s="482"/>
      <c r="DQ28" s="482"/>
      <c r="DR28" s="482"/>
      <c r="DS28" s="482"/>
      <c r="DT28" s="482"/>
      <c r="DU28" s="482"/>
      <c r="DV28" s="482"/>
      <c r="DW28" s="482"/>
      <c r="DX28" s="482"/>
      <c r="DY28" s="482"/>
      <c r="DZ28" s="482"/>
      <c r="EA28" s="482"/>
      <c r="EB28" s="482"/>
      <c r="EC28" s="482"/>
      <c r="ED28" s="482"/>
      <c r="EE28" s="482"/>
      <c r="EF28" s="482"/>
      <c r="EG28" s="482"/>
      <c r="EH28" s="482"/>
      <c r="EI28" s="482"/>
      <c r="EJ28" s="482"/>
      <c r="EK28" s="482"/>
      <c r="EL28" s="482"/>
      <c r="EM28" s="482"/>
      <c r="EN28" s="482"/>
      <c r="EO28" s="482"/>
      <c r="EP28" s="482"/>
      <c r="EQ28" s="482"/>
      <c r="ER28" s="482"/>
      <c r="ES28" s="482"/>
      <c r="ET28" s="482"/>
      <c r="EU28" s="482"/>
      <c r="EV28" s="482"/>
      <c r="EW28" s="482"/>
      <c r="EX28" s="482"/>
      <c r="EY28" s="482"/>
      <c r="EZ28" s="482"/>
      <c r="FA28" s="482"/>
      <c r="FB28" s="482"/>
      <c r="FC28" s="482"/>
      <c r="FD28" s="482"/>
      <c r="FE28" s="482"/>
      <c r="FF28" s="482"/>
      <c r="FG28" s="482"/>
      <c r="FH28" s="482"/>
      <c r="FI28" s="482"/>
      <c r="FJ28" s="482"/>
      <c r="FK28" s="482"/>
      <c r="FL28" s="482"/>
      <c r="FM28" s="482"/>
      <c r="FN28" s="482"/>
      <c r="FO28" s="482"/>
      <c r="FP28" s="482"/>
      <c r="FQ28" s="482"/>
      <c r="FR28" s="482"/>
      <c r="FS28" s="482"/>
      <c r="FT28" s="482"/>
      <c r="FU28" s="482"/>
      <c r="FV28" s="482"/>
      <c r="FW28" s="482"/>
      <c r="FX28" s="482"/>
      <c r="FY28" s="482"/>
      <c r="FZ28" s="482"/>
      <c r="GA28" s="482"/>
      <c r="GB28" s="482"/>
      <c r="GC28" s="482"/>
      <c r="GD28" s="482"/>
      <c r="GE28" s="482"/>
      <c r="GF28" s="482"/>
      <c r="GG28" s="482"/>
      <c r="GH28" s="482"/>
      <c r="GI28" s="482"/>
      <c r="GJ28" s="482"/>
      <c r="GK28" s="482"/>
      <c r="GL28" s="482"/>
      <c r="GM28" s="482"/>
      <c r="GN28" s="482"/>
      <c r="GO28" s="482"/>
      <c r="GP28" s="482"/>
      <c r="GQ28" s="482"/>
      <c r="GR28" s="482"/>
      <c r="GS28" s="482"/>
      <c r="GT28" s="482"/>
      <c r="GU28" s="482"/>
      <c r="GV28" s="482"/>
      <c r="GW28" s="482"/>
      <c r="GX28" s="482"/>
      <c r="GY28" s="482"/>
      <c r="GZ28" s="482"/>
      <c r="HA28" s="482"/>
      <c r="HB28" s="482"/>
      <c r="HC28" s="482"/>
      <c r="HD28" s="482"/>
      <c r="HE28" s="482"/>
      <c r="HF28" s="482"/>
      <c r="HG28" s="482"/>
      <c r="HH28" s="482"/>
      <c r="HI28" s="482"/>
      <c r="HJ28" s="482"/>
      <c r="HK28" s="482"/>
      <c r="HL28" s="482"/>
      <c r="HM28" s="482"/>
      <c r="HN28" s="482"/>
      <c r="HO28" s="482"/>
      <c r="HP28" s="482"/>
      <c r="HQ28" s="482"/>
      <c r="HR28" s="482"/>
      <c r="HS28" s="482"/>
      <c r="HT28" s="482"/>
      <c r="HU28" s="482"/>
      <c r="HV28" s="482"/>
      <c r="HW28" s="482"/>
      <c r="HX28" s="482"/>
      <c r="HY28" s="482"/>
      <c r="HZ28" s="482"/>
      <c r="IA28" s="482"/>
      <c r="IB28" s="482"/>
      <c r="IC28" s="482"/>
      <c r="ID28" s="482"/>
      <c r="IE28" s="482"/>
      <c r="IF28" s="482"/>
      <c r="IG28" s="482"/>
      <c r="IH28" s="482"/>
      <c r="II28" s="482"/>
      <c r="IJ28" s="482"/>
      <c r="IK28" s="482"/>
      <c r="IL28" s="482"/>
      <c r="IM28" s="482"/>
      <c r="IN28" s="482"/>
      <c r="IO28" s="482"/>
      <c r="IP28" s="482"/>
      <c r="IQ28" s="482"/>
      <c r="IR28" s="482"/>
      <c r="IS28" s="482"/>
      <c r="IT28" s="482"/>
      <c r="IU28" s="482"/>
      <c r="IV28" s="482"/>
      <c r="IW28" s="482"/>
      <c r="IX28" s="482"/>
      <c r="IY28" s="482"/>
      <c r="IZ28" s="482"/>
      <c r="JA28" s="482"/>
      <c r="JB28" s="482"/>
      <c r="JC28" s="482"/>
      <c r="JD28" s="482"/>
      <c r="JE28" s="482"/>
      <c r="JF28" s="482"/>
      <c r="JG28" s="482"/>
      <c r="JH28" s="482"/>
      <c r="JI28" s="482"/>
      <c r="JJ28" s="482"/>
      <c r="JK28" s="482"/>
      <c r="JL28" s="482"/>
      <c r="JM28" s="482"/>
      <c r="JN28" s="482"/>
      <c r="JO28" s="482"/>
      <c r="JP28" s="482"/>
      <c r="JQ28" s="482"/>
      <c r="JR28" s="482"/>
      <c r="JS28" s="482"/>
      <c r="JT28" s="482"/>
      <c r="JU28" s="482"/>
      <c r="JV28" s="482"/>
      <c r="JW28" s="482"/>
      <c r="JX28" s="482"/>
      <c r="JY28" s="482"/>
      <c r="JZ28" s="482"/>
      <c r="KA28" s="482"/>
      <c r="KB28" s="482"/>
      <c r="KC28" s="482"/>
      <c r="KD28" s="482"/>
      <c r="KE28" s="482"/>
      <c r="KF28" s="482"/>
      <c r="KG28" s="482"/>
      <c r="KH28" s="482"/>
      <c r="KI28" s="482"/>
      <c r="KJ28" s="482"/>
      <c r="KK28" s="482"/>
      <c r="KL28" s="482"/>
      <c r="KM28" s="482"/>
      <c r="KN28" s="482"/>
      <c r="KO28" s="482"/>
      <c r="KP28" s="482"/>
      <c r="KQ28" s="482"/>
      <c r="KR28" s="482"/>
      <c r="KS28" s="482"/>
      <c r="KT28" s="482"/>
      <c r="KU28" s="482"/>
      <c r="KV28" s="482"/>
      <c r="KW28" s="482"/>
      <c r="KX28" s="482"/>
      <c r="KY28" s="482"/>
      <c r="KZ28" s="482"/>
      <c r="LA28" s="482"/>
      <c r="LB28" s="482"/>
      <c r="LC28" s="482"/>
      <c r="LD28" s="482"/>
      <c r="LE28" s="482"/>
      <c r="LF28" s="482"/>
      <c r="LG28" s="482"/>
      <c r="LH28" s="482"/>
      <c r="LI28" s="482"/>
      <c r="LJ28" s="482"/>
      <c r="LK28" s="482"/>
      <c r="LL28" s="482"/>
      <c r="LM28" s="482"/>
      <c r="LN28" s="482"/>
      <c r="LO28" s="482"/>
      <c r="LP28" s="482"/>
      <c r="LQ28" s="482"/>
      <c r="LR28" s="482"/>
      <c r="LS28" s="482"/>
      <c r="LT28" s="482"/>
      <c r="LU28" s="482"/>
      <c r="LV28" s="482"/>
      <c r="LW28" s="482"/>
      <c r="LX28" s="482"/>
      <c r="LY28" s="482"/>
      <c r="LZ28" s="482"/>
      <c r="MA28" s="482"/>
      <c r="MB28" s="482"/>
      <c r="MC28" s="482"/>
      <c r="MD28" s="482"/>
      <c r="ME28" s="482"/>
      <c r="MF28" s="482"/>
      <c r="MG28" s="482"/>
      <c r="MH28" s="482"/>
      <c r="MI28" s="482"/>
      <c r="MJ28" s="482"/>
      <c r="MK28" s="482"/>
      <c r="ML28" s="482"/>
      <c r="MM28" s="482"/>
      <c r="MN28" s="482"/>
      <c r="MO28" s="482"/>
      <c r="MP28" s="482"/>
      <c r="MQ28" s="482"/>
      <c r="MR28" s="482"/>
      <c r="MS28" s="482"/>
      <c r="MT28" s="482"/>
      <c r="MU28" s="482"/>
      <c r="MV28" s="482"/>
      <c r="MW28" s="482"/>
      <c r="MX28" s="482"/>
      <c r="MY28" s="482"/>
      <c r="MZ28" s="482"/>
      <c r="NA28" s="482"/>
      <c r="NB28" s="482"/>
      <c r="NC28" s="482"/>
      <c r="ND28" s="482"/>
      <c r="NE28" s="482"/>
      <c r="NF28" s="482"/>
      <c r="NG28" s="482"/>
      <c r="NH28" s="482"/>
      <c r="NI28" s="482"/>
      <c r="NJ28" s="483"/>
      <c r="NK28" s="34"/>
      <c r="NM28" s="159">
        <f>A28</f>
        <v>114720</v>
      </c>
      <c r="NN28" s="373">
        <f ca="1">COUNTIF(INDIRECT((ADDRESS(ROW(NO29),$I$11+(MATCH(NN$11,L.DATE,0))))&amp;":"&amp;(ADDRESS(ROW(NO29),$I$11+NO$11+(MATCH(NN$11,L.DATE,0))-1))),"&gt;=0")-NO28</f>
        <v>0</v>
      </c>
      <c r="NO28" s="374">
        <f ca="1">SUM(INDIRECT((ADDRESS(ROW(NO29),$I$11+(MATCH(NN$11,L.DATE,0))))&amp;":"&amp;(ADDRESS(ROW(NO29),$I$11+NO$11+(MATCH(NN$11,L.DATE,0))-1))))</f>
        <v>0</v>
      </c>
      <c r="NP28" s="373">
        <f ca="1">COUNTIF(INDIRECT((ADDRESS(ROW(NQ29),$I$11+(MATCH(NP$11,L.DATE,0))))&amp;":"&amp;(ADDRESS(ROW(NQ29),$I$11+NQ$11+(MATCH(NP$11,L.DATE,0))-1))),"&gt;=0")-NQ28</f>
        <v>0</v>
      </c>
      <c r="NQ28" s="374">
        <f ca="1">SUM(INDIRECT((ADDRESS(ROW(NQ29),$I$11+(MATCH(NP$11,L.DATE,0))))&amp;":"&amp;(ADDRESS(ROW(NQ29),$I$11+NQ$11+(MATCH(NP$11,L.DATE,0))-1))))</f>
        <v>0</v>
      </c>
      <c r="NR28" s="373">
        <f ca="1">COUNTIF(INDIRECT((ADDRESS(ROW(NS29),$I$11+(MATCH(NR$11,L.DATE,0))))&amp;":"&amp;(ADDRESS(ROW(NS29),$I$11+NS$11+(MATCH(NR$11,L.DATE,0))-1))),"&gt;=0")-NS28</f>
        <v>15</v>
      </c>
      <c r="NS28" s="374">
        <f ca="1">SUM(INDIRECT((ADDRESS(ROW(NS29),$I$11+(MATCH(NR$11,L.DATE,0))))&amp;":"&amp;(ADDRESS(ROW(NS29),$I$11+NS$11+(MATCH(NR$11,L.DATE,0))-1))))</f>
        <v>0</v>
      </c>
      <c r="NT28" s="373">
        <f ca="1">COUNTIF(INDIRECT((ADDRESS(ROW(NU29),$I$11+(MATCH(NT$11,L.DATE,0))))&amp;":"&amp;(ADDRESS(ROW(NU29),$I$11+NU$11+(MATCH(NT$11,L.DATE,0))-1))),"&gt;=0")-NU28</f>
        <v>0</v>
      </c>
      <c r="NU28" s="374">
        <f ca="1">SUM(INDIRECT((ADDRESS(ROW(NU29),$I$11+(MATCH(NT$11,L.DATE,0))))&amp;":"&amp;(ADDRESS(ROW(NU29),$I$11+NU$11+(MATCH(NT$11,L.DATE,0))-1))))</f>
        <v>0</v>
      </c>
      <c r="NV28" s="373">
        <f ca="1">COUNTIF(INDIRECT((ADDRESS(ROW(NW29),$I$11+(MATCH(NV$11,L.DATE,0))))&amp;":"&amp;(ADDRESS(ROW(NW29),$I$11+NW$11+(MATCH(NV$11,L.DATE,0))-1))),"&gt;=0")-NW28</f>
        <v>0</v>
      </c>
      <c r="NW28" s="374">
        <f ca="1">SUM(INDIRECT((ADDRESS(ROW(NW29),$I$11+(MATCH(NV$11,L.DATE,0))))&amp;":"&amp;(ADDRESS(ROW(NW29),$I$11+NW$11+(MATCH(NV$11,L.DATE,0))-1))))</f>
        <v>0</v>
      </c>
      <c r="NX28" s="373">
        <f ca="1">COUNTIF(INDIRECT((ADDRESS(ROW(NY29),$I$11+(MATCH(NX$11,L.DATE,0))))&amp;":"&amp;(ADDRESS(ROW(NY29),$I$11+NY$11+(MATCH(NX$11,L.DATE,0))-1))),"&gt;=0")-NY28</f>
        <v>0</v>
      </c>
      <c r="NY28" s="374">
        <f ca="1">SUM(INDIRECT((ADDRESS(ROW(NY29),$I$11+(MATCH(NX$11,L.DATE,0))))&amp;":"&amp;(ADDRESS(ROW(NY29),$I$11+NY$11+(MATCH(NX$11,L.DATE,0))-1))))</f>
        <v>0</v>
      </c>
      <c r="NZ28" s="373">
        <f ca="1">COUNTIF(INDIRECT((ADDRESS(ROW(OA29),$I$11+(MATCH(NZ$11,L.DATE,0))))&amp;":"&amp;(ADDRESS(ROW(OA29),$I$11+OA$11+(MATCH(NZ$11,L.DATE,0))-1))),"&gt;=0")-OA28</f>
        <v>0</v>
      </c>
      <c r="OA28" s="374">
        <f ca="1">SUM(INDIRECT((ADDRESS(ROW(OA29),$I$11+(MATCH(NZ$11,L.DATE,0))))&amp;":"&amp;(ADDRESS(ROW(OA29),$I$11+OA$11+(MATCH(NZ$11,L.DATE,0))-1))))</f>
        <v>0</v>
      </c>
      <c r="OB28" s="373">
        <f ca="1">COUNTIF(INDIRECT((ADDRESS(ROW(OC29),$I$11+(MATCH(OB$11,L.DATE,0))))&amp;":"&amp;(ADDRESS(ROW(OC29),$I$11+OC$11+(MATCH(OB$11,L.DATE,0))-1))),"&gt;=0")-OC28</f>
        <v>0</v>
      </c>
      <c r="OC28" s="374">
        <f ca="1">SUM(INDIRECT((ADDRESS(ROW(OC29),$I$11+(MATCH(OB$11,L.DATE,0))))&amp;":"&amp;(ADDRESS(ROW(OC29),$I$11+OC$11+(MATCH(OB$11,L.DATE,0))-1))))</f>
        <v>0</v>
      </c>
      <c r="OD28" s="373">
        <f ca="1">COUNTIF(INDIRECT((ADDRESS(ROW(OE29),$I$11+(MATCH(OD$11,L.DATE,0))))&amp;":"&amp;(ADDRESS(ROW(OE29),$I$11+OE$11+(MATCH(OD$11,L.DATE,0))-1))),"&gt;=0")-OE28</f>
        <v>0</v>
      </c>
      <c r="OE28" s="374">
        <f ca="1">SUM(INDIRECT((ADDRESS(ROW(OE29),$I$11+(MATCH(OD$11,L.DATE,0))))&amp;":"&amp;(ADDRESS(ROW(OE29),$I$11+OE$11+(MATCH(OD$11,L.DATE,0))-1))))</f>
        <v>0</v>
      </c>
      <c r="OF28" s="373">
        <f ca="1">COUNTIF(INDIRECT((ADDRESS(ROW(OG29),$I$11+(MATCH(OF$11,L.DATE,0))))&amp;":"&amp;(ADDRESS(ROW(OG29),$I$11+OG$11+(MATCH(OF$11,L.DATE,0))-1))),"&gt;=0")-OG28</f>
        <v>0</v>
      </c>
      <c r="OG28" s="374">
        <f ca="1">SUM(INDIRECT((ADDRESS(ROW(OG29),$I$11+(MATCH(OF$11,L.DATE,0))))&amp;":"&amp;(ADDRESS(ROW(OG29),$I$11+OG$11+(MATCH(OF$11,L.DATE,0))-1))))</f>
        <v>0</v>
      </c>
      <c r="OH28" s="373">
        <f ca="1">COUNTIF(INDIRECT((ADDRESS(ROW(OI29),$I$11+(MATCH(OH$11,L.DATE,0))))&amp;":"&amp;(ADDRESS(ROW(OI29),$I$11+OI$11+(MATCH(OH$11,L.DATE,0))-1))),"&gt;=0")-OI28</f>
        <v>0</v>
      </c>
      <c r="OI28" s="374">
        <f ca="1">SUM(INDIRECT((ADDRESS(ROW(OI29),$I$11+(MATCH(OH$11,L.DATE,0))))&amp;":"&amp;(ADDRESS(ROW(OI29),$I$11+OI$11+(MATCH(OH$11,L.DATE,0))-1))))</f>
        <v>0</v>
      </c>
      <c r="OJ28" s="373">
        <f ca="1">COUNTIF(INDIRECT((ADDRESS(ROW(OK29),$I$11+(MATCH(OJ$11,L.DATE,0))))&amp;":"&amp;(ADDRESS(ROW(OK29),$I$11+OK$11+(MATCH(OJ$11,L.DATE,0))-1))),"&gt;=0")-OK28</f>
        <v>0</v>
      </c>
      <c r="OK28" s="375">
        <f ca="1">SUM(INDIRECT((ADDRESS(ROW(OK29),$I$11+(MATCH(OJ$11,L.DATE,0))))&amp;":"&amp;(ADDRESS(ROW(OK29),$I$11+OK$11+(MATCH(OJ$11,L.DATE,0))-1))))</f>
        <v>0</v>
      </c>
      <c r="OM28" s="39">
        <f ca="1">NN28+NP28+NR28+NT28+NV28+NX28+NZ28+OB28+OD28+OF28+OJ28+OH28</f>
        <v>15</v>
      </c>
      <c r="ON28" s="40">
        <f ca="1">NO28+NQ28+NS28+NU28+NW28+NY28+OA28+OC28+OE28+OG28+OK28+OI28</f>
        <v>0</v>
      </c>
    </row>
    <row r="29" spans="1:404" x14ac:dyDescent="0.3">
      <c r="A29" s="33"/>
      <c r="B29" s="16" t="str">
        <f t="shared" ref="B29:H29" si="30">B28</f>
        <v>GOURDON.Candice</v>
      </c>
      <c r="C29" s="16">
        <f t="shared" si="30"/>
        <v>1</v>
      </c>
      <c r="D29" s="16" t="str">
        <f t="shared" si="30"/>
        <v>I2S</v>
      </c>
      <c r="E29" s="16" t="str">
        <f t="shared" si="30"/>
        <v>ITG</v>
      </c>
      <c r="F29" s="16" t="str">
        <f t="shared" si="30"/>
        <v>SL</v>
      </c>
      <c r="G29" s="105" t="str">
        <f t="shared" si="30"/>
        <v>N1</v>
      </c>
      <c r="H29" s="109">
        <f t="shared" si="30"/>
        <v>1</v>
      </c>
      <c r="I29" s="28"/>
      <c r="J29" s="482"/>
      <c r="K29" s="483"/>
      <c r="L29" s="486"/>
      <c r="M29" s="482"/>
      <c r="N29" s="482"/>
      <c r="O29" s="482"/>
      <c r="P29" s="482"/>
      <c r="Q29" s="482"/>
      <c r="R29" s="482"/>
      <c r="S29" s="482"/>
      <c r="T29" s="482"/>
      <c r="U29" s="482"/>
      <c r="V29" s="482"/>
      <c r="W29" s="482"/>
      <c r="X29" s="482"/>
      <c r="Y29" s="482"/>
      <c r="Z29" s="482"/>
      <c r="AA29" s="482"/>
      <c r="AB29" s="482"/>
      <c r="AC29" s="482"/>
      <c r="AD29" s="482"/>
      <c r="AE29" s="482"/>
      <c r="AF29" s="482"/>
      <c r="AG29" s="482"/>
      <c r="AH29" s="482"/>
      <c r="AI29" s="482"/>
      <c r="AJ29" s="482"/>
      <c r="AK29" s="482"/>
      <c r="AL29" s="482"/>
      <c r="AM29" s="482"/>
      <c r="AN29" s="482"/>
      <c r="AO29" s="482"/>
      <c r="AP29" s="482"/>
      <c r="AQ29" s="482"/>
      <c r="AR29" s="482"/>
      <c r="AS29" s="482"/>
      <c r="AT29" s="482"/>
      <c r="AU29" s="482"/>
      <c r="AV29" s="482"/>
      <c r="AW29" s="482"/>
      <c r="AX29" s="482"/>
      <c r="AY29" s="482"/>
      <c r="AZ29" s="482"/>
      <c r="BA29" s="482"/>
      <c r="BB29" s="482"/>
      <c r="BC29" s="482"/>
      <c r="BD29" s="482"/>
      <c r="BE29" s="482"/>
      <c r="BF29" s="482"/>
      <c r="BG29" s="482"/>
      <c r="BH29" s="482"/>
      <c r="BI29" s="482"/>
      <c r="BJ29" s="482"/>
      <c r="BK29" s="482"/>
      <c r="BL29" s="482"/>
      <c r="BM29" s="482"/>
      <c r="BN29" s="482"/>
      <c r="BO29" s="482"/>
      <c r="BP29" s="482"/>
      <c r="BQ29" s="482"/>
      <c r="BR29" s="482"/>
      <c r="BS29" s="482"/>
      <c r="BT29" s="482"/>
      <c r="BU29" s="482"/>
      <c r="BV29" s="482"/>
      <c r="BW29" s="482"/>
      <c r="BX29" s="482"/>
      <c r="BY29" s="482"/>
      <c r="BZ29" s="482"/>
      <c r="CA29" s="482"/>
      <c r="CB29" s="482"/>
      <c r="CC29" s="485">
        <v>0</v>
      </c>
      <c r="CD29" s="485">
        <v>0</v>
      </c>
      <c r="CE29" s="485">
        <v>0</v>
      </c>
      <c r="CF29" s="485">
        <v>0</v>
      </c>
      <c r="CG29" s="485">
        <v>0</v>
      </c>
      <c r="CH29" s="482"/>
      <c r="CI29" s="482"/>
      <c r="CJ29" s="485">
        <v>0</v>
      </c>
      <c r="CK29" s="485">
        <v>0</v>
      </c>
      <c r="CL29" s="485">
        <v>0</v>
      </c>
      <c r="CM29" s="485">
        <v>0</v>
      </c>
      <c r="CN29" s="485">
        <v>0</v>
      </c>
      <c r="CO29" s="482"/>
      <c r="CP29" s="482"/>
      <c r="CQ29" s="485">
        <v>0</v>
      </c>
      <c r="CR29" s="485">
        <v>0</v>
      </c>
      <c r="CS29" s="485">
        <v>0</v>
      </c>
      <c r="CT29" s="485">
        <v>0</v>
      </c>
      <c r="CU29" s="485">
        <v>0</v>
      </c>
      <c r="CV29" s="482"/>
      <c r="CW29" s="482"/>
      <c r="CX29" s="482"/>
      <c r="CY29" s="482"/>
      <c r="CZ29" s="482"/>
      <c r="DA29" s="482"/>
      <c r="DB29" s="482"/>
      <c r="DC29" s="482"/>
      <c r="DD29" s="482"/>
      <c r="DE29" s="482"/>
      <c r="DF29" s="482"/>
      <c r="DG29" s="482"/>
      <c r="DH29" s="482"/>
      <c r="DI29" s="482"/>
      <c r="DJ29" s="482"/>
      <c r="DK29" s="482"/>
      <c r="DL29" s="482"/>
      <c r="DM29" s="482"/>
      <c r="DN29" s="482"/>
      <c r="DO29" s="482"/>
      <c r="DP29" s="482"/>
      <c r="DQ29" s="482"/>
      <c r="DR29" s="482"/>
      <c r="DS29" s="482"/>
      <c r="DT29" s="482"/>
      <c r="DU29" s="482"/>
      <c r="DV29" s="482"/>
      <c r="DW29" s="482"/>
      <c r="DX29" s="482"/>
      <c r="DY29" s="482"/>
      <c r="DZ29" s="482"/>
      <c r="EA29" s="482"/>
      <c r="EB29" s="482"/>
      <c r="EC29" s="482"/>
      <c r="ED29" s="482"/>
      <c r="EE29" s="482"/>
      <c r="EF29" s="482"/>
      <c r="EG29" s="482"/>
      <c r="EH29" s="482"/>
      <c r="EI29" s="482"/>
      <c r="EJ29" s="482"/>
      <c r="EK29" s="482"/>
      <c r="EL29" s="482"/>
      <c r="EM29" s="482"/>
      <c r="EN29" s="482"/>
      <c r="EO29" s="482"/>
      <c r="EP29" s="482"/>
      <c r="EQ29" s="482"/>
      <c r="ER29" s="482"/>
      <c r="ES29" s="482"/>
      <c r="ET29" s="482"/>
      <c r="EU29" s="482"/>
      <c r="EV29" s="482"/>
      <c r="EW29" s="482"/>
      <c r="EX29" s="482"/>
      <c r="EY29" s="482"/>
      <c r="EZ29" s="482"/>
      <c r="FA29" s="482"/>
      <c r="FB29" s="482"/>
      <c r="FC29" s="482"/>
      <c r="FD29" s="482"/>
      <c r="FE29" s="482"/>
      <c r="FF29" s="482"/>
      <c r="FG29" s="482"/>
      <c r="FH29" s="482"/>
      <c r="FI29" s="482"/>
      <c r="FJ29" s="482"/>
      <c r="FK29" s="482"/>
      <c r="FL29" s="482"/>
      <c r="FM29" s="482"/>
      <c r="FN29" s="482"/>
      <c r="FO29" s="482"/>
      <c r="FP29" s="482"/>
      <c r="FQ29" s="482"/>
      <c r="FR29" s="482"/>
      <c r="FS29" s="482"/>
      <c r="FT29" s="482"/>
      <c r="FU29" s="482"/>
      <c r="FV29" s="482"/>
      <c r="FW29" s="482"/>
      <c r="FX29" s="482"/>
      <c r="FY29" s="482"/>
      <c r="FZ29" s="482"/>
      <c r="GA29" s="482"/>
      <c r="GB29" s="482"/>
      <c r="GC29" s="482"/>
      <c r="GD29" s="482"/>
      <c r="GE29" s="482"/>
      <c r="GF29" s="482"/>
      <c r="GG29" s="482"/>
      <c r="GH29" s="482"/>
      <c r="GI29" s="482"/>
      <c r="GJ29" s="482"/>
      <c r="GK29" s="482"/>
      <c r="GL29" s="482"/>
      <c r="GM29" s="482"/>
      <c r="GN29" s="482"/>
      <c r="GO29" s="482"/>
      <c r="GP29" s="482"/>
      <c r="GQ29" s="482"/>
      <c r="GR29" s="482"/>
      <c r="GS29" s="482"/>
      <c r="GT29" s="482"/>
      <c r="GU29" s="482"/>
      <c r="GV29" s="482"/>
      <c r="GW29" s="482"/>
      <c r="GX29" s="482"/>
      <c r="GY29" s="482"/>
      <c r="GZ29" s="482"/>
      <c r="HA29" s="482"/>
      <c r="HB29" s="482"/>
      <c r="HC29" s="482"/>
      <c r="HD29" s="482"/>
      <c r="HE29" s="482"/>
      <c r="HF29" s="482"/>
      <c r="HG29" s="482"/>
      <c r="HH29" s="482"/>
      <c r="HI29" s="482"/>
      <c r="HJ29" s="482"/>
      <c r="HK29" s="482"/>
      <c r="HL29" s="482"/>
      <c r="HM29" s="482"/>
      <c r="HN29" s="482"/>
      <c r="HO29" s="482"/>
      <c r="HP29" s="482"/>
      <c r="HQ29" s="482"/>
      <c r="HR29" s="482"/>
      <c r="HS29" s="482"/>
      <c r="HT29" s="482"/>
      <c r="HU29" s="482"/>
      <c r="HV29" s="482"/>
      <c r="HW29" s="482"/>
      <c r="HX29" s="482"/>
      <c r="HY29" s="482"/>
      <c r="HZ29" s="482"/>
      <c r="IA29" s="482"/>
      <c r="IB29" s="482"/>
      <c r="IC29" s="482"/>
      <c r="ID29" s="482"/>
      <c r="IE29" s="482"/>
      <c r="IF29" s="482"/>
      <c r="IG29" s="482"/>
      <c r="IH29" s="482"/>
      <c r="II29" s="482"/>
      <c r="IJ29" s="482"/>
      <c r="IK29" s="482"/>
      <c r="IL29" s="482"/>
      <c r="IM29" s="482"/>
      <c r="IN29" s="482"/>
      <c r="IO29" s="482"/>
      <c r="IP29" s="482"/>
      <c r="IQ29" s="482"/>
      <c r="IR29" s="482"/>
      <c r="IS29" s="482"/>
      <c r="IT29" s="482"/>
      <c r="IU29" s="482"/>
      <c r="IV29" s="482"/>
      <c r="IW29" s="482"/>
      <c r="IX29" s="482"/>
      <c r="IY29" s="482"/>
      <c r="IZ29" s="482"/>
      <c r="JA29" s="482"/>
      <c r="JB29" s="482"/>
      <c r="JC29" s="482"/>
      <c r="JD29" s="482"/>
      <c r="JE29" s="482"/>
      <c r="JF29" s="482"/>
      <c r="JG29" s="482"/>
      <c r="JH29" s="482"/>
      <c r="JI29" s="482"/>
      <c r="JJ29" s="482"/>
      <c r="JK29" s="482"/>
      <c r="JL29" s="482"/>
      <c r="JM29" s="482"/>
      <c r="JN29" s="482"/>
      <c r="JO29" s="482"/>
      <c r="JP29" s="482"/>
      <c r="JQ29" s="482"/>
      <c r="JR29" s="482"/>
      <c r="JS29" s="482"/>
      <c r="JT29" s="482"/>
      <c r="JU29" s="482"/>
      <c r="JV29" s="482"/>
      <c r="JW29" s="482"/>
      <c r="JX29" s="482"/>
      <c r="JY29" s="482"/>
      <c r="JZ29" s="482"/>
      <c r="KA29" s="482"/>
      <c r="KB29" s="482"/>
      <c r="KC29" s="482"/>
      <c r="KD29" s="482"/>
      <c r="KE29" s="482"/>
      <c r="KF29" s="482"/>
      <c r="KG29" s="482"/>
      <c r="KH29" s="482"/>
      <c r="KI29" s="482"/>
      <c r="KJ29" s="482"/>
      <c r="KK29" s="482"/>
      <c r="KL29" s="482"/>
      <c r="KM29" s="482"/>
      <c r="KN29" s="482"/>
      <c r="KO29" s="482"/>
      <c r="KP29" s="482"/>
      <c r="KQ29" s="482"/>
      <c r="KR29" s="482"/>
      <c r="KS29" s="482"/>
      <c r="KT29" s="482"/>
      <c r="KU29" s="482"/>
      <c r="KV29" s="482"/>
      <c r="KW29" s="482"/>
      <c r="KX29" s="482"/>
      <c r="KY29" s="482"/>
      <c r="KZ29" s="482"/>
      <c r="LA29" s="482"/>
      <c r="LB29" s="482"/>
      <c r="LC29" s="482"/>
      <c r="LD29" s="482"/>
      <c r="LE29" s="482"/>
      <c r="LF29" s="482"/>
      <c r="LG29" s="482"/>
      <c r="LH29" s="482"/>
      <c r="LI29" s="482"/>
      <c r="LJ29" s="482"/>
      <c r="LK29" s="482"/>
      <c r="LL29" s="482"/>
      <c r="LM29" s="482"/>
      <c r="LN29" s="482"/>
      <c r="LO29" s="482"/>
      <c r="LP29" s="482"/>
      <c r="LQ29" s="482"/>
      <c r="LR29" s="482"/>
      <c r="LS29" s="482"/>
      <c r="LT29" s="482"/>
      <c r="LU29" s="482"/>
      <c r="LV29" s="482"/>
      <c r="LW29" s="482"/>
      <c r="LX29" s="482"/>
      <c r="LY29" s="482"/>
      <c r="LZ29" s="482"/>
      <c r="MA29" s="482"/>
      <c r="MB29" s="482"/>
      <c r="MC29" s="482"/>
      <c r="MD29" s="482"/>
      <c r="ME29" s="482"/>
      <c r="MF29" s="482"/>
      <c r="MG29" s="482"/>
      <c r="MH29" s="482"/>
      <c r="MI29" s="482"/>
      <c r="MJ29" s="482"/>
      <c r="MK29" s="482"/>
      <c r="ML29" s="482"/>
      <c r="MM29" s="482"/>
      <c r="MN29" s="482"/>
      <c r="MO29" s="482"/>
      <c r="MP29" s="482"/>
      <c r="MQ29" s="482"/>
      <c r="MR29" s="482"/>
      <c r="MS29" s="482"/>
      <c r="MT29" s="482"/>
      <c r="MU29" s="482"/>
      <c r="MV29" s="482"/>
      <c r="MW29" s="482"/>
      <c r="MX29" s="482"/>
      <c r="MY29" s="482"/>
      <c r="MZ29" s="482"/>
      <c r="NA29" s="482"/>
      <c r="NB29" s="482"/>
      <c r="NC29" s="482"/>
      <c r="ND29" s="482"/>
      <c r="NE29" s="482"/>
      <c r="NF29" s="482"/>
      <c r="NG29" s="482"/>
      <c r="NH29" s="482"/>
      <c r="NI29" s="482"/>
      <c r="NJ29" s="483"/>
      <c r="NK29" s="34"/>
      <c r="NM29" s="379" t="str">
        <f>NM28&amp;".b"</f>
        <v>114720.b</v>
      </c>
      <c r="NN29" s="376" t="str" cm="1">
        <f t="array" aca="1" ref="NN29" ca="1">IF(xcomp(INDIRECT((ADDRESS(ROW(NN28),$I$11+(MATCH(NN$11,L.DATE,0))))&amp;":"&amp;(ADDRESS(ROW(NN28),$I$11+NO$11+(MATCH(NN$11,L.DATE,0))-1))),L.ABSP)=0,"",
xsom(INDIRECT((ADDRESS(ROW(NN28),$I$11+(MATCH(NN$11,L.DATE,0))))&amp;":"&amp;(ADDRESS(ROW(NN28),$I$11+NO$11+(MATCH(NN$11,L.DATE,0))-1))),L.ABSP,
INDIRECT((ADDRESS(ROW(NN28)+1,$I$11+(MATCH(NN$11,L.DATE,0))))&amp;":"&amp;(ADDRESS(ROW(NN28)+1,$I$11+NO$11+(MATCH(NN$11,L.DATE,0))-1)))))</f>
        <v/>
      </c>
      <c r="NO29" s="377" t="str" cm="1">
        <f t="array" aca="1" ref="NO29" ca="1">IF(xcomp(INDIRECT((ADDRESS(ROW(NO28),$I$11+(MATCH(NN$11,L.DATE,0))))&amp;":"&amp;(ADDRESS(ROW(NO28),$I$11+NO$11+(MATCH(NN$11,L.DATE,0))-1))),L.ABS.NP)=0,"",
xsom(INDIRECT((ADDRESS(ROW(NO28),$I$11+(MATCH(NN$11,L.DATE,0))))&amp;":"&amp;(ADDRESS(ROW(NO28),$I$11+NO$11+(MATCH(NN$11,L.DATE,0))-1))),L.ABS.NP,
INDIRECT((ADDRESS(ROW(NO28)+1,$I$11+(MATCH(NN$11,L.DATE,0))))&amp;":"&amp;(ADDRESS(ROW(NO28)+1,$I$11+NO$11+(MATCH(NN$11,L.DATE,0))-1)))))</f>
        <v/>
      </c>
      <c r="NP29" s="376" t="str" cm="1">
        <f t="array" aca="1" ref="NP29" ca="1">IF(xcomp(INDIRECT((ADDRESS(ROW(NP28),$I$11+(MATCH(NP$11,L.DATE,0))))&amp;":"&amp;(ADDRESS(ROW(NP28),$I$11+NQ$11+(MATCH(NP$11,L.DATE,0))-1))),L.ABSP)=0,"",
xsom(INDIRECT((ADDRESS(ROW(NP28),$I$11+(MATCH(NP$11,L.DATE,0))))&amp;":"&amp;(ADDRESS(ROW(NP28),$I$11+NQ$11+(MATCH(NP$11,L.DATE,0))-1))),L.ABSP,
INDIRECT((ADDRESS(ROW(NP28)+1,$I$11+(MATCH(NP$11,L.DATE,0))))&amp;":"&amp;(ADDRESS(ROW(NP28)+1,$I$11+NQ$11+(MATCH(NP$11,L.DATE,0))-1)))))</f>
        <v/>
      </c>
      <c r="NQ29" s="377" t="str" cm="1">
        <f t="array" aca="1" ref="NQ29" ca="1">IF(xcomp(INDIRECT((ADDRESS(ROW(NQ28),$I$11+(MATCH(NP$11,L.DATE,0))))&amp;":"&amp;(ADDRESS(ROW(NQ28),$I$11+NQ$11+(MATCH(NP$11,L.DATE,0))-1))),L.ABS.NP)=0,"",
xsom(INDIRECT((ADDRESS(ROW(NQ28),$I$11+(MATCH(NP$11,L.DATE,0))))&amp;":"&amp;(ADDRESS(ROW(NQ28),$I$11+NQ$11+(MATCH(NP$11,L.DATE,0))-1))),L.ABS.NP,
INDIRECT((ADDRESS(ROW(NQ28)+1,$I$11+(MATCH(NP$11,L.DATE,0))))&amp;":"&amp;(ADDRESS(ROW(NQ28)+1,$I$11+NQ$11+(MATCH(NP$11,L.DATE,0))-1)))))</f>
        <v/>
      </c>
      <c r="NR29" s="376" cm="1">
        <f t="array" aca="1" ref="NR29" ca="1">IF(xcomp(INDIRECT((ADDRESS(ROW(NR28),$I$11+(MATCH(NR$11,L.DATE,0))))&amp;":"&amp;(ADDRESS(ROW(NR28),$I$11+NS$11+(MATCH(NR$11,L.DATE,0))-1))),L.ABSP)=0,"",
xsom(INDIRECT((ADDRESS(ROW(NR28),$I$11+(MATCH(NR$11,L.DATE,0))))&amp;":"&amp;(ADDRESS(ROW(NR28),$I$11+NS$11+(MATCH(NR$11,L.DATE,0))-1))),L.ABSP,
INDIRECT((ADDRESS(ROW(NR28)+1,$I$11+(MATCH(NR$11,L.DATE,0))))&amp;":"&amp;(ADDRESS(ROW(NR28)+1,$I$11+NS$11+(MATCH(NR$11,L.DATE,0))-1)))))</f>
        <v>15</v>
      </c>
      <c r="NS29" s="377" t="str" cm="1">
        <f t="array" aca="1" ref="NS29" ca="1">IF(xcomp(INDIRECT((ADDRESS(ROW(NS28),$I$11+(MATCH(NR$11,L.DATE,0))))&amp;":"&amp;(ADDRESS(ROW(NS28),$I$11+NS$11+(MATCH(NR$11,L.DATE,0))-1))),L.ABS.NP)=0,"",
xsom(INDIRECT((ADDRESS(ROW(NS28),$I$11+(MATCH(NR$11,L.DATE,0))))&amp;":"&amp;(ADDRESS(ROW(NS28),$I$11+NS$11+(MATCH(NR$11,L.DATE,0))-1))),L.ABS.NP,
INDIRECT((ADDRESS(ROW(NS28)+1,$I$11+(MATCH(NR$11,L.DATE,0))))&amp;":"&amp;(ADDRESS(ROW(NS28)+1,$I$11+NS$11+(MATCH(NR$11,L.DATE,0))-1)))))</f>
        <v/>
      </c>
      <c r="NT29" s="376" t="str" cm="1">
        <f t="array" aca="1" ref="NT29" ca="1">IF(xcomp(INDIRECT((ADDRESS(ROW(NT28),$I$11+(MATCH(NT$11,L.DATE,0))))&amp;":"&amp;(ADDRESS(ROW(NT28),$I$11+NU$11+(MATCH(NT$11,L.DATE,0))-1))),L.ABSP)=0,"",
xsom(INDIRECT((ADDRESS(ROW(NT28),$I$11+(MATCH(NT$11,L.DATE,0))))&amp;":"&amp;(ADDRESS(ROW(NT28),$I$11+NU$11+(MATCH(NT$11,L.DATE,0))-1))),L.ABSP,
INDIRECT((ADDRESS(ROW(NT28)+1,$I$11+(MATCH(NT$11,L.DATE,0))))&amp;":"&amp;(ADDRESS(ROW(NT28)+1,$I$11+NU$11+(MATCH(NT$11,L.DATE,0))-1)))))</f>
        <v/>
      </c>
      <c r="NU29" s="377" t="str" cm="1">
        <f t="array" aca="1" ref="NU29" ca="1">IF(xcomp(INDIRECT((ADDRESS(ROW(NU28),$I$11+(MATCH(NT$11,L.DATE,0))))&amp;":"&amp;(ADDRESS(ROW(NU28),$I$11+NU$11+(MATCH(NT$11,L.DATE,0))-1))),L.ABS.NP)=0,"",
xsom(INDIRECT((ADDRESS(ROW(NU28),$I$11+(MATCH(NT$11,L.DATE,0))))&amp;":"&amp;(ADDRESS(ROW(NU28),$I$11+NU$11+(MATCH(NT$11,L.DATE,0))-1))),L.ABS.NP,
INDIRECT((ADDRESS(ROW(NU28)+1,$I$11+(MATCH(NT$11,L.DATE,0))))&amp;":"&amp;(ADDRESS(ROW(NU28)+1,$I$11+NU$11+(MATCH(NT$11,L.DATE,0))-1)))))</f>
        <v/>
      </c>
      <c r="NV29" s="376" t="str" cm="1">
        <f t="array" aca="1" ref="NV29" ca="1">IF(xcomp(INDIRECT((ADDRESS(ROW(NV28),$I$11+(MATCH(NV$11,L.DATE,0))))&amp;":"&amp;(ADDRESS(ROW(NV28),$I$11+NW$11+(MATCH(NV$11,L.DATE,0))-1))),L.ABSP)=0,"",
xsom(INDIRECT((ADDRESS(ROW(NV28),$I$11+(MATCH(NV$11,L.DATE,0))))&amp;":"&amp;(ADDRESS(ROW(NV28),$I$11+NW$11+(MATCH(NV$11,L.DATE,0))-1))),L.ABSP,
INDIRECT((ADDRESS(ROW(NV28)+1,$I$11+(MATCH(NV$11,L.DATE,0))))&amp;":"&amp;(ADDRESS(ROW(NV28)+1,$I$11+NW$11+(MATCH(NV$11,L.DATE,0))-1)))))</f>
        <v/>
      </c>
      <c r="NW29" s="377" t="str" cm="1">
        <f t="array" aca="1" ref="NW29" ca="1">IF(xcomp(INDIRECT((ADDRESS(ROW(NW28),$I$11+(MATCH(NV$11,L.DATE,0))))&amp;":"&amp;(ADDRESS(ROW(NW28),$I$11+NW$11+(MATCH(NV$11,L.DATE,0))-1))),L.ABS.NP)=0,"",
xsom(INDIRECT((ADDRESS(ROW(NW28),$I$11+(MATCH(NV$11,L.DATE,0))))&amp;":"&amp;(ADDRESS(ROW(NW28),$I$11+NW$11+(MATCH(NV$11,L.DATE,0))-1))),L.ABS.NP,
INDIRECT((ADDRESS(ROW(NW28)+1,$I$11+(MATCH(NV$11,L.DATE,0))))&amp;":"&amp;(ADDRESS(ROW(NW28)+1,$I$11+NW$11+(MATCH(NV$11,L.DATE,0))-1)))))</f>
        <v/>
      </c>
      <c r="NX29" s="376" t="str" cm="1">
        <f t="array" aca="1" ref="NX29" ca="1">IF(xcomp(INDIRECT((ADDRESS(ROW(NX28),$I$11+(MATCH(NX$11,L.DATE,0))))&amp;":"&amp;(ADDRESS(ROW(NX28),$I$11+NY$11+(MATCH(NX$11,L.DATE,0))-1))),L.ABSP)=0,"",
xsom(INDIRECT((ADDRESS(ROW(NX28),$I$11+(MATCH(NX$11,L.DATE,0))))&amp;":"&amp;(ADDRESS(ROW(NX28),$I$11+NY$11+(MATCH(NX$11,L.DATE,0))-1))),L.ABSP,
INDIRECT((ADDRESS(ROW(NX28)+1,$I$11+(MATCH(NX$11,L.DATE,0))))&amp;":"&amp;(ADDRESS(ROW(NX28)+1,$I$11+NY$11+(MATCH(NX$11,L.DATE,0))-1)))))</f>
        <v/>
      </c>
      <c r="NY29" s="377" t="str" cm="1">
        <f t="array" aca="1" ref="NY29" ca="1">IF(xcomp(INDIRECT((ADDRESS(ROW(NY28),$I$11+(MATCH(NX$11,L.DATE,0))))&amp;":"&amp;(ADDRESS(ROW(NY28),$I$11+NY$11+(MATCH(NX$11,L.DATE,0))-1))),L.ABS.NP)=0,"",
xsom(INDIRECT((ADDRESS(ROW(NY28),$I$11+(MATCH(NX$11,L.DATE,0))))&amp;":"&amp;(ADDRESS(ROW(NY28),$I$11+NY$11+(MATCH(NX$11,L.DATE,0))-1))),L.ABS.NP,
INDIRECT((ADDRESS(ROW(NY28)+1,$I$11+(MATCH(NX$11,L.DATE,0))))&amp;":"&amp;(ADDRESS(ROW(NY28)+1,$I$11+NY$11+(MATCH(NX$11,L.DATE,0))-1)))))</f>
        <v/>
      </c>
      <c r="NZ29" s="376" t="str" cm="1">
        <f t="array" aca="1" ref="NZ29" ca="1">IF(xcomp(INDIRECT((ADDRESS(ROW(NZ28),$I$11+(MATCH(NZ$11,L.DATE,0))))&amp;":"&amp;(ADDRESS(ROW(NZ28),$I$11+OA$11+(MATCH(NZ$11,L.DATE,0))-1))),L.ABSP)=0,"",
xsom(INDIRECT((ADDRESS(ROW(NZ28),$I$11+(MATCH(NZ$11,L.DATE,0))))&amp;":"&amp;(ADDRESS(ROW(NZ28),$I$11+OA$11+(MATCH(NZ$11,L.DATE,0))-1))),L.ABSP,
INDIRECT((ADDRESS(ROW(NZ28)+1,$I$11+(MATCH(NZ$11,L.DATE,0))))&amp;":"&amp;(ADDRESS(ROW(NZ28)+1,$I$11+OA$11+(MATCH(NZ$11,L.DATE,0))-1)))))</f>
        <v/>
      </c>
      <c r="OA29" s="377" t="str" cm="1">
        <f t="array" aca="1" ref="OA29" ca="1">IF(xcomp(INDIRECT((ADDRESS(ROW(OA28),$I$11+(MATCH(NZ$11,L.DATE,0))))&amp;":"&amp;(ADDRESS(ROW(OA28),$I$11+OA$11+(MATCH(NZ$11,L.DATE,0))-1))),L.ABS.NP)=0,"",
xsom(INDIRECT((ADDRESS(ROW(OA28),$I$11+(MATCH(NZ$11,L.DATE,0))))&amp;":"&amp;(ADDRESS(ROW(OA28),$I$11+OA$11+(MATCH(NZ$11,L.DATE,0))-1))),L.ABS.NP,
INDIRECT((ADDRESS(ROW(OA28)+1,$I$11+(MATCH(NZ$11,L.DATE,0))))&amp;":"&amp;(ADDRESS(ROW(OA28)+1,$I$11+OA$11+(MATCH(NZ$11,L.DATE,0))-1)))))</f>
        <v/>
      </c>
      <c r="OB29" s="376" t="str" cm="1">
        <f t="array" aca="1" ref="OB29" ca="1">IF(xcomp(INDIRECT((ADDRESS(ROW(OB28),$I$11+(MATCH(OB$11,L.DATE,0))))&amp;":"&amp;(ADDRESS(ROW(OB28),$I$11+OC$11+(MATCH(OB$11,L.DATE,0))-1))),L.ABSP)=0,"",
xsom(INDIRECT((ADDRESS(ROW(OB28),$I$11+(MATCH(OB$11,L.DATE,0))))&amp;":"&amp;(ADDRESS(ROW(OB28),$I$11+OC$11+(MATCH(OB$11,L.DATE,0))-1))),L.ABSP,
INDIRECT((ADDRESS(ROW(OB28)+1,$I$11+(MATCH(OB$11,L.DATE,0))))&amp;":"&amp;(ADDRESS(ROW(OB28)+1,$I$11+OC$11+(MATCH(OB$11,L.DATE,0))-1)))))</f>
        <v/>
      </c>
      <c r="OC29" s="377" t="str" cm="1">
        <f t="array" aca="1" ref="OC29" ca="1">IF(xcomp(INDIRECT((ADDRESS(ROW(OC28),$I$11+(MATCH(OB$11,L.DATE,0))))&amp;":"&amp;(ADDRESS(ROW(OC28),$I$11+OC$11+(MATCH(OB$11,L.DATE,0))-1))),L.ABS.NP)=0,"",
xsom(INDIRECT((ADDRESS(ROW(OC28),$I$11+(MATCH(OB$11,L.DATE,0))))&amp;":"&amp;(ADDRESS(ROW(OC28),$I$11+OC$11+(MATCH(OB$11,L.DATE,0))-1))),L.ABS.NP,
INDIRECT((ADDRESS(ROW(OC28)+1,$I$11+(MATCH(OB$11,L.DATE,0))))&amp;":"&amp;(ADDRESS(ROW(OC28)+1,$I$11+OC$11+(MATCH(OB$11,L.DATE,0))-1)))))</f>
        <v/>
      </c>
      <c r="OD29" s="376" t="str" cm="1">
        <f t="array" aca="1" ref="OD29" ca="1">IF(xcomp(INDIRECT((ADDRESS(ROW(OD28),$I$11+(MATCH(OD$11,L.DATE,0))))&amp;":"&amp;(ADDRESS(ROW(OD28),$I$11+OE$11+(MATCH(OD$11,L.DATE,0))-1))),L.ABSP)=0,"",
xsom(INDIRECT((ADDRESS(ROW(OD28),$I$11+(MATCH(OD$11,L.DATE,0))))&amp;":"&amp;(ADDRESS(ROW(OD28),$I$11+OE$11+(MATCH(OD$11,L.DATE,0))-1))),L.ABSP,
INDIRECT((ADDRESS(ROW(OD28)+1,$I$11+(MATCH(OD$11,L.DATE,0))))&amp;":"&amp;(ADDRESS(ROW(OD28)+1,$I$11+OE$11+(MATCH(OD$11,L.DATE,0))-1)))))</f>
        <v/>
      </c>
      <c r="OE29" s="377" t="str" cm="1">
        <f t="array" aca="1" ref="OE29" ca="1">IF(xcomp(INDIRECT((ADDRESS(ROW(OE28),$I$11+(MATCH(OD$11,L.DATE,0))))&amp;":"&amp;(ADDRESS(ROW(OE28),$I$11+OE$11+(MATCH(OD$11,L.DATE,0))-1))),L.ABS.NP)=0,"",
xsom(INDIRECT((ADDRESS(ROW(OE28),$I$11+(MATCH(OD$11,L.DATE,0))))&amp;":"&amp;(ADDRESS(ROW(OE28),$I$11+OE$11+(MATCH(OD$11,L.DATE,0))-1))),L.ABS.NP,
INDIRECT((ADDRESS(ROW(OE28)+1,$I$11+(MATCH(OD$11,L.DATE,0))))&amp;":"&amp;(ADDRESS(ROW(OE28)+1,$I$11+OE$11+(MATCH(OD$11,L.DATE,0))-1)))))</f>
        <v/>
      </c>
      <c r="OF29" s="376" t="str" cm="1">
        <f t="array" aca="1" ref="OF29" ca="1">IF(xcomp(INDIRECT((ADDRESS(ROW(OF28),$I$11+(MATCH(OF$11,L.DATE,0))))&amp;":"&amp;(ADDRESS(ROW(OF28),$I$11+OG$11+(MATCH(OF$11,L.DATE,0))-1))),L.ABSP)=0,"",
xsom(INDIRECT((ADDRESS(ROW(OF28),$I$11+(MATCH(OF$11,L.DATE,0))))&amp;":"&amp;(ADDRESS(ROW(OF28),$I$11+OG$11+(MATCH(OF$11,L.DATE,0))-1))),L.ABSP,
INDIRECT((ADDRESS(ROW(OF28)+1,$I$11+(MATCH(OF$11,L.DATE,0))))&amp;":"&amp;(ADDRESS(ROW(OF28)+1,$I$11+OG$11+(MATCH(OF$11,L.DATE,0))-1)))))</f>
        <v/>
      </c>
      <c r="OG29" s="377" t="str" cm="1">
        <f t="array" aca="1" ref="OG29" ca="1">IF(xcomp(INDIRECT((ADDRESS(ROW(OG28),$I$11+(MATCH(OF$11,L.DATE,0))))&amp;":"&amp;(ADDRESS(ROW(OG28),$I$11+OG$11+(MATCH(OF$11,L.DATE,0))-1))),L.ABS.NP)=0,"",
xsom(INDIRECT((ADDRESS(ROW(OG28),$I$11+(MATCH(OF$11,L.DATE,0))))&amp;":"&amp;(ADDRESS(ROW(OG28),$I$11+OG$11+(MATCH(OF$11,L.DATE,0))-1))),L.ABS.NP,
INDIRECT((ADDRESS(ROW(OG28)+1,$I$11+(MATCH(OF$11,L.DATE,0))))&amp;":"&amp;(ADDRESS(ROW(OG28)+1,$I$11+OG$11+(MATCH(OF$11,L.DATE,0))-1)))))</f>
        <v/>
      </c>
      <c r="OH29" s="376" t="str" cm="1">
        <f t="array" aca="1" ref="OH29" ca="1">IF(xcomp(INDIRECT((ADDRESS(ROW(OH28),$I$11+(MATCH(OH$11,L.DATE,0))))&amp;":"&amp;(ADDRESS(ROW(OH28),$I$11+OI$11+(MATCH(OH$11,L.DATE,0))-1))),L.ABSP)=0,"",
xsom(INDIRECT((ADDRESS(ROW(OH28),$I$11+(MATCH(OH$11,L.DATE,0))))&amp;":"&amp;(ADDRESS(ROW(OH28),$I$11+OI$11+(MATCH(OH$11,L.DATE,0))-1))),L.ABSP,
INDIRECT((ADDRESS(ROW(OH28)+1,$I$11+(MATCH(OH$11,L.DATE,0))))&amp;":"&amp;(ADDRESS(ROW(OH28)+1,$I$11+OI$11+(MATCH(OH$11,L.DATE,0))-1)))))</f>
        <v/>
      </c>
      <c r="OI29" s="377" t="str" cm="1">
        <f t="array" aca="1" ref="OI29" ca="1">IF(xcomp(INDIRECT((ADDRESS(ROW(OI28),$I$11+(MATCH(OH$11,L.DATE,0))))&amp;":"&amp;(ADDRESS(ROW(OI28),$I$11+OI$11+(MATCH(OH$11,L.DATE,0))-1))),L.ABS.NP)=0,"",
xsom(INDIRECT((ADDRESS(ROW(OI28),$I$11+(MATCH(OH$11,L.DATE,0))))&amp;":"&amp;(ADDRESS(ROW(OI28),$I$11+OI$11+(MATCH(OH$11,L.DATE,0))-1))),L.ABS.NP,
INDIRECT((ADDRESS(ROW(OI28)+1,$I$11+(MATCH(OH$11,L.DATE,0))))&amp;":"&amp;(ADDRESS(ROW(OI28)+1,$I$11+OI$11+(MATCH(OH$11,L.DATE,0))-1)))))</f>
        <v/>
      </c>
      <c r="OJ29" s="376" t="str" cm="1">
        <f t="array" aca="1" ref="OJ29" ca="1">IF(xcomp(INDIRECT((ADDRESS(ROW(OJ28),$I$11+(MATCH(OJ$11,L.DATE,0))))&amp;":"&amp;(ADDRESS(ROW(OJ28),$I$11+OK$11+(MATCH(OJ$11,L.DATE,0))-1))),L.ABSP)=0,"",
xsom(INDIRECT((ADDRESS(ROW(OJ28),$I$11+(MATCH(OJ$11,L.DATE,0))))&amp;":"&amp;(ADDRESS(ROW(OJ28),$I$11+OK$11+(MATCH(OJ$11,L.DATE,0))-1))),L.ABSP,
INDIRECT((ADDRESS(ROW(OJ28)+1,$I$11+(MATCH(OJ$11,L.DATE,0))))&amp;":"&amp;(ADDRESS(ROW(OJ28)+1,$I$11+OK$11+(MATCH(OJ$11,L.DATE,0))-1)))))</f>
        <v/>
      </c>
      <c r="OK29" s="378" t="str" cm="1">
        <f t="array" aca="1" ref="OK29" ca="1">IF(xcomp(INDIRECT((ADDRESS(ROW(OK28),$I$11+(MATCH(OJ$11,L.DATE,0))))&amp;":"&amp;(ADDRESS(ROW(OK28),$I$11+OK$11+(MATCH(OJ$11,L.DATE,0))-1))),L.ABS.NP)=0,"",
xsom(INDIRECT((ADDRESS(ROW(OK28),$I$11+(MATCH(OJ$11,L.DATE,0))))&amp;":"&amp;(ADDRESS(ROW(OK28),$I$11+OK$11+(MATCH(OJ$11,L.DATE,0))-1))),L.ABS.NP,
INDIRECT((ADDRESS(ROW(OK28)+1,$I$11+(MATCH(OJ$11,L.DATE,0))))&amp;":"&amp;(ADDRESS(ROW(OK28)+1,$I$11+OK$11+(MATCH(OJ$11,L.DATE,0))-1)))))</f>
        <v/>
      </c>
    </row>
    <row r="30" spans="1:404" ht="12" customHeight="1" x14ac:dyDescent="0.3">
      <c r="A30" s="394">
        <v>160295</v>
      </c>
      <c r="B30" s="381" t="s">
        <v>497</v>
      </c>
      <c r="C30" s="53">
        <v>1</v>
      </c>
      <c r="D30" s="53" t="s">
        <v>33</v>
      </c>
      <c r="E30" s="53" t="s">
        <v>484</v>
      </c>
      <c r="F30" s="53" t="s">
        <v>13</v>
      </c>
      <c r="G30" s="104" t="s">
        <v>498</v>
      </c>
      <c r="H30" s="108">
        <v>1</v>
      </c>
      <c r="I30" s="28"/>
      <c r="J30" s="482"/>
      <c r="K30" s="487"/>
      <c r="L30" s="486"/>
      <c r="M30" s="482"/>
      <c r="N30" s="482"/>
      <c r="O30" s="482"/>
      <c r="P30" s="482"/>
      <c r="Q30" s="482"/>
      <c r="R30" s="484" t="s">
        <v>27</v>
      </c>
      <c r="S30" s="484" t="s">
        <v>27</v>
      </c>
      <c r="T30" s="484" t="s">
        <v>27</v>
      </c>
      <c r="U30" s="484" t="s">
        <v>27</v>
      </c>
      <c r="V30" s="484" t="s">
        <v>27</v>
      </c>
      <c r="W30" s="482"/>
      <c r="X30" s="482"/>
      <c r="Y30" s="484" t="s">
        <v>27</v>
      </c>
      <c r="Z30" s="484" t="s">
        <v>27</v>
      </c>
      <c r="AA30" s="484" t="s">
        <v>27</v>
      </c>
      <c r="AB30" s="484" t="s">
        <v>27</v>
      </c>
      <c r="AC30" s="484" t="s">
        <v>27</v>
      </c>
      <c r="AD30" s="482"/>
      <c r="AE30" s="482"/>
      <c r="AF30" s="484" t="s">
        <v>27</v>
      </c>
      <c r="AG30" s="484" t="s">
        <v>27</v>
      </c>
      <c r="AH30" s="484" t="s">
        <v>27</v>
      </c>
      <c r="AI30" s="484" t="s">
        <v>27</v>
      </c>
      <c r="AJ30" s="484" t="s">
        <v>27</v>
      </c>
      <c r="AK30" s="482"/>
      <c r="AL30" s="482"/>
      <c r="AM30" s="484" t="s">
        <v>27</v>
      </c>
      <c r="AN30" s="484" t="s">
        <v>27</v>
      </c>
      <c r="AO30" s="484" t="s">
        <v>27</v>
      </c>
      <c r="AP30" s="484" t="s">
        <v>27</v>
      </c>
      <c r="AQ30" s="484" t="s">
        <v>27</v>
      </c>
      <c r="AR30" s="482"/>
      <c r="AS30" s="482"/>
      <c r="AT30" s="484" t="s">
        <v>27</v>
      </c>
      <c r="AU30" s="484" t="s">
        <v>27</v>
      </c>
      <c r="AV30" s="484" t="s">
        <v>27</v>
      </c>
      <c r="AW30" s="484" t="s">
        <v>27</v>
      </c>
      <c r="AX30" s="484" t="s">
        <v>27</v>
      </c>
      <c r="AY30" s="482"/>
      <c r="AZ30" s="482"/>
      <c r="BA30" s="484" t="s">
        <v>27</v>
      </c>
      <c r="BB30" s="484" t="s">
        <v>27</v>
      </c>
      <c r="BC30" s="484" t="s">
        <v>27</v>
      </c>
      <c r="BD30" s="484" t="s">
        <v>27</v>
      </c>
      <c r="BE30" s="484" t="s">
        <v>27</v>
      </c>
      <c r="BF30" s="482"/>
      <c r="BG30" s="482"/>
      <c r="BH30" s="484" t="s">
        <v>27</v>
      </c>
      <c r="BI30" s="484" t="s">
        <v>27</v>
      </c>
      <c r="BJ30" s="484" t="s">
        <v>27</v>
      </c>
      <c r="BK30" s="484" t="s">
        <v>27</v>
      </c>
      <c r="BL30" s="484" t="s">
        <v>27</v>
      </c>
      <c r="BM30" s="482"/>
      <c r="BN30" s="482"/>
      <c r="BO30" s="484" t="s">
        <v>27</v>
      </c>
      <c r="BP30" s="484" t="s">
        <v>27</v>
      </c>
      <c r="BQ30" s="484" t="s">
        <v>27</v>
      </c>
      <c r="BR30" s="484" t="s">
        <v>27</v>
      </c>
      <c r="BS30" s="484" t="s">
        <v>27</v>
      </c>
      <c r="BT30" s="482"/>
      <c r="BU30" s="482"/>
      <c r="BV30" s="484" t="s">
        <v>27</v>
      </c>
      <c r="BW30" s="484" t="s">
        <v>27</v>
      </c>
      <c r="BX30" s="484" t="s">
        <v>27</v>
      </c>
      <c r="BY30" s="484" t="s">
        <v>27</v>
      </c>
      <c r="BZ30" s="484" t="s">
        <v>27</v>
      </c>
      <c r="CA30" s="482"/>
      <c r="CB30" s="482"/>
      <c r="CC30" s="484" t="s">
        <v>27</v>
      </c>
      <c r="CD30" s="484" t="s">
        <v>27</v>
      </c>
      <c r="CE30" s="484" t="s">
        <v>27</v>
      </c>
      <c r="CF30" s="484" t="s">
        <v>27</v>
      </c>
      <c r="CG30" s="484" t="s">
        <v>27</v>
      </c>
      <c r="CH30" s="482"/>
      <c r="CI30" s="482"/>
      <c r="CJ30" s="484" t="s">
        <v>27</v>
      </c>
      <c r="CK30" s="484" t="s">
        <v>27</v>
      </c>
      <c r="CL30" s="484" t="s">
        <v>27</v>
      </c>
      <c r="CM30" s="484" t="s">
        <v>27</v>
      </c>
      <c r="CN30" s="484" t="s">
        <v>27</v>
      </c>
      <c r="CO30" s="482"/>
      <c r="CP30" s="482"/>
      <c r="CQ30" s="484" t="s">
        <v>27</v>
      </c>
      <c r="CR30" s="484" t="s">
        <v>27</v>
      </c>
      <c r="CS30" s="484" t="s">
        <v>27</v>
      </c>
      <c r="CT30" s="484" t="s">
        <v>27</v>
      </c>
      <c r="CU30" s="484" t="s">
        <v>27</v>
      </c>
      <c r="CV30" s="482"/>
      <c r="CW30" s="482"/>
      <c r="CX30" s="482"/>
      <c r="CY30" s="482"/>
      <c r="CZ30" s="482"/>
      <c r="DA30" s="482"/>
      <c r="DB30" s="482"/>
      <c r="DC30" s="482"/>
      <c r="DD30" s="482"/>
      <c r="DE30" s="482"/>
      <c r="DF30" s="482"/>
      <c r="DG30" s="482"/>
      <c r="DH30" s="482"/>
      <c r="DI30" s="482"/>
      <c r="DJ30" s="482"/>
      <c r="DK30" s="482"/>
      <c r="DL30" s="482"/>
      <c r="DM30" s="482"/>
      <c r="DN30" s="482"/>
      <c r="DO30" s="482"/>
      <c r="DP30" s="482"/>
      <c r="DQ30" s="482"/>
      <c r="DR30" s="482"/>
      <c r="DS30" s="482"/>
      <c r="DT30" s="482"/>
      <c r="DU30" s="482"/>
      <c r="DV30" s="482"/>
      <c r="DW30" s="482"/>
      <c r="DX30" s="482"/>
      <c r="DY30" s="482"/>
      <c r="DZ30" s="482"/>
      <c r="EA30" s="482"/>
      <c r="EB30" s="482"/>
      <c r="EC30" s="482"/>
      <c r="ED30" s="482"/>
      <c r="EE30" s="482"/>
      <c r="EF30" s="482"/>
      <c r="EG30" s="482"/>
      <c r="EH30" s="482"/>
      <c r="EI30" s="482"/>
      <c r="EJ30" s="482"/>
      <c r="EK30" s="482"/>
      <c r="EL30" s="482"/>
      <c r="EM30" s="482"/>
      <c r="EN30" s="482"/>
      <c r="EO30" s="482"/>
      <c r="EP30" s="482"/>
      <c r="EQ30" s="482"/>
      <c r="ER30" s="482"/>
      <c r="ES30" s="482"/>
      <c r="ET30" s="482"/>
      <c r="EU30" s="482"/>
      <c r="EV30" s="482"/>
      <c r="EW30" s="482"/>
      <c r="EX30" s="482"/>
      <c r="EY30" s="482"/>
      <c r="EZ30" s="482"/>
      <c r="FA30" s="482"/>
      <c r="FB30" s="482"/>
      <c r="FC30" s="482"/>
      <c r="FD30" s="482"/>
      <c r="FE30" s="482"/>
      <c r="FF30" s="482"/>
      <c r="FG30" s="482"/>
      <c r="FH30" s="482"/>
      <c r="FI30" s="482"/>
      <c r="FJ30" s="482"/>
      <c r="FK30" s="482"/>
      <c r="FL30" s="482"/>
      <c r="FM30" s="482"/>
      <c r="FN30" s="482"/>
      <c r="FO30" s="482"/>
      <c r="FP30" s="482"/>
      <c r="FQ30" s="482"/>
      <c r="FR30" s="482"/>
      <c r="FS30" s="482"/>
      <c r="FT30" s="482"/>
      <c r="FU30" s="482"/>
      <c r="FV30" s="482"/>
      <c r="FW30" s="482"/>
      <c r="FX30" s="482"/>
      <c r="FY30" s="482"/>
      <c r="FZ30" s="482"/>
      <c r="GA30" s="482"/>
      <c r="GB30" s="482"/>
      <c r="GC30" s="482"/>
      <c r="GD30" s="482"/>
      <c r="GE30" s="482"/>
      <c r="GF30" s="482"/>
      <c r="GG30" s="482"/>
      <c r="GH30" s="482"/>
      <c r="GI30" s="482"/>
      <c r="GJ30" s="482"/>
      <c r="GK30" s="482"/>
      <c r="GL30" s="482"/>
      <c r="GM30" s="482"/>
      <c r="GN30" s="482"/>
      <c r="GO30" s="482"/>
      <c r="GP30" s="482"/>
      <c r="GQ30" s="482"/>
      <c r="GR30" s="482"/>
      <c r="GS30" s="482"/>
      <c r="GT30" s="482"/>
      <c r="GU30" s="482"/>
      <c r="GV30" s="482"/>
      <c r="GW30" s="482"/>
      <c r="GX30" s="482"/>
      <c r="GY30" s="482"/>
      <c r="GZ30" s="482"/>
      <c r="HA30" s="482"/>
      <c r="HB30" s="482"/>
      <c r="HC30" s="482"/>
      <c r="HD30" s="482"/>
      <c r="HE30" s="482"/>
      <c r="HF30" s="482"/>
      <c r="HG30" s="482"/>
      <c r="HH30" s="482"/>
      <c r="HI30" s="482"/>
      <c r="HJ30" s="482"/>
      <c r="HK30" s="482"/>
      <c r="HL30" s="482"/>
      <c r="HM30" s="482"/>
      <c r="HN30" s="482"/>
      <c r="HO30" s="482"/>
      <c r="HP30" s="482"/>
      <c r="HQ30" s="482"/>
      <c r="HR30" s="482"/>
      <c r="HS30" s="482"/>
      <c r="HT30" s="482"/>
      <c r="HU30" s="482"/>
      <c r="HV30" s="482"/>
      <c r="HW30" s="482"/>
      <c r="HX30" s="482"/>
      <c r="HY30" s="482"/>
      <c r="HZ30" s="482"/>
      <c r="IA30" s="482"/>
      <c r="IB30" s="482"/>
      <c r="IC30" s="482"/>
      <c r="ID30" s="482"/>
      <c r="IE30" s="482"/>
      <c r="IF30" s="482"/>
      <c r="IG30" s="482"/>
      <c r="IH30" s="482"/>
      <c r="II30" s="482"/>
      <c r="IJ30" s="482"/>
      <c r="IK30" s="482"/>
      <c r="IL30" s="482"/>
      <c r="IM30" s="482"/>
      <c r="IN30" s="482"/>
      <c r="IO30" s="482"/>
      <c r="IP30" s="482"/>
      <c r="IQ30" s="482"/>
      <c r="IR30" s="482"/>
      <c r="IS30" s="482"/>
      <c r="IT30" s="482"/>
      <c r="IU30" s="482"/>
      <c r="IV30" s="482"/>
      <c r="IW30" s="482"/>
      <c r="IX30" s="482"/>
      <c r="IY30" s="482"/>
      <c r="IZ30" s="482"/>
      <c r="JA30" s="482"/>
      <c r="JB30" s="482"/>
      <c r="JC30" s="482"/>
      <c r="JD30" s="482"/>
      <c r="JE30" s="482"/>
      <c r="JF30" s="482"/>
      <c r="JG30" s="482"/>
      <c r="JH30" s="482"/>
      <c r="JI30" s="482"/>
      <c r="JJ30" s="482"/>
      <c r="JK30" s="482"/>
      <c r="JL30" s="482"/>
      <c r="JM30" s="482"/>
      <c r="JN30" s="482"/>
      <c r="JO30" s="482"/>
      <c r="JP30" s="482"/>
      <c r="JQ30" s="482"/>
      <c r="JR30" s="482"/>
      <c r="JS30" s="482"/>
      <c r="JT30" s="482"/>
      <c r="JU30" s="482"/>
      <c r="JV30" s="482"/>
      <c r="JW30" s="482"/>
      <c r="JX30" s="482"/>
      <c r="JY30" s="482"/>
      <c r="JZ30" s="482"/>
      <c r="KA30" s="482"/>
      <c r="KB30" s="482"/>
      <c r="KC30" s="482"/>
      <c r="KD30" s="482"/>
      <c r="KE30" s="482"/>
      <c r="KF30" s="482"/>
      <c r="KG30" s="482"/>
      <c r="KH30" s="482"/>
      <c r="KI30" s="482"/>
      <c r="KJ30" s="482"/>
      <c r="KK30" s="482"/>
      <c r="KL30" s="482"/>
      <c r="KM30" s="482"/>
      <c r="KN30" s="482"/>
      <c r="KO30" s="482"/>
      <c r="KP30" s="482"/>
      <c r="KQ30" s="482"/>
      <c r="KR30" s="482"/>
      <c r="KS30" s="482"/>
      <c r="KT30" s="482"/>
      <c r="KU30" s="482"/>
      <c r="KV30" s="482"/>
      <c r="KW30" s="482"/>
      <c r="KX30" s="482"/>
      <c r="KY30" s="482"/>
      <c r="KZ30" s="482"/>
      <c r="LA30" s="482"/>
      <c r="LB30" s="482"/>
      <c r="LC30" s="482"/>
      <c r="LD30" s="482"/>
      <c r="LE30" s="482"/>
      <c r="LF30" s="482"/>
      <c r="LG30" s="482"/>
      <c r="LH30" s="482"/>
      <c r="LI30" s="482"/>
      <c r="LJ30" s="482"/>
      <c r="LK30" s="482"/>
      <c r="LL30" s="482"/>
      <c r="LM30" s="482"/>
      <c r="LN30" s="482"/>
      <c r="LO30" s="482"/>
      <c r="LP30" s="482"/>
      <c r="LQ30" s="482"/>
      <c r="LR30" s="482"/>
      <c r="LS30" s="482"/>
      <c r="LT30" s="482"/>
      <c r="LU30" s="482"/>
      <c r="LV30" s="482"/>
      <c r="LW30" s="482"/>
      <c r="LX30" s="482"/>
      <c r="LY30" s="482"/>
      <c r="LZ30" s="482"/>
      <c r="MA30" s="482"/>
      <c r="MB30" s="482"/>
      <c r="MC30" s="482"/>
      <c r="MD30" s="482"/>
      <c r="ME30" s="482"/>
      <c r="MF30" s="482"/>
      <c r="MG30" s="482"/>
      <c r="MH30" s="482"/>
      <c r="MI30" s="482"/>
      <c r="MJ30" s="482"/>
      <c r="MK30" s="482"/>
      <c r="ML30" s="482"/>
      <c r="MM30" s="482"/>
      <c r="MN30" s="482"/>
      <c r="MO30" s="482"/>
      <c r="MP30" s="482"/>
      <c r="MQ30" s="482"/>
      <c r="MR30" s="482"/>
      <c r="MS30" s="482"/>
      <c r="MT30" s="482"/>
      <c r="MU30" s="482"/>
      <c r="MV30" s="482"/>
      <c r="MW30" s="482"/>
      <c r="MX30" s="482"/>
      <c r="MY30" s="482"/>
      <c r="MZ30" s="482"/>
      <c r="NA30" s="482"/>
      <c r="NB30" s="482"/>
      <c r="NC30" s="482"/>
      <c r="ND30" s="482"/>
      <c r="NE30" s="482"/>
      <c r="NF30" s="482"/>
      <c r="NG30" s="482"/>
      <c r="NH30" s="482"/>
      <c r="NI30" s="482"/>
      <c r="NJ30" s="483"/>
      <c r="NK30" s="34"/>
      <c r="NM30" s="159">
        <f>A30</f>
        <v>160295</v>
      </c>
      <c r="NN30" s="373">
        <f ca="1">COUNTIF(INDIRECT((ADDRESS(ROW(NO31),$I$11+(MATCH(NN$11,L.DATE,0))))&amp;":"&amp;(ADDRESS(ROW(NO31),$I$11+NO$11+(MATCH(NN$11,L.DATE,0))-1))),"&gt;=0")-NO30</f>
        <v>17</v>
      </c>
      <c r="NO30" s="374">
        <f ca="1">SUM(INDIRECT((ADDRESS(ROW(NO31),$I$11+(MATCH(NN$11,L.DATE,0))))&amp;":"&amp;(ADDRESS(ROW(NO31),$I$11+NO$11+(MATCH(NN$11,L.DATE,0))-1))))</f>
        <v>0</v>
      </c>
      <c r="NP30" s="373">
        <f ca="1">COUNTIF(INDIRECT((ADDRESS(ROW(NQ31),$I$11+(MATCH(NP$11,L.DATE,0))))&amp;":"&amp;(ADDRESS(ROW(NQ31),$I$11+NQ$11+(MATCH(NP$11,L.DATE,0))-1))),"&gt;=0")-NQ30</f>
        <v>20</v>
      </c>
      <c r="NQ30" s="374">
        <f ca="1">SUM(INDIRECT((ADDRESS(ROW(NQ31),$I$11+(MATCH(NP$11,L.DATE,0))))&amp;":"&amp;(ADDRESS(ROW(NQ31),$I$11+NQ$11+(MATCH(NP$11,L.DATE,0))-1))))</f>
        <v>0</v>
      </c>
      <c r="NR30" s="373">
        <f ca="1">COUNTIF(INDIRECT((ADDRESS(ROW(NS31),$I$11+(MATCH(NR$11,L.DATE,0))))&amp;":"&amp;(ADDRESS(ROW(NS31),$I$11+NS$11+(MATCH(NR$11,L.DATE,0))-1))),"&gt;=0")-NS30</f>
        <v>23</v>
      </c>
      <c r="NS30" s="374">
        <f ca="1">SUM(INDIRECT((ADDRESS(ROW(NS31),$I$11+(MATCH(NR$11,L.DATE,0))))&amp;":"&amp;(ADDRESS(ROW(NS31),$I$11+NS$11+(MATCH(NR$11,L.DATE,0))-1))))</f>
        <v>0</v>
      </c>
      <c r="NT30" s="373">
        <f ca="1">COUNTIF(INDIRECT((ADDRESS(ROW(NU31),$I$11+(MATCH(NT$11,L.DATE,0))))&amp;":"&amp;(ADDRESS(ROW(NU31),$I$11+NU$11+(MATCH(NT$11,L.DATE,0))-1))),"&gt;=0")-NU30</f>
        <v>0</v>
      </c>
      <c r="NU30" s="374">
        <f ca="1">SUM(INDIRECT((ADDRESS(ROW(NU31),$I$11+(MATCH(NT$11,L.DATE,0))))&amp;":"&amp;(ADDRESS(ROW(NU31),$I$11+NU$11+(MATCH(NT$11,L.DATE,0))-1))))</f>
        <v>0</v>
      </c>
      <c r="NV30" s="373">
        <f ca="1">COUNTIF(INDIRECT((ADDRESS(ROW(NW31),$I$11+(MATCH(NV$11,L.DATE,0))))&amp;":"&amp;(ADDRESS(ROW(NW31),$I$11+NW$11+(MATCH(NV$11,L.DATE,0))-1))),"&gt;=0")-NW30</f>
        <v>0</v>
      </c>
      <c r="NW30" s="374">
        <f ca="1">SUM(INDIRECT((ADDRESS(ROW(NW31),$I$11+(MATCH(NV$11,L.DATE,0))))&amp;":"&amp;(ADDRESS(ROW(NW31),$I$11+NW$11+(MATCH(NV$11,L.DATE,0))-1))))</f>
        <v>0</v>
      </c>
      <c r="NX30" s="373">
        <f ca="1">COUNTIF(INDIRECT((ADDRESS(ROW(NY31),$I$11+(MATCH(NX$11,L.DATE,0))))&amp;":"&amp;(ADDRESS(ROW(NY31),$I$11+NY$11+(MATCH(NX$11,L.DATE,0))-1))),"&gt;=0")-NY30</f>
        <v>0</v>
      </c>
      <c r="NY30" s="374">
        <f ca="1">SUM(INDIRECT((ADDRESS(ROW(NY31),$I$11+(MATCH(NX$11,L.DATE,0))))&amp;":"&amp;(ADDRESS(ROW(NY31),$I$11+NY$11+(MATCH(NX$11,L.DATE,0))-1))))</f>
        <v>0</v>
      </c>
      <c r="NZ30" s="373">
        <f ca="1">COUNTIF(INDIRECT((ADDRESS(ROW(OA31),$I$11+(MATCH(NZ$11,L.DATE,0))))&amp;":"&amp;(ADDRESS(ROW(OA31),$I$11+OA$11+(MATCH(NZ$11,L.DATE,0))-1))),"&gt;=0")-OA30</f>
        <v>0</v>
      </c>
      <c r="OA30" s="374">
        <f ca="1">SUM(INDIRECT((ADDRESS(ROW(OA31),$I$11+(MATCH(NZ$11,L.DATE,0))))&amp;":"&amp;(ADDRESS(ROW(OA31),$I$11+OA$11+(MATCH(NZ$11,L.DATE,0))-1))))</f>
        <v>0</v>
      </c>
      <c r="OB30" s="373">
        <f ca="1">COUNTIF(INDIRECT((ADDRESS(ROW(OC31),$I$11+(MATCH(OB$11,L.DATE,0))))&amp;":"&amp;(ADDRESS(ROW(OC31),$I$11+OC$11+(MATCH(OB$11,L.DATE,0))-1))),"&gt;=0")-OC30</f>
        <v>0</v>
      </c>
      <c r="OC30" s="374">
        <f ca="1">SUM(INDIRECT((ADDRESS(ROW(OC31),$I$11+(MATCH(OB$11,L.DATE,0))))&amp;":"&amp;(ADDRESS(ROW(OC31),$I$11+OC$11+(MATCH(OB$11,L.DATE,0))-1))))</f>
        <v>0</v>
      </c>
      <c r="OD30" s="373">
        <f ca="1">COUNTIF(INDIRECT((ADDRESS(ROW(OE31),$I$11+(MATCH(OD$11,L.DATE,0))))&amp;":"&amp;(ADDRESS(ROW(OE31),$I$11+OE$11+(MATCH(OD$11,L.DATE,0))-1))),"&gt;=0")-OE30</f>
        <v>0</v>
      </c>
      <c r="OE30" s="374">
        <f ca="1">SUM(INDIRECT((ADDRESS(ROW(OE31),$I$11+(MATCH(OD$11,L.DATE,0))))&amp;":"&amp;(ADDRESS(ROW(OE31),$I$11+OE$11+(MATCH(OD$11,L.DATE,0))-1))))</f>
        <v>0</v>
      </c>
      <c r="OF30" s="373">
        <f ca="1">COUNTIF(INDIRECT((ADDRESS(ROW(OG31),$I$11+(MATCH(OF$11,L.DATE,0))))&amp;":"&amp;(ADDRESS(ROW(OG31),$I$11+OG$11+(MATCH(OF$11,L.DATE,0))-1))),"&gt;=0")-OG30</f>
        <v>0</v>
      </c>
      <c r="OG30" s="374">
        <f ca="1">SUM(INDIRECT((ADDRESS(ROW(OG31),$I$11+(MATCH(OF$11,L.DATE,0))))&amp;":"&amp;(ADDRESS(ROW(OG31),$I$11+OG$11+(MATCH(OF$11,L.DATE,0))-1))))</f>
        <v>0</v>
      </c>
      <c r="OH30" s="373">
        <f ca="1">COUNTIF(INDIRECT((ADDRESS(ROW(OI31),$I$11+(MATCH(OH$11,L.DATE,0))))&amp;":"&amp;(ADDRESS(ROW(OI31),$I$11+OI$11+(MATCH(OH$11,L.DATE,0))-1))),"&gt;=0")-OI30</f>
        <v>0</v>
      </c>
      <c r="OI30" s="374">
        <f ca="1">SUM(INDIRECT((ADDRESS(ROW(OI31),$I$11+(MATCH(OH$11,L.DATE,0))))&amp;":"&amp;(ADDRESS(ROW(OI31),$I$11+OI$11+(MATCH(OH$11,L.DATE,0))-1))))</f>
        <v>0</v>
      </c>
      <c r="OJ30" s="373">
        <f ca="1">COUNTIF(INDIRECT((ADDRESS(ROW(OK31),$I$11+(MATCH(OJ$11,L.DATE,0))))&amp;":"&amp;(ADDRESS(ROW(OK31),$I$11+OK$11+(MATCH(OJ$11,L.DATE,0))-1))),"&gt;=0")-OK30</f>
        <v>0</v>
      </c>
      <c r="OK30" s="375">
        <f ca="1">SUM(INDIRECT((ADDRESS(ROW(OK31),$I$11+(MATCH(OJ$11,L.DATE,0))))&amp;":"&amp;(ADDRESS(ROW(OK31),$I$11+OK$11+(MATCH(OJ$11,L.DATE,0))-1))))</f>
        <v>0</v>
      </c>
      <c r="OM30" s="39">
        <f ca="1">NN30+NP30+NR30+NT30+NV30+NX30+NZ30+OB30+OD30+OF30+OJ30+OH30</f>
        <v>60</v>
      </c>
      <c r="ON30" s="40">
        <f ca="1">NO30+NQ30+NS30+NU30+NW30+NY30+OA30+OC30+OE30+OG30+OK30+OI30</f>
        <v>0</v>
      </c>
    </row>
    <row r="31" spans="1:404" x14ac:dyDescent="0.3">
      <c r="A31" s="488"/>
      <c r="B31" s="16" t="str">
        <f t="shared" ref="B31:H31" si="31">B30</f>
        <v>DINET.Clement</v>
      </c>
      <c r="C31" s="16">
        <f t="shared" si="31"/>
        <v>1</v>
      </c>
      <c r="D31" s="16" t="str">
        <f t="shared" si="31"/>
        <v>EXT</v>
      </c>
      <c r="E31" s="16" t="str">
        <f t="shared" si="31"/>
        <v>ITG</v>
      </c>
      <c r="F31" s="16" t="str">
        <f t="shared" si="31"/>
        <v>SL</v>
      </c>
      <c r="G31" s="105" t="str">
        <f t="shared" si="31"/>
        <v>N1</v>
      </c>
      <c r="H31" s="109">
        <f t="shared" si="31"/>
        <v>1</v>
      </c>
      <c r="I31" s="28"/>
      <c r="J31" s="482"/>
      <c r="K31" s="485"/>
      <c r="L31" s="482"/>
      <c r="M31" s="482"/>
      <c r="N31" s="482"/>
      <c r="O31" s="482"/>
      <c r="P31" s="482"/>
      <c r="Q31" s="482"/>
      <c r="R31" s="485">
        <v>0</v>
      </c>
      <c r="S31" s="485">
        <v>0</v>
      </c>
      <c r="T31" s="485">
        <v>0</v>
      </c>
      <c r="U31" s="485">
        <v>0</v>
      </c>
      <c r="V31" s="485">
        <v>0</v>
      </c>
      <c r="W31" s="482"/>
      <c r="X31" s="482"/>
      <c r="Y31" s="485">
        <v>0</v>
      </c>
      <c r="Z31" s="485">
        <v>0</v>
      </c>
      <c r="AA31" s="485">
        <v>0</v>
      </c>
      <c r="AB31" s="485">
        <v>0</v>
      </c>
      <c r="AC31" s="485">
        <v>0</v>
      </c>
      <c r="AD31" s="482"/>
      <c r="AE31" s="482"/>
      <c r="AF31" s="485">
        <v>0</v>
      </c>
      <c r="AG31" s="485">
        <v>0</v>
      </c>
      <c r="AH31" s="485">
        <v>0</v>
      </c>
      <c r="AI31" s="485">
        <v>0</v>
      </c>
      <c r="AJ31" s="485">
        <v>0</v>
      </c>
      <c r="AK31" s="482"/>
      <c r="AL31" s="482"/>
      <c r="AM31" s="485">
        <v>0</v>
      </c>
      <c r="AN31" s="485">
        <v>0</v>
      </c>
      <c r="AO31" s="485">
        <v>0</v>
      </c>
      <c r="AP31" s="485">
        <v>0</v>
      </c>
      <c r="AQ31" s="485">
        <v>0</v>
      </c>
      <c r="AR31" s="482"/>
      <c r="AS31" s="482"/>
      <c r="AT31" s="485">
        <v>0</v>
      </c>
      <c r="AU31" s="485">
        <v>0</v>
      </c>
      <c r="AV31" s="485">
        <v>0</v>
      </c>
      <c r="AW31" s="485">
        <v>0</v>
      </c>
      <c r="AX31" s="485">
        <v>0</v>
      </c>
      <c r="AY31" s="482"/>
      <c r="AZ31" s="482"/>
      <c r="BA31" s="485">
        <v>0</v>
      </c>
      <c r="BB31" s="485">
        <v>0</v>
      </c>
      <c r="BC31" s="485">
        <v>0</v>
      </c>
      <c r="BD31" s="485">
        <v>0</v>
      </c>
      <c r="BE31" s="485">
        <v>0</v>
      </c>
      <c r="BF31" s="482"/>
      <c r="BG31" s="482"/>
      <c r="BH31" s="485">
        <v>0</v>
      </c>
      <c r="BI31" s="485">
        <v>0</v>
      </c>
      <c r="BJ31" s="485">
        <v>0</v>
      </c>
      <c r="BK31" s="485">
        <v>0</v>
      </c>
      <c r="BL31" s="485">
        <v>0</v>
      </c>
      <c r="BM31" s="482"/>
      <c r="BN31" s="482"/>
      <c r="BO31" s="485">
        <v>0</v>
      </c>
      <c r="BP31" s="485">
        <v>0</v>
      </c>
      <c r="BQ31" s="485">
        <v>0</v>
      </c>
      <c r="BR31" s="485">
        <v>0</v>
      </c>
      <c r="BS31" s="485">
        <v>0</v>
      </c>
      <c r="BT31" s="482"/>
      <c r="BU31" s="482"/>
      <c r="BV31" s="485">
        <v>0</v>
      </c>
      <c r="BW31" s="485">
        <v>0</v>
      </c>
      <c r="BX31" s="485">
        <v>0</v>
      </c>
      <c r="BY31" s="485">
        <v>0</v>
      </c>
      <c r="BZ31" s="485">
        <v>0</v>
      </c>
      <c r="CA31" s="482"/>
      <c r="CB31" s="482"/>
      <c r="CC31" s="485">
        <v>0</v>
      </c>
      <c r="CD31" s="485">
        <v>0</v>
      </c>
      <c r="CE31" s="485">
        <v>0</v>
      </c>
      <c r="CF31" s="485">
        <v>0</v>
      </c>
      <c r="CG31" s="485">
        <v>0</v>
      </c>
      <c r="CH31" s="482"/>
      <c r="CI31" s="482"/>
      <c r="CJ31" s="485">
        <v>0</v>
      </c>
      <c r="CK31" s="485">
        <v>0</v>
      </c>
      <c r="CL31" s="485">
        <v>0</v>
      </c>
      <c r="CM31" s="485">
        <v>0</v>
      </c>
      <c r="CN31" s="485">
        <v>0</v>
      </c>
      <c r="CO31" s="482"/>
      <c r="CP31" s="482"/>
      <c r="CQ31" s="485">
        <v>0</v>
      </c>
      <c r="CR31" s="485">
        <v>0</v>
      </c>
      <c r="CS31" s="485">
        <v>0</v>
      </c>
      <c r="CT31" s="485">
        <v>0</v>
      </c>
      <c r="CU31" s="485">
        <v>0</v>
      </c>
      <c r="CV31" s="482"/>
      <c r="CW31" s="482"/>
      <c r="CX31" s="482"/>
      <c r="CY31" s="482"/>
      <c r="CZ31" s="482"/>
      <c r="DA31" s="482"/>
      <c r="DB31" s="482"/>
      <c r="DC31" s="482"/>
      <c r="DD31" s="482"/>
      <c r="DE31" s="482"/>
      <c r="DF31" s="482"/>
      <c r="DG31" s="482"/>
      <c r="DH31" s="482"/>
      <c r="DI31" s="482"/>
      <c r="DJ31" s="482"/>
      <c r="DK31" s="482"/>
      <c r="DL31" s="482"/>
      <c r="DM31" s="482"/>
      <c r="DN31" s="482"/>
      <c r="DO31" s="482"/>
      <c r="DP31" s="482"/>
      <c r="DQ31" s="482"/>
      <c r="DR31" s="482"/>
      <c r="DS31" s="482"/>
      <c r="DT31" s="482"/>
      <c r="DU31" s="482"/>
      <c r="DV31" s="482"/>
      <c r="DW31" s="482"/>
      <c r="DX31" s="482"/>
      <c r="DY31" s="482"/>
      <c r="DZ31" s="482"/>
      <c r="EA31" s="482"/>
      <c r="EB31" s="482"/>
      <c r="EC31" s="482"/>
      <c r="ED31" s="482"/>
      <c r="EE31" s="482"/>
      <c r="EF31" s="482"/>
      <c r="EG31" s="482"/>
      <c r="EH31" s="482"/>
      <c r="EI31" s="482"/>
      <c r="EJ31" s="482"/>
      <c r="EK31" s="482"/>
      <c r="EL31" s="482"/>
      <c r="EM31" s="482"/>
      <c r="EN31" s="482"/>
      <c r="EO31" s="482"/>
      <c r="EP31" s="482"/>
      <c r="EQ31" s="482"/>
      <c r="ER31" s="482"/>
      <c r="ES31" s="482"/>
      <c r="ET31" s="482"/>
      <c r="EU31" s="482"/>
      <c r="EV31" s="482"/>
      <c r="EW31" s="482"/>
      <c r="EX31" s="482"/>
      <c r="EY31" s="482"/>
      <c r="EZ31" s="482"/>
      <c r="FA31" s="482"/>
      <c r="FB31" s="482"/>
      <c r="FC31" s="482"/>
      <c r="FD31" s="482"/>
      <c r="FE31" s="482"/>
      <c r="FF31" s="482"/>
      <c r="FG31" s="482"/>
      <c r="FH31" s="482"/>
      <c r="FI31" s="482"/>
      <c r="FJ31" s="482"/>
      <c r="FK31" s="482"/>
      <c r="FL31" s="482"/>
      <c r="FM31" s="482"/>
      <c r="FN31" s="482"/>
      <c r="FO31" s="482"/>
      <c r="FP31" s="482"/>
      <c r="FQ31" s="482"/>
      <c r="FR31" s="482"/>
      <c r="FS31" s="482"/>
      <c r="FT31" s="482"/>
      <c r="FU31" s="482"/>
      <c r="FV31" s="482"/>
      <c r="FW31" s="482"/>
      <c r="FX31" s="482"/>
      <c r="FY31" s="482"/>
      <c r="FZ31" s="482"/>
      <c r="GA31" s="482"/>
      <c r="GB31" s="482"/>
      <c r="GC31" s="482"/>
      <c r="GD31" s="482"/>
      <c r="GE31" s="482"/>
      <c r="GF31" s="482"/>
      <c r="GG31" s="482"/>
      <c r="GH31" s="482"/>
      <c r="GI31" s="482"/>
      <c r="GJ31" s="482"/>
      <c r="GK31" s="482"/>
      <c r="GL31" s="482"/>
      <c r="GM31" s="482"/>
      <c r="GN31" s="482"/>
      <c r="GO31" s="482"/>
      <c r="GP31" s="482"/>
      <c r="GQ31" s="482"/>
      <c r="GR31" s="482"/>
      <c r="GS31" s="482"/>
      <c r="GT31" s="482"/>
      <c r="GU31" s="482"/>
      <c r="GV31" s="482"/>
      <c r="GW31" s="482"/>
      <c r="GX31" s="482"/>
      <c r="GY31" s="482"/>
      <c r="GZ31" s="482"/>
      <c r="HA31" s="482"/>
      <c r="HB31" s="482"/>
      <c r="HC31" s="482"/>
      <c r="HD31" s="482"/>
      <c r="HE31" s="482"/>
      <c r="HF31" s="482"/>
      <c r="HG31" s="482"/>
      <c r="HH31" s="482"/>
      <c r="HI31" s="482"/>
      <c r="HJ31" s="482"/>
      <c r="HK31" s="482"/>
      <c r="HL31" s="482"/>
      <c r="HM31" s="482"/>
      <c r="HN31" s="482"/>
      <c r="HO31" s="482"/>
      <c r="HP31" s="482"/>
      <c r="HQ31" s="482"/>
      <c r="HR31" s="482"/>
      <c r="HS31" s="482"/>
      <c r="HT31" s="482"/>
      <c r="HU31" s="482"/>
      <c r="HV31" s="482"/>
      <c r="HW31" s="482"/>
      <c r="HX31" s="482"/>
      <c r="HY31" s="482"/>
      <c r="HZ31" s="482"/>
      <c r="IA31" s="482"/>
      <c r="IB31" s="482"/>
      <c r="IC31" s="482"/>
      <c r="ID31" s="482"/>
      <c r="IE31" s="482"/>
      <c r="IF31" s="482"/>
      <c r="IG31" s="482"/>
      <c r="IH31" s="482"/>
      <c r="II31" s="482"/>
      <c r="IJ31" s="482"/>
      <c r="IK31" s="482"/>
      <c r="IL31" s="482"/>
      <c r="IM31" s="482"/>
      <c r="IN31" s="482"/>
      <c r="IO31" s="482"/>
      <c r="IP31" s="482"/>
      <c r="IQ31" s="482"/>
      <c r="IR31" s="482"/>
      <c r="IS31" s="482"/>
      <c r="IT31" s="482"/>
      <c r="IU31" s="482"/>
      <c r="IV31" s="482"/>
      <c r="IW31" s="482"/>
      <c r="IX31" s="482"/>
      <c r="IY31" s="482"/>
      <c r="IZ31" s="482"/>
      <c r="JA31" s="482"/>
      <c r="JB31" s="482"/>
      <c r="JC31" s="482"/>
      <c r="JD31" s="482"/>
      <c r="JE31" s="482"/>
      <c r="JF31" s="482"/>
      <c r="JG31" s="482"/>
      <c r="JH31" s="482"/>
      <c r="JI31" s="482"/>
      <c r="JJ31" s="482"/>
      <c r="JK31" s="482"/>
      <c r="JL31" s="482"/>
      <c r="JM31" s="482"/>
      <c r="JN31" s="482"/>
      <c r="JO31" s="482"/>
      <c r="JP31" s="482"/>
      <c r="JQ31" s="482"/>
      <c r="JR31" s="482"/>
      <c r="JS31" s="482"/>
      <c r="JT31" s="482"/>
      <c r="JU31" s="482"/>
      <c r="JV31" s="482"/>
      <c r="JW31" s="482"/>
      <c r="JX31" s="482"/>
      <c r="JY31" s="482"/>
      <c r="JZ31" s="482"/>
      <c r="KA31" s="482"/>
      <c r="KB31" s="482"/>
      <c r="KC31" s="482"/>
      <c r="KD31" s="482"/>
      <c r="KE31" s="482"/>
      <c r="KF31" s="482"/>
      <c r="KG31" s="482"/>
      <c r="KH31" s="482"/>
      <c r="KI31" s="482"/>
      <c r="KJ31" s="482"/>
      <c r="KK31" s="482"/>
      <c r="KL31" s="482"/>
      <c r="KM31" s="482"/>
      <c r="KN31" s="482"/>
      <c r="KO31" s="482"/>
      <c r="KP31" s="482"/>
      <c r="KQ31" s="482"/>
      <c r="KR31" s="482"/>
      <c r="KS31" s="482"/>
      <c r="KT31" s="482"/>
      <c r="KU31" s="482"/>
      <c r="KV31" s="482"/>
      <c r="KW31" s="482"/>
      <c r="KX31" s="482"/>
      <c r="KY31" s="482"/>
      <c r="KZ31" s="482"/>
      <c r="LA31" s="482"/>
      <c r="LB31" s="482"/>
      <c r="LC31" s="482"/>
      <c r="LD31" s="482"/>
      <c r="LE31" s="482"/>
      <c r="LF31" s="482"/>
      <c r="LG31" s="482"/>
      <c r="LH31" s="482"/>
      <c r="LI31" s="482"/>
      <c r="LJ31" s="482"/>
      <c r="LK31" s="482"/>
      <c r="LL31" s="482"/>
      <c r="LM31" s="482"/>
      <c r="LN31" s="482"/>
      <c r="LO31" s="482"/>
      <c r="LP31" s="482"/>
      <c r="LQ31" s="482"/>
      <c r="LR31" s="482"/>
      <c r="LS31" s="482"/>
      <c r="LT31" s="482"/>
      <c r="LU31" s="482"/>
      <c r="LV31" s="482"/>
      <c r="LW31" s="482"/>
      <c r="LX31" s="482"/>
      <c r="LY31" s="482"/>
      <c r="LZ31" s="482"/>
      <c r="MA31" s="482"/>
      <c r="MB31" s="482"/>
      <c r="MC31" s="482"/>
      <c r="MD31" s="482"/>
      <c r="ME31" s="482"/>
      <c r="MF31" s="482"/>
      <c r="MG31" s="482"/>
      <c r="MH31" s="482"/>
      <c r="MI31" s="482"/>
      <c r="MJ31" s="482"/>
      <c r="MK31" s="482"/>
      <c r="ML31" s="482"/>
      <c r="MM31" s="482"/>
      <c r="MN31" s="482"/>
      <c r="MO31" s="482"/>
      <c r="MP31" s="482"/>
      <c r="MQ31" s="482"/>
      <c r="MR31" s="482"/>
      <c r="MS31" s="482"/>
      <c r="MT31" s="482"/>
      <c r="MU31" s="482"/>
      <c r="MV31" s="482"/>
      <c r="MW31" s="482"/>
      <c r="MX31" s="482"/>
      <c r="MY31" s="482"/>
      <c r="MZ31" s="482"/>
      <c r="NA31" s="482"/>
      <c r="NB31" s="482"/>
      <c r="NC31" s="482"/>
      <c r="ND31" s="482"/>
      <c r="NE31" s="482"/>
      <c r="NF31" s="482"/>
      <c r="NG31" s="482"/>
      <c r="NH31" s="482"/>
      <c r="NI31" s="482"/>
      <c r="NJ31" s="483"/>
      <c r="NK31" s="34"/>
      <c r="NM31" s="379" t="str">
        <f>NM30&amp;".b"</f>
        <v>160295.b</v>
      </c>
      <c r="NN31" s="376" cm="1">
        <f t="array" aca="1" ref="NN31" ca="1">IF(xcomp(INDIRECT((ADDRESS(ROW(NN30),$I$11+(MATCH(NN$11,L.DATE,0))))&amp;":"&amp;(ADDRESS(ROW(NN30),$I$11+NO$11+(MATCH(NN$11,L.DATE,0))-1))),L.ABSP)=0,"",
xsom(INDIRECT((ADDRESS(ROW(NN30),$I$11+(MATCH(NN$11,L.DATE,0))))&amp;":"&amp;(ADDRESS(ROW(NN30),$I$11+NO$11+(MATCH(NN$11,L.DATE,0))-1))),L.ABSP,
INDIRECT((ADDRESS(ROW(NN30)+1,$I$11+(MATCH(NN$11,L.DATE,0))))&amp;":"&amp;(ADDRESS(ROW(NN30)+1,$I$11+NO$11+(MATCH(NN$11,L.DATE,0))-1)))))</f>
        <v>17</v>
      </c>
      <c r="NO31" s="377" t="str" cm="1">
        <f t="array" aca="1" ref="NO31" ca="1">IF(xcomp(INDIRECT((ADDRESS(ROW(NO30),$I$11+(MATCH(NN$11,L.DATE,0))))&amp;":"&amp;(ADDRESS(ROW(NO30),$I$11+NO$11+(MATCH(NN$11,L.DATE,0))-1))),L.ABS.NP)=0,"",
xsom(INDIRECT((ADDRESS(ROW(NO30),$I$11+(MATCH(NN$11,L.DATE,0))))&amp;":"&amp;(ADDRESS(ROW(NO30),$I$11+NO$11+(MATCH(NN$11,L.DATE,0))-1))),L.ABS.NP,
INDIRECT((ADDRESS(ROW(NO30)+1,$I$11+(MATCH(NN$11,L.DATE,0))))&amp;":"&amp;(ADDRESS(ROW(NO30)+1,$I$11+NO$11+(MATCH(NN$11,L.DATE,0))-1)))))</f>
        <v/>
      </c>
      <c r="NP31" s="376" cm="1">
        <f t="array" aca="1" ref="NP31" ca="1">IF(xcomp(INDIRECT((ADDRESS(ROW(NP30),$I$11+(MATCH(NP$11,L.DATE,0))))&amp;":"&amp;(ADDRESS(ROW(NP30),$I$11+NQ$11+(MATCH(NP$11,L.DATE,0))-1))),L.ABSP)=0,"",
xsom(INDIRECT((ADDRESS(ROW(NP30),$I$11+(MATCH(NP$11,L.DATE,0))))&amp;":"&amp;(ADDRESS(ROW(NP30),$I$11+NQ$11+(MATCH(NP$11,L.DATE,0))-1))),L.ABSP,
INDIRECT((ADDRESS(ROW(NP30)+1,$I$11+(MATCH(NP$11,L.DATE,0))))&amp;":"&amp;(ADDRESS(ROW(NP30)+1,$I$11+NQ$11+(MATCH(NP$11,L.DATE,0))-1)))))</f>
        <v>20</v>
      </c>
      <c r="NQ31" s="377" t="str" cm="1">
        <f t="array" aca="1" ref="NQ31" ca="1">IF(xcomp(INDIRECT((ADDRESS(ROW(NQ30),$I$11+(MATCH(NP$11,L.DATE,0))))&amp;":"&amp;(ADDRESS(ROW(NQ30),$I$11+NQ$11+(MATCH(NP$11,L.DATE,0))-1))),L.ABS.NP)=0,"",
xsom(INDIRECT((ADDRESS(ROW(NQ30),$I$11+(MATCH(NP$11,L.DATE,0))))&amp;":"&amp;(ADDRESS(ROW(NQ30),$I$11+NQ$11+(MATCH(NP$11,L.DATE,0))-1))),L.ABS.NP,
INDIRECT((ADDRESS(ROW(NQ30)+1,$I$11+(MATCH(NP$11,L.DATE,0))))&amp;":"&amp;(ADDRESS(ROW(NQ30)+1,$I$11+NQ$11+(MATCH(NP$11,L.DATE,0))-1)))))</f>
        <v/>
      </c>
      <c r="NR31" s="376" cm="1">
        <f t="array" aca="1" ref="NR31" ca="1">IF(xcomp(INDIRECT((ADDRESS(ROW(NR30),$I$11+(MATCH(NR$11,L.DATE,0))))&amp;":"&amp;(ADDRESS(ROW(NR30),$I$11+NS$11+(MATCH(NR$11,L.DATE,0))-1))),L.ABSP)=0,"",
xsom(INDIRECT((ADDRESS(ROW(NR30),$I$11+(MATCH(NR$11,L.DATE,0))))&amp;":"&amp;(ADDRESS(ROW(NR30),$I$11+NS$11+(MATCH(NR$11,L.DATE,0))-1))),L.ABSP,
INDIRECT((ADDRESS(ROW(NR30)+1,$I$11+(MATCH(NR$11,L.DATE,0))))&amp;":"&amp;(ADDRESS(ROW(NR30)+1,$I$11+NS$11+(MATCH(NR$11,L.DATE,0))-1)))))</f>
        <v>23</v>
      </c>
      <c r="NS31" s="377" t="str" cm="1">
        <f t="array" aca="1" ref="NS31" ca="1">IF(xcomp(INDIRECT((ADDRESS(ROW(NS30),$I$11+(MATCH(NR$11,L.DATE,0))))&amp;":"&amp;(ADDRESS(ROW(NS30),$I$11+NS$11+(MATCH(NR$11,L.DATE,0))-1))),L.ABS.NP)=0,"",
xsom(INDIRECT((ADDRESS(ROW(NS30),$I$11+(MATCH(NR$11,L.DATE,0))))&amp;":"&amp;(ADDRESS(ROW(NS30),$I$11+NS$11+(MATCH(NR$11,L.DATE,0))-1))),L.ABS.NP,
INDIRECT((ADDRESS(ROW(NS30)+1,$I$11+(MATCH(NR$11,L.DATE,0))))&amp;":"&amp;(ADDRESS(ROW(NS30)+1,$I$11+NS$11+(MATCH(NR$11,L.DATE,0))-1)))))</f>
        <v/>
      </c>
      <c r="NT31" s="376" t="str" cm="1">
        <f t="array" aca="1" ref="NT31" ca="1">IF(xcomp(INDIRECT((ADDRESS(ROW(NT30),$I$11+(MATCH(NT$11,L.DATE,0))))&amp;":"&amp;(ADDRESS(ROW(NT30),$I$11+NU$11+(MATCH(NT$11,L.DATE,0))-1))),L.ABSP)=0,"",
xsom(INDIRECT((ADDRESS(ROW(NT30),$I$11+(MATCH(NT$11,L.DATE,0))))&amp;":"&amp;(ADDRESS(ROW(NT30),$I$11+NU$11+(MATCH(NT$11,L.DATE,0))-1))),L.ABSP,
INDIRECT((ADDRESS(ROW(NT30)+1,$I$11+(MATCH(NT$11,L.DATE,0))))&amp;":"&amp;(ADDRESS(ROW(NT30)+1,$I$11+NU$11+(MATCH(NT$11,L.DATE,0))-1)))))</f>
        <v/>
      </c>
      <c r="NU31" s="377" t="str" cm="1">
        <f t="array" aca="1" ref="NU31" ca="1">IF(xcomp(INDIRECT((ADDRESS(ROW(NU30),$I$11+(MATCH(NT$11,L.DATE,0))))&amp;":"&amp;(ADDRESS(ROW(NU30),$I$11+NU$11+(MATCH(NT$11,L.DATE,0))-1))),L.ABS.NP)=0,"",
xsom(INDIRECT((ADDRESS(ROW(NU30),$I$11+(MATCH(NT$11,L.DATE,0))))&amp;":"&amp;(ADDRESS(ROW(NU30),$I$11+NU$11+(MATCH(NT$11,L.DATE,0))-1))),L.ABS.NP,
INDIRECT((ADDRESS(ROW(NU30)+1,$I$11+(MATCH(NT$11,L.DATE,0))))&amp;":"&amp;(ADDRESS(ROW(NU30)+1,$I$11+NU$11+(MATCH(NT$11,L.DATE,0))-1)))))</f>
        <v/>
      </c>
      <c r="NV31" s="376" t="str" cm="1">
        <f t="array" aca="1" ref="NV31" ca="1">IF(xcomp(INDIRECT((ADDRESS(ROW(NV30),$I$11+(MATCH(NV$11,L.DATE,0))))&amp;":"&amp;(ADDRESS(ROW(NV30),$I$11+NW$11+(MATCH(NV$11,L.DATE,0))-1))),L.ABSP)=0,"",
xsom(INDIRECT((ADDRESS(ROW(NV30),$I$11+(MATCH(NV$11,L.DATE,0))))&amp;":"&amp;(ADDRESS(ROW(NV30),$I$11+NW$11+(MATCH(NV$11,L.DATE,0))-1))),L.ABSP,
INDIRECT((ADDRESS(ROW(NV30)+1,$I$11+(MATCH(NV$11,L.DATE,0))))&amp;":"&amp;(ADDRESS(ROW(NV30)+1,$I$11+NW$11+(MATCH(NV$11,L.DATE,0))-1)))))</f>
        <v/>
      </c>
      <c r="NW31" s="377" t="str" cm="1">
        <f t="array" aca="1" ref="NW31" ca="1">IF(xcomp(INDIRECT((ADDRESS(ROW(NW30),$I$11+(MATCH(NV$11,L.DATE,0))))&amp;":"&amp;(ADDRESS(ROW(NW30),$I$11+NW$11+(MATCH(NV$11,L.DATE,0))-1))),L.ABS.NP)=0,"",
xsom(INDIRECT((ADDRESS(ROW(NW30),$I$11+(MATCH(NV$11,L.DATE,0))))&amp;":"&amp;(ADDRESS(ROW(NW30),$I$11+NW$11+(MATCH(NV$11,L.DATE,0))-1))),L.ABS.NP,
INDIRECT((ADDRESS(ROW(NW30)+1,$I$11+(MATCH(NV$11,L.DATE,0))))&amp;":"&amp;(ADDRESS(ROW(NW30)+1,$I$11+NW$11+(MATCH(NV$11,L.DATE,0))-1)))))</f>
        <v/>
      </c>
      <c r="NX31" s="376" t="str" cm="1">
        <f t="array" aca="1" ref="NX31" ca="1">IF(xcomp(INDIRECT((ADDRESS(ROW(NX30),$I$11+(MATCH(NX$11,L.DATE,0))))&amp;":"&amp;(ADDRESS(ROW(NX30),$I$11+NY$11+(MATCH(NX$11,L.DATE,0))-1))),L.ABSP)=0,"",
xsom(INDIRECT((ADDRESS(ROW(NX30),$I$11+(MATCH(NX$11,L.DATE,0))))&amp;":"&amp;(ADDRESS(ROW(NX30),$I$11+NY$11+(MATCH(NX$11,L.DATE,0))-1))),L.ABSP,
INDIRECT((ADDRESS(ROW(NX30)+1,$I$11+(MATCH(NX$11,L.DATE,0))))&amp;":"&amp;(ADDRESS(ROW(NX30)+1,$I$11+NY$11+(MATCH(NX$11,L.DATE,0))-1)))))</f>
        <v/>
      </c>
      <c r="NY31" s="377" t="str" cm="1">
        <f t="array" aca="1" ref="NY31" ca="1">IF(xcomp(INDIRECT((ADDRESS(ROW(NY30),$I$11+(MATCH(NX$11,L.DATE,0))))&amp;":"&amp;(ADDRESS(ROW(NY30),$I$11+NY$11+(MATCH(NX$11,L.DATE,0))-1))),L.ABS.NP)=0,"",
xsom(INDIRECT((ADDRESS(ROW(NY30),$I$11+(MATCH(NX$11,L.DATE,0))))&amp;":"&amp;(ADDRESS(ROW(NY30),$I$11+NY$11+(MATCH(NX$11,L.DATE,0))-1))),L.ABS.NP,
INDIRECT((ADDRESS(ROW(NY30)+1,$I$11+(MATCH(NX$11,L.DATE,0))))&amp;":"&amp;(ADDRESS(ROW(NY30)+1,$I$11+NY$11+(MATCH(NX$11,L.DATE,0))-1)))))</f>
        <v/>
      </c>
      <c r="NZ31" s="376" t="str" cm="1">
        <f t="array" aca="1" ref="NZ31" ca="1">IF(xcomp(INDIRECT((ADDRESS(ROW(NZ30),$I$11+(MATCH(NZ$11,L.DATE,0))))&amp;":"&amp;(ADDRESS(ROW(NZ30),$I$11+OA$11+(MATCH(NZ$11,L.DATE,0))-1))),L.ABSP)=0,"",
xsom(INDIRECT((ADDRESS(ROW(NZ30),$I$11+(MATCH(NZ$11,L.DATE,0))))&amp;":"&amp;(ADDRESS(ROW(NZ30),$I$11+OA$11+(MATCH(NZ$11,L.DATE,0))-1))),L.ABSP,
INDIRECT((ADDRESS(ROW(NZ30)+1,$I$11+(MATCH(NZ$11,L.DATE,0))))&amp;":"&amp;(ADDRESS(ROW(NZ30)+1,$I$11+OA$11+(MATCH(NZ$11,L.DATE,0))-1)))))</f>
        <v/>
      </c>
      <c r="OA31" s="377" t="str" cm="1">
        <f t="array" aca="1" ref="OA31" ca="1">IF(xcomp(INDIRECT((ADDRESS(ROW(OA30),$I$11+(MATCH(NZ$11,L.DATE,0))))&amp;":"&amp;(ADDRESS(ROW(OA30),$I$11+OA$11+(MATCH(NZ$11,L.DATE,0))-1))),L.ABS.NP)=0,"",
xsom(INDIRECT((ADDRESS(ROW(OA30),$I$11+(MATCH(NZ$11,L.DATE,0))))&amp;":"&amp;(ADDRESS(ROW(OA30),$I$11+OA$11+(MATCH(NZ$11,L.DATE,0))-1))),L.ABS.NP,
INDIRECT((ADDRESS(ROW(OA30)+1,$I$11+(MATCH(NZ$11,L.DATE,0))))&amp;":"&amp;(ADDRESS(ROW(OA30)+1,$I$11+OA$11+(MATCH(NZ$11,L.DATE,0))-1)))))</f>
        <v/>
      </c>
      <c r="OB31" s="376" t="str" cm="1">
        <f t="array" aca="1" ref="OB31" ca="1">IF(xcomp(INDIRECT((ADDRESS(ROW(OB30),$I$11+(MATCH(OB$11,L.DATE,0))))&amp;":"&amp;(ADDRESS(ROW(OB30),$I$11+OC$11+(MATCH(OB$11,L.DATE,0))-1))),L.ABSP)=0,"",
xsom(INDIRECT((ADDRESS(ROW(OB30),$I$11+(MATCH(OB$11,L.DATE,0))))&amp;":"&amp;(ADDRESS(ROW(OB30),$I$11+OC$11+(MATCH(OB$11,L.DATE,0))-1))),L.ABSP,
INDIRECT((ADDRESS(ROW(OB30)+1,$I$11+(MATCH(OB$11,L.DATE,0))))&amp;":"&amp;(ADDRESS(ROW(OB30)+1,$I$11+OC$11+(MATCH(OB$11,L.DATE,0))-1)))))</f>
        <v/>
      </c>
      <c r="OC31" s="377" t="str" cm="1">
        <f t="array" aca="1" ref="OC31" ca="1">IF(xcomp(INDIRECT((ADDRESS(ROW(OC30),$I$11+(MATCH(OB$11,L.DATE,0))))&amp;":"&amp;(ADDRESS(ROW(OC30),$I$11+OC$11+(MATCH(OB$11,L.DATE,0))-1))),L.ABS.NP)=0,"",
xsom(INDIRECT((ADDRESS(ROW(OC30),$I$11+(MATCH(OB$11,L.DATE,0))))&amp;":"&amp;(ADDRESS(ROW(OC30),$I$11+OC$11+(MATCH(OB$11,L.DATE,0))-1))),L.ABS.NP,
INDIRECT((ADDRESS(ROW(OC30)+1,$I$11+(MATCH(OB$11,L.DATE,0))))&amp;":"&amp;(ADDRESS(ROW(OC30)+1,$I$11+OC$11+(MATCH(OB$11,L.DATE,0))-1)))))</f>
        <v/>
      </c>
      <c r="OD31" s="376" t="str" cm="1">
        <f t="array" aca="1" ref="OD31" ca="1">IF(xcomp(INDIRECT((ADDRESS(ROW(OD30),$I$11+(MATCH(OD$11,L.DATE,0))))&amp;":"&amp;(ADDRESS(ROW(OD30),$I$11+OE$11+(MATCH(OD$11,L.DATE,0))-1))),L.ABSP)=0,"",
xsom(INDIRECT((ADDRESS(ROW(OD30),$I$11+(MATCH(OD$11,L.DATE,0))))&amp;":"&amp;(ADDRESS(ROW(OD30),$I$11+OE$11+(MATCH(OD$11,L.DATE,0))-1))),L.ABSP,
INDIRECT((ADDRESS(ROW(OD30)+1,$I$11+(MATCH(OD$11,L.DATE,0))))&amp;":"&amp;(ADDRESS(ROW(OD30)+1,$I$11+OE$11+(MATCH(OD$11,L.DATE,0))-1)))))</f>
        <v/>
      </c>
      <c r="OE31" s="377" t="str" cm="1">
        <f t="array" aca="1" ref="OE31" ca="1">IF(xcomp(INDIRECT((ADDRESS(ROW(OE30),$I$11+(MATCH(OD$11,L.DATE,0))))&amp;":"&amp;(ADDRESS(ROW(OE30),$I$11+OE$11+(MATCH(OD$11,L.DATE,0))-1))),L.ABS.NP)=0,"",
xsom(INDIRECT((ADDRESS(ROW(OE30),$I$11+(MATCH(OD$11,L.DATE,0))))&amp;":"&amp;(ADDRESS(ROW(OE30),$I$11+OE$11+(MATCH(OD$11,L.DATE,0))-1))),L.ABS.NP,
INDIRECT((ADDRESS(ROW(OE30)+1,$I$11+(MATCH(OD$11,L.DATE,0))))&amp;":"&amp;(ADDRESS(ROW(OE30)+1,$I$11+OE$11+(MATCH(OD$11,L.DATE,0))-1)))))</f>
        <v/>
      </c>
      <c r="OF31" s="376" t="str" cm="1">
        <f t="array" aca="1" ref="OF31" ca="1">IF(xcomp(INDIRECT((ADDRESS(ROW(OF30),$I$11+(MATCH(OF$11,L.DATE,0))))&amp;":"&amp;(ADDRESS(ROW(OF30),$I$11+OG$11+(MATCH(OF$11,L.DATE,0))-1))),L.ABSP)=0,"",
xsom(INDIRECT((ADDRESS(ROW(OF30),$I$11+(MATCH(OF$11,L.DATE,0))))&amp;":"&amp;(ADDRESS(ROW(OF30),$I$11+OG$11+(MATCH(OF$11,L.DATE,0))-1))),L.ABSP,
INDIRECT((ADDRESS(ROW(OF30)+1,$I$11+(MATCH(OF$11,L.DATE,0))))&amp;":"&amp;(ADDRESS(ROW(OF30)+1,$I$11+OG$11+(MATCH(OF$11,L.DATE,0))-1)))))</f>
        <v/>
      </c>
      <c r="OG31" s="377" t="str" cm="1">
        <f t="array" aca="1" ref="OG31" ca="1">IF(xcomp(INDIRECT((ADDRESS(ROW(OG30),$I$11+(MATCH(OF$11,L.DATE,0))))&amp;":"&amp;(ADDRESS(ROW(OG30),$I$11+OG$11+(MATCH(OF$11,L.DATE,0))-1))),L.ABS.NP)=0,"",
xsom(INDIRECT((ADDRESS(ROW(OG30),$I$11+(MATCH(OF$11,L.DATE,0))))&amp;":"&amp;(ADDRESS(ROW(OG30),$I$11+OG$11+(MATCH(OF$11,L.DATE,0))-1))),L.ABS.NP,
INDIRECT((ADDRESS(ROW(OG30)+1,$I$11+(MATCH(OF$11,L.DATE,0))))&amp;":"&amp;(ADDRESS(ROW(OG30)+1,$I$11+OG$11+(MATCH(OF$11,L.DATE,0))-1)))))</f>
        <v/>
      </c>
      <c r="OH31" s="376" t="str" cm="1">
        <f t="array" aca="1" ref="OH31" ca="1">IF(xcomp(INDIRECT((ADDRESS(ROW(OH30),$I$11+(MATCH(OH$11,L.DATE,0))))&amp;":"&amp;(ADDRESS(ROW(OH30),$I$11+OI$11+(MATCH(OH$11,L.DATE,0))-1))),L.ABSP)=0,"",
xsom(INDIRECT((ADDRESS(ROW(OH30),$I$11+(MATCH(OH$11,L.DATE,0))))&amp;":"&amp;(ADDRESS(ROW(OH30),$I$11+OI$11+(MATCH(OH$11,L.DATE,0))-1))),L.ABSP,
INDIRECT((ADDRESS(ROW(OH30)+1,$I$11+(MATCH(OH$11,L.DATE,0))))&amp;":"&amp;(ADDRESS(ROW(OH30)+1,$I$11+OI$11+(MATCH(OH$11,L.DATE,0))-1)))))</f>
        <v/>
      </c>
      <c r="OI31" s="377" t="str" cm="1">
        <f t="array" aca="1" ref="OI31" ca="1">IF(xcomp(INDIRECT((ADDRESS(ROW(OI30),$I$11+(MATCH(OH$11,L.DATE,0))))&amp;":"&amp;(ADDRESS(ROW(OI30),$I$11+OI$11+(MATCH(OH$11,L.DATE,0))-1))),L.ABS.NP)=0,"",
xsom(INDIRECT((ADDRESS(ROW(OI30),$I$11+(MATCH(OH$11,L.DATE,0))))&amp;":"&amp;(ADDRESS(ROW(OI30),$I$11+OI$11+(MATCH(OH$11,L.DATE,0))-1))),L.ABS.NP,
INDIRECT((ADDRESS(ROW(OI30)+1,$I$11+(MATCH(OH$11,L.DATE,0))))&amp;":"&amp;(ADDRESS(ROW(OI30)+1,$I$11+OI$11+(MATCH(OH$11,L.DATE,0))-1)))))</f>
        <v/>
      </c>
      <c r="OJ31" s="376" t="str" cm="1">
        <f t="array" aca="1" ref="OJ31" ca="1">IF(xcomp(INDIRECT((ADDRESS(ROW(OJ30),$I$11+(MATCH(OJ$11,L.DATE,0))))&amp;":"&amp;(ADDRESS(ROW(OJ30),$I$11+OK$11+(MATCH(OJ$11,L.DATE,0))-1))),L.ABSP)=0,"",
xsom(INDIRECT((ADDRESS(ROW(OJ30),$I$11+(MATCH(OJ$11,L.DATE,0))))&amp;":"&amp;(ADDRESS(ROW(OJ30),$I$11+OK$11+(MATCH(OJ$11,L.DATE,0))-1))),L.ABSP,
INDIRECT((ADDRESS(ROW(OJ30)+1,$I$11+(MATCH(OJ$11,L.DATE,0))))&amp;":"&amp;(ADDRESS(ROW(OJ30)+1,$I$11+OK$11+(MATCH(OJ$11,L.DATE,0))-1)))))</f>
        <v/>
      </c>
      <c r="OK31" s="378" t="str" cm="1">
        <f t="array" aca="1" ref="OK31" ca="1">IF(xcomp(INDIRECT((ADDRESS(ROW(OK30),$I$11+(MATCH(OJ$11,L.DATE,0))))&amp;":"&amp;(ADDRESS(ROW(OK30),$I$11+OK$11+(MATCH(OJ$11,L.DATE,0))-1))),L.ABS.NP)=0,"",
xsom(INDIRECT((ADDRESS(ROW(OK30),$I$11+(MATCH(OJ$11,L.DATE,0))))&amp;":"&amp;(ADDRESS(ROW(OK30),$I$11+OK$11+(MATCH(OJ$11,L.DATE,0))-1))),L.ABS.NP,
INDIRECT((ADDRESS(ROW(OK30)+1,$I$11+(MATCH(OJ$11,L.DATE,0))))&amp;":"&amp;(ADDRESS(ROW(OK30)+1,$I$11+OK$11+(MATCH(OJ$11,L.DATE,0))-1)))))</f>
        <v/>
      </c>
    </row>
    <row r="32" spans="1:404" ht="12" customHeight="1" x14ac:dyDescent="0.3">
      <c r="A32" s="394">
        <v>132992</v>
      </c>
      <c r="B32" s="381" t="s">
        <v>499</v>
      </c>
      <c r="C32" s="53">
        <v>1</v>
      </c>
      <c r="D32" s="53" t="s">
        <v>33</v>
      </c>
      <c r="E32" s="53" t="s">
        <v>484</v>
      </c>
      <c r="F32" s="53" t="s">
        <v>13</v>
      </c>
      <c r="G32" s="104" t="s">
        <v>498</v>
      </c>
      <c r="H32" s="108">
        <v>1</v>
      </c>
      <c r="I32" s="28"/>
      <c r="J32" s="482"/>
      <c r="K32" s="487"/>
      <c r="L32" s="486"/>
      <c r="M32" s="482"/>
      <c r="N32" s="482"/>
      <c r="O32" s="482"/>
      <c r="P32" s="482"/>
      <c r="Q32" s="482"/>
      <c r="R32" s="484" t="s">
        <v>27</v>
      </c>
      <c r="S32" s="484" t="s">
        <v>27</v>
      </c>
      <c r="T32" s="484" t="s">
        <v>27</v>
      </c>
      <c r="U32" s="484" t="s">
        <v>27</v>
      </c>
      <c r="V32" s="484" t="s">
        <v>27</v>
      </c>
      <c r="W32" s="482"/>
      <c r="X32" s="482"/>
      <c r="Y32" s="484" t="s">
        <v>27</v>
      </c>
      <c r="Z32" s="484" t="s">
        <v>27</v>
      </c>
      <c r="AA32" s="484" t="s">
        <v>27</v>
      </c>
      <c r="AB32" s="484" t="s">
        <v>27</v>
      </c>
      <c r="AC32" s="484" t="s">
        <v>27</v>
      </c>
      <c r="AD32" s="482"/>
      <c r="AE32" s="482"/>
      <c r="AF32" s="484" t="s">
        <v>27</v>
      </c>
      <c r="AG32" s="484" t="s">
        <v>27</v>
      </c>
      <c r="AH32" s="484" t="s">
        <v>27</v>
      </c>
      <c r="AI32" s="484" t="s">
        <v>27</v>
      </c>
      <c r="AJ32" s="484" t="s">
        <v>27</v>
      </c>
      <c r="AK32" s="482"/>
      <c r="AL32" s="482"/>
      <c r="AM32" s="484" t="s">
        <v>27</v>
      </c>
      <c r="AN32" s="484" t="s">
        <v>27</v>
      </c>
      <c r="AO32" s="484" t="s">
        <v>27</v>
      </c>
      <c r="AP32" s="484" t="s">
        <v>27</v>
      </c>
      <c r="AQ32" s="484" t="s">
        <v>27</v>
      </c>
      <c r="AR32" s="482"/>
      <c r="AS32" s="482"/>
      <c r="AT32" s="484" t="s">
        <v>27</v>
      </c>
      <c r="AU32" s="484" t="s">
        <v>27</v>
      </c>
      <c r="AV32" s="484" t="s">
        <v>27</v>
      </c>
      <c r="AW32" s="484" t="s">
        <v>27</v>
      </c>
      <c r="AX32" s="484" t="s">
        <v>27</v>
      </c>
      <c r="AY32" s="482"/>
      <c r="AZ32" s="482"/>
      <c r="BA32" s="496" t="s">
        <v>36</v>
      </c>
      <c r="BB32" s="496" t="s">
        <v>36</v>
      </c>
      <c r="BC32" s="496" t="s">
        <v>36</v>
      </c>
      <c r="BD32" s="496" t="s">
        <v>36</v>
      </c>
      <c r="BE32" s="496" t="s">
        <v>36</v>
      </c>
      <c r="BF32" s="383"/>
      <c r="BG32" s="486"/>
      <c r="BH32" s="484" t="s">
        <v>27</v>
      </c>
      <c r="BI32" s="484" t="s">
        <v>27</v>
      </c>
      <c r="BJ32" s="484" t="s">
        <v>27</v>
      </c>
      <c r="BK32" s="484" t="s">
        <v>27</v>
      </c>
      <c r="BL32" s="484" t="s">
        <v>27</v>
      </c>
      <c r="BM32" s="482"/>
      <c r="BN32" s="482"/>
      <c r="BO32" s="484" t="s">
        <v>27</v>
      </c>
      <c r="BP32" s="484" t="s">
        <v>27</v>
      </c>
      <c r="BQ32" s="484" t="s">
        <v>27</v>
      </c>
      <c r="BR32" s="484" t="s">
        <v>27</v>
      </c>
      <c r="BS32" s="484" t="s">
        <v>27</v>
      </c>
      <c r="BT32" s="482"/>
      <c r="BU32" s="482"/>
      <c r="BV32" s="484" t="s">
        <v>27</v>
      </c>
      <c r="BW32" s="484" t="s">
        <v>27</v>
      </c>
      <c r="BX32" s="484" t="s">
        <v>27</v>
      </c>
      <c r="BY32" s="484" t="s">
        <v>27</v>
      </c>
      <c r="BZ32" s="484" t="s">
        <v>27</v>
      </c>
      <c r="CA32" s="482"/>
      <c r="CB32" s="482"/>
      <c r="CC32" s="484" t="s">
        <v>27</v>
      </c>
      <c r="CD32" s="484" t="s">
        <v>27</v>
      </c>
      <c r="CE32" s="484" t="s">
        <v>27</v>
      </c>
      <c r="CF32" s="484" t="s">
        <v>27</v>
      </c>
      <c r="CG32" s="484" t="s">
        <v>27</v>
      </c>
      <c r="CH32" s="482"/>
      <c r="CI32" s="482"/>
      <c r="CJ32" s="484" t="s">
        <v>27</v>
      </c>
      <c r="CK32" s="484" t="s">
        <v>27</v>
      </c>
      <c r="CL32" s="484" t="s">
        <v>27</v>
      </c>
      <c r="CM32" s="484" t="s">
        <v>27</v>
      </c>
      <c r="CN32" s="484" t="s">
        <v>27</v>
      </c>
      <c r="CO32" s="482"/>
      <c r="CP32" s="482"/>
      <c r="CQ32" s="484" t="s">
        <v>27</v>
      </c>
      <c r="CR32" s="484" t="s">
        <v>27</v>
      </c>
      <c r="CS32" s="484" t="s">
        <v>27</v>
      </c>
      <c r="CT32" s="484" t="s">
        <v>27</v>
      </c>
      <c r="CU32" s="484" t="s">
        <v>27</v>
      </c>
      <c r="CV32" s="482"/>
      <c r="CW32" s="482"/>
      <c r="CX32" s="482"/>
      <c r="CY32" s="482"/>
      <c r="CZ32" s="482"/>
      <c r="DA32" s="482"/>
      <c r="DB32" s="482"/>
      <c r="DC32" s="482"/>
      <c r="DD32" s="482"/>
      <c r="DE32" s="482"/>
      <c r="DF32" s="482"/>
      <c r="DG32" s="482"/>
      <c r="DH32" s="482"/>
      <c r="DI32" s="482"/>
      <c r="DJ32" s="482"/>
      <c r="DK32" s="482"/>
      <c r="DL32" s="482"/>
      <c r="DM32" s="482"/>
      <c r="DN32" s="482"/>
      <c r="DO32" s="482"/>
      <c r="DP32" s="482"/>
      <c r="DQ32" s="482"/>
      <c r="DR32" s="482"/>
      <c r="DS32" s="482"/>
      <c r="DT32" s="482"/>
      <c r="DU32" s="482"/>
      <c r="DV32" s="482"/>
      <c r="DW32" s="482"/>
      <c r="DX32" s="482"/>
      <c r="DY32" s="482"/>
      <c r="DZ32" s="482"/>
      <c r="EA32" s="482"/>
      <c r="EB32" s="482"/>
      <c r="EC32" s="482"/>
      <c r="ED32" s="482"/>
      <c r="EE32" s="482"/>
      <c r="EF32" s="482"/>
      <c r="EG32" s="482"/>
      <c r="EH32" s="482"/>
      <c r="EI32" s="482"/>
      <c r="EJ32" s="482"/>
      <c r="EK32" s="482"/>
      <c r="EL32" s="482"/>
      <c r="EM32" s="482"/>
      <c r="EN32" s="482"/>
      <c r="EO32" s="482"/>
      <c r="EP32" s="482"/>
      <c r="EQ32" s="482"/>
      <c r="ER32" s="482"/>
      <c r="ES32" s="482"/>
      <c r="ET32" s="482"/>
      <c r="EU32" s="482"/>
      <c r="EV32" s="482"/>
      <c r="EW32" s="482"/>
      <c r="EX32" s="482"/>
      <c r="EY32" s="482"/>
      <c r="EZ32" s="482"/>
      <c r="FA32" s="482"/>
      <c r="FB32" s="482"/>
      <c r="FC32" s="482"/>
      <c r="FD32" s="482"/>
      <c r="FE32" s="482"/>
      <c r="FF32" s="482"/>
      <c r="FG32" s="482"/>
      <c r="FH32" s="482"/>
      <c r="FI32" s="482"/>
      <c r="FJ32" s="482"/>
      <c r="FK32" s="482"/>
      <c r="FL32" s="482"/>
      <c r="FM32" s="482"/>
      <c r="FN32" s="482"/>
      <c r="FO32" s="482"/>
      <c r="FP32" s="482"/>
      <c r="FQ32" s="482"/>
      <c r="FR32" s="482"/>
      <c r="FS32" s="482"/>
      <c r="FT32" s="482"/>
      <c r="FU32" s="482"/>
      <c r="FV32" s="482"/>
      <c r="FW32" s="482"/>
      <c r="FX32" s="482"/>
      <c r="FY32" s="482"/>
      <c r="FZ32" s="482"/>
      <c r="GA32" s="482"/>
      <c r="GB32" s="482"/>
      <c r="GC32" s="482"/>
      <c r="GD32" s="482"/>
      <c r="GE32" s="482"/>
      <c r="GF32" s="482"/>
      <c r="GG32" s="482"/>
      <c r="GH32" s="482"/>
      <c r="GI32" s="482"/>
      <c r="GJ32" s="482"/>
      <c r="GK32" s="482"/>
      <c r="GL32" s="482"/>
      <c r="GM32" s="482"/>
      <c r="GN32" s="482"/>
      <c r="GO32" s="482"/>
      <c r="GP32" s="482"/>
      <c r="GQ32" s="482"/>
      <c r="GR32" s="482"/>
      <c r="GS32" s="482"/>
      <c r="GT32" s="482"/>
      <c r="GU32" s="482"/>
      <c r="GV32" s="482"/>
      <c r="GW32" s="482"/>
      <c r="GX32" s="482"/>
      <c r="GY32" s="482"/>
      <c r="GZ32" s="482"/>
      <c r="HA32" s="482"/>
      <c r="HB32" s="482"/>
      <c r="HC32" s="482"/>
      <c r="HD32" s="482"/>
      <c r="HE32" s="482"/>
      <c r="HF32" s="482"/>
      <c r="HG32" s="482"/>
      <c r="HH32" s="482"/>
      <c r="HI32" s="482"/>
      <c r="HJ32" s="482"/>
      <c r="HK32" s="482"/>
      <c r="HL32" s="482"/>
      <c r="HM32" s="482"/>
      <c r="HN32" s="482"/>
      <c r="HO32" s="482"/>
      <c r="HP32" s="482"/>
      <c r="HQ32" s="482"/>
      <c r="HR32" s="482"/>
      <c r="HS32" s="482"/>
      <c r="HT32" s="144" t="s">
        <v>150</v>
      </c>
      <c r="HU32" s="144" t="s">
        <v>150</v>
      </c>
      <c r="HV32" s="144" t="s">
        <v>150</v>
      </c>
      <c r="HW32" s="144" t="s">
        <v>150</v>
      </c>
      <c r="HX32" s="144" t="s">
        <v>150</v>
      </c>
      <c r="HY32" s="144" t="s">
        <v>150</v>
      </c>
      <c r="HZ32" s="482"/>
      <c r="IA32" s="482"/>
      <c r="IB32" s="482"/>
      <c r="IC32" s="482"/>
      <c r="ID32" s="482"/>
      <c r="IE32" s="482"/>
      <c r="IF32" s="482"/>
      <c r="IG32" s="482"/>
      <c r="IH32" s="482"/>
      <c r="II32" s="482"/>
      <c r="IJ32" s="482"/>
      <c r="IK32" s="482"/>
      <c r="IL32" s="482"/>
      <c r="IM32" s="482"/>
      <c r="IN32" s="482"/>
      <c r="IO32" s="482"/>
      <c r="IP32" s="482"/>
      <c r="IQ32" s="482"/>
      <c r="IR32" s="482"/>
      <c r="IS32" s="482"/>
      <c r="IT32" s="482"/>
      <c r="IU32" s="482"/>
      <c r="IV32" s="482"/>
      <c r="IW32" s="482"/>
      <c r="IX32" s="482"/>
      <c r="IY32" s="482"/>
      <c r="IZ32" s="482"/>
      <c r="JA32" s="482"/>
      <c r="JB32" s="482"/>
      <c r="JC32" s="482"/>
      <c r="JD32" s="482"/>
      <c r="JE32" s="482"/>
      <c r="JF32" s="482"/>
      <c r="JG32" s="482"/>
      <c r="JH32" s="482"/>
      <c r="JI32" s="482"/>
      <c r="JJ32" s="482"/>
      <c r="JK32" s="482"/>
      <c r="JL32" s="482"/>
      <c r="JM32" s="482"/>
      <c r="JN32" s="482"/>
      <c r="JO32" s="482"/>
      <c r="JP32" s="482"/>
      <c r="JQ32" s="482"/>
      <c r="JR32" s="482"/>
      <c r="JS32" s="482"/>
      <c r="JT32" s="482"/>
      <c r="JU32" s="482"/>
      <c r="JV32" s="482"/>
      <c r="JW32" s="482"/>
      <c r="JX32" s="482"/>
      <c r="JY32" s="482"/>
      <c r="JZ32" s="482"/>
      <c r="KA32" s="482"/>
      <c r="KB32" s="482"/>
      <c r="KC32" s="482"/>
      <c r="KD32" s="482"/>
      <c r="KE32" s="482"/>
      <c r="KF32" s="482"/>
      <c r="KG32" s="482"/>
      <c r="KH32" s="482"/>
      <c r="KI32" s="482"/>
      <c r="KJ32" s="482"/>
      <c r="KK32" s="482"/>
      <c r="KL32" s="482"/>
      <c r="KM32" s="482"/>
      <c r="KN32" s="482"/>
      <c r="KO32" s="482"/>
      <c r="KP32" s="482"/>
      <c r="KQ32" s="482"/>
      <c r="KR32" s="482"/>
      <c r="KS32" s="482"/>
      <c r="KT32" s="482"/>
      <c r="KU32" s="482"/>
      <c r="KV32" s="482"/>
      <c r="KW32" s="482"/>
      <c r="KX32" s="482"/>
      <c r="KY32" s="482"/>
      <c r="KZ32" s="482"/>
      <c r="LA32" s="482"/>
      <c r="LB32" s="482"/>
      <c r="LC32" s="482"/>
      <c r="LD32" s="482"/>
      <c r="LE32" s="482"/>
      <c r="LF32" s="482"/>
      <c r="LG32" s="482"/>
      <c r="LH32" s="482"/>
      <c r="LI32" s="482"/>
      <c r="LJ32" s="482"/>
      <c r="LK32" s="482"/>
      <c r="LL32" s="482"/>
      <c r="LM32" s="482"/>
      <c r="LN32" s="482"/>
      <c r="LO32" s="482"/>
      <c r="LP32" s="482"/>
      <c r="LQ32" s="482"/>
      <c r="LR32" s="482"/>
      <c r="LS32" s="482"/>
      <c r="LT32" s="482"/>
      <c r="LU32" s="482"/>
      <c r="LV32" s="482"/>
      <c r="LW32" s="482"/>
      <c r="LX32" s="482"/>
      <c r="LY32" s="482"/>
      <c r="LZ32" s="482"/>
      <c r="MA32" s="482"/>
      <c r="MB32" s="482"/>
      <c r="MC32" s="482"/>
      <c r="MD32" s="482"/>
      <c r="ME32" s="482"/>
      <c r="MF32" s="482"/>
      <c r="MG32" s="482"/>
      <c r="MH32" s="482"/>
      <c r="MI32" s="482"/>
      <c r="MJ32" s="482"/>
      <c r="MK32" s="482"/>
      <c r="ML32" s="482"/>
      <c r="MM32" s="482"/>
      <c r="MN32" s="482"/>
      <c r="MO32" s="482"/>
      <c r="MP32" s="482"/>
      <c r="MQ32" s="482"/>
      <c r="MR32" s="482"/>
      <c r="MS32" s="482"/>
      <c r="MT32" s="482"/>
      <c r="MU32" s="482"/>
      <c r="MV32" s="482"/>
      <c r="MW32" s="482"/>
      <c r="MX32" s="482"/>
      <c r="MY32" s="482"/>
      <c r="MZ32" s="482"/>
      <c r="NA32" s="482"/>
      <c r="NB32" s="482"/>
      <c r="NC32" s="482"/>
      <c r="ND32" s="482"/>
      <c r="NE32" s="482"/>
      <c r="NF32" s="482"/>
      <c r="NG32" s="482"/>
      <c r="NH32" s="482"/>
      <c r="NI32" s="482"/>
      <c r="NJ32" s="483"/>
      <c r="NK32" s="34"/>
      <c r="NM32" s="159">
        <f>A32</f>
        <v>132992</v>
      </c>
      <c r="NN32" s="373">
        <f ca="1">COUNTIF(INDIRECT((ADDRESS(ROW(NO33),$I$11+(MATCH(NN$11,L.DATE,0))))&amp;":"&amp;(ADDRESS(ROW(NO33),$I$11+NO$11+(MATCH(NN$11,L.DATE,0))-1))),"&gt;=0")-NO32</f>
        <v>17</v>
      </c>
      <c r="NO32" s="374">
        <f ca="1">SUM(INDIRECT((ADDRESS(ROW(NO33),$I$11+(MATCH(NN$11,L.DATE,0))))&amp;":"&amp;(ADDRESS(ROW(NO33),$I$11+NO$11+(MATCH(NN$11,L.DATE,0))-1))))</f>
        <v>0</v>
      </c>
      <c r="NP32" s="373">
        <f ca="1">COUNTIF(INDIRECT((ADDRESS(ROW(NQ33),$I$11+(MATCH(NP$11,L.DATE,0))))&amp;":"&amp;(ADDRESS(ROW(NQ33),$I$11+NQ$11+(MATCH(NP$11,L.DATE,0))-1))),"&gt;=0")-NQ32</f>
        <v>20</v>
      </c>
      <c r="NQ32" s="374">
        <f ca="1">SUM(INDIRECT((ADDRESS(ROW(NQ33),$I$11+(MATCH(NP$11,L.DATE,0))))&amp;":"&amp;(ADDRESS(ROW(NQ33),$I$11+NQ$11+(MATCH(NP$11,L.DATE,0))-1))))</f>
        <v>0</v>
      </c>
      <c r="NR32" s="373">
        <f ca="1">COUNTIF(INDIRECT((ADDRESS(ROW(NS33),$I$11+(MATCH(NR$11,L.DATE,0))))&amp;":"&amp;(ADDRESS(ROW(NS33),$I$11+NS$11+(MATCH(NR$11,L.DATE,0))-1))),"&gt;=0")-NS32</f>
        <v>23</v>
      </c>
      <c r="NS32" s="374">
        <f ca="1">SUM(INDIRECT((ADDRESS(ROW(NS33),$I$11+(MATCH(NR$11,L.DATE,0))))&amp;":"&amp;(ADDRESS(ROW(NS33),$I$11+NS$11+(MATCH(NR$11,L.DATE,0))-1))))</f>
        <v>0</v>
      </c>
      <c r="NT32" s="373">
        <f ca="1">COUNTIF(INDIRECT((ADDRESS(ROW(NU33),$I$11+(MATCH(NT$11,L.DATE,0))))&amp;":"&amp;(ADDRESS(ROW(NU33),$I$11+NU$11+(MATCH(NT$11,L.DATE,0))-1))),"&gt;=0")-NU32</f>
        <v>0</v>
      </c>
      <c r="NU32" s="374">
        <f ca="1">SUM(INDIRECT((ADDRESS(ROW(NU33),$I$11+(MATCH(NT$11,L.DATE,0))))&amp;":"&amp;(ADDRESS(ROW(NU33),$I$11+NU$11+(MATCH(NT$11,L.DATE,0))-1))))</f>
        <v>0</v>
      </c>
      <c r="NV32" s="373">
        <f ca="1">COUNTIF(INDIRECT((ADDRESS(ROW(NW33),$I$11+(MATCH(NV$11,L.DATE,0))))&amp;":"&amp;(ADDRESS(ROW(NW33),$I$11+NW$11+(MATCH(NV$11,L.DATE,0))-1))),"&gt;=0")-NW32</f>
        <v>0</v>
      </c>
      <c r="NW32" s="374">
        <f ca="1">SUM(INDIRECT((ADDRESS(ROW(NW33),$I$11+(MATCH(NV$11,L.DATE,0))))&amp;":"&amp;(ADDRESS(ROW(NW33),$I$11+NW$11+(MATCH(NV$11,L.DATE,0))-1))))</f>
        <v>0</v>
      </c>
      <c r="NX32" s="373">
        <f ca="1">COUNTIF(INDIRECT((ADDRESS(ROW(NY33),$I$11+(MATCH(NX$11,L.DATE,0))))&amp;":"&amp;(ADDRESS(ROW(NY33),$I$11+NY$11+(MATCH(NX$11,L.DATE,0))-1))),"&gt;=0")-NY32</f>
        <v>0</v>
      </c>
      <c r="NY32" s="374">
        <f ca="1">SUM(INDIRECT((ADDRESS(ROW(NY33),$I$11+(MATCH(NX$11,L.DATE,0))))&amp;":"&amp;(ADDRESS(ROW(NY33),$I$11+NY$11+(MATCH(NX$11,L.DATE,0))-1))))</f>
        <v>0</v>
      </c>
      <c r="NZ32" s="373">
        <f ca="1">COUNTIF(INDIRECT((ADDRESS(ROW(OA33),$I$11+(MATCH(NZ$11,L.DATE,0))))&amp;":"&amp;(ADDRESS(ROW(OA33),$I$11+OA$11+(MATCH(NZ$11,L.DATE,0))-1))),"&gt;=0")-OA32</f>
        <v>0</v>
      </c>
      <c r="OA32" s="374">
        <f ca="1">SUM(INDIRECT((ADDRESS(ROW(OA33),$I$11+(MATCH(NZ$11,L.DATE,0))))&amp;":"&amp;(ADDRESS(ROW(OA33),$I$11+OA$11+(MATCH(NZ$11,L.DATE,0))-1))))</f>
        <v>0</v>
      </c>
      <c r="OB32" s="373">
        <f ca="1">COUNTIF(INDIRECT((ADDRESS(ROW(OC33),$I$11+(MATCH(OB$11,L.DATE,0))))&amp;":"&amp;(ADDRESS(ROW(OC33),$I$11+OC$11+(MATCH(OB$11,L.DATE,0))-1))),"&gt;=0")-OC32</f>
        <v>6</v>
      </c>
      <c r="OC32" s="374">
        <f ca="1">SUM(INDIRECT((ADDRESS(ROW(OC33),$I$11+(MATCH(OB$11,L.DATE,0))))&amp;":"&amp;(ADDRESS(ROW(OC33),$I$11+OC$11+(MATCH(OB$11,L.DATE,0))-1))))</f>
        <v>0</v>
      </c>
      <c r="OD32" s="373">
        <f ca="1">COUNTIF(INDIRECT((ADDRESS(ROW(OE33),$I$11+(MATCH(OD$11,L.DATE,0))))&amp;":"&amp;(ADDRESS(ROW(OE33),$I$11+OE$11+(MATCH(OD$11,L.DATE,0))-1))),"&gt;=0")-OE32</f>
        <v>0</v>
      </c>
      <c r="OE32" s="374">
        <f ca="1">SUM(INDIRECT((ADDRESS(ROW(OE33),$I$11+(MATCH(OD$11,L.DATE,0))))&amp;":"&amp;(ADDRESS(ROW(OE33),$I$11+OE$11+(MATCH(OD$11,L.DATE,0))-1))))</f>
        <v>0</v>
      </c>
      <c r="OF32" s="373">
        <f ca="1">COUNTIF(INDIRECT((ADDRESS(ROW(OG33),$I$11+(MATCH(OF$11,L.DATE,0))))&amp;":"&amp;(ADDRESS(ROW(OG33),$I$11+OG$11+(MATCH(OF$11,L.DATE,0))-1))),"&gt;=0")-OG32</f>
        <v>0</v>
      </c>
      <c r="OG32" s="374">
        <f ca="1">SUM(INDIRECT((ADDRESS(ROW(OG33),$I$11+(MATCH(OF$11,L.DATE,0))))&amp;":"&amp;(ADDRESS(ROW(OG33),$I$11+OG$11+(MATCH(OF$11,L.DATE,0))-1))))</f>
        <v>0</v>
      </c>
      <c r="OH32" s="373">
        <f ca="1">COUNTIF(INDIRECT((ADDRESS(ROW(OI33),$I$11+(MATCH(OH$11,L.DATE,0))))&amp;":"&amp;(ADDRESS(ROW(OI33),$I$11+OI$11+(MATCH(OH$11,L.DATE,0))-1))),"&gt;=0")-OI32</f>
        <v>0</v>
      </c>
      <c r="OI32" s="374">
        <f ca="1">SUM(INDIRECT((ADDRESS(ROW(OI33),$I$11+(MATCH(OH$11,L.DATE,0))))&amp;":"&amp;(ADDRESS(ROW(OI33),$I$11+OI$11+(MATCH(OH$11,L.DATE,0))-1))))</f>
        <v>0</v>
      </c>
      <c r="OJ32" s="373">
        <f ca="1">COUNTIF(INDIRECT((ADDRESS(ROW(OK33),$I$11+(MATCH(OJ$11,L.DATE,0))))&amp;":"&amp;(ADDRESS(ROW(OK33),$I$11+OK$11+(MATCH(OJ$11,L.DATE,0))-1))),"&gt;=0")-OK32</f>
        <v>0</v>
      </c>
      <c r="OK32" s="375">
        <f ca="1">SUM(INDIRECT((ADDRESS(ROW(OK33),$I$11+(MATCH(OJ$11,L.DATE,0))))&amp;":"&amp;(ADDRESS(ROW(OK33),$I$11+OK$11+(MATCH(OJ$11,L.DATE,0))-1))))</f>
        <v>0</v>
      </c>
      <c r="OM32" s="39">
        <f ca="1">NN32+NP32+NR32+NT32+NV32+NX32+NZ32+OB32+OD32+OF32+OJ32+OH32</f>
        <v>66</v>
      </c>
      <c r="ON32" s="40">
        <f ca="1">NO32+NQ32+NS32+NU32+NW32+NY32+OA32+OC32+OE32+OG32+OK32+OI32</f>
        <v>0</v>
      </c>
    </row>
    <row r="33" spans="1:404" x14ac:dyDescent="0.3">
      <c r="A33" s="488"/>
      <c r="B33" s="16" t="str">
        <f t="shared" ref="B33:H33" si="32">B32</f>
        <v>GODARD.Virginie</v>
      </c>
      <c r="C33" s="16">
        <f t="shared" si="32"/>
        <v>1</v>
      </c>
      <c r="D33" s="16" t="str">
        <f t="shared" si="32"/>
        <v>EXT</v>
      </c>
      <c r="E33" s="16" t="str">
        <f t="shared" si="32"/>
        <v>ITG</v>
      </c>
      <c r="F33" s="16" t="str">
        <f t="shared" si="32"/>
        <v>SL</v>
      </c>
      <c r="G33" s="105" t="str">
        <f t="shared" si="32"/>
        <v>N1</v>
      </c>
      <c r="H33" s="109">
        <f t="shared" si="32"/>
        <v>1</v>
      </c>
      <c r="I33" s="28"/>
      <c r="J33" s="482"/>
      <c r="K33" s="485"/>
      <c r="L33" s="482"/>
      <c r="M33" s="482"/>
      <c r="N33" s="482"/>
      <c r="O33" s="482"/>
      <c r="P33" s="482"/>
      <c r="Q33" s="482"/>
      <c r="R33" s="485">
        <v>0</v>
      </c>
      <c r="S33" s="485">
        <v>0</v>
      </c>
      <c r="T33" s="485">
        <v>0</v>
      </c>
      <c r="U33" s="485">
        <v>0</v>
      </c>
      <c r="V33" s="485">
        <v>0</v>
      </c>
      <c r="W33" s="482"/>
      <c r="X33" s="482"/>
      <c r="Y33" s="485">
        <v>0</v>
      </c>
      <c r="Z33" s="485">
        <v>0</v>
      </c>
      <c r="AA33" s="485">
        <v>0</v>
      </c>
      <c r="AB33" s="485">
        <v>0</v>
      </c>
      <c r="AC33" s="485">
        <v>0</v>
      </c>
      <c r="AD33" s="482"/>
      <c r="AE33" s="482"/>
      <c r="AF33" s="485">
        <v>0</v>
      </c>
      <c r="AG33" s="485">
        <v>0</v>
      </c>
      <c r="AH33" s="485">
        <v>0</v>
      </c>
      <c r="AI33" s="485">
        <v>0</v>
      </c>
      <c r="AJ33" s="485">
        <v>0</v>
      </c>
      <c r="AK33" s="482"/>
      <c r="AL33" s="482"/>
      <c r="AM33" s="485">
        <v>0</v>
      </c>
      <c r="AN33" s="485">
        <v>0</v>
      </c>
      <c r="AO33" s="485">
        <v>0</v>
      </c>
      <c r="AP33" s="485">
        <v>0</v>
      </c>
      <c r="AQ33" s="485">
        <v>0</v>
      </c>
      <c r="AR33" s="482"/>
      <c r="AS33" s="482"/>
      <c r="AT33" s="485">
        <v>0</v>
      </c>
      <c r="AU33" s="485">
        <v>0</v>
      </c>
      <c r="AV33" s="485">
        <v>0</v>
      </c>
      <c r="AW33" s="485">
        <v>0</v>
      </c>
      <c r="AX33" s="485">
        <v>0</v>
      </c>
      <c r="AY33" s="482"/>
      <c r="AZ33" s="482"/>
      <c r="BA33" s="485">
        <v>0</v>
      </c>
      <c r="BB33" s="485">
        <v>0</v>
      </c>
      <c r="BC33" s="485">
        <v>0</v>
      </c>
      <c r="BD33" s="485">
        <v>0</v>
      </c>
      <c r="BE33" s="485">
        <v>0</v>
      </c>
      <c r="BF33" s="485"/>
      <c r="BG33" s="482"/>
      <c r="BH33" s="485">
        <v>0</v>
      </c>
      <c r="BI33" s="485">
        <v>0</v>
      </c>
      <c r="BJ33" s="485">
        <v>0</v>
      </c>
      <c r="BK33" s="485">
        <v>0</v>
      </c>
      <c r="BL33" s="485">
        <v>0</v>
      </c>
      <c r="BM33" s="482"/>
      <c r="BN33" s="482"/>
      <c r="BO33" s="485">
        <v>0</v>
      </c>
      <c r="BP33" s="485">
        <v>0</v>
      </c>
      <c r="BQ33" s="485">
        <v>0</v>
      </c>
      <c r="BR33" s="485">
        <v>0</v>
      </c>
      <c r="BS33" s="485">
        <v>0</v>
      </c>
      <c r="BT33" s="482"/>
      <c r="BU33" s="482"/>
      <c r="BV33" s="485">
        <v>0</v>
      </c>
      <c r="BW33" s="485">
        <v>0</v>
      </c>
      <c r="BX33" s="485">
        <v>0</v>
      </c>
      <c r="BY33" s="485">
        <v>0</v>
      </c>
      <c r="BZ33" s="485">
        <v>0</v>
      </c>
      <c r="CA33" s="482"/>
      <c r="CB33" s="482"/>
      <c r="CC33" s="485">
        <v>0</v>
      </c>
      <c r="CD33" s="485">
        <v>0</v>
      </c>
      <c r="CE33" s="485">
        <v>0</v>
      </c>
      <c r="CF33" s="485">
        <v>0</v>
      </c>
      <c r="CG33" s="485">
        <v>0</v>
      </c>
      <c r="CH33" s="482"/>
      <c r="CI33" s="482"/>
      <c r="CJ33" s="485">
        <v>0</v>
      </c>
      <c r="CK33" s="485">
        <v>0</v>
      </c>
      <c r="CL33" s="485">
        <v>0</v>
      </c>
      <c r="CM33" s="485">
        <v>0</v>
      </c>
      <c r="CN33" s="485">
        <v>0</v>
      </c>
      <c r="CO33" s="482"/>
      <c r="CP33" s="482"/>
      <c r="CQ33" s="485">
        <v>0</v>
      </c>
      <c r="CR33" s="485">
        <v>0</v>
      </c>
      <c r="CS33" s="485">
        <v>0</v>
      </c>
      <c r="CT33" s="485">
        <v>0</v>
      </c>
      <c r="CU33" s="485">
        <v>0</v>
      </c>
      <c r="CV33" s="482"/>
      <c r="CW33" s="482"/>
      <c r="CX33" s="482"/>
      <c r="CY33" s="482"/>
      <c r="CZ33" s="482"/>
      <c r="DA33" s="482"/>
      <c r="DB33" s="482"/>
      <c r="DC33" s="482"/>
      <c r="DD33" s="482"/>
      <c r="DE33" s="482"/>
      <c r="DF33" s="482"/>
      <c r="DG33" s="482"/>
      <c r="DH33" s="482"/>
      <c r="DI33" s="482"/>
      <c r="DJ33" s="482"/>
      <c r="DK33" s="482"/>
      <c r="DL33" s="482"/>
      <c r="DM33" s="482"/>
      <c r="DN33" s="482"/>
      <c r="DO33" s="482"/>
      <c r="DP33" s="482"/>
      <c r="DQ33" s="482"/>
      <c r="DR33" s="482"/>
      <c r="DS33" s="482"/>
      <c r="DT33" s="482"/>
      <c r="DU33" s="482"/>
      <c r="DV33" s="482"/>
      <c r="DW33" s="482"/>
      <c r="DX33" s="482"/>
      <c r="DY33" s="482"/>
      <c r="DZ33" s="482"/>
      <c r="EA33" s="482"/>
      <c r="EB33" s="482"/>
      <c r="EC33" s="482"/>
      <c r="ED33" s="482"/>
      <c r="EE33" s="482"/>
      <c r="EF33" s="482"/>
      <c r="EG33" s="482"/>
      <c r="EH33" s="482"/>
      <c r="EI33" s="482"/>
      <c r="EJ33" s="482"/>
      <c r="EK33" s="482"/>
      <c r="EL33" s="482"/>
      <c r="EM33" s="482"/>
      <c r="EN33" s="482"/>
      <c r="EO33" s="482"/>
      <c r="EP33" s="482"/>
      <c r="EQ33" s="482"/>
      <c r="ER33" s="482"/>
      <c r="ES33" s="482"/>
      <c r="ET33" s="482"/>
      <c r="EU33" s="482"/>
      <c r="EV33" s="482"/>
      <c r="EW33" s="482"/>
      <c r="EX33" s="482"/>
      <c r="EY33" s="482"/>
      <c r="EZ33" s="482"/>
      <c r="FA33" s="482"/>
      <c r="FB33" s="482"/>
      <c r="FC33" s="482"/>
      <c r="FD33" s="482"/>
      <c r="FE33" s="482"/>
      <c r="FF33" s="482"/>
      <c r="FG33" s="482"/>
      <c r="FH33" s="482"/>
      <c r="FI33" s="482"/>
      <c r="FJ33" s="482"/>
      <c r="FK33" s="482"/>
      <c r="FL33" s="482"/>
      <c r="FM33" s="482"/>
      <c r="FN33" s="482"/>
      <c r="FO33" s="482"/>
      <c r="FP33" s="482"/>
      <c r="FQ33" s="482"/>
      <c r="FR33" s="482"/>
      <c r="FS33" s="482"/>
      <c r="FT33" s="482"/>
      <c r="FU33" s="482"/>
      <c r="FV33" s="482"/>
      <c r="FW33" s="482"/>
      <c r="FX33" s="482"/>
      <c r="FY33" s="482"/>
      <c r="FZ33" s="482"/>
      <c r="GA33" s="482"/>
      <c r="GB33" s="482"/>
      <c r="GC33" s="482"/>
      <c r="GD33" s="482"/>
      <c r="GE33" s="482"/>
      <c r="GF33" s="482"/>
      <c r="GG33" s="482"/>
      <c r="GH33" s="482"/>
      <c r="GI33" s="482"/>
      <c r="GJ33" s="482"/>
      <c r="GK33" s="482"/>
      <c r="GL33" s="482"/>
      <c r="GM33" s="482"/>
      <c r="GN33" s="482"/>
      <c r="GO33" s="482"/>
      <c r="GP33" s="482"/>
      <c r="GQ33" s="482"/>
      <c r="GR33" s="482"/>
      <c r="GS33" s="482"/>
      <c r="GT33" s="482"/>
      <c r="GU33" s="482"/>
      <c r="GV33" s="482"/>
      <c r="GW33" s="482"/>
      <c r="GX33" s="482"/>
      <c r="GY33" s="482"/>
      <c r="GZ33" s="482"/>
      <c r="HA33" s="482"/>
      <c r="HB33" s="482"/>
      <c r="HC33" s="482"/>
      <c r="HD33" s="482"/>
      <c r="HE33" s="482"/>
      <c r="HF33" s="482"/>
      <c r="HG33" s="482"/>
      <c r="HH33" s="482"/>
      <c r="HI33" s="482"/>
      <c r="HJ33" s="482"/>
      <c r="HK33" s="482"/>
      <c r="HL33" s="482"/>
      <c r="HM33" s="482"/>
      <c r="HN33" s="482"/>
      <c r="HO33" s="482"/>
      <c r="HP33" s="482"/>
      <c r="HQ33" s="482"/>
      <c r="HR33" s="482"/>
      <c r="HS33" s="482"/>
      <c r="HT33" s="482">
        <v>0</v>
      </c>
      <c r="HU33" s="482">
        <v>0</v>
      </c>
      <c r="HV33" s="482">
        <v>0</v>
      </c>
      <c r="HW33" s="482">
        <v>0</v>
      </c>
      <c r="HX33" s="482">
        <v>0</v>
      </c>
      <c r="HY33" s="482">
        <v>0</v>
      </c>
      <c r="HZ33" s="482"/>
      <c r="IA33" s="482"/>
      <c r="IB33" s="482"/>
      <c r="IC33" s="482"/>
      <c r="ID33" s="482"/>
      <c r="IE33" s="482"/>
      <c r="IF33" s="482"/>
      <c r="IG33" s="482"/>
      <c r="IH33" s="482"/>
      <c r="II33" s="482"/>
      <c r="IJ33" s="482"/>
      <c r="IK33" s="482"/>
      <c r="IL33" s="482"/>
      <c r="IM33" s="482"/>
      <c r="IN33" s="482"/>
      <c r="IO33" s="482"/>
      <c r="IP33" s="482"/>
      <c r="IQ33" s="482"/>
      <c r="IR33" s="482"/>
      <c r="IS33" s="482"/>
      <c r="IT33" s="482"/>
      <c r="IU33" s="482"/>
      <c r="IV33" s="482"/>
      <c r="IW33" s="482"/>
      <c r="IX33" s="482"/>
      <c r="IY33" s="482"/>
      <c r="IZ33" s="482"/>
      <c r="JA33" s="482"/>
      <c r="JB33" s="482"/>
      <c r="JC33" s="482"/>
      <c r="JD33" s="482"/>
      <c r="JE33" s="482"/>
      <c r="JF33" s="482"/>
      <c r="JG33" s="482"/>
      <c r="JH33" s="482"/>
      <c r="JI33" s="482"/>
      <c r="JJ33" s="482"/>
      <c r="JK33" s="482"/>
      <c r="JL33" s="482"/>
      <c r="JM33" s="482"/>
      <c r="JN33" s="482"/>
      <c r="JO33" s="482"/>
      <c r="JP33" s="482"/>
      <c r="JQ33" s="482"/>
      <c r="JR33" s="482"/>
      <c r="JS33" s="482"/>
      <c r="JT33" s="482"/>
      <c r="JU33" s="482"/>
      <c r="JV33" s="482"/>
      <c r="JW33" s="482"/>
      <c r="JX33" s="482"/>
      <c r="JY33" s="482"/>
      <c r="JZ33" s="482"/>
      <c r="KA33" s="482"/>
      <c r="KB33" s="482"/>
      <c r="KC33" s="482"/>
      <c r="KD33" s="482"/>
      <c r="KE33" s="482"/>
      <c r="KF33" s="482"/>
      <c r="KG33" s="482"/>
      <c r="KH33" s="482"/>
      <c r="KI33" s="482"/>
      <c r="KJ33" s="482"/>
      <c r="KK33" s="482"/>
      <c r="KL33" s="482"/>
      <c r="KM33" s="482"/>
      <c r="KN33" s="482"/>
      <c r="KO33" s="482"/>
      <c r="KP33" s="482"/>
      <c r="KQ33" s="482"/>
      <c r="KR33" s="482"/>
      <c r="KS33" s="482"/>
      <c r="KT33" s="482"/>
      <c r="KU33" s="482"/>
      <c r="KV33" s="482"/>
      <c r="KW33" s="482"/>
      <c r="KX33" s="482"/>
      <c r="KY33" s="482"/>
      <c r="KZ33" s="482"/>
      <c r="LA33" s="482"/>
      <c r="LB33" s="482"/>
      <c r="LC33" s="482"/>
      <c r="LD33" s="482"/>
      <c r="LE33" s="482"/>
      <c r="LF33" s="482"/>
      <c r="LG33" s="482"/>
      <c r="LH33" s="482"/>
      <c r="LI33" s="482"/>
      <c r="LJ33" s="482"/>
      <c r="LK33" s="482"/>
      <c r="LL33" s="482"/>
      <c r="LM33" s="482"/>
      <c r="LN33" s="482"/>
      <c r="LO33" s="482"/>
      <c r="LP33" s="482"/>
      <c r="LQ33" s="482"/>
      <c r="LR33" s="482"/>
      <c r="LS33" s="482"/>
      <c r="LT33" s="482"/>
      <c r="LU33" s="482"/>
      <c r="LV33" s="482"/>
      <c r="LW33" s="482"/>
      <c r="LX33" s="482"/>
      <c r="LY33" s="482"/>
      <c r="LZ33" s="482"/>
      <c r="MA33" s="482"/>
      <c r="MB33" s="482"/>
      <c r="MC33" s="482"/>
      <c r="MD33" s="482"/>
      <c r="ME33" s="482"/>
      <c r="MF33" s="482"/>
      <c r="MG33" s="482"/>
      <c r="MH33" s="482"/>
      <c r="MI33" s="482"/>
      <c r="MJ33" s="482"/>
      <c r="MK33" s="482"/>
      <c r="ML33" s="482"/>
      <c r="MM33" s="482"/>
      <c r="MN33" s="482"/>
      <c r="MO33" s="482"/>
      <c r="MP33" s="482"/>
      <c r="MQ33" s="482"/>
      <c r="MR33" s="482"/>
      <c r="MS33" s="482"/>
      <c r="MT33" s="482"/>
      <c r="MU33" s="482"/>
      <c r="MV33" s="482"/>
      <c r="MW33" s="482"/>
      <c r="MX33" s="482"/>
      <c r="MY33" s="482"/>
      <c r="MZ33" s="482"/>
      <c r="NA33" s="482"/>
      <c r="NB33" s="482"/>
      <c r="NC33" s="482"/>
      <c r="ND33" s="482"/>
      <c r="NE33" s="482"/>
      <c r="NF33" s="482"/>
      <c r="NG33" s="482"/>
      <c r="NH33" s="482"/>
      <c r="NI33" s="482"/>
      <c r="NJ33" s="483"/>
      <c r="NK33" s="34"/>
      <c r="NM33" s="379" t="str">
        <f>NM32&amp;".b"</f>
        <v>132992.b</v>
      </c>
      <c r="NN33" s="376" cm="1">
        <f t="array" aca="1" ref="NN33" ca="1">IF(xcomp(INDIRECT((ADDRESS(ROW(NN32),$I$11+(MATCH(NN$11,L.DATE,0))))&amp;":"&amp;(ADDRESS(ROW(NN32),$I$11+NO$11+(MATCH(NN$11,L.DATE,0))-1))),L.ABSP)=0,"",
xsom(INDIRECT((ADDRESS(ROW(NN32),$I$11+(MATCH(NN$11,L.DATE,0))))&amp;":"&amp;(ADDRESS(ROW(NN32),$I$11+NO$11+(MATCH(NN$11,L.DATE,0))-1))),L.ABSP,
INDIRECT((ADDRESS(ROW(NN32)+1,$I$11+(MATCH(NN$11,L.DATE,0))))&amp;":"&amp;(ADDRESS(ROW(NN32)+1,$I$11+NO$11+(MATCH(NN$11,L.DATE,0))-1)))))</f>
        <v>17</v>
      </c>
      <c r="NO33" s="377" t="str" cm="1">
        <f t="array" aca="1" ref="NO33" ca="1">IF(xcomp(INDIRECT((ADDRESS(ROW(NO32),$I$11+(MATCH(NN$11,L.DATE,0))))&amp;":"&amp;(ADDRESS(ROW(NO32),$I$11+NO$11+(MATCH(NN$11,L.DATE,0))-1))),L.ABS.NP)=0,"",
xsom(INDIRECT((ADDRESS(ROW(NO32),$I$11+(MATCH(NN$11,L.DATE,0))))&amp;":"&amp;(ADDRESS(ROW(NO32),$I$11+NO$11+(MATCH(NN$11,L.DATE,0))-1))),L.ABS.NP,
INDIRECT((ADDRESS(ROW(NO32)+1,$I$11+(MATCH(NN$11,L.DATE,0))))&amp;":"&amp;(ADDRESS(ROW(NO32)+1,$I$11+NO$11+(MATCH(NN$11,L.DATE,0))-1)))))</f>
        <v/>
      </c>
      <c r="NP33" s="376" cm="1">
        <f t="array" aca="1" ref="NP33" ca="1">IF(xcomp(INDIRECT((ADDRESS(ROW(NP32),$I$11+(MATCH(NP$11,L.DATE,0))))&amp;":"&amp;(ADDRESS(ROW(NP32),$I$11+NQ$11+(MATCH(NP$11,L.DATE,0))-1))),L.ABSP)=0,"",
xsom(INDIRECT((ADDRESS(ROW(NP32),$I$11+(MATCH(NP$11,L.DATE,0))))&amp;":"&amp;(ADDRESS(ROW(NP32),$I$11+NQ$11+(MATCH(NP$11,L.DATE,0))-1))),L.ABSP,
INDIRECT((ADDRESS(ROW(NP32)+1,$I$11+(MATCH(NP$11,L.DATE,0))))&amp;":"&amp;(ADDRESS(ROW(NP32)+1,$I$11+NQ$11+(MATCH(NP$11,L.DATE,0))-1)))))</f>
        <v>20</v>
      </c>
      <c r="NQ33" s="377" t="str" cm="1">
        <f t="array" aca="1" ref="NQ33" ca="1">IF(xcomp(INDIRECT((ADDRESS(ROW(NQ32),$I$11+(MATCH(NP$11,L.DATE,0))))&amp;":"&amp;(ADDRESS(ROW(NQ32),$I$11+NQ$11+(MATCH(NP$11,L.DATE,0))-1))),L.ABS.NP)=0,"",
xsom(INDIRECT((ADDRESS(ROW(NQ32),$I$11+(MATCH(NP$11,L.DATE,0))))&amp;":"&amp;(ADDRESS(ROW(NQ32),$I$11+NQ$11+(MATCH(NP$11,L.DATE,0))-1))),L.ABS.NP,
INDIRECT((ADDRESS(ROW(NQ32)+1,$I$11+(MATCH(NP$11,L.DATE,0))))&amp;":"&amp;(ADDRESS(ROW(NQ32)+1,$I$11+NQ$11+(MATCH(NP$11,L.DATE,0))-1)))))</f>
        <v/>
      </c>
      <c r="NR33" s="376" cm="1">
        <f t="array" aca="1" ref="NR33" ca="1">IF(xcomp(INDIRECT((ADDRESS(ROW(NR32),$I$11+(MATCH(NR$11,L.DATE,0))))&amp;":"&amp;(ADDRESS(ROW(NR32),$I$11+NS$11+(MATCH(NR$11,L.DATE,0))-1))),L.ABSP)=0,"",
xsom(INDIRECT((ADDRESS(ROW(NR32),$I$11+(MATCH(NR$11,L.DATE,0))))&amp;":"&amp;(ADDRESS(ROW(NR32),$I$11+NS$11+(MATCH(NR$11,L.DATE,0))-1))),L.ABSP,
INDIRECT((ADDRESS(ROW(NR32)+1,$I$11+(MATCH(NR$11,L.DATE,0))))&amp;":"&amp;(ADDRESS(ROW(NR32)+1,$I$11+NS$11+(MATCH(NR$11,L.DATE,0))-1)))))</f>
        <v>23</v>
      </c>
      <c r="NS33" s="377" t="str" cm="1">
        <f t="array" aca="1" ref="NS33" ca="1">IF(xcomp(INDIRECT((ADDRESS(ROW(NS32),$I$11+(MATCH(NR$11,L.DATE,0))))&amp;":"&amp;(ADDRESS(ROW(NS32),$I$11+NS$11+(MATCH(NR$11,L.DATE,0))-1))),L.ABS.NP)=0,"",
xsom(INDIRECT((ADDRESS(ROW(NS32),$I$11+(MATCH(NR$11,L.DATE,0))))&amp;":"&amp;(ADDRESS(ROW(NS32),$I$11+NS$11+(MATCH(NR$11,L.DATE,0))-1))),L.ABS.NP,
INDIRECT((ADDRESS(ROW(NS32)+1,$I$11+(MATCH(NR$11,L.DATE,0))))&amp;":"&amp;(ADDRESS(ROW(NS32)+1,$I$11+NS$11+(MATCH(NR$11,L.DATE,0))-1)))))</f>
        <v/>
      </c>
      <c r="NT33" s="376" t="str" cm="1">
        <f t="array" aca="1" ref="NT33" ca="1">IF(xcomp(INDIRECT((ADDRESS(ROW(NT32),$I$11+(MATCH(NT$11,L.DATE,0))))&amp;":"&amp;(ADDRESS(ROW(NT32),$I$11+NU$11+(MATCH(NT$11,L.DATE,0))-1))),L.ABSP)=0,"",
xsom(INDIRECT((ADDRESS(ROW(NT32),$I$11+(MATCH(NT$11,L.DATE,0))))&amp;":"&amp;(ADDRESS(ROW(NT32),$I$11+NU$11+(MATCH(NT$11,L.DATE,0))-1))),L.ABSP,
INDIRECT((ADDRESS(ROW(NT32)+1,$I$11+(MATCH(NT$11,L.DATE,0))))&amp;":"&amp;(ADDRESS(ROW(NT32)+1,$I$11+NU$11+(MATCH(NT$11,L.DATE,0))-1)))))</f>
        <v/>
      </c>
      <c r="NU33" s="377" t="str" cm="1">
        <f t="array" aca="1" ref="NU33" ca="1">IF(xcomp(INDIRECT((ADDRESS(ROW(NU32),$I$11+(MATCH(NT$11,L.DATE,0))))&amp;":"&amp;(ADDRESS(ROW(NU32),$I$11+NU$11+(MATCH(NT$11,L.DATE,0))-1))),L.ABS.NP)=0,"",
xsom(INDIRECT((ADDRESS(ROW(NU32),$I$11+(MATCH(NT$11,L.DATE,0))))&amp;":"&amp;(ADDRESS(ROW(NU32),$I$11+NU$11+(MATCH(NT$11,L.DATE,0))-1))),L.ABS.NP,
INDIRECT((ADDRESS(ROW(NU32)+1,$I$11+(MATCH(NT$11,L.DATE,0))))&amp;":"&amp;(ADDRESS(ROW(NU32)+1,$I$11+NU$11+(MATCH(NT$11,L.DATE,0))-1)))))</f>
        <v/>
      </c>
      <c r="NV33" s="376" t="str" cm="1">
        <f t="array" aca="1" ref="NV33" ca="1">IF(xcomp(INDIRECT((ADDRESS(ROW(NV32),$I$11+(MATCH(NV$11,L.DATE,0))))&amp;":"&amp;(ADDRESS(ROW(NV32),$I$11+NW$11+(MATCH(NV$11,L.DATE,0))-1))),L.ABSP)=0,"",
xsom(INDIRECT((ADDRESS(ROW(NV32),$I$11+(MATCH(NV$11,L.DATE,0))))&amp;":"&amp;(ADDRESS(ROW(NV32),$I$11+NW$11+(MATCH(NV$11,L.DATE,0))-1))),L.ABSP,
INDIRECT((ADDRESS(ROW(NV32)+1,$I$11+(MATCH(NV$11,L.DATE,0))))&amp;":"&amp;(ADDRESS(ROW(NV32)+1,$I$11+NW$11+(MATCH(NV$11,L.DATE,0))-1)))))</f>
        <v/>
      </c>
      <c r="NW33" s="377" t="str" cm="1">
        <f t="array" aca="1" ref="NW33" ca="1">IF(xcomp(INDIRECT((ADDRESS(ROW(NW32),$I$11+(MATCH(NV$11,L.DATE,0))))&amp;":"&amp;(ADDRESS(ROW(NW32),$I$11+NW$11+(MATCH(NV$11,L.DATE,0))-1))),L.ABS.NP)=0,"",
xsom(INDIRECT((ADDRESS(ROW(NW32),$I$11+(MATCH(NV$11,L.DATE,0))))&amp;":"&amp;(ADDRESS(ROW(NW32),$I$11+NW$11+(MATCH(NV$11,L.DATE,0))-1))),L.ABS.NP,
INDIRECT((ADDRESS(ROW(NW32)+1,$I$11+(MATCH(NV$11,L.DATE,0))))&amp;":"&amp;(ADDRESS(ROW(NW32)+1,$I$11+NW$11+(MATCH(NV$11,L.DATE,0))-1)))))</f>
        <v/>
      </c>
      <c r="NX33" s="376" t="str" cm="1">
        <f t="array" aca="1" ref="NX33" ca="1">IF(xcomp(INDIRECT((ADDRESS(ROW(NX32),$I$11+(MATCH(NX$11,L.DATE,0))))&amp;":"&amp;(ADDRESS(ROW(NX32),$I$11+NY$11+(MATCH(NX$11,L.DATE,0))-1))),L.ABSP)=0,"",
xsom(INDIRECT((ADDRESS(ROW(NX32),$I$11+(MATCH(NX$11,L.DATE,0))))&amp;":"&amp;(ADDRESS(ROW(NX32),$I$11+NY$11+(MATCH(NX$11,L.DATE,0))-1))),L.ABSP,
INDIRECT((ADDRESS(ROW(NX32)+1,$I$11+(MATCH(NX$11,L.DATE,0))))&amp;":"&amp;(ADDRESS(ROW(NX32)+1,$I$11+NY$11+(MATCH(NX$11,L.DATE,0))-1)))))</f>
        <v/>
      </c>
      <c r="NY33" s="377" t="str" cm="1">
        <f t="array" aca="1" ref="NY33" ca="1">IF(xcomp(INDIRECT((ADDRESS(ROW(NY32),$I$11+(MATCH(NX$11,L.DATE,0))))&amp;":"&amp;(ADDRESS(ROW(NY32),$I$11+NY$11+(MATCH(NX$11,L.DATE,0))-1))),L.ABS.NP)=0,"",
xsom(INDIRECT((ADDRESS(ROW(NY32),$I$11+(MATCH(NX$11,L.DATE,0))))&amp;":"&amp;(ADDRESS(ROW(NY32),$I$11+NY$11+(MATCH(NX$11,L.DATE,0))-1))),L.ABS.NP,
INDIRECT((ADDRESS(ROW(NY32)+1,$I$11+(MATCH(NX$11,L.DATE,0))))&amp;":"&amp;(ADDRESS(ROW(NY32)+1,$I$11+NY$11+(MATCH(NX$11,L.DATE,0))-1)))))</f>
        <v/>
      </c>
      <c r="NZ33" s="376" t="str" cm="1">
        <f t="array" aca="1" ref="NZ33" ca="1">IF(xcomp(INDIRECT((ADDRESS(ROW(NZ32),$I$11+(MATCH(NZ$11,L.DATE,0))))&amp;":"&amp;(ADDRESS(ROW(NZ32),$I$11+OA$11+(MATCH(NZ$11,L.DATE,0))-1))),L.ABSP)=0,"",
xsom(INDIRECT((ADDRESS(ROW(NZ32),$I$11+(MATCH(NZ$11,L.DATE,0))))&amp;":"&amp;(ADDRESS(ROW(NZ32),$I$11+OA$11+(MATCH(NZ$11,L.DATE,0))-1))),L.ABSP,
INDIRECT((ADDRESS(ROW(NZ32)+1,$I$11+(MATCH(NZ$11,L.DATE,0))))&amp;":"&amp;(ADDRESS(ROW(NZ32)+1,$I$11+OA$11+(MATCH(NZ$11,L.DATE,0))-1)))))</f>
        <v/>
      </c>
      <c r="OA33" s="377" t="str" cm="1">
        <f t="array" aca="1" ref="OA33" ca="1">IF(xcomp(INDIRECT((ADDRESS(ROW(OA32),$I$11+(MATCH(NZ$11,L.DATE,0))))&amp;":"&amp;(ADDRESS(ROW(OA32),$I$11+OA$11+(MATCH(NZ$11,L.DATE,0))-1))),L.ABS.NP)=0,"",
xsom(INDIRECT((ADDRESS(ROW(OA32),$I$11+(MATCH(NZ$11,L.DATE,0))))&amp;":"&amp;(ADDRESS(ROW(OA32),$I$11+OA$11+(MATCH(NZ$11,L.DATE,0))-1))),L.ABS.NP,
INDIRECT((ADDRESS(ROW(OA32)+1,$I$11+(MATCH(NZ$11,L.DATE,0))))&amp;":"&amp;(ADDRESS(ROW(OA32)+1,$I$11+OA$11+(MATCH(NZ$11,L.DATE,0))-1)))))</f>
        <v/>
      </c>
      <c r="OB33" s="376" cm="1">
        <f t="array" aca="1" ref="OB33" ca="1">IF(xcomp(INDIRECT((ADDRESS(ROW(OB32),$I$11+(MATCH(OB$11,L.DATE,0))))&amp;":"&amp;(ADDRESS(ROW(OB32),$I$11+OC$11+(MATCH(OB$11,L.DATE,0))-1))),L.ABSP)=0,"",
xsom(INDIRECT((ADDRESS(ROW(OB32),$I$11+(MATCH(OB$11,L.DATE,0))))&amp;":"&amp;(ADDRESS(ROW(OB32),$I$11+OC$11+(MATCH(OB$11,L.DATE,0))-1))),L.ABSP,
INDIRECT((ADDRESS(ROW(OB32)+1,$I$11+(MATCH(OB$11,L.DATE,0))))&amp;":"&amp;(ADDRESS(ROW(OB32)+1,$I$11+OC$11+(MATCH(OB$11,L.DATE,0))-1)))))</f>
        <v>6</v>
      </c>
      <c r="OC33" s="377" t="str" cm="1">
        <f t="array" aca="1" ref="OC33" ca="1">IF(xcomp(INDIRECT((ADDRESS(ROW(OC32),$I$11+(MATCH(OB$11,L.DATE,0))))&amp;":"&amp;(ADDRESS(ROW(OC32),$I$11+OC$11+(MATCH(OB$11,L.DATE,0))-1))),L.ABS.NP)=0,"",
xsom(INDIRECT((ADDRESS(ROW(OC32),$I$11+(MATCH(OB$11,L.DATE,0))))&amp;":"&amp;(ADDRESS(ROW(OC32),$I$11+OC$11+(MATCH(OB$11,L.DATE,0))-1))),L.ABS.NP,
INDIRECT((ADDRESS(ROW(OC32)+1,$I$11+(MATCH(OB$11,L.DATE,0))))&amp;":"&amp;(ADDRESS(ROW(OC32)+1,$I$11+OC$11+(MATCH(OB$11,L.DATE,0))-1)))))</f>
        <v/>
      </c>
      <c r="OD33" s="376" t="str" cm="1">
        <f t="array" aca="1" ref="OD33" ca="1">IF(xcomp(INDIRECT((ADDRESS(ROW(OD32),$I$11+(MATCH(OD$11,L.DATE,0))))&amp;":"&amp;(ADDRESS(ROW(OD32),$I$11+OE$11+(MATCH(OD$11,L.DATE,0))-1))),L.ABSP)=0,"",
xsom(INDIRECT((ADDRESS(ROW(OD32),$I$11+(MATCH(OD$11,L.DATE,0))))&amp;":"&amp;(ADDRESS(ROW(OD32),$I$11+OE$11+(MATCH(OD$11,L.DATE,0))-1))),L.ABSP,
INDIRECT((ADDRESS(ROW(OD32)+1,$I$11+(MATCH(OD$11,L.DATE,0))))&amp;":"&amp;(ADDRESS(ROW(OD32)+1,$I$11+OE$11+(MATCH(OD$11,L.DATE,0))-1)))))</f>
        <v/>
      </c>
      <c r="OE33" s="377" t="str" cm="1">
        <f t="array" aca="1" ref="OE33" ca="1">IF(xcomp(INDIRECT((ADDRESS(ROW(OE32),$I$11+(MATCH(OD$11,L.DATE,0))))&amp;":"&amp;(ADDRESS(ROW(OE32),$I$11+OE$11+(MATCH(OD$11,L.DATE,0))-1))),L.ABS.NP)=0,"",
xsom(INDIRECT((ADDRESS(ROW(OE32),$I$11+(MATCH(OD$11,L.DATE,0))))&amp;":"&amp;(ADDRESS(ROW(OE32),$I$11+OE$11+(MATCH(OD$11,L.DATE,0))-1))),L.ABS.NP,
INDIRECT((ADDRESS(ROW(OE32)+1,$I$11+(MATCH(OD$11,L.DATE,0))))&amp;":"&amp;(ADDRESS(ROW(OE32)+1,$I$11+OE$11+(MATCH(OD$11,L.DATE,0))-1)))))</f>
        <v/>
      </c>
      <c r="OF33" s="376" t="str" cm="1">
        <f t="array" aca="1" ref="OF33" ca="1">IF(xcomp(INDIRECT((ADDRESS(ROW(OF32),$I$11+(MATCH(OF$11,L.DATE,0))))&amp;":"&amp;(ADDRESS(ROW(OF32),$I$11+OG$11+(MATCH(OF$11,L.DATE,0))-1))),L.ABSP)=0,"",
xsom(INDIRECT((ADDRESS(ROW(OF32),$I$11+(MATCH(OF$11,L.DATE,0))))&amp;":"&amp;(ADDRESS(ROW(OF32),$I$11+OG$11+(MATCH(OF$11,L.DATE,0))-1))),L.ABSP,
INDIRECT((ADDRESS(ROW(OF32)+1,$I$11+(MATCH(OF$11,L.DATE,0))))&amp;":"&amp;(ADDRESS(ROW(OF32)+1,$I$11+OG$11+(MATCH(OF$11,L.DATE,0))-1)))))</f>
        <v/>
      </c>
      <c r="OG33" s="377" t="str" cm="1">
        <f t="array" aca="1" ref="OG33" ca="1">IF(xcomp(INDIRECT((ADDRESS(ROW(OG32),$I$11+(MATCH(OF$11,L.DATE,0))))&amp;":"&amp;(ADDRESS(ROW(OG32),$I$11+OG$11+(MATCH(OF$11,L.DATE,0))-1))),L.ABS.NP)=0,"",
xsom(INDIRECT((ADDRESS(ROW(OG32),$I$11+(MATCH(OF$11,L.DATE,0))))&amp;":"&amp;(ADDRESS(ROW(OG32),$I$11+OG$11+(MATCH(OF$11,L.DATE,0))-1))),L.ABS.NP,
INDIRECT((ADDRESS(ROW(OG32)+1,$I$11+(MATCH(OF$11,L.DATE,0))))&amp;":"&amp;(ADDRESS(ROW(OG32)+1,$I$11+OG$11+(MATCH(OF$11,L.DATE,0))-1)))))</f>
        <v/>
      </c>
      <c r="OH33" s="376" t="str" cm="1">
        <f t="array" aca="1" ref="OH33" ca="1">IF(xcomp(INDIRECT((ADDRESS(ROW(OH32),$I$11+(MATCH(OH$11,L.DATE,0))))&amp;":"&amp;(ADDRESS(ROW(OH32),$I$11+OI$11+(MATCH(OH$11,L.DATE,0))-1))),L.ABSP)=0,"",
xsom(INDIRECT((ADDRESS(ROW(OH32),$I$11+(MATCH(OH$11,L.DATE,0))))&amp;":"&amp;(ADDRESS(ROW(OH32),$I$11+OI$11+(MATCH(OH$11,L.DATE,0))-1))),L.ABSP,
INDIRECT((ADDRESS(ROW(OH32)+1,$I$11+(MATCH(OH$11,L.DATE,0))))&amp;":"&amp;(ADDRESS(ROW(OH32)+1,$I$11+OI$11+(MATCH(OH$11,L.DATE,0))-1)))))</f>
        <v/>
      </c>
      <c r="OI33" s="377" t="str" cm="1">
        <f t="array" aca="1" ref="OI33" ca="1">IF(xcomp(INDIRECT((ADDRESS(ROW(OI32),$I$11+(MATCH(OH$11,L.DATE,0))))&amp;":"&amp;(ADDRESS(ROW(OI32),$I$11+OI$11+(MATCH(OH$11,L.DATE,0))-1))),L.ABS.NP)=0,"",
xsom(INDIRECT((ADDRESS(ROW(OI32),$I$11+(MATCH(OH$11,L.DATE,0))))&amp;":"&amp;(ADDRESS(ROW(OI32),$I$11+OI$11+(MATCH(OH$11,L.DATE,0))-1))),L.ABS.NP,
INDIRECT((ADDRESS(ROW(OI32)+1,$I$11+(MATCH(OH$11,L.DATE,0))))&amp;":"&amp;(ADDRESS(ROW(OI32)+1,$I$11+OI$11+(MATCH(OH$11,L.DATE,0))-1)))))</f>
        <v/>
      </c>
      <c r="OJ33" s="376" t="str" cm="1">
        <f t="array" aca="1" ref="OJ33" ca="1">IF(xcomp(INDIRECT((ADDRESS(ROW(OJ32),$I$11+(MATCH(OJ$11,L.DATE,0))))&amp;":"&amp;(ADDRESS(ROW(OJ32),$I$11+OK$11+(MATCH(OJ$11,L.DATE,0))-1))),L.ABSP)=0,"",
xsom(INDIRECT((ADDRESS(ROW(OJ32),$I$11+(MATCH(OJ$11,L.DATE,0))))&amp;":"&amp;(ADDRESS(ROW(OJ32),$I$11+OK$11+(MATCH(OJ$11,L.DATE,0))-1))),L.ABSP,
INDIRECT((ADDRESS(ROW(OJ32)+1,$I$11+(MATCH(OJ$11,L.DATE,0))))&amp;":"&amp;(ADDRESS(ROW(OJ32)+1,$I$11+OK$11+(MATCH(OJ$11,L.DATE,0))-1)))))</f>
        <v/>
      </c>
      <c r="OK33" s="378" t="str" cm="1">
        <f t="array" aca="1" ref="OK33" ca="1">IF(xcomp(INDIRECT((ADDRESS(ROW(OK32),$I$11+(MATCH(OJ$11,L.DATE,0))))&amp;":"&amp;(ADDRESS(ROW(OK32),$I$11+OK$11+(MATCH(OJ$11,L.DATE,0))-1))),L.ABS.NP)=0,"",
xsom(INDIRECT((ADDRESS(ROW(OK32),$I$11+(MATCH(OJ$11,L.DATE,0))))&amp;":"&amp;(ADDRESS(ROW(OK32),$I$11+OK$11+(MATCH(OJ$11,L.DATE,0))-1))),L.ABS.NP,
INDIRECT((ADDRESS(ROW(OK32)+1,$I$11+(MATCH(OJ$11,L.DATE,0))))&amp;":"&amp;(ADDRESS(ROW(OK32)+1,$I$11+OK$11+(MATCH(OJ$11,L.DATE,0))-1)))))</f>
        <v/>
      </c>
    </row>
    <row r="34" spans="1:404" ht="12" customHeight="1" x14ac:dyDescent="0.3">
      <c r="A34" s="394">
        <v>133764</v>
      </c>
      <c r="B34" s="381" t="s">
        <v>500</v>
      </c>
      <c r="C34" s="53">
        <v>1</v>
      </c>
      <c r="D34" s="53" t="s">
        <v>33</v>
      </c>
      <c r="E34" s="53" t="s">
        <v>484</v>
      </c>
      <c r="F34" s="53" t="s">
        <v>13</v>
      </c>
      <c r="G34" s="104" t="s">
        <v>498</v>
      </c>
      <c r="H34" s="108">
        <v>1</v>
      </c>
      <c r="I34" s="28"/>
      <c r="J34" s="482"/>
      <c r="K34" s="487"/>
      <c r="L34" s="486"/>
      <c r="M34" s="482"/>
      <c r="N34" s="482"/>
      <c r="O34" s="482"/>
      <c r="P34" s="482"/>
      <c r="Q34" s="482"/>
      <c r="R34" s="484" t="s">
        <v>27</v>
      </c>
      <c r="S34" s="484" t="s">
        <v>27</v>
      </c>
      <c r="T34" s="484" t="s">
        <v>27</v>
      </c>
      <c r="U34" s="484" t="s">
        <v>27</v>
      </c>
      <c r="V34" s="484" t="s">
        <v>27</v>
      </c>
      <c r="W34" s="482"/>
      <c r="X34" s="482"/>
      <c r="Y34" s="484" t="s">
        <v>27</v>
      </c>
      <c r="Z34" s="484" t="s">
        <v>27</v>
      </c>
      <c r="AA34" s="484" t="s">
        <v>27</v>
      </c>
      <c r="AB34" s="484" t="s">
        <v>27</v>
      </c>
      <c r="AC34" s="484" t="s">
        <v>27</v>
      </c>
      <c r="AD34" s="482"/>
      <c r="AE34" s="482"/>
      <c r="AF34" s="484" t="s">
        <v>27</v>
      </c>
      <c r="AG34" s="484" t="s">
        <v>27</v>
      </c>
      <c r="AH34" s="484" t="s">
        <v>27</v>
      </c>
      <c r="AI34" s="484" t="s">
        <v>27</v>
      </c>
      <c r="AJ34" s="484" t="s">
        <v>27</v>
      </c>
      <c r="AK34" s="482"/>
      <c r="AL34" s="482"/>
      <c r="AM34" s="484" t="s">
        <v>27</v>
      </c>
      <c r="AN34" s="484" t="s">
        <v>27</v>
      </c>
      <c r="AO34" s="484" t="s">
        <v>27</v>
      </c>
      <c r="AP34" s="484" t="s">
        <v>27</v>
      </c>
      <c r="AQ34" s="484" t="s">
        <v>27</v>
      </c>
      <c r="AR34" s="482"/>
      <c r="AS34" s="482"/>
      <c r="AT34" s="484" t="s">
        <v>27</v>
      </c>
      <c r="AU34" s="484" t="s">
        <v>27</v>
      </c>
      <c r="AV34" s="484" t="s">
        <v>27</v>
      </c>
      <c r="AW34" s="484" t="s">
        <v>27</v>
      </c>
      <c r="AX34" s="484" t="s">
        <v>27</v>
      </c>
      <c r="AY34" s="482"/>
      <c r="AZ34" s="482"/>
      <c r="BA34" s="484" t="s">
        <v>27</v>
      </c>
      <c r="BB34" s="484" t="s">
        <v>27</v>
      </c>
      <c r="BC34" s="484" t="s">
        <v>27</v>
      </c>
      <c r="BD34" s="484" t="s">
        <v>27</v>
      </c>
      <c r="BE34" s="484" t="s">
        <v>27</v>
      </c>
      <c r="BF34" s="482"/>
      <c r="BG34" s="482"/>
      <c r="BH34" s="484" t="s">
        <v>27</v>
      </c>
      <c r="BI34" s="484" t="s">
        <v>27</v>
      </c>
      <c r="BJ34" s="484" t="s">
        <v>27</v>
      </c>
      <c r="BK34" s="484" t="s">
        <v>27</v>
      </c>
      <c r="BL34" s="484" t="s">
        <v>27</v>
      </c>
      <c r="BM34" s="482"/>
      <c r="BN34" s="482"/>
      <c r="BO34" s="484" t="s">
        <v>27</v>
      </c>
      <c r="BP34" s="484" t="s">
        <v>27</v>
      </c>
      <c r="BQ34" s="484" t="s">
        <v>27</v>
      </c>
      <c r="BR34" s="484" t="s">
        <v>27</v>
      </c>
      <c r="BS34" s="484" t="s">
        <v>27</v>
      </c>
      <c r="BT34" s="482"/>
      <c r="BU34" s="482"/>
      <c r="BV34" s="484" t="s">
        <v>27</v>
      </c>
      <c r="BW34" s="484" t="s">
        <v>27</v>
      </c>
      <c r="BX34" s="484" t="s">
        <v>27</v>
      </c>
      <c r="BY34" s="484" t="s">
        <v>27</v>
      </c>
      <c r="BZ34" s="484" t="s">
        <v>27</v>
      </c>
      <c r="CA34" s="482"/>
      <c r="CB34" s="482"/>
      <c r="CC34" s="484" t="s">
        <v>27</v>
      </c>
      <c r="CD34" s="484" t="s">
        <v>27</v>
      </c>
      <c r="CE34" s="484" t="s">
        <v>27</v>
      </c>
      <c r="CF34" s="484" t="s">
        <v>27</v>
      </c>
      <c r="CG34" s="484" t="s">
        <v>27</v>
      </c>
      <c r="CH34" s="482"/>
      <c r="CI34" s="482"/>
      <c r="CJ34" s="484" t="s">
        <v>27</v>
      </c>
      <c r="CK34" s="484" t="s">
        <v>27</v>
      </c>
      <c r="CL34" s="484" t="s">
        <v>27</v>
      </c>
      <c r="CM34" s="484" t="s">
        <v>27</v>
      </c>
      <c r="CN34" s="484" t="s">
        <v>27</v>
      </c>
      <c r="CO34" s="482"/>
      <c r="CP34" s="482"/>
      <c r="CQ34" s="484" t="s">
        <v>27</v>
      </c>
      <c r="CR34" s="484" t="s">
        <v>27</v>
      </c>
      <c r="CS34" s="484" t="s">
        <v>27</v>
      </c>
      <c r="CT34" s="484" t="s">
        <v>27</v>
      </c>
      <c r="CU34" s="484" t="s">
        <v>27</v>
      </c>
      <c r="CV34" s="482"/>
      <c r="CW34" s="482"/>
      <c r="CX34" s="482"/>
      <c r="CY34" s="482"/>
      <c r="CZ34" s="482"/>
      <c r="DA34" s="482"/>
      <c r="DB34" s="482"/>
      <c r="DC34" s="482"/>
      <c r="DD34" s="482"/>
      <c r="DE34" s="482"/>
      <c r="DF34" s="482"/>
      <c r="DG34" s="482"/>
      <c r="DH34" s="482"/>
      <c r="DI34" s="482"/>
      <c r="DJ34" s="482"/>
      <c r="DK34" s="482"/>
      <c r="DL34" s="482"/>
      <c r="DM34" s="482"/>
      <c r="DN34" s="482"/>
      <c r="DO34" s="482"/>
      <c r="DP34" s="482"/>
      <c r="DQ34" s="482"/>
      <c r="DR34" s="482"/>
      <c r="DS34" s="482"/>
      <c r="DT34" s="482"/>
      <c r="DU34" s="482"/>
      <c r="DV34" s="482"/>
      <c r="DW34" s="482"/>
      <c r="DX34" s="482"/>
      <c r="DY34" s="482"/>
      <c r="DZ34" s="482"/>
      <c r="EA34" s="482"/>
      <c r="EB34" s="482"/>
      <c r="EC34" s="482"/>
      <c r="ED34" s="482"/>
      <c r="EE34" s="482"/>
      <c r="EF34" s="482"/>
      <c r="EG34" s="482"/>
      <c r="EH34" s="482"/>
      <c r="EI34" s="482"/>
      <c r="EJ34" s="482"/>
      <c r="EK34" s="482"/>
      <c r="EL34" s="482"/>
      <c r="EM34" s="482"/>
      <c r="EN34" s="482"/>
      <c r="EO34" s="482"/>
      <c r="EP34" s="482"/>
      <c r="EQ34" s="482"/>
      <c r="ER34" s="482"/>
      <c r="ES34" s="482"/>
      <c r="ET34" s="482"/>
      <c r="EU34" s="482"/>
      <c r="EV34" s="482"/>
      <c r="EW34" s="482"/>
      <c r="EX34" s="482"/>
      <c r="EY34" s="482"/>
      <c r="EZ34" s="482"/>
      <c r="FA34" s="482"/>
      <c r="FB34" s="482"/>
      <c r="FC34" s="482"/>
      <c r="FD34" s="482"/>
      <c r="FE34" s="482"/>
      <c r="FF34" s="482"/>
      <c r="FG34" s="482"/>
      <c r="FH34" s="482"/>
      <c r="FI34" s="482"/>
      <c r="FJ34" s="482"/>
      <c r="FK34" s="482"/>
      <c r="FL34" s="482"/>
      <c r="FM34" s="482"/>
      <c r="FN34" s="482"/>
      <c r="FO34" s="482"/>
      <c r="FP34" s="482"/>
      <c r="FQ34" s="482"/>
      <c r="FR34" s="482"/>
      <c r="FS34" s="482"/>
      <c r="FT34" s="482"/>
      <c r="FU34" s="482"/>
      <c r="FV34" s="482"/>
      <c r="FW34" s="482"/>
      <c r="FX34" s="482"/>
      <c r="FY34" s="482"/>
      <c r="FZ34" s="482"/>
      <c r="GA34" s="482"/>
      <c r="GB34" s="482"/>
      <c r="GC34" s="482"/>
      <c r="GD34" s="482"/>
      <c r="GE34" s="482"/>
      <c r="GF34" s="482"/>
      <c r="GG34" s="482"/>
      <c r="GH34" s="482"/>
      <c r="GI34" s="482"/>
      <c r="GJ34" s="482"/>
      <c r="GK34" s="482"/>
      <c r="GL34" s="482"/>
      <c r="GM34" s="482"/>
      <c r="GN34" s="482"/>
      <c r="GO34" s="482"/>
      <c r="GP34" s="482"/>
      <c r="GQ34" s="482"/>
      <c r="GR34" s="482"/>
      <c r="GS34" s="482"/>
      <c r="GT34" s="482"/>
      <c r="GU34" s="482"/>
      <c r="GV34" s="482"/>
      <c r="GW34" s="482"/>
      <c r="GX34" s="482"/>
      <c r="GY34" s="482"/>
      <c r="GZ34" s="482"/>
      <c r="HA34" s="482"/>
      <c r="HB34" s="482"/>
      <c r="HC34" s="482"/>
      <c r="HD34" s="482"/>
      <c r="HE34" s="482"/>
      <c r="HF34" s="482"/>
      <c r="HG34" s="482"/>
      <c r="HH34" s="482"/>
      <c r="HI34" s="482"/>
      <c r="HJ34" s="482"/>
      <c r="HK34" s="482"/>
      <c r="HL34" s="482"/>
      <c r="HM34" s="482"/>
      <c r="HN34" s="482"/>
      <c r="HO34" s="482"/>
      <c r="HP34" s="482"/>
      <c r="HQ34" s="482"/>
      <c r="HR34" s="482"/>
      <c r="HS34" s="482"/>
      <c r="HT34" s="482"/>
      <c r="HU34" s="482"/>
      <c r="HV34" s="482"/>
      <c r="HW34" s="482"/>
      <c r="HX34" s="482"/>
      <c r="HY34" s="482"/>
      <c r="HZ34" s="482"/>
      <c r="IA34" s="482"/>
      <c r="IB34" s="482"/>
      <c r="IC34" s="482"/>
      <c r="ID34" s="482"/>
      <c r="IE34" s="482"/>
      <c r="IF34" s="482"/>
      <c r="IG34" s="482"/>
      <c r="IH34" s="482"/>
      <c r="II34" s="482"/>
      <c r="IJ34" s="482"/>
      <c r="IK34" s="482"/>
      <c r="IL34" s="482"/>
      <c r="IM34" s="482"/>
      <c r="IN34" s="482"/>
      <c r="IO34" s="482"/>
      <c r="IP34" s="482"/>
      <c r="IQ34" s="482"/>
      <c r="IR34" s="482"/>
      <c r="IS34" s="482"/>
      <c r="IT34" s="482"/>
      <c r="IU34" s="482"/>
      <c r="IV34" s="482"/>
      <c r="IW34" s="482"/>
      <c r="IX34" s="482"/>
      <c r="IY34" s="482"/>
      <c r="IZ34" s="482"/>
      <c r="JA34" s="482"/>
      <c r="JB34" s="482"/>
      <c r="JC34" s="482"/>
      <c r="JD34" s="482"/>
      <c r="JE34" s="482"/>
      <c r="JF34" s="482"/>
      <c r="JG34" s="482"/>
      <c r="JH34" s="482"/>
      <c r="JI34" s="482"/>
      <c r="JJ34" s="482"/>
      <c r="JK34" s="482"/>
      <c r="JL34" s="482"/>
      <c r="JM34" s="482"/>
      <c r="JN34" s="482"/>
      <c r="JO34" s="482"/>
      <c r="JP34" s="482"/>
      <c r="JQ34" s="482"/>
      <c r="JR34" s="482"/>
      <c r="JS34" s="482"/>
      <c r="JT34" s="482"/>
      <c r="JU34" s="482"/>
      <c r="JV34" s="482"/>
      <c r="JW34" s="482"/>
      <c r="JX34" s="482"/>
      <c r="JY34" s="482"/>
      <c r="JZ34" s="482"/>
      <c r="KA34" s="482"/>
      <c r="KB34" s="482"/>
      <c r="KC34" s="482"/>
      <c r="KD34" s="482"/>
      <c r="KE34" s="482"/>
      <c r="KF34" s="482"/>
      <c r="KG34" s="482"/>
      <c r="KH34" s="482"/>
      <c r="KI34" s="482"/>
      <c r="KJ34" s="482"/>
      <c r="KK34" s="482"/>
      <c r="KL34" s="482"/>
      <c r="KM34" s="482"/>
      <c r="KN34" s="482"/>
      <c r="KO34" s="482"/>
      <c r="KP34" s="482"/>
      <c r="KQ34" s="482"/>
      <c r="KR34" s="482"/>
      <c r="KS34" s="482"/>
      <c r="KT34" s="482"/>
      <c r="KU34" s="482"/>
      <c r="KV34" s="482"/>
      <c r="KW34" s="482"/>
      <c r="KX34" s="482"/>
      <c r="KY34" s="482"/>
      <c r="KZ34" s="482"/>
      <c r="LA34" s="482"/>
      <c r="LB34" s="482"/>
      <c r="LC34" s="482"/>
      <c r="LD34" s="482"/>
      <c r="LE34" s="482"/>
      <c r="LF34" s="482"/>
      <c r="LG34" s="482"/>
      <c r="LH34" s="482"/>
      <c r="LI34" s="482"/>
      <c r="LJ34" s="482"/>
      <c r="LK34" s="482"/>
      <c r="LL34" s="482"/>
      <c r="LM34" s="482"/>
      <c r="LN34" s="482"/>
      <c r="LO34" s="482"/>
      <c r="LP34" s="482"/>
      <c r="LQ34" s="482"/>
      <c r="LR34" s="482"/>
      <c r="LS34" s="482"/>
      <c r="LT34" s="482"/>
      <c r="LU34" s="482"/>
      <c r="LV34" s="482"/>
      <c r="LW34" s="482"/>
      <c r="LX34" s="482"/>
      <c r="LY34" s="482"/>
      <c r="LZ34" s="482"/>
      <c r="MA34" s="482"/>
      <c r="MB34" s="482"/>
      <c r="MC34" s="482"/>
      <c r="MD34" s="482"/>
      <c r="ME34" s="482"/>
      <c r="MF34" s="482"/>
      <c r="MG34" s="482"/>
      <c r="MH34" s="482"/>
      <c r="MI34" s="482"/>
      <c r="MJ34" s="482"/>
      <c r="MK34" s="482"/>
      <c r="ML34" s="482"/>
      <c r="MM34" s="482"/>
      <c r="MN34" s="482"/>
      <c r="MO34" s="482"/>
      <c r="MP34" s="482"/>
      <c r="MQ34" s="482"/>
      <c r="MR34" s="482"/>
      <c r="MS34" s="482"/>
      <c r="MT34" s="482"/>
      <c r="MU34" s="482"/>
      <c r="MV34" s="482"/>
      <c r="MW34" s="482"/>
      <c r="MX34" s="482"/>
      <c r="MY34" s="482"/>
      <c r="MZ34" s="482"/>
      <c r="NA34" s="482"/>
      <c r="NB34" s="482"/>
      <c r="NC34" s="482"/>
      <c r="ND34" s="482"/>
      <c r="NE34" s="482"/>
      <c r="NF34" s="482"/>
      <c r="NG34" s="482"/>
      <c r="NH34" s="482"/>
      <c r="NI34" s="482"/>
      <c r="NJ34" s="483"/>
      <c r="NK34" s="34"/>
      <c r="NM34" s="159">
        <f>A34</f>
        <v>133764</v>
      </c>
      <c r="NN34" s="373">
        <f ca="1">COUNTIF(INDIRECT((ADDRESS(ROW(NO35),$I$11+(MATCH(NN$11,L.DATE,0))))&amp;":"&amp;(ADDRESS(ROW(NO35),$I$11+NO$11+(MATCH(NN$11,L.DATE,0))-1))),"&gt;=0")-NO34</f>
        <v>17</v>
      </c>
      <c r="NO34" s="374">
        <f ca="1">SUM(INDIRECT((ADDRESS(ROW(NO35),$I$11+(MATCH(NN$11,L.DATE,0))))&amp;":"&amp;(ADDRESS(ROW(NO35),$I$11+NO$11+(MATCH(NN$11,L.DATE,0))-1))))</f>
        <v>0</v>
      </c>
      <c r="NP34" s="373">
        <f ca="1">COUNTIF(INDIRECT((ADDRESS(ROW(NQ35),$I$11+(MATCH(NP$11,L.DATE,0))))&amp;":"&amp;(ADDRESS(ROW(NQ35),$I$11+NQ$11+(MATCH(NP$11,L.DATE,0))-1))),"&gt;=0")-NQ34</f>
        <v>20</v>
      </c>
      <c r="NQ34" s="374">
        <f ca="1">SUM(INDIRECT((ADDRESS(ROW(NQ35),$I$11+(MATCH(NP$11,L.DATE,0))))&amp;":"&amp;(ADDRESS(ROW(NQ35),$I$11+NQ$11+(MATCH(NP$11,L.DATE,0))-1))))</f>
        <v>0</v>
      </c>
      <c r="NR34" s="373">
        <f ca="1">COUNTIF(INDIRECT((ADDRESS(ROW(NS35),$I$11+(MATCH(NR$11,L.DATE,0))))&amp;":"&amp;(ADDRESS(ROW(NS35),$I$11+NS$11+(MATCH(NR$11,L.DATE,0))-1))),"&gt;=0")-NS34</f>
        <v>23</v>
      </c>
      <c r="NS34" s="374">
        <f ca="1">SUM(INDIRECT((ADDRESS(ROW(NS35),$I$11+(MATCH(NR$11,L.DATE,0))))&amp;":"&amp;(ADDRESS(ROW(NS35),$I$11+NS$11+(MATCH(NR$11,L.DATE,0))-1))))</f>
        <v>0</v>
      </c>
      <c r="NT34" s="373">
        <f ca="1">COUNTIF(INDIRECT((ADDRESS(ROW(NU35),$I$11+(MATCH(NT$11,L.DATE,0))))&amp;":"&amp;(ADDRESS(ROW(NU35),$I$11+NU$11+(MATCH(NT$11,L.DATE,0))-1))),"&gt;=0")-NU34</f>
        <v>0</v>
      </c>
      <c r="NU34" s="374">
        <f ca="1">SUM(INDIRECT((ADDRESS(ROW(NU35),$I$11+(MATCH(NT$11,L.DATE,0))))&amp;":"&amp;(ADDRESS(ROW(NU35),$I$11+NU$11+(MATCH(NT$11,L.DATE,0))-1))))</f>
        <v>0</v>
      </c>
      <c r="NV34" s="373">
        <f ca="1">COUNTIF(INDIRECT((ADDRESS(ROW(NW35),$I$11+(MATCH(NV$11,L.DATE,0))))&amp;":"&amp;(ADDRESS(ROW(NW35),$I$11+NW$11+(MATCH(NV$11,L.DATE,0))-1))),"&gt;=0")-NW34</f>
        <v>0</v>
      </c>
      <c r="NW34" s="374">
        <f ca="1">SUM(INDIRECT((ADDRESS(ROW(NW35),$I$11+(MATCH(NV$11,L.DATE,0))))&amp;":"&amp;(ADDRESS(ROW(NW35),$I$11+NW$11+(MATCH(NV$11,L.DATE,0))-1))))</f>
        <v>0</v>
      </c>
      <c r="NX34" s="373">
        <f ca="1">COUNTIF(INDIRECT((ADDRESS(ROW(NY35),$I$11+(MATCH(NX$11,L.DATE,0))))&amp;":"&amp;(ADDRESS(ROW(NY35),$I$11+NY$11+(MATCH(NX$11,L.DATE,0))-1))),"&gt;=0")-NY34</f>
        <v>0</v>
      </c>
      <c r="NY34" s="374">
        <f ca="1">SUM(INDIRECT((ADDRESS(ROW(NY35),$I$11+(MATCH(NX$11,L.DATE,0))))&amp;":"&amp;(ADDRESS(ROW(NY35),$I$11+NY$11+(MATCH(NX$11,L.DATE,0))-1))))</f>
        <v>0</v>
      </c>
      <c r="NZ34" s="373">
        <f ca="1">COUNTIF(INDIRECT((ADDRESS(ROW(OA35),$I$11+(MATCH(NZ$11,L.DATE,0))))&amp;":"&amp;(ADDRESS(ROW(OA35),$I$11+OA$11+(MATCH(NZ$11,L.DATE,0))-1))),"&gt;=0")-OA34</f>
        <v>0</v>
      </c>
      <c r="OA34" s="374">
        <f ca="1">SUM(INDIRECT((ADDRESS(ROW(OA35),$I$11+(MATCH(NZ$11,L.DATE,0))))&amp;":"&amp;(ADDRESS(ROW(OA35),$I$11+OA$11+(MATCH(NZ$11,L.DATE,0))-1))))</f>
        <v>0</v>
      </c>
      <c r="OB34" s="373">
        <f ca="1">COUNTIF(INDIRECT((ADDRESS(ROW(OC35),$I$11+(MATCH(OB$11,L.DATE,0))))&amp;":"&amp;(ADDRESS(ROW(OC35),$I$11+OC$11+(MATCH(OB$11,L.DATE,0))-1))),"&gt;=0")-OC34</f>
        <v>0</v>
      </c>
      <c r="OC34" s="374">
        <f ca="1">SUM(INDIRECT((ADDRESS(ROW(OC35),$I$11+(MATCH(OB$11,L.DATE,0))))&amp;":"&amp;(ADDRESS(ROW(OC35),$I$11+OC$11+(MATCH(OB$11,L.DATE,0))-1))))</f>
        <v>0</v>
      </c>
      <c r="OD34" s="373">
        <f ca="1">COUNTIF(INDIRECT((ADDRESS(ROW(OE35),$I$11+(MATCH(OD$11,L.DATE,0))))&amp;":"&amp;(ADDRESS(ROW(OE35),$I$11+OE$11+(MATCH(OD$11,L.DATE,0))-1))),"&gt;=0")-OE34</f>
        <v>0</v>
      </c>
      <c r="OE34" s="374">
        <f ca="1">SUM(INDIRECT((ADDRESS(ROW(OE35),$I$11+(MATCH(OD$11,L.DATE,0))))&amp;":"&amp;(ADDRESS(ROW(OE35),$I$11+OE$11+(MATCH(OD$11,L.DATE,0))-1))))</f>
        <v>0</v>
      </c>
      <c r="OF34" s="373">
        <f ca="1">COUNTIF(INDIRECT((ADDRESS(ROW(OG35),$I$11+(MATCH(OF$11,L.DATE,0))))&amp;":"&amp;(ADDRESS(ROW(OG35),$I$11+OG$11+(MATCH(OF$11,L.DATE,0))-1))),"&gt;=0")-OG34</f>
        <v>0</v>
      </c>
      <c r="OG34" s="374">
        <f ca="1">SUM(INDIRECT((ADDRESS(ROW(OG35),$I$11+(MATCH(OF$11,L.DATE,0))))&amp;":"&amp;(ADDRESS(ROW(OG35),$I$11+OG$11+(MATCH(OF$11,L.DATE,0))-1))))</f>
        <v>0</v>
      </c>
      <c r="OH34" s="373">
        <f ca="1">COUNTIF(INDIRECT((ADDRESS(ROW(OI35),$I$11+(MATCH(OH$11,L.DATE,0))))&amp;":"&amp;(ADDRESS(ROW(OI35),$I$11+OI$11+(MATCH(OH$11,L.DATE,0))-1))),"&gt;=0")-OI34</f>
        <v>0</v>
      </c>
      <c r="OI34" s="374">
        <f ca="1">SUM(INDIRECT((ADDRESS(ROW(OI35),$I$11+(MATCH(OH$11,L.DATE,0))))&amp;":"&amp;(ADDRESS(ROW(OI35),$I$11+OI$11+(MATCH(OH$11,L.DATE,0))-1))))</f>
        <v>0</v>
      </c>
      <c r="OJ34" s="373">
        <f ca="1">COUNTIF(INDIRECT((ADDRESS(ROW(OK35),$I$11+(MATCH(OJ$11,L.DATE,0))))&amp;":"&amp;(ADDRESS(ROW(OK35),$I$11+OK$11+(MATCH(OJ$11,L.DATE,0))-1))),"&gt;=0")-OK34</f>
        <v>0</v>
      </c>
      <c r="OK34" s="375">
        <f ca="1">SUM(INDIRECT((ADDRESS(ROW(OK35),$I$11+(MATCH(OJ$11,L.DATE,0))))&amp;":"&amp;(ADDRESS(ROW(OK35),$I$11+OK$11+(MATCH(OJ$11,L.DATE,0))-1))))</f>
        <v>0</v>
      </c>
      <c r="OM34" s="39">
        <f ca="1">NN34+NP34+NR34+NT34+NV34+NX34+NZ34+OB34+OD34+OF34+OJ34+OH34</f>
        <v>60</v>
      </c>
      <c r="ON34" s="40">
        <f ca="1">NO34+NQ34+NS34+NU34+NW34+NY34+OA34+OC34+OE34+OG34+OK34+OI34</f>
        <v>0</v>
      </c>
    </row>
    <row r="35" spans="1:404" x14ac:dyDescent="0.3">
      <c r="A35" s="33"/>
      <c r="B35" s="16" t="str">
        <f t="shared" ref="B35:H35" si="33">B34</f>
        <v>MARGOTTAT.Florian</v>
      </c>
      <c r="C35" s="16">
        <f t="shared" si="33"/>
        <v>1</v>
      </c>
      <c r="D35" s="16" t="str">
        <f t="shared" si="33"/>
        <v>EXT</v>
      </c>
      <c r="E35" s="16" t="str">
        <f t="shared" si="33"/>
        <v>ITG</v>
      </c>
      <c r="F35" s="16" t="str">
        <f t="shared" si="33"/>
        <v>SL</v>
      </c>
      <c r="G35" s="105" t="str">
        <f t="shared" si="33"/>
        <v>N1</v>
      </c>
      <c r="H35" s="109">
        <f t="shared" si="33"/>
        <v>1</v>
      </c>
      <c r="I35" s="28"/>
      <c r="J35" s="482"/>
      <c r="K35" s="485"/>
      <c r="L35" s="482"/>
      <c r="M35" s="482"/>
      <c r="N35" s="482"/>
      <c r="O35" s="482"/>
      <c r="P35" s="482"/>
      <c r="Q35" s="482"/>
      <c r="R35" s="485">
        <v>0</v>
      </c>
      <c r="S35" s="485">
        <v>0</v>
      </c>
      <c r="T35" s="485">
        <v>0</v>
      </c>
      <c r="U35" s="485">
        <v>0</v>
      </c>
      <c r="V35" s="485">
        <v>0</v>
      </c>
      <c r="W35" s="482"/>
      <c r="X35" s="482"/>
      <c r="Y35" s="485">
        <v>0</v>
      </c>
      <c r="Z35" s="485">
        <v>0</v>
      </c>
      <c r="AA35" s="485">
        <v>0</v>
      </c>
      <c r="AB35" s="485">
        <v>0</v>
      </c>
      <c r="AC35" s="485">
        <v>0</v>
      </c>
      <c r="AD35" s="482"/>
      <c r="AE35" s="482"/>
      <c r="AF35" s="485">
        <v>0</v>
      </c>
      <c r="AG35" s="485">
        <v>0</v>
      </c>
      <c r="AH35" s="485">
        <v>0</v>
      </c>
      <c r="AI35" s="485">
        <v>0</v>
      </c>
      <c r="AJ35" s="485">
        <v>0</v>
      </c>
      <c r="AK35" s="482"/>
      <c r="AL35" s="482"/>
      <c r="AM35" s="485">
        <v>0</v>
      </c>
      <c r="AN35" s="485">
        <v>0</v>
      </c>
      <c r="AO35" s="485">
        <v>0</v>
      </c>
      <c r="AP35" s="485">
        <v>0</v>
      </c>
      <c r="AQ35" s="485">
        <v>0</v>
      </c>
      <c r="AR35" s="482"/>
      <c r="AS35" s="482"/>
      <c r="AT35" s="485">
        <v>0</v>
      </c>
      <c r="AU35" s="485">
        <v>0</v>
      </c>
      <c r="AV35" s="485">
        <v>0</v>
      </c>
      <c r="AW35" s="485">
        <v>0</v>
      </c>
      <c r="AX35" s="485">
        <v>0</v>
      </c>
      <c r="AY35" s="482"/>
      <c r="AZ35" s="482"/>
      <c r="BA35" s="485">
        <v>0</v>
      </c>
      <c r="BB35" s="485">
        <v>0</v>
      </c>
      <c r="BC35" s="485">
        <v>0</v>
      </c>
      <c r="BD35" s="485">
        <v>0</v>
      </c>
      <c r="BE35" s="485">
        <v>0</v>
      </c>
      <c r="BF35" s="482"/>
      <c r="BG35" s="482"/>
      <c r="BH35" s="485">
        <v>0</v>
      </c>
      <c r="BI35" s="485">
        <v>0</v>
      </c>
      <c r="BJ35" s="485">
        <v>0</v>
      </c>
      <c r="BK35" s="485">
        <v>0</v>
      </c>
      <c r="BL35" s="485">
        <v>0</v>
      </c>
      <c r="BM35" s="482"/>
      <c r="BN35" s="482"/>
      <c r="BO35" s="485">
        <v>0</v>
      </c>
      <c r="BP35" s="485">
        <v>0</v>
      </c>
      <c r="BQ35" s="485">
        <v>0</v>
      </c>
      <c r="BR35" s="485">
        <v>0</v>
      </c>
      <c r="BS35" s="485">
        <v>0</v>
      </c>
      <c r="BT35" s="482"/>
      <c r="BU35" s="482"/>
      <c r="BV35" s="485">
        <v>0</v>
      </c>
      <c r="BW35" s="485">
        <v>0</v>
      </c>
      <c r="BX35" s="485">
        <v>0</v>
      </c>
      <c r="BY35" s="485">
        <v>0</v>
      </c>
      <c r="BZ35" s="485">
        <v>0</v>
      </c>
      <c r="CA35" s="482"/>
      <c r="CB35" s="482"/>
      <c r="CC35" s="485">
        <v>0</v>
      </c>
      <c r="CD35" s="485">
        <v>0</v>
      </c>
      <c r="CE35" s="485">
        <v>0</v>
      </c>
      <c r="CF35" s="485">
        <v>0</v>
      </c>
      <c r="CG35" s="485">
        <v>0</v>
      </c>
      <c r="CH35" s="482"/>
      <c r="CI35" s="482"/>
      <c r="CJ35" s="485">
        <v>0</v>
      </c>
      <c r="CK35" s="485">
        <v>0</v>
      </c>
      <c r="CL35" s="485">
        <v>0</v>
      </c>
      <c r="CM35" s="485">
        <v>0</v>
      </c>
      <c r="CN35" s="485">
        <v>0</v>
      </c>
      <c r="CO35" s="482"/>
      <c r="CP35" s="482"/>
      <c r="CQ35" s="485">
        <v>0</v>
      </c>
      <c r="CR35" s="485">
        <v>0</v>
      </c>
      <c r="CS35" s="485">
        <v>0</v>
      </c>
      <c r="CT35" s="485">
        <v>0</v>
      </c>
      <c r="CU35" s="485">
        <v>0</v>
      </c>
      <c r="CV35" s="482"/>
      <c r="CW35" s="482"/>
      <c r="CX35" s="482"/>
      <c r="CY35" s="482"/>
      <c r="CZ35" s="482"/>
      <c r="DA35" s="482"/>
      <c r="DB35" s="482"/>
      <c r="DC35" s="482"/>
      <c r="DD35" s="482"/>
      <c r="DE35" s="482"/>
      <c r="DF35" s="482"/>
      <c r="DG35" s="482"/>
      <c r="DH35" s="482"/>
      <c r="DI35" s="482"/>
      <c r="DJ35" s="482"/>
      <c r="DK35" s="482"/>
      <c r="DL35" s="482"/>
      <c r="DM35" s="482"/>
      <c r="DN35" s="482"/>
      <c r="DO35" s="482"/>
      <c r="DP35" s="482"/>
      <c r="DQ35" s="482"/>
      <c r="DR35" s="482"/>
      <c r="DS35" s="482"/>
      <c r="DT35" s="482"/>
      <c r="DU35" s="482"/>
      <c r="DV35" s="482"/>
      <c r="DW35" s="482"/>
      <c r="DX35" s="482"/>
      <c r="DY35" s="482"/>
      <c r="DZ35" s="482"/>
      <c r="EA35" s="482"/>
      <c r="EB35" s="482"/>
      <c r="EC35" s="482"/>
      <c r="ED35" s="482"/>
      <c r="EE35" s="482"/>
      <c r="EF35" s="482"/>
      <c r="EG35" s="482"/>
      <c r="EH35" s="482"/>
      <c r="EI35" s="482"/>
      <c r="EJ35" s="482"/>
      <c r="EK35" s="482"/>
      <c r="EL35" s="482"/>
      <c r="EM35" s="482"/>
      <c r="EN35" s="482"/>
      <c r="EO35" s="482"/>
      <c r="EP35" s="482"/>
      <c r="EQ35" s="482"/>
      <c r="ER35" s="482"/>
      <c r="ES35" s="482"/>
      <c r="ET35" s="482"/>
      <c r="EU35" s="482"/>
      <c r="EV35" s="482"/>
      <c r="EW35" s="482"/>
      <c r="EX35" s="482"/>
      <c r="EY35" s="482"/>
      <c r="EZ35" s="482"/>
      <c r="FA35" s="482"/>
      <c r="FB35" s="482"/>
      <c r="FC35" s="482"/>
      <c r="FD35" s="482"/>
      <c r="FE35" s="482"/>
      <c r="FF35" s="482"/>
      <c r="FG35" s="482"/>
      <c r="FH35" s="482"/>
      <c r="FI35" s="482"/>
      <c r="FJ35" s="482"/>
      <c r="FK35" s="482"/>
      <c r="FL35" s="482"/>
      <c r="FM35" s="482"/>
      <c r="FN35" s="482"/>
      <c r="FO35" s="482"/>
      <c r="FP35" s="482"/>
      <c r="FQ35" s="482"/>
      <c r="FR35" s="482"/>
      <c r="FS35" s="482"/>
      <c r="FT35" s="482"/>
      <c r="FU35" s="482"/>
      <c r="FV35" s="482"/>
      <c r="FW35" s="482"/>
      <c r="FX35" s="482"/>
      <c r="FY35" s="482"/>
      <c r="FZ35" s="482"/>
      <c r="GA35" s="482"/>
      <c r="GB35" s="482"/>
      <c r="GC35" s="482"/>
      <c r="GD35" s="482"/>
      <c r="GE35" s="482"/>
      <c r="GF35" s="482"/>
      <c r="GG35" s="482"/>
      <c r="GH35" s="482"/>
      <c r="GI35" s="482"/>
      <c r="GJ35" s="482"/>
      <c r="GK35" s="482"/>
      <c r="GL35" s="482"/>
      <c r="GM35" s="482"/>
      <c r="GN35" s="482"/>
      <c r="GO35" s="482"/>
      <c r="GP35" s="482"/>
      <c r="GQ35" s="482"/>
      <c r="GR35" s="482"/>
      <c r="GS35" s="482"/>
      <c r="GT35" s="482"/>
      <c r="GU35" s="482"/>
      <c r="GV35" s="482"/>
      <c r="GW35" s="482"/>
      <c r="GX35" s="482"/>
      <c r="GY35" s="482"/>
      <c r="GZ35" s="482"/>
      <c r="HA35" s="482"/>
      <c r="HB35" s="482"/>
      <c r="HC35" s="482"/>
      <c r="HD35" s="482"/>
      <c r="HE35" s="482"/>
      <c r="HF35" s="482"/>
      <c r="HG35" s="482"/>
      <c r="HH35" s="482"/>
      <c r="HI35" s="482"/>
      <c r="HJ35" s="482"/>
      <c r="HK35" s="482"/>
      <c r="HL35" s="482"/>
      <c r="HM35" s="482"/>
      <c r="HN35" s="482"/>
      <c r="HO35" s="482"/>
      <c r="HP35" s="482"/>
      <c r="HQ35" s="482"/>
      <c r="HR35" s="482"/>
      <c r="HS35" s="482"/>
      <c r="HT35" s="482"/>
      <c r="HU35" s="482"/>
      <c r="HV35" s="482"/>
      <c r="HW35" s="482"/>
      <c r="HX35" s="482"/>
      <c r="HY35" s="482"/>
      <c r="HZ35" s="482"/>
      <c r="IA35" s="482"/>
      <c r="IB35" s="482"/>
      <c r="IC35" s="482"/>
      <c r="ID35" s="482"/>
      <c r="IE35" s="482"/>
      <c r="IF35" s="482"/>
      <c r="IG35" s="482"/>
      <c r="IH35" s="482"/>
      <c r="II35" s="482"/>
      <c r="IJ35" s="482"/>
      <c r="IK35" s="482"/>
      <c r="IL35" s="482"/>
      <c r="IM35" s="482"/>
      <c r="IN35" s="482"/>
      <c r="IO35" s="482"/>
      <c r="IP35" s="482"/>
      <c r="IQ35" s="482"/>
      <c r="IR35" s="482"/>
      <c r="IS35" s="482"/>
      <c r="IT35" s="482"/>
      <c r="IU35" s="482"/>
      <c r="IV35" s="482"/>
      <c r="IW35" s="482"/>
      <c r="IX35" s="482"/>
      <c r="IY35" s="482"/>
      <c r="IZ35" s="482"/>
      <c r="JA35" s="482"/>
      <c r="JB35" s="482"/>
      <c r="JC35" s="482"/>
      <c r="JD35" s="482"/>
      <c r="JE35" s="482"/>
      <c r="JF35" s="482"/>
      <c r="JG35" s="482"/>
      <c r="JH35" s="482"/>
      <c r="JI35" s="482"/>
      <c r="JJ35" s="482"/>
      <c r="JK35" s="482"/>
      <c r="JL35" s="482"/>
      <c r="JM35" s="482"/>
      <c r="JN35" s="482"/>
      <c r="JO35" s="482"/>
      <c r="JP35" s="482"/>
      <c r="JQ35" s="482"/>
      <c r="JR35" s="482"/>
      <c r="JS35" s="482"/>
      <c r="JT35" s="482"/>
      <c r="JU35" s="482"/>
      <c r="JV35" s="482"/>
      <c r="JW35" s="482"/>
      <c r="JX35" s="482"/>
      <c r="JY35" s="482"/>
      <c r="JZ35" s="482"/>
      <c r="KA35" s="482"/>
      <c r="KB35" s="482"/>
      <c r="KC35" s="482"/>
      <c r="KD35" s="482"/>
      <c r="KE35" s="482"/>
      <c r="KF35" s="482"/>
      <c r="KG35" s="482"/>
      <c r="KH35" s="482"/>
      <c r="KI35" s="482"/>
      <c r="KJ35" s="482"/>
      <c r="KK35" s="482"/>
      <c r="KL35" s="482"/>
      <c r="KM35" s="482"/>
      <c r="KN35" s="482"/>
      <c r="KO35" s="482"/>
      <c r="KP35" s="482"/>
      <c r="KQ35" s="482"/>
      <c r="KR35" s="482"/>
      <c r="KS35" s="482"/>
      <c r="KT35" s="482"/>
      <c r="KU35" s="482"/>
      <c r="KV35" s="482"/>
      <c r="KW35" s="482"/>
      <c r="KX35" s="482"/>
      <c r="KY35" s="482"/>
      <c r="KZ35" s="482"/>
      <c r="LA35" s="482"/>
      <c r="LB35" s="482"/>
      <c r="LC35" s="482"/>
      <c r="LD35" s="482"/>
      <c r="LE35" s="482"/>
      <c r="LF35" s="482"/>
      <c r="LG35" s="482"/>
      <c r="LH35" s="482"/>
      <c r="LI35" s="482"/>
      <c r="LJ35" s="482"/>
      <c r="LK35" s="482"/>
      <c r="LL35" s="482"/>
      <c r="LM35" s="482"/>
      <c r="LN35" s="482"/>
      <c r="LO35" s="482"/>
      <c r="LP35" s="482"/>
      <c r="LQ35" s="482"/>
      <c r="LR35" s="482"/>
      <c r="LS35" s="482"/>
      <c r="LT35" s="482"/>
      <c r="LU35" s="482"/>
      <c r="LV35" s="482"/>
      <c r="LW35" s="482"/>
      <c r="LX35" s="482"/>
      <c r="LY35" s="482"/>
      <c r="LZ35" s="482"/>
      <c r="MA35" s="482"/>
      <c r="MB35" s="482"/>
      <c r="MC35" s="482"/>
      <c r="MD35" s="482"/>
      <c r="ME35" s="482"/>
      <c r="MF35" s="482"/>
      <c r="MG35" s="482"/>
      <c r="MH35" s="482"/>
      <c r="MI35" s="482"/>
      <c r="MJ35" s="482"/>
      <c r="MK35" s="482"/>
      <c r="ML35" s="482"/>
      <c r="MM35" s="482"/>
      <c r="MN35" s="482"/>
      <c r="MO35" s="482"/>
      <c r="MP35" s="482"/>
      <c r="MQ35" s="482"/>
      <c r="MR35" s="482"/>
      <c r="MS35" s="482"/>
      <c r="MT35" s="482"/>
      <c r="MU35" s="482"/>
      <c r="MV35" s="482"/>
      <c r="MW35" s="482"/>
      <c r="MX35" s="482"/>
      <c r="MY35" s="482"/>
      <c r="MZ35" s="482"/>
      <c r="NA35" s="482"/>
      <c r="NB35" s="482"/>
      <c r="NC35" s="482"/>
      <c r="ND35" s="482"/>
      <c r="NE35" s="482"/>
      <c r="NF35" s="482"/>
      <c r="NG35" s="482"/>
      <c r="NH35" s="482"/>
      <c r="NI35" s="482"/>
      <c r="NJ35" s="483"/>
      <c r="NK35" s="34"/>
      <c r="NM35" s="379" t="str">
        <f>NM34&amp;".b"</f>
        <v>133764.b</v>
      </c>
      <c r="NN35" s="376" cm="1">
        <f t="array" aca="1" ref="NN35" ca="1">IF(xcomp(INDIRECT((ADDRESS(ROW(NN34),$I$11+(MATCH(NN$11,L.DATE,0))))&amp;":"&amp;(ADDRESS(ROW(NN34),$I$11+NO$11+(MATCH(NN$11,L.DATE,0))-1))),L.ABSP)=0,"",
xsom(INDIRECT((ADDRESS(ROW(NN34),$I$11+(MATCH(NN$11,L.DATE,0))))&amp;":"&amp;(ADDRESS(ROW(NN34),$I$11+NO$11+(MATCH(NN$11,L.DATE,0))-1))),L.ABSP,
INDIRECT((ADDRESS(ROW(NN34)+1,$I$11+(MATCH(NN$11,L.DATE,0))))&amp;":"&amp;(ADDRESS(ROW(NN34)+1,$I$11+NO$11+(MATCH(NN$11,L.DATE,0))-1)))))</f>
        <v>17</v>
      </c>
      <c r="NO35" s="377" t="str" cm="1">
        <f t="array" aca="1" ref="NO35" ca="1">IF(xcomp(INDIRECT((ADDRESS(ROW(NO34),$I$11+(MATCH(NN$11,L.DATE,0))))&amp;":"&amp;(ADDRESS(ROW(NO34),$I$11+NO$11+(MATCH(NN$11,L.DATE,0))-1))),L.ABS.NP)=0,"",
xsom(INDIRECT((ADDRESS(ROW(NO34),$I$11+(MATCH(NN$11,L.DATE,0))))&amp;":"&amp;(ADDRESS(ROW(NO34),$I$11+NO$11+(MATCH(NN$11,L.DATE,0))-1))),L.ABS.NP,
INDIRECT((ADDRESS(ROW(NO34)+1,$I$11+(MATCH(NN$11,L.DATE,0))))&amp;":"&amp;(ADDRESS(ROW(NO34)+1,$I$11+NO$11+(MATCH(NN$11,L.DATE,0))-1)))))</f>
        <v/>
      </c>
      <c r="NP35" s="376" cm="1">
        <f t="array" aca="1" ref="NP35" ca="1">IF(xcomp(INDIRECT((ADDRESS(ROW(NP34),$I$11+(MATCH(NP$11,L.DATE,0))))&amp;":"&amp;(ADDRESS(ROW(NP34),$I$11+NQ$11+(MATCH(NP$11,L.DATE,0))-1))),L.ABSP)=0,"",
xsom(INDIRECT((ADDRESS(ROW(NP34),$I$11+(MATCH(NP$11,L.DATE,0))))&amp;":"&amp;(ADDRESS(ROW(NP34),$I$11+NQ$11+(MATCH(NP$11,L.DATE,0))-1))),L.ABSP,
INDIRECT((ADDRESS(ROW(NP34)+1,$I$11+(MATCH(NP$11,L.DATE,0))))&amp;":"&amp;(ADDRESS(ROW(NP34)+1,$I$11+NQ$11+(MATCH(NP$11,L.DATE,0))-1)))))</f>
        <v>20</v>
      </c>
      <c r="NQ35" s="377" t="str" cm="1">
        <f t="array" aca="1" ref="NQ35" ca="1">IF(xcomp(INDIRECT((ADDRESS(ROW(NQ34),$I$11+(MATCH(NP$11,L.DATE,0))))&amp;":"&amp;(ADDRESS(ROW(NQ34),$I$11+NQ$11+(MATCH(NP$11,L.DATE,0))-1))),L.ABS.NP)=0,"",
xsom(INDIRECT((ADDRESS(ROW(NQ34),$I$11+(MATCH(NP$11,L.DATE,0))))&amp;":"&amp;(ADDRESS(ROW(NQ34),$I$11+NQ$11+(MATCH(NP$11,L.DATE,0))-1))),L.ABS.NP,
INDIRECT((ADDRESS(ROW(NQ34)+1,$I$11+(MATCH(NP$11,L.DATE,0))))&amp;":"&amp;(ADDRESS(ROW(NQ34)+1,$I$11+NQ$11+(MATCH(NP$11,L.DATE,0))-1)))))</f>
        <v/>
      </c>
      <c r="NR35" s="376" cm="1">
        <f t="array" aca="1" ref="NR35" ca="1">IF(xcomp(INDIRECT((ADDRESS(ROW(NR34),$I$11+(MATCH(NR$11,L.DATE,0))))&amp;":"&amp;(ADDRESS(ROW(NR34),$I$11+NS$11+(MATCH(NR$11,L.DATE,0))-1))),L.ABSP)=0,"",
xsom(INDIRECT((ADDRESS(ROW(NR34),$I$11+(MATCH(NR$11,L.DATE,0))))&amp;":"&amp;(ADDRESS(ROW(NR34),$I$11+NS$11+(MATCH(NR$11,L.DATE,0))-1))),L.ABSP,
INDIRECT((ADDRESS(ROW(NR34)+1,$I$11+(MATCH(NR$11,L.DATE,0))))&amp;":"&amp;(ADDRESS(ROW(NR34)+1,$I$11+NS$11+(MATCH(NR$11,L.DATE,0))-1)))))</f>
        <v>23</v>
      </c>
      <c r="NS35" s="377" t="str" cm="1">
        <f t="array" aca="1" ref="NS35" ca="1">IF(xcomp(INDIRECT((ADDRESS(ROW(NS34),$I$11+(MATCH(NR$11,L.DATE,0))))&amp;":"&amp;(ADDRESS(ROW(NS34),$I$11+NS$11+(MATCH(NR$11,L.DATE,0))-1))),L.ABS.NP)=0,"",
xsom(INDIRECT((ADDRESS(ROW(NS34),$I$11+(MATCH(NR$11,L.DATE,0))))&amp;":"&amp;(ADDRESS(ROW(NS34),$I$11+NS$11+(MATCH(NR$11,L.DATE,0))-1))),L.ABS.NP,
INDIRECT((ADDRESS(ROW(NS34)+1,$I$11+(MATCH(NR$11,L.DATE,0))))&amp;":"&amp;(ADDRESS(ROW(NS34)+1,$I$11+NS$11+(MATCH(NR$11,L.DATE,0))-1)))))</f>
        <v/>
      </c>
      <c r="NT35" s="376" t="str" cm="1">
        <f t="array" aca="1" ref="NT35" ca="1">IF(xcomp(INDIRECT((ADDRESS(ROW(NT34),$I$11+(MATCH(NT$11,L.DATE,0))))&amp;":"&amp;(ADDRESS(ROW(NT34),$I$11+NU$11+(MATCH(NT$11,L.DATE,0))-1))),L.ABSP)=0,"",
xsom(INDIRECT((ADDRESS(ROW(NT34),$I$11+(MATCH(NT$11,L.DATE,0))))&amp;":"&amp;(ADDRESS(ROW(NT34),$I$11+NU$11+(MATCH(NT$11,L.DATE,0))-1))),L.ABSP,
INDIRECT((ADDRESS(ROW(NT34)+1,$I$11+(MATCH(NT$11,L.DATE,0))))&amp;":"&amp;(ADDRESS(ROW(NT34)+1,$I$11+NU$11+(MATCH(NT$11,L.DATE,0))-1)))))</f>
        <v/>
      </c>
      <c r="NU35" s="377" t="str" cm="1">
        <f t="array" aca="1" ref="NU35" ca="1">IF(xcomp(INDIRECT((ADDRESS(ROW(NU34),$I$11+(MATCH(NT$11,L.DATE,0))))&amp;":"&amp;(ADDRESS(ROW(NU34),$I$11+NU$11+(MATCH(NT$11,L.DATE,0))-1))),L.ABS.NP)=0,"",
xsom(INDIRECT((ADDRESS(ROW(NU34),$I$11+(MATCH(NT$11,L.DATE,0))))&amp;":"&amp;(ADDRESS(ROW(NU34),$I$11+NU$11+(MATCH(NT$11,L.DATE,0))-1))),L.ABS.NP,
INDIRECT((ADDRESS(ROW(NU34)+1,$I$11+(MATCH(NT$11,L.DATE,0))))&amp;":"&amp;(ADDRESS(ROW(NU34)+1,$I$11+NU$11+(MATCH(NT$11,L.DATE,0))-1)))))</f>
        <v/>
      </c>
      <c r="NV35" s="376" t="str" cm="1">
        <f t="array" aca="1" ref="NV35" ca="1">IF(xcomp(INDIRECT((ADDRESS(ROW(NV34),$I$11+(MATCH(NV$11,L.DATE,0))))&amp;":"&amp;(ADDRESS(ROW(NV34),$I$11+NW$11+(MATCH(NV$11,L.DATE,0))-1))),L.ABSP)=0,"",
xsom(INDIRECT((ADDRESS(ROW(NV34),$I$11+(MATCH(NV$11,L.DATE,0))))&amp;":"&amp;(ADDRESS(ROW(NV34),$I$11+NW$11+(MATCH(NV$11,L.DATE,0))-1))),L.ABSP,
INDIRECT((ADDRESS(ROW(NV34)+1,$I$11+(MATCH(NV$11,L.DATE,0))))&amp;":"&amp;(ADDRESS(ROW(NV34)+1,$I$11+NW$11+(MATCH(NV$11,L.DATE,0))-1)))))</f>
        <v/>
      </c>
      <c r="NW35" s="377" t="str" cm="1">
        <f t="array" aca="1" ref="NW35" ca="1">IF(xcomp(INDIRECT((ADDRESS(ROW(NW34),$I$11+(MATCH(NV$11,L.DATE,0))))&amp;":"&amp;(ADDRESS(ROW(NW34),$I$11+NW$11+(MATCH(NV$11,L.DATE,0))-1))),L.ABS.NP)=0,"",
xsom(INDIRECT((ADDRESS(ROW(NW34),$I$11+(MATCH(NV$11,L.DATE,0))))&amp;":"&amp;(ADDRESS(ROW(NW34),$I$11+NW$11+(MATCH(NV$11,L.DATE,0))-1))),L.ABS.NP,
INDIRECT((ADDRESS(ROW(NW34)+1,$I$11+(MATCH(NV$11,L.DATE,0))))&amp;":"&amp;(ADDRESS(ROW(NW34)+1,$I$11+NW$11+(MATCH(NV$11,L.DATE,0))-1)))))</f>
        <v/>
      </c>
      <c r="NX35" s="376" t="str" cm="1">
        <f t="array" aca="1" ref="NX35" ca="1">IF(xcomp(INDIRECT((ADDRESS(ROW(NX34),$I$11+(MATCH(NX$11,L.DATE,0))))&amp;":"&amp;(ADDRESS(ROW(NX34),$I$11+NY$11+(MATCH(NX$11,L.DATE,0))-1))),L.ABSP)=0,"",
xsom(INDIRECT((ADDRESS(ROW(NX34),$I$11+(MATCH(NX$11,L.DATE,0))))&amp;":"&amp;(ADDRESS(ROW(NX34),$I$11+NY$11+(MATCH(NX$11,L.DATE,0))-1))),L.ABSP,
INDIRECT((ADDRESS(ROW(NX34)+1,$I$11+(MATCH(NX$11,L.DATE,0))))&amp;":"&amp;(ADDRESS(ROW(NX34)+1,$I$11+NY$11+(MATCH(NX$11,L.DATE,0))-1)))))</f>
        <v/>
      </c>
      <c r="NY35" s="377" t="str" cm="1">
        <f t="array" aca="1" ref="NY35" ca="1">IF(xcomp(INDIRECT((ADDRESS(ROW(NY34),$I$11+(MATCH(NX$11,L.DATE,0))))&amp;":"&amp;(ADDRESS(ROW(NY34),$I$11+NY$11+(MATCH(NX$11,L.DATE,0))-1))),L.ABS.NP)=0,"",
xsom(INDIRECT((ADDRESS(ROW(NY34),$I$11+(MATCH(NX$11,L.DATE,0))))&amp;":"&amp;(ADDRESS(ROW(NY34),$I$11+NY$11+(MATCH(NX$11,L.DATE,0))-1))),L.ABS.NP,
INDIRECT((ADDRESS(ROW(NY34)+1,$I$11+(MATCH(NX$11,L.DATE,0))))&amp;":"&amp;(ADDRESS(ROW(NY34)+1,$I$11+NY$11+(MATCH(NX$11,L.DATE,0))-1)))))</f>
        <v/>
      </c>
      <c r="NZ35" s="376" t="str" cm="1">
        <f t="array" aca="1" ref="NZ35" ca="1">IF(xcomp(INDIRECT((ADDRESS(ROW(NZ34),$I$11+(MATCH(NZ$11,L.DATE,0))))&amp;":"&amp;(ADDRESS(ROW(NZ34),$I$11+OA$11+(MATCH(NZ$11,L.DATE,0))-1))),L.ABSP)=0,"",
xsom(INDIRECT((ADDRESS(ROW(NZ34),$I$11+(MATCH(NZ$11,L.DATE,0))))&amp;":"&amp;(ADDRESS(ROW(NZ34),$I$11+OA$11+(MATCH(NZ$11,L.DATE,0))-1))),L.ABSP,
INDIRECT((ADDRESS(ROW(NZ34)+1,$I$11+(MATCH(NZ$11,L.DATE,0))))&amp;":"&amp;(ADDRESS(ROW(NZ34)+1,$I$11+OA$11+(MATCH(NZ$11,L.DATE,0))-1)))))</f>
        <v/>
      </c>
      <c r="OA35" s="377" t="str" cm="1">
        <f t="array" aca="1" ref="OA35" ca="1">IF(xcomp(INDIRECT((ADDRESS(ROW(OA34),$I$11+(MATCH(NZ$11,L.DATE,0))))&amp;":"&amp;(ADDRESS(ROW(OA34),$I$11+OA$11+(MATCH(NZ$11,L.DATE,0))-1))),L.ABS.NP)=0,"",
xsom(INDIRECT((ADDRESS(ROW(OA34),$I$11+(MATCH(NZ$11,L.DATE,0))))&amp;":"&amp;(ADDRESS(ROW(OA34),$I$11+OA$11+(MATCH(NZ$11,L.DATE,0))-1))),L.ABS.NP,
INDIRECT((ADDRESS(ROW(OA34)+1,$I$11+(MATCH(NZ$11,L.DATE,0))))&amp;":"&amp;(ADDRESS(ROW(OA34)+1,$I$11+OA$11+(MATCH(NZ$11,L.DATE,0))-1)))))</f>
        <v/>
      </c>
      <c r="OB35" s="376" t="str" cm="1">
        <f t="array" aca="1" ref="OB35" ca="1">IF(xcomp(INDIRECT((ADDRESS(ROW(OB34),$I$11+(MATCH(OB$11,L.DATE,0))))&amp;":"&amp;(ADDRESS(ROW(OB34),$I$11+OC$11+(MATCH(OB$11,L.DATE,0))-1))),L.ABSP)=0,"",
xsom(INDIRECT((ADDRESS(ROW(OB34),$I$11+(MATCH(OB$11,L.DATE,0))))&amp;":"&amp;(ADDRESS(ROW(OB34),$I$11+OC$11+(MATCH(OB$11,L.DATE,0))-1))),L.ABSP,
INDIRECT((ADDRESS(ROW(OB34)+1,$I$11+(MATCH(OB$11,L.DATE,0))))&amp;":"&amp;(ADDRESS(ROW(OB34)+1,$I$11+OC$11+(MATCH(OB$11,L.DATE,0))-1)))))</f>
        <v/>
      </c>
      <c r="OC35" s="377" t="str" cm="1">
        <f t="array" aca="1" ref="OC35" ca="1">IF(xcomp(INDIRECT((ADDRESS(ROW(OC34),$I$11+(MATCH(OB$11,L.DATE,0))))&amp;":"&amp;(ADDRESS(ROW(OC34),$I$11+OC$11+(MATCH(OB$11,L.DATE,0))-1))),L.ABS.NP)=0,"",
xsom(INDIRECT((ADDRESS(ROW(OC34),$I$11+(MATCH(OB$11,L.DATE,0))))&amp;":"&amp;(ADDRESS(ROW(OC34),$I$11+OC$11+(MATCH(OB$11,L.DATE,0))-1))),L.ABS.NP,
INDIRECT((ADDRESS(ROW(OC34)+1,$I$11+(MATCH(OB$11,L.DATE,0))))&amp;":"&amp;(ADDRESS(ROW(OC34)+1,$I$11+OC$11+(MATCH(OB$11,L.DATE,0))-1)))))</f>
        <v/>
      </c>
      <c r="OD35" s="376" t="str" cm="1">
        <f t="array" aca="1" ref="OD35" ca="1">IF(xcomp(INDIRECT((ADDRESS(ROW(OD34),$I$11+(MATCH(OD$11,L.DATE,0))))&amp;":"&amp;(ADDRESS(ROW(OD34),$I$11+OE$11+(MATCH(OD$11,L.DATE,0))-1))),L.ABSP)=0,"",
xsom(INDIRECT((ADDRESS(ROW(OD34),$I$11+(MATCH(OD$11,L.DATE,0))))&amp;":"&amp;(ADDRESS(ROW(OD34),$I$11+OE$11+(MATCH(OD$11,L.DATE,0))-1))),L.ABSP,
INDIRECT((ADDRESS(ROW(OD34)+1,$I$11+(MATCH(OD$11,L.DATE,0))))&amp;":"&amp;(ADDRESS(ROW(OD34)+1,$I$11+OE$11+(MATCH(OD$11,L.DATE,0))-1)))))</f>
        <v/>
      </c>
      <c r="OE35" s="377" t="str" cm="1">
        <f t="array" aca="1" ref="OE35" ca="1">IF(xcomp(INDIRECT((ADDRESS(ROW(OE34),$I$11+(MATCH(OD$11,L.DATE,0))))&amp;":"&amp;(ADDRESS(ROW(OE34),$I$11+OE$11+(MATCH(OD$11,L.DATE,0))-1))),L.ABS.NP)=0,"",
xsom(INDIRECT((ADDRESS(ROW(OE34),$I$11+(MATCH(OD$11,L.DATE,0))))&amp;":"&amp;(ADDRESS(ROW(OE34),$I$11+OE$11+(MATCH(OD$11,L.DATE,0))-1))),L.ABS.NP,
INDIRECT((ADDRESS(ROW(OE34)+1,$I$11+(MATCH(OD$11,L.DATE,0))))&amp;":"&amp;(ADDRESS(ROW(OE34)+1,$I$11+OE$11+(MATCH(OD$11,L.DATE,0))-1)))))</f>
        <v/>
      </c>
      <c r="OF35" s="376" t="str" cm="1">
        <f t="array" aca="1" ref="OF35" ca="1">IF(xcomp(INDIRECT((ADDRESS(ROW(OF34),$I$11+(MATCH(OF$11,L.DATE,0))))&amp;":"&amp;(ADDRESS(ROW(OF34),$I$11+OG$11+(MATCH(OF$11,L.DATE,0))-1))),L.ABSP)=0,"",
xsom(INDIRECT((ADDRESS(ROW(OF34),$I$11+(MATCH(OF$11,L.DATE,0))))&amp;":"&amp;(ADDRESS(ROW(OF34),$I$11+OG$11+(MATCH(OF$11,L.DATE,0))-1))),L.ABSP,
INDIRECT((ADDRESS(ROW(OF34)+1,$I$11+(MATCH(OF$11,L.DATE,0))))&amp;":"&amp;(ADDRESS(ROW(OF34)+1,$I$11+OG$11+(MATCH(OF$11,L.DATE,0))-1)))))</f>
        <v/>
      </c>
      <c r="OG35" s="377" t="str" cm="1">
        <f t="array" aca="1" ref="OG35" ca="1">IF(xcomp(INDIRECT((ADDRESS(ROW(OG34),$I$11+(MATCH(OF$11,L.DATE,0))))&amp;":"&amp;(ADDRESS(ROW(OG34),$I$11+OG$11+(MATCH(OF$11,L.DATE,0))-1))),L.ABS.NP)=0,"",
xsom(INDIRECT((ADDRESS(ROW(OG34),$I$11+(MATCH(OF$11,L.DATE,0))))&amp;":"&amp;(ADDRESS(ROW(OG34),$I$11+OG$11+(MATCH(OF$11,L.DATE,0))-1))),L.ABS.NP,
INDIRECT((ADDRESS(ROW(OG34)+1,$I$11+(MATCH(OF$11,L.DATE,0))))&amp;":"&amp;(ADDRESS(ROW(OG34)+1,$I$11+OG$11+(MATCH(OF$11,L.DATE,0))-1)))))</f>
        <v/>
      </c>
      <c r="OH35" s="376" t="str" cm="1">
        <f t="array" aca="1" ref="OH35" ca="1">IF(xcomp(INDIRECT((ADDRESS(ROW(OH34),$I$11+(MATCH(OH$11,L.DATE,0))))&amp;":"&amp;(ADDRESS(ROW(OH34),$I$11+OI$11+(MATCH(OH$11,L.DATE,0))-1))),L.ABSP)=0,"",
xsom(INDIRECT((ADDRESS(ROW(OH34),$I$11+(MATCH(OH$11,L.DATE,0))))&amp;":"&amp;(ADDRESS(ROW(OH34),$I$11+OI$11+(MATCH(OH$11,L.DATE,0))-1))),L.ABSP,
INDIRECT((ADDRESS(ROW(OH34)+1,$I$11+(MATCH(OH$11,L.DATE,0))))&amp;":"&amp;(ADDRESS(ROW(OH34)+1,$I$11+OI$11+(MATCH(OH$11,L.DATE,0))-1)))))</f>
        <v/>
      </c>
      <c r="OI35" s="377" t="str" cm="1">
        <f t="array" aca="1" ref="OI35" ca="1">IF(xcomp(INDIRECT((ADDRESS(ROW(OI34),$I$11+(MATCH(OH$11,L.DATE,0))))&amp;":"&amp;(ADDRESS(ROW(OI34),$I$11+OI$11+(MATCH(OH$11,L.DATE,0))-1))),L.ABS.NP)=0,"",
xsom(INDIRECT((ADDRESS(ROW(OI34),$I$11+(MATCH(OH$11,L.DATE,0))))&amp;":"&amp;(ADDRESS(ROW(OI34),$I$11+OI$11+(MATCH(OH$11,L.DATE,0))-1))),L.ABS.NP,
INDIRECT((ADDRESS(ROW(OI34)+1,$I$11+(MATCH(OH$11,L.DATE,0))))&amp;":"&amp;(ADDRESS(ROW(OI34)+1,$I$11+OI$11+(MATCH(OH$11,L.DATE,0))-1)))))</f>
        <v/>
      </c>
      <c r="OJ35" s="376" t="str" cm="1">
        <f t="array" aca="1" ref="OJ35" ca="1">IF(xcomp(INDIRECT((ADDRESS(ROW(OJ34),$I$11+(MATCH(OJ$11,L.DATE,0))))&amp;":"&amp;(ADDRESS(ROW(OJ34),$I$11+OK$11+(MATCH(OJ$11,L.DATE,0))-1))),L.ABSP)=0,"",
xsom(INDIRECT((ADDRESS(ROW(OJ34),$I$11+(MATCH(OJ$11,L.DATE,0))))&amp;":"&amp;(ADDRESS(ROW(OJ34),$I$11+OK$11+(MATCH(OJ$11,L.DATE,0))-1))),L.ABSP,
INDIRECT((ADDRESS(ROW(OJ34)+1,$I$11+(MATCH(OJ$11,L.DATE,0))))&amp;":"&amp;(ADDRESS(ROW(OJ34)+1,$I$11+OK$11+(MATCH(OJ$11,L.DATE,0))-1)))))</f>
        <v/>
      </c>
      <c r="OK35" s="378" t="str" cm="1">
        <f t="array" aca="1" ref="OK35" ca="1">IF(xcomp(INDIRECT((ADDRESS(ROW(OK34),$I$11+(MATCH(OJ$11,L.DATE,0))))&amp;":"&amp;(ADDRESS(ROW(OK34),$I$11+OK$11+(MATCH(OJ$11,L.DATE,0))-1))),L.ABS.NP)=0,"",
xsom(INDIRECT((ADDRESS(ROW(OK34),$I$11+(MATCH(OJ$11,L.DATE,0))))&amp;":"&amp;(ADDRESS(ROW(OK34),$I$11+OK$11+(MATCH(OJ$11,L.DATE,0))-1))),L.ABS.NP,
INDIRECT((ADDRESS(ROW(OK34)+1,$I$11+(MATCH(OJ$11,L.DATE,0))))&amp;":"&amp;(ADDRESS(ROW(OK34)+1,$I$11+OK$11+(MATCH(OJ$11,L.DATE,0))-1)))))</f>
        <v/>
      </c>
    </row>
    <row r="36" spans="1:404" ht="12" customHeight="1" x14ac:dyDescent="0.3">
      <c r="A36" s="394">
        <v>134581</v>
      </c>
      <c r="B36" s="381" t="s">
        <v>501</v>
      </c>
      <c r="C36" s="53">
        <v>1</v>
      </c>
      <c r="D36" s="53" t="s">
        <v>33</v>
      </c>
      <c r="E36" s="53" t="s">
        <v>484</v>
      </c>
      <c r="F36" s="53" t="s">
        <v>13</v>
      </c>
      <c r="G36" s="104" t="s">
        <v>498</v>
      </c>
      <c r="H36" s="108">
        <v>1</v>
      </c>
      <c r="I36" s="28"/>
      <c r="J36" s="482"/>
      <c r="K36" s="487"/>
      <c r="L36" s="486"/>
      <c r="M36" s="482"/>
      <c r="N36" s="482"/>
      <c r="O36" s="482"/>
      <c r="P36" s="482"/>
      <c r="Q36" s="482"/>
      <c r="R36" s="484" t="s">
        <v>27</v>
      </c>
      <c r="S36" s="484" t="s">
        <v>27</v>
      </c>
      <c r="T36" s="484" t="s">
        <v>27</v>
      </c>
      <c r="U36" s="484" t="s">
        <v>27</v>
      </c>
      <c r="V36" s="484" t="s">
        <v>27</v>
      </c>
      <c r="W36" s="482"/>
      <c r="X36" s="482"/>
      <c r="Y36" s="484" t="s">
        <v>27</v>
      </c>
      <c r="Z36" s="484" t="s">
        <v>27</v>
      </c>
      <c r="AA36" s="484" t="s">
        <v>27</v>
      </c>
      <c r="AB36" s="484" t="s">
        <v>27</v>
      </c>
      <c r="AC36" s="484" t="s">
        <v>27</v>
      </c>
      <c r="AD36" s="482"/>
      <c r="AE36" s="482"/>
      <c r="AF36" s="484" t="s">
        <v>27</v>
      </c>
      <c r="AG36" s="484" t="s">
        <v>27</v>
      </c>
      <c r="AH36" s="484" t="s">
        <v>27</v>
      </c>
      <c r="AI36" s="484" t="s">
        <v>27</v>
      </c>
      <c r="AJ36" s="484" t="s">
        <v>27</v>
      </c>
      <c r="AK36" s="482"/>
      <c r="AL36" s="482"/>
      <c r="AM36" s="484" t="s">
        <v>27</v>
      </c>
      <c r="AN36" s="484" t="s">
        <v>27</v>
      </c>
      <c r="AO36" s="484" t="s">
        <v>27</v>
      </c>
      <c r="AP36" s="484" t="s">
        <v>27</v>
      </c>
      <c r="AQ36" s="484" t="s">
        <v>27</v>
      </c>
      <c r="AR36" s="482"/>
      <c r="AS36" s="482"/>
      <c r="AT36" s="484" t="s">
        <v>27</v>
      </c>
      <c r="AU36" s="484" t="s">
        <v>27</v>
      </c>
      <c r="AV36" s="484" t="s">
        <v>27</v>
      </c>
      <c r="AW36" s="484" t="s">
        <v>27</v>
      </c>
      <c r="AX36" s="484" t="s">
        <v>27</v>
      </c>
      <c r="AY36" s="482"/>
      <c r="AZ36" s="482"/>
      <c r="BA36" s="484" t="s">
        <v>27</v>
      </c>
      <c r="BB36" s="484" t="s">
        <v>27</v>
      </c>
      <c r="BC36" s="484" t="s">
        <v>27</v>
      </c>
      <c r="BD36" s="484" t="s">
        <v>27</v>
      </c>
      <c r="BE36" s="484" t="s">
        <v>27</v>
      </c>
      <c r="BF36" s="482"/>
      <c r="BG36" s="482"/>
      <c r="BH36" s="484" t="s">
        <v>27</v>
      </c>
      <c r="BI36" s="484" t="s">
        <v>27</v>
      </c>
      <c r="BJ36" s="484" t="s">
        <v>27</v>
      </c>
      <c r="BK36" s="484" t="s">
        <v>27</v>
      </c>
      <c r="BL36" s="484" t="s">
        <v>27</v>
      </c>
      <c r="BM36" s="482"/>
      <c r="BN36" s="482"/>
      <c r="BO36" s="484" t="s">
        <v>27</v>
      </c>
      <c r="BP36" s="484" t="s">
        <v>27</v>
      </c>
      <c r="BQ36" s="484" t="s">
        <v>27</v>
      </c>
      <c r="BR36" s="484" t="s">
        <v>27</v>
      </c>
      <c r="BS36" s="484" t="s">
        <v>27</v>
      </c>
      <c r="BT36" s="482"/>
      <c r="BU36" s="482"/>
      <c r="BV36" s="484" t="s">
        <v>27</v>
      </c>
      <c r="BW36" s="484" t="s">
        <v>27</v>
      </c>
      <c r="BX36" s="484" t="s">
        <v>27</v>
      </c>
      <c r="BY36" s="484" t="s">
        <v>27</v>
      </c>
      <c r="BZ36" s="484" t="s">
        <v>27</v>
      </c>
      <c r="CA36" s="482"/>
      <c r="CB36" s="482"/>
      <c r="CC36" s="484" t="s">
        <v>27</v>
      </c>
      <c r="CD36" s="484" t="s">
        <v>27</v>
      </c>
      <c r="CE36" s="484" t="s">
        <v>27</v>
      </c>
      <c r="CF36" s="484" t="s">
        <v>27</v>
      </c>
      <c r="CG36" s="484" t="s">
        <v>27</v>
      </c>
      <c r="CH36" s="482"/>
      <c r="CI36" s="482"/>
      <c r="CJ36" s="484" t="s">
        <v>27</v>
      </c>
      <c r="CK36" s="484" t="s">
        <v>27</v>
      </c>
      <c r="CL36" s="484" t="s">
        <v>27</v>
      </c>
      <c r="CM36" s="484" t="s">
        <v>27</v>
      </c>
      <c r="CN36" s="484" t="s">
        <v>27</v>
      </c>
      <c r="CO36" s="482"/>
      <c r="CP36" s="482"/>
      <c r="CQ36" s="484" t="s">
        <v>27</v>
      </c>
      <c r="CR36" s="484" t="s">
        <v>27</v>
      </c>
      <c r="CS36" s="484" t="s">
        <v>27</v>
      </c>
      <c r="CT36" s="484" t="s">
        <v>27</v>
      </c>
      <c r="CU36" s="484" t="s">
        <v>27</v>
      </c>
      <c r="CV36" s="482"/>
      <c r="CW36" s="482"/>
      <c r="CX36" s="482"/>
      <c r="CY36" s="482"/>
      <c r="CZ36" s="482"/>
      <c r="DA36" s="482"/>
      <c r="DB36" s="482"/>
      <c r="DC36" s="482"/>
      <c r="DD36" s="482"/>
      <c r="DE36" s="482"/>
      <c r="DF36" s="482"/>
      <c r="DG36" s="482"/>
      <c r="DH36" s="482"/>
      <c r="DI36" s="482"/>
      <c r="DJ36" s="482"/>
      <c r="DK36" s="482"/>
      <c r="DL36" s="482"/>
      <c r="DM36" s="482"/>
      <c r="DN36" s="482"/>
      <c r="DO36" s="482"/>
      <c r="DP36" s="482"/>
      <c r="DQ36" s="482"/>
      <c r="DR36" s="482"/>
      <c r="DS36" s="482"/>
      <c r="DT36" s="482"/>
      <c r="DU36" s="482"/>
      <c r="DV36" s="482"/>
      <c r="DW36" s="482"/>
      <c r="DX36" s="482"/>
      <c r="DY36" s="482"/>
      <c r="DZ36" s="482"/>
      <c r="EA36" s="482"/>
      <c r="EB36" s="482"/>
      <c r="EC36" s="482"/>
      <c r="ED36" s="482"/>
      <c r="EE36" s="482"/>
      <c r="EF36" s="482"/>
      <c r="EG36" s="482"/>
      <c r="EH36" s="482"/>
      <c r="EI36" s="482"/>
      <c r="EJ36" s="482"/>
      <c r="EK36" s="482"/>
      <c r="EL36" s="482"/>
      <c r="EM36" s="482"/>
      <c r="EN36" s="482"/>
      <c r="EO36" s="482"/>
      <c r="EP36" s="482"/>
      <c r="EQ36" s="482"/>
      <c r="ER36" s="482"/>
      <c r="ES36" s="482"/>
      <c r="ET36" s="482"/>
      <c r="EU36" s="482"/>
      <c r="EV36" s="482"/>
      <c r="EW36" s="482"/>
      <c r="EX36" s="482"/>
      <c r="EY36" s="482"/>
      <c r="EZ36" s="482"/>
      <c r="FA36" s="482"/>
      <c r="FB36" s="482"/>
      <c r="FC36" s="482"/>
      <c r="FD36" s="482"/>
      <c r="FE36" s="482"/>
      <c r="FF36" s="482"/>
      <c r="FG36" s="482"/>
      <c r="FH36" s="482"/>
      <c r="FI36" s="482"/>
      <c r="FJ36" s="482"/>
      <c r="FK36" s="482"/>
      <c r="FL36" s="482"/>
      <c r="FM36" s="482"/>
      <c r="FN36" s="482"/>
      <c r="FO36" s="482"/>
      <c r="FP36" s="482"/>
      <c r="FQ36" s="482"/>
      <c r="FR36" s="482"/>
      <c r="FS36" s="482"/>
      <c r="FT36" s="482"/>
      <c r="FU36" s="482"/>
      <c r="FV36" s="482"/>
      <c r="FW36" s="482"/>
      <c r="FX36" s="482"/>
      <c r="FY36" s="482"/>
      <c r="FZ36" s="482"/>
      <c r="GA36" s="482"/>
      <c r="GB36" s="482"/>
      <c r="GC36" s="482"/>
      <c r="GD36" s="482"/>
      <c r="GE36" s="482"/>
      <c r="GF36" s="482"/>
      <c r="GG36" s="482"/>
      <c r="GH36" s="482"/>
      <c r="GI36" s="482"/>
      <c r="GJ36" s="482"/>
      <c r="GK36" s="482"/>
      <c r="GL36" s="482"/>
      <c r="GM36" s="482"/>
      <c r="GN36" s="482"/>
      <c r="GO36" s="482"/>
      <c r="GP36" s="482"/>
      <c r="GQ36" s="482"/>
      <c r="GR36" s="482"/>
      <c r="GS36" s="482"/>
      <c r="GT36" s="482"/>
      <c r="GU36" s="482"/>
      <c r="GV36" s="482"/>
      <c r="GW36" s="482"/>
      <c r="GX36" s="482"/>
      <c r="GY36" s="482"/>
      <c r="GZ36" s="482"/>
      <c r="HA36" s="482"/>
      <c r="HB36" s="482"/>
      <c r="HC36" s="482"/>
      <c r="HD36" s="482"/>
      <c r="HE36" s="482"/>
      <c r="HF36" s="482"/>
      <c r="HG36" s="482"/>
      <c r="HH36" s="482"/>
      <c r="HI36" s="482"/>
      <c r="HJ36" s="482"/>
      <c r="HK36" s="482"/>
      <c r="HL36" s="482"/>
      <c r="HM36" s="482"/>
      <c r="HN36" s="482"/>
      <c r="HO36" s="482"/>
      <c r="HP36" s="482"/>
      <c r="HQ36" s="482"/>
      <c r="HR36" s="482"/>
      <c r="HS36" s="482"/>
      <c r="HT36" s="482"/>
      <c r="HU36" s="482"/>
      <c r="HV36" s="482"/>
      <c r="HW36" s="482"/>
      <c r="HX36" s="482"/>
      <c r="HY36" s="482"/>
      <c r="HZ36" s="482"/>
      <c r="IA36" s="482"/>
      <c r="IB36" s="482"/>
      <c r="IC36" s="482"/>
      <c r="ID36" s="482"/>
      <c r="IE36" s="482"/>
      <c r="IF36" s="482"/>
      <c r="IG36" s="482"/>
      <c r="IH36" s="482"/>
      <c r="II36" s="482"/>
      <c r="IJ36" s="482"/>
      <c r="IK36" s="482"/>
      <c r="IL36" s="482"/>
      <c r="IM36" s="482"/>
      <c r="IN36" s="482"/>
      <c r="IO36" s="482"/>
      <c r="IP36" s="482"/>
      <c r="IQ36" s="482"/>
      <c r="IR36" s="482"/>
      <c r="IS36" s="482"/>
      <c r="IT36" s="482"/>
      <c r="IU36" s="482"/>
      <c r="IV36" s="482"/>
      <c r="IW36" s="482"/>
      <c r="IX36" s="482"/>
      <c r="IY36" s="482"/>
      <c r="IZ36" s="482"/>
      <c r="JA36" s="482"/>
      <c r="JB36" s="482"/>
      <c r="JC36" s="482"/>
      <c r="JD36" s="482"/>
      <c r="JE36" s="482"/>
      <c r="JF36" s="482"/>
      <c r="JG36" s="482"/>
      <c r="JH36" s="482"/>
      <c r="JI36" s="482"/>
      <c r="JJ36" s="482"/>
      <c r="JK36" s="482"/>
      <c r="JL36" s="482"/>
      <c r="JM36" s="482"/>
      <c r="JN36" s="482"/>
      <c r="JO36" s="482"/>
      <c r="JP36" s="482"/>
      <c r="JQ36" s="482"/>
      <c r="JR36" s="482"/>
      <c r="JS36" s="482"/>
      <c r="JT36" s="482"/>
      <c r="JU36" s="482"/>
      <c r="JV36" s="482"/>
      <c r="JW36" s="482"/>
      <c r="JX36" s="482"/>
      <c r="JY36" s="482"/>
      <c r="JZ36" s="482"/>
      <c r="KA36" s="482"/>
      <c r="KB36" s="482"/>
      <c r="KC36" s="482"/>
      <c r="KD36" s="482"/>
      <c r="KE36" s="482"/>
      <c r="KF36" s="482"/>
      <c r="KG36" s="482"/>
      <c r="KH36" s="482"/>
      <c r="KI36" s="482"/>
      <c r="KJ36" s="482"/>
      <c r="KK36" s="482"/>
      <c r="KL36" s="482"/>
      <c r="KM36" s="482"/>
      <c r="KN36" s="482"/>
      <c r="KO36" s="482"/>
      <c r="KP36" s="482"/>
      <c r="KQ36" s="482"/>
      <c r="KR36" s="482"/>
      <c r="KS36" s="482"/>
      <c r="KT36" s="482"/>
      <c r="KU36" s="482"/>
      <c r="KV36" s="482"/>
      <c r="KW36" s="482"/>
      <c r="KX36" s="482"/>
      <c r="KY36" s="482"/>
      <c r="KZ36" s="482"/>
      <c r="LA36" s="482"/>
      <c r="LB36" s="482"/>
      <c r="LC36" s="482"/>
      <c r="LD36" s="482"/>
      <c r="LE36" s="482"/>
      <c r="LF36" s="482"/>
      <c r="LG36" s="482"/>
      <c r="LH36" s="482"/>
      <c r="LI36" s="482"/>
      <c r="LJ36" s="482"/>
      <c r="LK36" s="482"/>
      <c r="LL36" s="482"/>
      <c r="LM36" s="482"/>
      <c r="LN36" s="482"/>
      <c r="LO36" s="482"/>
      <c r="LP36" s="482"/>
      <c r="LQ36" s="482"/>
      <c r="LR36" s="482"/>
      <c r="LS36" s="482"/>
      <c r="LT36" s="482"/>
      <c r="LU36" s="482"/>
      <c r="LV36" s="482"/>
      <c r="LW36" s="482"/>
      <c r="LX36" s="482"/>
      <c r="LY36" s="482"/>
      <c r="LZ36" s="482"/>
      <c r="MA36" s="482"/>
      <c r="MB36" s="482"/>
      <c r="MC36" s="482"/>
      <c r="MD36" s="482"/>
      <c r="ME36" s="482"/>
      <c r="MF36" s="482"/>
      <c r="MG36" s="482"/>
      <c r="MH36" s="482"/>
      <c r="MI36" s="482"/>
      <c r="MJ36" s="482"/>
      <c r="MK36" s="482"/>
      <c r="ML36" s="482"/>
      <c r="MM36" s="482"/>
      <c r="MN36" s="482"/>
      <c r="MO36" s="482"/>
      <c r="MP36" s="482"/>
      <c r="MQ36" s="482"/>
      <c r="MR36" s="482"/>
      <c r="MS36" s="482"/>
      <c r="MT36" s="482"/>
      <c r="MU36" s="482"/>
      <c r="MV36" s="482"/>
      <c r="MW36" s="482"/>
      <c r="MX36" s="482"/>
      <c r="MY36" s="482"/>
      <c r="MZ36" s="482"/>
      <c r="NA36" s="482"/>
      <c r="NB36" s="482"/>
      <c r="NC36" s="482"/>
      <c r="ND36" s="482"/>
      <c r="NE36" s="482"/>
      <c r="NF36" s="482"/>
      <c r="NG36" s="482"/>
      <c r="NH36" s="482"/>
      <c r="NI36" s="482"/>
      <c r="NJ36" s="483"/>
      <c r="NK36" s="34"/>
      <c r="NM36" s="159">
        <f>A36</f>
        <v>134581</v>
      </c>
      <c r="NN36" s="373">
        <f ca="1">COUNTIF(INDIRECT((ADDRESS(ROW(NO37),$I$11+(MATCH(NN$11,L.DATE,0))))&amp;":"&amp;(ADDRESS(ROW(NO37),$I$11+NO$11+(MATCH(NN$11,L.DATE,0))-1))),"&gt;=0")-NO36</f>
        <v>17</v>
      </c>
      <c r="NO36" s="374">
        <f ca="1">SUM(INDIRECT((ADDRESS(ROW(NO37),$I$11+(MATCH(NN$11,L.DATE,0))))&amp;":"&amp;(ADDRESS(ROW(NO37),$I$11+NO$11+(MATCH(NN$11,L.DATE,0))-1))))</f>
        <v>0</v>
      </c>
      <c r="NP36" s="373">
        <f ca="1">COUNTIF(INDIRECT((ADDRESS(ROW(NQ37),$I$11+(MATCH(NP$11,L.DATE,0))))&amp;":"&amp;(ADDRESS(ROW(NQ37),$I$11+NQ$11+(MATCH(NP$11,L.DATE,0))-1))),"&gt;=0")-NQ36</f>
        <v>20</v>
      </c>
      <c r="NQ36" s="374">
        <f ca="1">SUM(INDIRECT((ADDRESS(ROW(NQ37),$I$11+(MATCH(NP$11,L.DATE,0))))&amp;":"&amp;(ADDRESS(ROW(NQ37),$I$11+NQ$11+(MATCH(NP$11,L.DATE,0))-1))))</f>
        <v>0</v>
      </c>
      <c r="NR36" s="373">
        <f ca="1">COUNTIF(INDIRECT((ADDRESS(ROW(NS37),$I$11+(MATCH(NR$11,L.DATE,0))))&amp;":"&amp;(ADDRESS(ROW(NS37),$I$11+NS$11+(MATCH(NR$11,L.DATE,0))-1))),"&gt;=0")-NS36</f>
        <v>23</v>
      </c>
      <c r="NS36" s="374">
        <f ca="1">SUM(INDIRECT((ADDRESS(ROW(NS37),$I$11+(MATCH(NR$11,L.DATE,0))))&amp;":"&amp;(ADDRESS(ROW(NS37),$I$11+NS$11+(MATCH(NR$11,L.DATE,0))-1))))</f>
        <v>0</v>
      </c>
      <c r="NT36" s="373">
        <f ca="1">COUNTIF(INDIRECT((ADDRESS(ROW(NU37),$I$11+(MATCH(NT$11,L.DATE,0))))&amp;":"&amp;(ADDRESS(ROW(NU37),$I$11+NU$11+(MATCH(NT$11,L.DATE,0))-1))),"&gt;=0")-NU36</f>
        <v>0</v>
      </c>
      <c r="NU36" s="374">
        <f ca="1">SUM(INDIRECT((ADDRESS(ROW(NU37),$I$11+(MATCH(NT$11,L.DATE,0))))&amp;":"&amp;(ADDRESS(ROW(NU37),$I$11+NU$11+(MATCH(NT$11,L.DATE,0))-1))))</f>
        <v>0</v>
      </c>
      <c r="NV36" s="373">
        <f ca="1">COUNTIF(INDIRECT((ADDRESS(ROW(NW37),$I$11+(MATCH(NV$11,L.DATE,0))))&amp;":"&amp;(ADDRESS(ROW(NW37),$I$11+NW$11+(MATCH(NV$11,L.DATE,0))-1))),"&gt;=0")-NW36</f>
        <v>0</v>
      </c>
      <c r="NW36" s="374">
        <f ca="1">SUM(INDIRECT((ADDRESS(ROW(NW37),$I$11+(MATCH(NV$11,L.DATE,0))))&amp;":"&amp;(ADDRESS(ROW(NW37),$I$11+NW$11+(MATCH(NV$11,L.DATE,0))-1))))</f>
        <v>0</v>
      </c>
      <c r="NX36" s="373">
        <f ca="1">COUNTIF(INDIRECT((ADDRESS(ROW(NY37),$I$11+(MATCH(NX$11,L.DATE,0))))&amp;":"&amp;(ADDRESS(ROW(NY37),$I$11+NY$11+(MATCH(NX$11,L.DATE,0))-1))),"&gt;=0")-NY36</f>
        <v>0</v>
      </c>
      <c r="NY36" s="374">
        <f ca="1">SUM(INDIRECT((ADDRESS(ROW(NY37),$I$11+(MATCH(NX$11,L.DATE,0))))&amp;":"&amp;(ADDRESS(ROW(NY37),$I$11+NY$11+(MATCH(NX$11,L.DATE,0))-1))))</f>
        <v>0</v>
      </c>
      <c r="NZ36" s="373">
        <f ca="1">COUNTIF(INDIRECT((ADDRESS(ROW(OA37),$I$11+(MATCH(NZ$11,L.DATE,0))))&amp;":"&amp;(ADDRESS(ROW(OA37),$I$11+OA$11+(MATCH(NZ$11,L.DATE,0))-1))),"&gt;=0")-OA36</f>
        <v>0</v>
      </c>
      <c r="OA36" s="374">
        <f ca="1">SUM(INDIRECT((ADDRESS(ROW(OA37),$I$11+(MATCH(NZ$11,L.DATE,0))))&amp;":"&amp;(ADDRESS(ROW(OA37),$I$11+OA$11+(MATCH(NZ$11,L.DATE,0))-1))))</f>
        <v>0</v>
      </c>
      <c r="OB36" s="373">
        <f ca="1">COUNTIF(INDIRECT((ADDRESS(ROW(OC37),$I$11+(MATCH(OB$11,L.DATE,0))))&amp;":"&amp;(ADDRESS(ROW(OC37),$I$11+OC$11+(MATCH(OB$11,L.DATE,0))-1))),"&gt;=0")-OC36</f>
        <v>0</v>
      </c>
      <c r="OC36" s="374">
        <f ca="1">SUM(INDIRECT((ADDRESS(ROW(OC37),$I$11+(MATCH(OB$11,L.DATE,0))))&amp;":"&amp;(ADDRESS(ROW(OC37),$I$11+OC$11+(MATCH(OB$11,L.DATE,0))-1))))</f>
        <v>0</v>
      </c>
      <c r="OD36" s="373">
        <f ca="1">COUNTIF(INDIRECT((ADDRESS(ROW(OE37),$I$11+(MATCH(OD$11,L.DATE,0))))&amp;":"&amp;(ADDRESS(ROW(OE37),$I$11+OE$11+(MATCH(OD$11,L.DATE,0))-1))),"&gt;=0")-OE36</f>
        <v>0</v>
      </c>
      <c r="OE36" s="374">
        <f ca="1">SUM(INDIRECT((ADDRESS(ROW(OE37),$I$11+(MATCH(OD$11,L.DATE,0))))&amp;":"&amp;(ADDRESS(ROW(OE37),$I$11+OE$11+(MATCH(OD$11,L.DATE,0))-1))))</f>
        <v>0</v>
      </c>
      <c r="OF36" s="373">
        <f ca="1">COUNTIF(INDIRECT((ADDRESS(ROW(OG37),$I$11+(MATCH(OF$11,L.DATE,0))))&amp;":"&amp;(ADDRESS(ROW(OG37),$I$11+OG$11+(MATCH(OF$11,L.DATE,0))-1))),"&gt;=0")-OG36</f>
        <v>0</v>
      </c>
      <c r="OG36" s="374">
        <f ca="1">SUM(INDIRECT((ADDRESS(ROW(OG37),$I$11+(MATCH(OF$11,L.DATE,0))))&amp;":"&amp;(ADDRESS(ROW(OG37),$I$11+OG$11+(MATCH(OF$11,L.DATE,0))-1))))</f>
        <v>0</v>
      </c>
      <c r="OH36" s="373">
        <f ca="1">COUNTIF(INDIRECT((ADDRESS(ROW(OI37),$I$11+(MATCH(OH$11,L.DATE,0))))&amp;":"&amp;(ADDRESS(ROW(OI37),$I$11+OI$11+(MATCH(OH$11,L.DATE,0))-1))),"&gt;=0")-OI36</f>
        <v>0</v>
      </c>
      <c r="OI36" s="374">
        <f ca="1">SUM(INDIRECT((ADDRESS(ROW(OI37),$I$11+(MATCH(OH$11,L.DATE,0))))&amp;":"&amp;(ADDRESS(ROW(OI37),$I$11+OI$11+(MATCH(OH$11,L.DATE,0))-1))))</f>
        <v>0</v>
      </c>
      <c r="OJ36" s="373">
        <f ca="1">COUNTIF(INDIRECT((ADDRESS(ROW(OK37),$I$11+(MATCH(OJ$11,L.DATE,0))))&amp;":"&amp;(ADDRESS(ROW(OK37),$I$11+OK$11+(MATCH(OJ$11,L.DATE,0))-1))),"&gt;=0")-OK36</f>
        <v>0</v>
      </c>
      <c r="OK36" s="375">
        <f ca="1">SUM(INDIRECT((ADDRESS(ROW(OK37),$I$11+(MATCH(OJ$11,L.DATE,0))))&amp;":"&amp;(ADDRESS(ROW(OK37),$I$11+OK$11+(MATCH(OJ$11,L.DATE,0))-1))))</f>
        <v>0</v>
      </c>
      <c r="OM36" s="39">
        <f ca="1">NN36+NP36+NR36+NT36+NV36+NX36+NZ36+OB36+OD36+OF36+OJ36+OH36</f>
        <v>60</v>
      </c>
      <c r="ON36" s="40">
        <f ca="1">NO36+NQ36+NS36+NU36+NW36+NY36+OA36+OC36+OE36+OG36+OK36+OI36</f>
        <v>0</v>
      </c>
    </row>
    <row r="37" spans="1:404" x14ac:dyDescent="0.3">
      <c r="A37" s="33"/>
      <c r="B37" s="16" t="str">
        <f t="shared" ref="B37:H37" si="34">B36</f>
        <v>FOUCHEYRAND.David</v>
      </c>
      <c r="C37" s="16">
        <f t="shared" si="34"/>
        <v>1</v>
      </c>
      <c r="D37" s="16" t="str">
        <f t="shared" si="34"/>
        <v>EXT</v>
      </c>
      <c r="E37" s="16" t="str">
        <f t="shared" si="34"/>
        <v>ITG</v>
      </c>
      <c r="F37" s="16" t="str">
        <f t="shared" si="34"/>
        <v>SL</v>
      </c>
      <c r="G37" s="105" t="str">
        <f t="shared" si="34"/>
        <v>N1</v>
      </c>
      <c r="H37" s="109">
        <f t="shared" si="34"/>
        <v>1</v>
      </c>
      <c r="I37" s="28"/>
      <c r="J37" s="482"/>
      <c r="K37" s="485"/>
      <c r="L37" s="482"/>
      <c r="M37" s="482"/>
      <c r="N37" s="482"/>
      <c r="O37" s="482"/>
      <c r="P37" s="482"/>
      <c r="Q37" s="482"/>
      <c r="R37" s="485">
        <v>0</v>
      </c>
      <c r="S37" s="485">
        <v>0</v>
      </c>
      <c r="T37" s="485">
        <v>0</v>
      </c>
      <c r="U37" s="485">
        <v>0</v>
      </c>
      <c r="V37" s="485">
        <v>0</v>
      </c>
      <c r="W37" s="482"/>
      <c r="X37" s="482"/>
      <c r="Y37" s="485">
        <v>0</v>
      </c>
      <c r="Z37" s="485">
        <v>0</v>
      </c>
      <c r="AA37" s="485">
        <v>0</v>
      </c>
      <c r="AB37" s="485">
        <v>0</v>
      </c>
      <c r="AC37" s="485">
        <v>0</v>
      </c>
      <c r="AD37" s="482"/>
      <c r="AE37" s="482"/>
      <c r="AF37" s="485">
        <v>0</v>
      </c>
      <c r="AG37" s="485">
        <v>0</v>
      </c>
      <c r="AH37" s="485">
        <v>0</v>
      </c>
      <c r="AI37" s="485">
        <v>0</v>
      </c>
      <c r="AJ37" s="485">
        <v>0</v>
      </c>
      <c r="AK37" s="482"/>
      <c r="AL37" s="482"/>
      <c r="AM37" s="485">
        <v>0</v>
      </c>
      <c r="AN37" s="485">
        <v>0</v>
      </c>
      <c r="AO37" s="485">
        <v>0</v>
      </c>
      <c r="AP37" s="485">
        <v>0</v>
      </c>
      <c r="AQ37" s="485">
        <v>0</v>
      </c>
      <c r="AR37" s="482"/>
      <c r="AS37" s="482"/>
      <c r="AT37" s="485">
        <v>0</v>
      </c>
      <c r="AU37" s="485">
        <v>0</v>
      </c>
      <c r="AV37" s="485">
        <v>0</v>
      </c>
      <c r="AW37" s="485">
        <v>0</v>
      </c>
      <c r="AX37" s="485">
        <v>0</v>
      </c>
      <c r="AY37" s="482"/>
      <c r="AZ37" s="482"/>
      <c r="BA37" s="485">
        <v>0</v>
      </c>
      <c r="BB37" s="485">
        <v>0</v>
      </c>
      <c r="BC37" s="485">
        <v>0</v>
      </c>
      <c r="BD37" s="485">
        <v>0</v>
      </c>
      <c r="BE37" s="485">
        <v>0</v>
      </c>
      <c r="BF37" s="482"/>
      <c r="BG37" s="482"/>
      <c r="BH37" s="485">
        <v>0</v>
      </c>
      <c r="BI37" s="485">
        <v>0</v>
      </c>
      <c r="BJ37" s="485">
        <v>0</v>
      </c>
      <c r="BK37" s="485">
        <v>0</v>
      </c>
      <c r="BL37" s="485">
        <v>0</v>
      </c>
      <c r="BM37" s="482"/>
      <c r="BN37" s="482"/>
      <c r="BO37" s="485">
        <v>0</v>
      </c>
      <c r="BP37" s="485">
        <v>0</v>
      </c>
      <c r="BQ37" s="485">
        <v>0</v>
      </c>
      <c r="BR37" s="485">
        <v>0</v>
      </c>
      <c r="BS37" s="485">
        <v>0</v>
      </c>
      <c r="BT37" s="482"/>
      <c r="BU37" s="482"/>
      <c r="BV37" s="485">
        <v>0</v>
      </c>
      <c r="BW37" s="485">
        <v>0</v>
      </c>
      <c r="BX37" s="485">
        <v>0</v>
      </c>
      <c r="BY37" s="485">
        <v>0</v>
      </c>
      <c r="BZ37" s="485">
        <v>0</v>
      </c>
      <c r="CA37" s="482"/>
      <c r="CB37" s="482"/>
      <c r="CC37" s="485">
        <v>0</v>
      </c>
      <c r="CD37" s="485">
        <v>0</v>
      </c>
      <c r="CE37" s="485">
        <v>0</v>
      </c>
      <c r="CF37" s="485">
        <v>0</v>
      </c>
      <c r="CG37" s="485">
        <v>0</v>
      </c>
      <c r="CH37" s="482"/>
      <c r="CI37" s="482"/>
      <c r="CJ37" s="485">
        <v>0</v>
      </c>
      <c r="CK37" s="485">
        <v>0</v>
      </c>
      <c r="CL37" s="485">
        <v>0</v>
      </c>
      <c r="CM37" s="485">
        <v>0</v>
      </c>
      <c r="CN37" s="485">
        <v>0</v>
      </c>
      <c r="CO37" s="482"/>
      <c r="CP37" s="482"/>
      <c r="CQ37" s="485">
        <v>0</v>
      </c>
      <c r="CR37" s="485">
        <v>0</v>
      </c>
      <c r="CS37" s="485">
        <v>0</v>
      </c>
      <c r="CT37" s="485">
        <v>0</v>
      </c>
      <c r="CU37" s="485">
        <v>0</v>
      </c>
      <c r="CV37" s="482"/>
      <c r="CW37" s="482"/>
      <c r="CX37" s="482"/>
      <c r="CY37" s="482"/>
      <c r="CZ37" s="482"/>
      <c r="DA37" s="482"/>
      <c r="DB37" s="482"/>
      <c r="DC37" s="482"/>
      <c r="DD37" s="482"/>
      <c r="DE37" s="482"/>
      <c r="DF37" s="482"/>
      <c r="DG37" s="482"/>
      <c r="DH37" s="482"/>
      <c r="DI37" s="482"/>
      <c r="DJ37" s="482"/>
      <c r="DK37" s="482"/>
      <c r="DL37" s="482"/>
      <c r="DM37" s="482"/>
      <c r="DN37" s="482"/>
      <c r="DO37" s="482"/>
      <c r="DP37" s="482"/>
      <c r="DQ37" s="482"/>
      <c r="DR37" s="482"/>
      <c r="DS37" s="482"/>
      <c r="DT37" s="482"/>
      <c r="DU37" s="482"/>
      <c r="DV37" s="482"/>
      <c r="DW37" s="482"/>
      <c r="DX37" s="482"/>
      <c r="DY37" s="482"/>
      <c r="DZ37" s="482"/>
      <c r="EA37" s="482"/>
      <c r="EB37" s="482"/>
      <c r="EC37" s="482"/>
      <c r="ED37" s="482"/>
      <c r="EE37" s="482"/>
      <c r="EF37" s="482"/>
      <c r="EG37" s="482"/>
      <c r="EH37" s="482"/>
      <c r="EI37" s="482"/>
      <c r="EJ37" s="482"/>
      <c r="EK37" s="482"/>
      <c r="EL37" s="482"/>
      <c r="EM37" s="482"/>
      <c r="EN37" s="482"/>
      <c r="EO37" s="482"/>
      <c r="EP37" s="482"/>
      <c r="EQ37" s="482"/>
      <c r="ER37" s="482"/>
      <c r="ES37" s="482"/>
      <c r="ET37" s="482"/>
      <c r="EU37" s="482"/>
      <c r="EV37" s="482"/>
      <c r="EW37" s="482"/>
      <c r="EX37" s="482"/>
      <c r="EY37" s="482"/>
      <c r="EZ37" s="482"/>
      <c r="FA37" s="482"/>
      <c r="FB37" s="482"/>
      <c r="FC37" s="482"/>
      <c r="FD37" s="482"/>
      <c r="FE37" s="482"/>
      <c r="FF37" s="482"/>
      <c r="FG37" s="482"/>
      <c r="FH37" s="482"/>
      <c r="FI37" s="482"/>
      <c r="FJ37" s="482"/>
      <c r="FK37" s="482"/>
      <c r="FL37" s="482"/>
      <c r="FM37" s="482"/>
      <c r="FN37" s="482"/>
      <c r="FO37" s="482"/>
      <c r="FP37" s="482"/>
      <c r="FQ37" s="482"/>
      <c r="FR37" s="482"/>
      <c r="FS37" s="482"/>
      <c r="FT37" s="482"/>
      <c r="FU37" s="482"/>
      <c r="FV37" s="482"/>
      <c r="FW37" s="482"/>
      <c r="FX37" s="482"/>
      <c r="FY37" s="482"/>
      <c r="FZ37" s="482"/>
      <c r="GA37" s="482"/>
      <c r="GB37" s="482"/>
      <c r="GC37" s="482"/>
      <c r="GD37" s="482"/>
      <c r="GE37" s="482"/>
      <c r="GF37" s="482"/>
      <c r="GG37" s="482"/>
      <c r="GH37" s="482"/>
      <c r="GI37" s="482"/>
      <c r="GJ37" s="482"/>
      <c r="GK37" s="482"/>
      <c r="GL37" s="482"/>
      <c r="GM37" s="482"/>
      <c r="GN37" s="482"/>
      <c r="GO37" s="482"/>
      <c r="GP37" s="482"/>
      <c r="GQ37" s="482"/>
      <c r="GR37" s="482"/>
      <c r="GS37" s="482"/>
      <c r="GT37" s="482"/>
      <c r="GU37" s="482"/>
      <c r="GV37" s="482"/>
      <c r="GW37" s="482"/>
      <c r="GX37" s="482"/>
      <c r="GY37" s="482"/>
      <c r="GZ37" s="482"/>
      <c r="HA37" s="482"/>
      <c r="HB37" s="482"/>
      <c r="HC37" s="482"/>
      <c r="HD37" s="482"/>
      <c r="HE37" s="482"/>
      <c r="HF37" s="482"/>
      <c r="HG37" s="482"/>
      <c r="HH37" s="482"/>
      <c r="HI37" s="482"/>
      <c r="HJ37" s="482"/>
      <c r="HK37" s="482"/>
      <c r="HL37" s="482"/>
      <c r="HM37" s="482"/>
      <c r="HN37" s="482"/>
      <c r="HO37" s="482"/>
      <c r="HP37" s="482"/>
      <c r="HQ37" s="482"/>
      <c r="HR37" s="482"/>
      <c r="HS37" s="482"/>
      <c r="HT37" s="482"/>
      <c r="HU37" s="482"/>
      <c r="HV37" s="482"/>
      <c r="HW37" s="482"/>
      <c r="HX37" s="482"/>
      <c r="HY37" s="482"/>
      <c r="HZ37" s="482"/>
      <c r="IA37" s="482"/>
      <c r="IB37" s="482"/>
      <c r="IC37" s="482"/>
      <c r="ID37" s="482"/>
      <c r="IE37" s="482"/>
      <c r="IF37" s="482"/>
      <c r="IG37" s="482"/>
      <c r="IH37" s="482"/>
      <c r="II37" s="482"/>
      <c r="IJ37" s="482"/>
      <c r="IK37" s="482"/>
      <c r="IL37" s="482"/>
      <c r="IM37" s="482"/>
      <c r="IN37" s="482"/>
      <c r="IO37" s="482"/>
      <c r="IP37" s="482"/>
      <c r="IQ37" s="482"/>
      <c r="IR37" s="482"/>
      <c r="IS37" s="482"/>
      <c r="IT37" s="482"/>
      <c r="IU37" s="482"/>
      <c r="IV37" s="482"/>
      <c r="IW37" s="482"/>
      <c r="IX37" s="482"/>
      <c r="IY37" s="482"/>
      <c r="IZ37" s="482"/>
      <c r="JA37" s="482"/>
      <c r="JB37" s="482"/>
      <c r="JC37" s="482"/>
      <c r="JD37" s="482"/>
      <c r="JE37" s="482"/>
      <c r="JF37" s="482"/>
      <c r="JG37" s="482"/>
      <c r="JH37" s="482"/>
      <c r="JI37" s="482"/>
      <c r="JJ37" s="482"/>
      <c r="JK37" s="482"/>
      <c r="JL37" s="482"/>
      <c r="JM37" s="482"/>
      <c r="JN37" s="482"/>
      <c r="JO37" s="482"/>
      <c r="JP37" s="482"/>
      <c r="JQ37" s="482"/>
      <c r="JR37" s="482"/>
      <c r="JS37" s="482"/>
      <c r="JT37" s="482"/>
      <c r="JU37" s="482"/>
      <c r="JV37" s="482"/>
      <c r="JW37" s="482"/>
      <c r="JX37" s="482"/>
      <c r="JY37" s="482"/>
      <c r="JZ37" s="482"/>
      <c r="KA37" s="482"/>
      <c r="KB37" s="482"/>
      <c r="KC37" s="482"/>
      <c r="KD37" s="482"/>
      <c r="KE37" s="482"/>
      <c r="KF37" s="482"/>
      <c r="KG37" s="482"/>
      <c r="KH37" s="482"/>
      <c r="KI37" s="482"/>
      <c r="KJ37" s="482"/>
      <c r="KK37" s="482"/>
      <c r="KL37" s="482"/>
      <c r="KM37" s="482"/>
      <c r="KN37" s="482"/>
      <c r="KO37" s="482"/>
      <c r="KP37" s="482"/>
      <c r="KQ37" s="482"/>
      <c r="KR37" s="482"/>
      <c r="KS37" s="482"/>
      <c r="KT37" s="482"/>
      <c r="KU37" s="482"/>
      <c r="KV37" s="482"/>
      <c r="KW37" s="482"/>
      <c r="KX37" s="482"/>
      <c r="KY37" s="482"/>
      <c r="KZ37" s="482"/>
      <c r="LA37" s="482"/>
      <c r="LB37" s="482"/>
      <c r="LC37" s="482"/>
      <c r="LD37" s="482"/>
      <c r="LE37" s="482"/>
      <c r="LF37" s="482"/>
      <c r="LG37" s="482"/>
      <c r="LH37" s="482"/>
      <c r="LI37" s="482"/>
      <c r="LJ37" s="482"/>
      <c r="LK37" s="482"/>
      <c r="LL37" s="482"/>
      <c r="LM37" s="482"/>
      <c r="LN37" s="482"/>
      <c r="LO37" s="482"/>
      <c r="LP37" s="482"/>
      <c r="LQ37" s="482"/>
      <c r="LR37" s="482"/>
      <c r="LS37" s="482"/>
      <c r="LT37" s="482"/>
      <c r="LU37" s="482"/>
      <c r="LV37" s="482"/>
      <c r="LW37" s="482"/>
      <c r="LX37" s="482"/>
      <c r="LY37" s="482"/>
      <c r="LZ37" s="482"/>
      <c r="MA37" s="482"/>
      <c r="MB37" s="482"/>
      <c r="MC37" s="482"/>
      <c r="MD37" s="482"/>
      <c r="ME37" s="482"/>
      <c r="MF37" s="482"/>
      <c r="MG37" s="482"/>
      <c r="MH37" s="482"/>
      <c r="MI37" s="482"/>
      <c r="MJ37" s="482"/>
      <c r="MK37" s="482"/>
      <c r="ML37" s="482"/>
      <c r="MM37" s="482"/>
      <c r="MN37" s="482"/>
      <c r="MO37" s="482"/>
      <c r="MP37" s="482"/>
      <c r="MQ37" s="482"/>
      <c r="MR37" s="482"/>
      <c r="MS37" s="482"/>
      <c r="MT37" s="482"/>
      <c r="MU37" s="482"/>
      <c r="MV37" s="482"/>
      <c r="MW37" s="482"/>
      <c r="MX37" s="482"/>
      <c r="MY37" s="482"/>
      <c r="MZ37" s="482"/>
      <c r="NA37" s="482"/>
      <c r="NB37" s="482"/>
      <c r="NC37" s="482"/>
      <c r="ND37" s="482"/>
      <c r="NE37" s="482"/>
      <c r="NF37" s="482"/>
      <c r="NG37" s="482"/>
      <c r="NH37" s="482"/>
      <c r="NI37" s="482"/>
      <c r="NJ37" s="483"/>
      <c r="NK37" s="34"/>
      <c r="NM37" s="379" t="str">
        <f>NM36&amp;".b"</f>
        <v>134581.b</v>
      </c>
      <c r="NN37" s="376" cm="1">
        <f t="array" aca="1" ref="NN37" ca="1">IF(xcomp(INDIRECT((ADDRESS(ROW(NN36),$I$11+(MATCH(NN$11,L.DATE,0))))&amp;":"&amp;(ADDRESS(ROW(NN36),$I$11+NO$11+(MATCH(NN$11,L.DATE,0))-1))),L.ABSP)=0,"",
xsom(INDIRECT((ADDRESS(ROW(NN36),$I$11+(MATCH(NN$11,L.DATE,0))))&amp;":"&amp;(ADDRESS(ROW(NN36),$I$11+NO$11+(MATCH(NN$11,L.DATE,0))-1))),L.ABSP,
INDIRECT((ADDRESS(ROW(NN36)+1,$I$11+(MATCH(NN$11,L.DATE,0))))&amp;":"&amp;(ADDRESS(ROW(NN36)+1,$I$11+NO$11+(MATCH(NN$11,L.DATE,0))-1)))))</f>
        <v>17</v>
      </c>
      <c r="NO37" s="377" t="str" cm="1">
        <f t="array" aca="1" ref="NO37" ca="1">IF(xcomp(INDIRECT((ADDRESS(ROW(NO36),$I$11+(MATCH(NN$11,L.DATE,0))))&amp;":"&amp;(ADDRESS(ROW(NO36),$I$11+NO$11+(MATCH(NN$11,L.DATE,0))-1))),L.ABS.NP)=0,"",
xsom(INDIRECT((ADDRESS(ROW(NO36),$I$11+(MATCH(NN$11,L.DATE,0))))&amp;":"&amp;(ADDRESS(ROW(NO36),$I$11+NO$11+(MATCH(NN$11,L.DATE,0))-1))),L.ABS.NP,
INDIRECT((ADDRESS(ROW(NO36)+1,$I$11+(MATCH(NN$11,L.DATE,0))))&amp;":"&amp;(ADDRESS(ROW(NO36)+1,$I$11+NO$11+(MATCH(NN$11,L.DATE,0))-1)))))</f>
        <v/>
      </c>
      <c r="NP37" s="376" cm="1">
        <f t="array" aca="1" ref="NP37" ca="1">IF(xcomp(INDIRECT((ADDRESS(ROW(NP36),$I$11+(MATCH(NP$11,L.DATE,0))))&amp;":"&amp;(ADDRESS(ROW(NP36),$I$11+NQ$11+(MATCH(NP$11,L.DATE,0))-1))),L.ABSP)=0,"",
xsom(INDIRECT((ADDRESS(ROW(NP36),$I$11+(MATCH(NP$11,L.DATE,0))))&amp;":"&amp;(ADDRESS(ROW(NP36),$I$11+NQ$11+(MATCH(NP$11,L.DATE,0))-1))),L.ABSP,
INDIRECT((ADDRESS(ROW(NP36)+1,$I$11+(MATCH(NP$11,L.DATE,0))))&amp;":"&amp;(ADDRESS(ROW(NP36)+1,$I$11+NQ$11+(MATCH(NP$11,L.DATE,0))-1)))))</f>
        <v>20</v>
      </c>
      <c r="NQ37" s="377" t="str" cm="1">
        <f t="array" aca="1" ref="NQ37" ca="1">IF(xcomp(INDIRECT((ADDRESS(ROW(NQ36),$I$11+(MATCH(NP$11,L.DATE,0))))&amp;":"&amp;(ADDRESS(ROW(NQ36),$I$11+NQ$11+(MATCH(NP$11,L.DATE,0))-1))),L.ABS.NP)=0,"",
xsom(INDIRECT((ADDRESS(ROW(NQ36),$I$11+(MATCH(NP$11,L.DATE,0))))&amp;":"&amp;(ADDRESS(ROW(NQ36),$I$11+NQ$11+(MATCH(NP$11,L.DATE,0))-1))),L.ABS.NP,
INDIRECT((ADDRESS(ROW(NQ36)+1,$I$11+(MATCH(NP$11,L.DATE,0))))&amp;":"&amp;(ADDRESS(ROW(NQ36)+1,$I$11+NQ$11+(MATCH(NP$11,L.DATE,0))-1)))))</f>
        <v/>
      </c>
      <c r="NR37" s="376" cm="1">
        <f t="array" aca="1" ref="NR37" ca="1">IF(xcomp(INDIRECT((ADDRESS(ROW(NR36),$I$11+(MATCH(NR$11,L.DATE,0))))&amp;":"&amp;(ADDRESS(ROW(NR36),$I$11+NS$11+(MATCH(NR$11,L.DATE,0))-1))),L.ABSP)=0,"",
xsom(INDIRECT((ADDRESS(ROW(NR36),$I$11+(MATCH(NR$11,L.DATE,0))))&amp;":"&amp;(ADDRESS(ROW(NR36),$I$11+NS$11+(MATCH(NR$11,L.DATE,0))-1))),L.ABSP,
INDIRECT((ADDRESS(ROW(NR36)+1,$I$11+(MATCH(NR$11,L.DATE,0))))&amp;":"&amp;(ADDRESS(ROW(NR36)+1,$I$11+NS$11+(MATCH(NR$11,L.DATE,0))-1)))))</f>
        <v>23</v>
      </c>
      <c r="NS37" s="377" t="str" cm="1">
        <f t="array" aca="1" ref="NS37" ca="1">IF(xcomp(INDIRECT((ADDRESS(ROW(NS36),$I$11+(MATCH(NR$11,L.DATE,0))))&amp;":"&amp;(ADDRESS(ROW(NS36),$I$11+NS$11+(MATCH(NR$11,L.DATE,0))-1))),L.ABS.NP)=0,"",
xsom(INDIRECT((ADDRESS(ROW(NS36),$I$11+(MATCH(NR$11,L.DATE,0))))&amp;":"&amp;(ADDRESS(ROW(NS36),$I$11+NS$11+(MATCH(NR$11,L.DATE,0))-1))),L.ABS.NP,
INDIRECT((ADDRESS(ROW(NS36)+1,$I$11+(MATCH(NR$11,L.DATE,0))))&amp;":"&amp;(ADDRESS(ROW(NS36)+1,$I$11+NS$11+(MATCH(NR$11,L.DATE,0))-1)))))</f>
        <v/>
      </c>
      <c r="NT37" s="376" t="str" cm="1">
        <f t="array" aca="1" ref="NT37" ca="1">IF(xcomp(INDIRECT((ADDRESS(ROW(NT36),$I$11+(MATCH(NT$11,L.DATE,0))))&amp;":"&amp;(ADDRESS(ROW(NT36),$I$11+NU$11+(MATCH(NT$11,L.DATE,0))-1))),L.ABSP)=0,"",
xsom(INDIRECT((ADDRESS(ROW(NT36),$I$11+(MATCH(NT$11,L.DATE,0))))&amp;":"&amp;(ADDRESS(ROW(NT36),$I$11+NU$11+(MATCH(NT$11,L.DATE,0))-1))),L.ABSP,
INDIRECT((ADDRESS(ROW(NT36)+1,$I$11+(MATCH(NT$11,L.DATE,0))))&amp;":"&amp;(ADDRESS(ROW(NT36)+1,$I$11+NU$11+(MATCH(NT$11,L.DATE,0))-1)))))</f>
        <v/>
      </c>
      <c r="NU37" s="377" t="str" cm="1">
        <f t="array" aca="1" ref="NU37" ca="1">IF(xcomp(INDIRECT((ADDRESS(ROW(NU36),$I$11+(MATCH(NT$11,L.DATE,0))))&amp;":"&amp;(ADDRESS(ROW(NU36),$I$11+NU$11+(MATCH(NT$11,L.DATE,0))-1))),L.ABS.NP)=0,"",
xsom(INDIRECT((ADDRESS(ROW(NU36),$I$11+(MATCH(NT$11,L.DATE,0))))&amp;":"&amp;(ADDRESS(ROW(NU36),$I$11+NU$11+(MATCH(NT$11,L.DATE,0))-1))),L.ABS.NP,
INDIRECT((ADDRESS(ROW(NU36)+1,$I$11+(MATCH(NT$11,L.DATE,0))))&amp;":"&amp;(ADDRESS(ROW(NU36)+1,$I$11+NU$11+(MATCH(NT$11,L.DATE,0))-1)))))</f>
        <v/>
      </c>
      <c r="NV37" s="376" t="str" cm="1">
        <f t="array" aca="1" ref="NV37" ca="1">IF(xcomp(INDIRECT((ADDRESS(ROW(NV36),$I$11+(MATCH(NV$11,L.DATE,0))))&amp;":"&amp;(ADDRESS(ROW(NV36),$I$11+NW$11+(MATCH(NV$11,L.DATE,0))-1))),L.ABSP)=0,"",
xsom(INDIRECT((ADDRESS(ROW(NV36),$I$11+(MATCH(NV$11,L.DATE,0))))&amp;":"&amp;(ADDRESS(ROW(NV36),$I$11+NW$11+(MATCH(NV$11,L.DATE,0))-1))),L.ABSP,
INDIRECT((ADDRESS(ROW(NV36)+1,$I$11+(MATCH(NV$11,L.DATE,0))))&amp;":"&amp;(ADDRESS(ROW(NV36)+1,$I$11+NW$11+(MATCH(NV$11,L.DATE,0))-1)))))</f>
        <v/>
      </c>
      <c r="NW37" s="377" t="str" cm="1">
        <f t="array" aca="1" ref="NW37" ca="1">IF(xcomp(INDIRECT((ADDRESS(ROW(NW36),$I$11+(MATCH(NV$11,L.DATE,0))))&amp;":"&amp;(ADDRESS(ROW(NW36),$I$11+NW$11+(MATCH(NV$11,L.DATE,0))-1))),L.ABS.NP)=0,"",
xsom(INDIRECT((ADDRESS(ROW(NW36),$I$11+(MATCH(NV$11,L.DATE,0))))&amp;":"&amp;(ADDRESS(ROW(NW36),$I$11+NW$11+(MATCH(NV$11,L.DATE,0))-1))),L.ABS.NP,
INDIRECT((ADDRESS(ROW(NW36)+1,$I$11+(MATCH(NV$11,L.DATE,0))))&amp;":"&amp;(ADDRESS(ROW(NW36)+1,$I$11+NW$11+(MATCH(NV$11,L.DATE,0))-1)))))</f>
        <v/>
      </c>
      <c r="NX37" s="376" t="str" cm="1">
        <f t="array" aca="1" ref="NX37" ca="1">IF(xcomp(INDIRECT((ADDRESS(ROW(NX36),$I$11+(MATCH(NX$11,L.DATE,0))))&amp;":"&amp;(ADDRESS(ROW(NX36),$I$11+NY$11+(MATCH(NX$11,L.DATE,0))-1))),L.ABSP)=0,"",
xsom(INDIRECT((ADDRESS(ROW(NX36),$I$11+(MATCH(NX$11,L.DATE,0))))&amp;":"&amp;(ADDRESS(ROW(NX36),$I$11+NY$11+(MATCH(NX$11,L.DATE,0))-1))),L.ABSP,
INDIRECT((ADDRESS(ROW(NX36)+1,$I$11+(MATCH(NX$11,L.DATE,0))))&amp;":"&amp;(ADDRESS(ROW(NX36)+1,$I$11+NY$11+(MATCH(NX$11,L.DATE,0))-1)))))</f>
        <v/>
      </c>
      <c r="NY37" s="377" t="str" cm="1">
        <f t="array" aca="1" ref="NY37" ca="1">IF(xcomp(INDIRECT((ADDRESS(ROW(NY36),$I$11+(MATCH(NX$11,L.DATE,0))))&amp;":"&amp;(ADDRESS(ROW(NY36),$I$11+NY$11+(MATCH(NX$11,L.DATE,0))-1))),L.ABS.NP)=0,"",
xsom(INDIRECT((ADDRESS(ROW(NY36),$I$11+(MATCH(NX$11,L.DATE,0))))&amp;":"&amp;(ADDRESS(ROW(NY36),$I$11+NY$11+(MATCH(NX$11,L.DATE,0))-1))),L.ABS.NP,
INDIRECT((ADDRESS(ROW(NY36)+1,$I$11+(MATCH(NX$11,L.DATE,0))))&amp;":"&amp;(ADDRESS(ROW(NY36)+1,$I$11+NY$11+(MATCH(NX$11,L.DATE,0))-1)))))</f>
        <v/>
      </c>
      <c r="NZ37" s="376" t="str" cm="1">
        <f t="array" aca="1" ref="NZ37" ca="1">IF(xcomp(INDIRECT((ADDRESS(ROW(NZ36),$I$11+(MATCH(NZ$11,L.DATE,0))))&amp;":"&amp;(ADDRESS(ROW(NZ36),$I$11+OA$11+(MATCH(NZ$11,L.DATE,0))-1))),L.ABSP)=0,"",
xsom(INDIRECT((ADDRESS(ROW(NZ36),$I$11+(MATCH(NZ$11,L.DATE,0))))&amp;":"&amp;(ADDRESS(ROW(NZ36),$I$11+OA$11+(MATCH(NZ$11,L.DATE,0))-1))),L.ABSP,
INDIRECT((ADDRESS(ROW(NZ36)+1,$I$11+(MATCH(NZ$11,L.DATE,0))))&amp;":"&amp;(ADDRESS(ROW(NZ36)+1,$I$11+OA$11+(MATCH(NZ$11,L.DATE,0))-1)))))</f>
        <v/>
      </c>
      <c r="OA37" s="377" t="str" cm="1">
        <f t="array" aca="1" ref="OA37" ca="1">IF(xcomp(INDIRECT((ADDRESS(ROW(OA36),$I$11+(MATCH(NZ$11,L.DATE,0))))&amp;":"&amp;(ADDRESS(ROW(OA36),$I$11+OA$11+(MATCH(NZ$11,L.DATE,0))-1))),L.ABS.NP)=0,"",
xsom(INDIRECT((ADDRESS(ROW(OA36),$I$11+(MATCH(NZ$11,L.DATE,0))))&amp;":"&amp;(ADDRESS(ROW(OA36),$I$11+OA$11+(MATCH(NZ$11,L.DATE,0))-1))),L.ABS.NP,
INDIRECT((ADDRESS(ROW(OA36)+1,$I$11+(MATCH(NZ$11,L.DATE,0))))&amp;":"&amp;(ADDRESS(ROW(OA36)+1,$I$11+OA$11+(MATCH(NZ$11,L.DATE,0))-1)))))</f>
        <v/>
      </c>
      <c r="OB37" s="376" t="str" cm="1">
        <f t="array" aca="1" ref="OB37" ca="1">IF(xcomp(INDIRECT((ADDRESS(ROW(OB36),$I$11+(MATCH(OB$11,L.DATE,0))))&amp;":"&amp;(ADDRESS(ROW(OB36),$I$11+OC$11+(MATCH(OB$11,L.DATE,0))-1))),L.ABSP)=0,"",
xsom(INDIRECT((ADDRESS(ROW(OB36),$I$11+(MATCH(OB$11,L.DATE,0))))&amp;":"&amp;(ADDRESS(ROW(OB36),$I$11+OC$11+(MATCH(OB$11,L.DATE,0))-1))),L.ABSP,
INDIRECT((ADDRESS(ROW(OB36)+1,$I$11+(MATCH(OB$11,L.DATE,0))))&amp;":"&amp;(ADDRESS(ROW(OB36)+1,$I$11+OC$11+(MATCH(OB$11,L.DATE,0))-1)))))</f>
        <v/>
      </c>
      <c r="OC37" s="377" t="str" cm="1">
        <f t="array" aca="1" ref="OC37" ca="1">IF(xcomp(INDIRECT((ADDRESS(ROW(OC36),$I$11+(MATCH(OB$11,L.DATE,0))))&amp;":"&amp;(ADDRESS(ROW(OC36),$I$11+OC$11+(MATCH(OB$11,L.DATE,0))-1))),L.ABS.NP)=0,"",
xsom(INDIRECT((ADDRESS(ROW(OC36),$I$11+(MATCH(OB$11,L.DATE,0))))&amp;":"&amp;(ADDRESS(ROW(OC36),$I$11+OC$11+(MATCH(OB$11,L.DATE,0))-1))),L.ABS.NP,
INDIRECT((ADDRESS(ROW(OC36)+1,$I$11+(MATCH(OB$11,L.DATE,0))))&amp;":"&amp;(ADDRESS(ROW(OC36)+1,$I$11+OC$11+(MATCH(OB$11,L.DATE,0))-1)))))</f>
        <v/>
      </c>
      <c r="OD37" s="376" t="str" cm="1">
        <f t="array" aca="1" ref="OD37" ca="1">IF(xcomp(INDIRECT((ADDRESS(ROW(OD36),$I$11+(MATCH(OD$11,L.DATE,0))))&amp;":"&amp;(ADDRESS(ROW(OD36),$I$11+OE$11+(MATCH(OD$11,L.DATE,0))-1))),L.ABSP)=0,"",
xsom(INDIRECT((ADDRESS(ROW(OD36),$I$11+(MATCH(OD$11,L.DATE,0))))&amp;":"&amp;(ADDRESS(ROW(OD36),$I$11+OE$11+(MATCH(OD$11,L.DATE,0))-1))),L.ABSP,
INDIRECT((ADDRESS(ROW(OD36)+1,$I$11+(MATCH(OD$11,L.DATE,0))))&amp;":"&amp;(ADDRESS(ROW(OD36)+1,$I$11+OE$11+(MATCH(OD$11,L.DATE,0))-1)))))</f>
        <v/>
      </c>
      <c r="OE37" s="377" t="str" cm="1">
        <f t="array" aca="1" ref="OE37" ca="1">IF(xcomp(INDIRECT((ADDRESS(ROW(OE36),$I$11+(MATCH(OD$11,L.DATE,0))))&amp;":"&amp;(ADDRESS(ROW(OE36),$I$11+OE$11+(MATCH(OD$11,L.DATE,0))-1))),L.ABS.NP)=0,"",
xsom(INDIRECT((ADDRESS(ROW(OE36),$I$11+(MATCH(OD$11,L.DATE,0))))&amp;":"&amp;(ADDRESS(ROW(OE36),$I$11+OE$11+(MATCH(OD$11,L.DATE,0))-1))),L.ABS.NP,
INDIRECT((ADDRESS(ROW(OE36)+1,$I$11+(MATCH(OD$11,L.DATE,0))))&amp;":"&amp;(ADDRESS(ROW(OE36)+1,$I$11+OE$11+(MATCH(OD$11,L.DATE,0))-1)))))</f>
        <v/>
      </c>
      <c r="OF37" s="376" t="str" cm="1">
        <f t="array" aca="1" ref="OF37" ca="1">IF(xcomp(INDIRECT((ADDRESS(ROW(OF36),$I$11+(MATCH(OF$11,L.DATE,0))))&amp;":"&amp;(ADDRESS(ROW(OF36),$I$11+OG$11+(MATCH(OF$11,L.DATE,0))-1))),L.ABSP)=0,"",
xsom(INDIRECT((ADDRESS(ROW(OF36),$I$11+(MATCH(OF$11,L.DATE,0))))&amp;":"&amp;(ADDRESS(ROW(OF36),$I$11+OG$11+(MATCH(OF$11,L.DATE,0))-1))),L.ABSP,
INDIRECT((ADDRESS(ROW(OF36)+1,$I$11+(MATCH(OF$11,L.DATE,0))))&amp;":"&amp;(ADDRESS(ROW(OF36)+1,$I$11+OG$11+(MATCH(OF$11,L.DATE,0))-1)))))</f>
        <v/>
      </c>
      <c r="OG37" s="377" t="str" cm="1">
        <f t="array" aca="1" ref="OG37" ca="1">IF(xcomp(INDIRECT((ADDRESS(ROW(OG36),$I$11+(MATCH(OF$11,L.DATE,0))))&amp;":"&amp;(ADDRESS(ROW(OG36),$I$11+OG$11+(MATCH(OF$11,L.DATE,0))-1))),L.ABS.NP)=0,"",
xsom(INDIRECT((ADDRESS(ROW(OG36),$I$11+(MATCH(OF$11,L.DATE,0))))&amp;":"&amp;(ADDRESS(ROW(OG36),$I$11+OG$11+(MATCH(OF$11,L.DATE,0))-1))),L.ABS.NP,
INDIRECT((ADDRESS(ROW(OG36)+1,$I$11+(MATCH(OF$11,L.DATE,0))))&amp;":"&amp;(ADDRESS(ROW(OG36)+1,$I$11+OG$11+(MATCH(OF$11,L.DATE,0))-1)))))</f>
        <v/>
      </c>
      <c r="OH37" s="376" t="str" cm="1">
        <f t="array" aca="1" ref="OH37" ca="1">IF(xcomp(INDIRECT((ADDRESS(ROW(OH36),$I$11+(MATCH(OH$11,L.DATE,0))))&amp;":"&amp;(ADDRESS(ROW(OH36),$I$11+OI$11+(MATCH(OH$11,L.DATE,0))-1))),L.ABSP)=0,"",
xsom(INDIRECT((ADDRESS(ROW(OH36),$I$11+(MATCH(OH$11,L.DATE,0))))&amp;":"&amp;(ADDRESS(ROW(OH36),$I$11+OI$11+(MATCH(OH$11,L.DATE,0))-1))),L.ABSP,
INDIRECT((ADDRESS(ROW(OH36)+1,$I$11+(MATCH(OH$11,L.DATE,0))))&amp;":"&amp;(ADDRESS(ROW(OH36)+1,$I$11+OI$11+(MATCH(OH$11,L.DATE,0))-1)))))</f>
        <v/>
      </c>
      <c r="OI37" s="377" t="str" cm="1">
        <f t="array" aca="1" ref="OI37" ca="1">IF(xcomp(INDIRECT((ADDRESS(ROW(OI36),$I$11+(MATCH(OH$11,L.DATE,0))))&amp;":"&amp;(ADDRESS(ROW(OI36),$I$11+OI$11+(MATCH(OH$11,L.DATE,0))-1))),L.ABS.NP)=0,"",
xsom(INDIRECT((ADDRESS(ROW(OI36),$I$11+(MATCH(OH$11,L.DATE,0))))&amp;":"&amp;(ADDRESS(ROW(OI36),$I$11+OI$11+(MATCH(OH$11,L.DATE,0))-1))),L.ABS.NP,
INDIRECT((ADDRESS(ROW(OI36)+1,$I$11+(MATCH(OH$11,L.DATE,0))))&amp;":"&amp;(ADDRESS(ROW(OI36)+1,$I$11+OI$11+(MATCH(OH$11,L.DATE,0))-1)))))</f>
        <v/>
      </c>
      <c r="OJ37" s="376" t="str" cm="1">
        <f t="array" aca="1" ref="OJ37" ca="1">IF(xcomp(INDIRECT((ADDRESS(ROW(OJ36),$I$11+(MATCH(OJ$11,L.DATE,0))))&amp;":"&amp;(ADDRESS(ROW(OJ36),$I$11+OK$11+(MATCH(OJ$11,L.DATE,0))-1))),L.ABSP)=0,"",
xsom(INDIRECT((ADDRESS(ROW(OJ36),$I$11+(MATCH(OJ$11,L.DATE,0))))&amp;":"&amp;(ADDRESS(ROW(OJ36),$I$11+OK$11+(MATCH(OJ$11,L.DATE,0))-1))),L.ABSP,
INDIRECT((ADDRESS(ROW(OJ36)+1,$I$11+(MATCH(OJ$11,L.DATE,0))))&amp;":"&amp;(ADDRESS(ROW(OJ36)+1,$I$11+OK$11+(MATCH(OJ$11,L.DATE,0))-1)))))</f>
        <v/>
      </c>
      <c r="OK37" s="378" t="str" cm="1">
        <f t="array" aca="1" ref="OK37" ca="1">IF(xcomp(INDIRECT((ADDRESS(ROW(OK36),$I$11+(MATCH(OJ$11,L.DATE,0))))&amp;":"&amp;(ADDRESS(ROW(OK36),$I$11+OK$11+(MATCH(OJ$11,L.DATE,0))-1))),L.ABS.NP)=0,"",
xsom(INDIRECT((ADDRESS(ROW(OK36),$I$11+(MATCH(OJ$11,L.DATE,0))))&amp;":"&amp;(ADDRESS(ROW(OK36),$I$11+OK$11+(MATCH(OJ$11,L.DATE,0))-1))),L.ABS.NP,
INDIRECT((ADDRESS(ROW(OK36)+1,$I$11+(MATCH(OJ$11,L.DATE,0))))&amp;":"&amp;(ADDRESS(ROW(OK36)+1,$I$11+OK$11+(MATCH(OJ$11,L.DATE,0))-1)))))</f>
        <v/>
      </c>
    </row>
    <row r="38" spans="1:404" ht="12" customHeight="1" x14ac:dyDescent="0.3">
      <c r="A38" s="394">
        <v>4</v>
      </c>
      <c r="B38" s="381" t="s">
        <v>502</v>
      </c>
      <c r="C38" s="53">
        <v>1</v>
      </c>
      <c r="D38" s="53" t="s">
        <v>33</v>
      </c>
      <c r="E38" s="53" t="s">
        <v>484</v>
      </c>
      <c r="F38" s="53" t="s">
        <v>13</v>
      </c>
      <c r="G38" s="104" t="s">
        <v>498</v>
      </c>
      <c r="H38" s="108">
        <v>2</v>
      </c>
      <c r="I38" s="28"/>
      <c r="J38" s="482"/>
      <c r="K38" s="487"/>
      <c r="L38" s="486"/>
      <c r="M38" s="482"/>
      <c r="N38" s="482"/>
      <c r="O38" s="482"/>
      <c r="P38" s="482"/>
      <c r="Q38" s="482"/>
      <c r="R38" s="482"/>
      <c r="S38" s="482"/>
      <c r="T38" s="482"/>
      <c r="U38" s="482"/>
      <c r="V38" s="482"/>
      <c r="W38" s="482"/>
      <c r="X38" s="482"/>
      <c r="Y38" s="482"/>
      <c r="Z38" s="482"/>
      <c r="AA38" s="482"/>
      <c r="AB38" s="482"/>
      <c r="AC38" s="482"/>
      <c r="AD38" s="482"/>
      <c r="AE38" s="482"/>
      <c r="AF38" s="482"/>
      <c r="AG38" s="482"/>
      <c r="AH38" s="482"/>
      <c r="AI38" s="482"/>
      <c r="AJ38" s="482"/>
      <c r="AK38" s="482"/>
      <c r="AL38" s="482"/>
      <c r="AM38" s="482"/>
      <c r="AN38" s="482"/>
      <c r="AO38" s="482"/>
      <c r="AP38" s="482"/>
      <c r="AQ38" s="482"/>
      <c r="AR38" s="482"/>
      <c r="AS38" s="482"/>
      <c r="AT38" s="482"/>
      <c r="AU38" s="482"/>
      <c r="AV38" s="482"/>
      <c r="AW38" s="482"/>
      <c r="AX38" s="482"/>
      <c r="AY38" s="482"/>
      <c r="AZ38" s="482"/>
      <c r="BA38" s="482"/>
      <c r="BB38" s="482"/>
      <c r="BC38" s="482"/>
      <c r="BD38" s="482"/>
      <c r="BE38" s="482"/>
      <c r="BF38" s="482"/>
      <c r="BG38" s="482"/>
      <c r="BH38" s="482"/>
      <c r="BI38" s="482"/>
      <c r="BJ38" s="482"/>
      <c r="BK38" s="482"/>
      <c r="BL38" s="482"/>
      <c r="BM38" s="482"/>
      <c r="BN38" s="482"/>
      <c r="BO38" s="484" t="s">
        <v>27</v>
      </c>
      <c r="BP38" s="484" t="s">
        <v>27</v>
      </c>
      <c r="BQ38" s="484" t="s">
        <v>27</v>
      </c>
      <c r="BR38" s="484" t="s">
        <v>27</v>
      </c>
      <c r="BS38" s="484" t="s">
        <v>27</v>
      </c>
      <c r="BT38" s="482"/>
      <c r="BU38" s="482"/>
      <c r="BV38" s="484" t="s">
        <v>27</v>
      </c>
      <c r="BW38" s="484" t="s">
        <v>27</v>
      </c>
      <c r="BX38" s="484" t="s">
        <v>27</v>
      </c>
      <c r="BY38" s="484" t="s">
        <v>27</v>
      </c>
      <c r="BZ38" s="484" t="s">
        <v>27</v>
      </c>
      <c r="CA38" s="482"/>
      <c r="CB38" s="482"/>
      <c r="CC38" s="484" t="s">
        <v>27</v>
      </c>
      <c r="CD38" s="484" t="s">
        <v>27</v>
      </c>
      <c r="CE38" s="484" t="s">
        <v>27</v>
      </c>
      <c r="CF38" s="484" t="s">
        <v>27</v>
      </c>
      <c r="CG38" s="484" t="s">
        <v>27</v>
      </c>
      <c r="CH38" s="482"/>
      <c r="CI38" s="482"/>
      <c r="CJ38" s="484" t="s">
        <v>27</v>
      </c>
      <c r="CK38" s="484" t="s">
        <v>27</v>
      </c>
      <c r="CL38" s="484" t="s">
        <v>27</v>
      </c>
      <c r="CM38" s="484" t="s">
        <v>27</v>
      </c>
      <c r="CN38" s="484" t="s">
        <v>27</v>
      </c>
      <c r="CO38" s="482"/>
      <c r="CP38" s="482"/>
      <c r="CQ38" s="484" t="s">
        <v>27</v>
      </c>
      <c r="CR38" s="484" t="s">
        <v>27</v>
      </c>
      <c r="CS38" s="484" t="s">
        <v>27</v>
      </c>
      <c r="CT38" s="484" t="s">
        <v>27</v>
      </c>
      <c r="CU38" s="484" t="s">
        <v>27</v>
      </c>
      <c r="CV38" s="482"/>
      <c r="CW38" s="482"/>
      <c r="CX38" s="482"/>
      <c r="CY38" s="482"/>
      <c r="CZ38" s="482"/>
      <c r="DA38" s="482"/>
      <c r="DB38" s="482"/>
      <c r="DC38" s="482"/>
      <c r="DD38" s="482"/>
      <c r="DE38" s="482"/>
      <c r="DF38" s="482"/>
      <c r="DG38" s="482"/>
      <c r="DH38" s="482"/>
      <c r="DI38" s="482"/>
      <c r="DJ38" s="482"/>
      <c r="DK38" s="482"/>
      <c r="DL38" s="482"/>
      <c r="DM38" s="482"/>
      <c r="DN38" s="482"/>
      <c r="DO38" s="482"/>
      <c r="DP38" s="482"/>
      <c r="DQ38" s="482"/>
      <c r="DR38" s="482"/>
      <c r="DS38" s="482"/>
      <c r="DT38" s="482"/>
      <c r="DU38" s="482"/>
      <c r="DV38" s="482"/>
      <c r="DW38" s="482"/>
      <c r="DX38" s="482"/>
      <c r="DY38" s="482"/>
      <c r="DZ38" s="482"/>
      <c r="EA38" s="482"/>
      <c r="EB38" s="482"/>
      <c r="EC38" s="482"/>
      <c r="ED38" s="482"/>
      <c r="EE38" s="482"/>
      <c r="EF38" s="482"/>
      <c r="EG38" s="482"/>
      <c r="EH38" s="482"/>
      <c r="EI38" s="482"/>
      <c r="EJ38" s="482"/>
      <c r="EK38" s="482"/>
      <c r="EL38" s="482"/>
      <c r="EM38" s="482"/>
      <c r="EN38" s="482"/>
      <c r="EO38" s="482"/>
      <c r="EP38" s="482"/>
      <c r="EQ38" s="482"/>
      <c r="ER38" s="482"/>
      <c r="ES38" s="482"/>
      <c r="ET38" s="482"/>
      <c r="EU38" s="482"/>
      <c r="EV38" s="482"/>
      <c r="EW38" s="482"/>
      <c r="EX38" s="482"/>
      <c r="EY38" s="482"/>
      <c r="EZ38" s="482"/>
      <c r="FA38" s="482"/>
      <c r="FB38" s="482"/>
      <c r="FC38" s="482"/>
      <c r="FD38" s="482"/>
      <c r="FE38" s="482"/>
      <c r="FF38" s="482"/>
      <c r="FG38" s="482"/>
      <c r="FH38" s="482"/>
      <c r="FI38" s="482"/>
      <c r="FJ38" s="482"/>
      <c r="FK38" s="482"/>
      <c r="FL38" s="482"/>
      <c r="FM38" s="482"/>
      <c r="FN38" s="482"/>
      <c r="FO38" s="482"/>
      <c r="FP38" s="482"/>
      <c r="FQ38" s="482"/>
      <c r="FR38" s="482"/>
      <c r="FS38" s="482"/>
      <c r="FT38" s="482"/>
      <c r="FU38" s="482"/>
      <c r="FV38" s="482"/>
      <c r="FW38" s="482"/>
      <c r="FX38" s="482"/>
      <c r="FY38" s="482"/>
      <c r="FZ38" s="482"/>
      <c r="GA38" s="482"/>
      <c r="GB38" s="482"/>
      <c r="GC38" s="482"/>
      <c r="GD38" s="482"/>
      <c r="GE38" s="482"/>
      <c r="GF38" s="482"/>
      <c r="GG38" s="482"/>
      <c r="GH38" s="482"/>
      <c r="GI38" s="482"/>
      <c r="GJ38" s="482"/>
      <c r="GK38" s="482"/>
      <c r="GL38" s="482"/>
      <c r="GM38" s="482"/>
      <c r="GN38" s="482"/>
      <c r="GO38" s="482"/>
      <c r="GP38" s="482"/>
      <c r="GQ38" s="482"/>
      <c r="GR38" s="482"/>
      <c r="GS38" s="482"/>
      <c r="GT38" s="482"/>
      <c r="GU38" s="482"/>
      <c r="GV38" s="482"/>
      <c r="GW38" s="482"/>
      <c r="GX38" s="482"/>
      <c r="GY38" s="482"/>
      <c r="GZ38" s="482"/>
      <c r="HA38" s="482"/>
      <c r="HB38" s="482"/>
      <c r="HC38" s="482"/>
      <c r="HD38" s="482"/>
      <c r="HE38" s="482"/>
      <c r="HF38" s="482"/>
      <c r="HG38" s="482"/>
      <c r="HH38" s="482"/>
      <c r="HI38" s="482"/>
      <c r="HJ38" s="482"/>
      <c r="HK38" s="482"/>
      <c r="HL38" s="482"/>
      <c r="HM38" s="482"/>
      <c r="HN38" s="482"/>
      <c r="HO38" s="482"/>
      <c r="HP38" s="482"/>
      <c r="HQ38" s="482"/>
      <c r="HR38" s="482"/>
      <c r="HS38" s="482"/>
      <c r="HT38" s="482"/>
      <c r="HU38" s="482"/>
      <c r="HV38" s="482"/>
      <c r="HW38" s="482"/>
      <c r="HX38" s="482"/>
      <c r="HY38" s="482"/>
      <c r="HZ38" s="482"/>
      <c r="IA38" s="482"/>
      <c r="IB38" s="482"/>
      <c r="IC38" s="482"/>
      <c r="ID38" s="482"/>
      <c r="IE38" s="482"/>
      <c r="IF38" s="482"/>
      <c r="IG38" s="482"/>
      <c r="IH38" s="482"/>
      <c r="II38" s="482"/>
      <c r="IJ38" s="482"/>
      <c r="IK38" s="482"/>
      <c r="IL38" s="482"/>
      <c r="IM38" s="482"/>
      <c r="IN38" s="482"/>
      <c r="IO38" s="482"/>
      <c r="IP38" s="482"/>
      <c r="IQ38" s="482"/>
      <c r="IR38" s="482"/>
      <c r="IS38" s="482"/>
      <c r="IT38" s="482"/>
      <c r="IU38" s="482"/>
      <c r="IV38" s="482"/>
      <c r="IW38" s="482"/>
      <c r="IX38" s="482"/>
      <c r="IY38" s="482"/>
      <c r="IZ38" s="482"/>
      <c r="JA38" s="482"/>
      <c r="JB38" s="482"/>
      <c r="JC38" s="482"/>
      <c r="JD38" s="482"/>
      <c r="JE38" s="482"/>
      <c r="JF38" s="482"/>
      <c r="JG38" s="482"/>
      <c r="JH38" s="482"/>
      <c r="JI38" s="482"/>
      <c r="JJ38" s="482"/>
      <c r="JK38" s="482"/>
      <c r="JL38" s="482"/>
      <c r="JM38" s="482"/>
      <c r="JN38" s="482"/>
      <c r="JO38" s="482"/>
      <c r="JP38" s="482"/>
      <c r="JQ38" s="482"/>
      <c r="JR38" s="482"/>
      <c r="JS38" s="482"/>
      <c r="JT38" s="482"/>
      <c r="JU38" s="482"/>
      <c r="JV38" s="482"/>
      <c r="JW38" s="482"/>
      <c r="JX38" s="482"/>
      <c r="JY38" s="482"/>
      <c r="JZ38" s="482"/>
      <c r="KA38" s="482"/>
      <c r="KB38" s="482"/>
      <c r="KC38" s="482"/>
      <c r="KD38" s="482"/>
      <c r="KE38" s="482"/>
      <c r="KF38" s="482"/>
      <c r="KG38" s="482"/>
      <c r="KH38" s="482"/>
      <c r="KI38" s="482"/>
      <c r="KJ38" s="482"/>
      <c r="KK38" s="482"/>
      <c r="KL38" s="482"/>
      <c r="KM38" s="482"/>
      <c r="KN38" s="482"/>
      <c r="KO38" s="482"/>
      <c r="KP38" s="482"/>
      <c r="KQ38" s="482"/>
      <c r="KR38" s="482"/>
      <c r="KS38" s="482"/>
      <c r="KT38" s="482"/>
      <c r="KU38" s="482"/>
      <c r="KV38" s="482"/>
      <c r="KW38" s="482"/>
      <c r="KX38" s="482"/>
      <c r="KY38" s="482"/>
      <c r="KZ38" s="482"/>
      <c r="LA38" s="482"/>
      <c r="LB38" s="482"/>
      <c r="LC38" s="482"/>
      <c r="LD38" s="482"/>
      <c r="LE38" s="482"/>
      <c r="LF38" s="482"/>
      <c r="LG38" s="482"/>
      <c r="LH38" s="482"/>
      <c r="LI38" s="482"/>
      <c r="LJ38" s="482"/>
      <c r="LK38" s="482"/>
      <c r="LL38" s="482"/>
      <c r="LM38" s="482"/>
      <c r="LN38" s="482"/>
      <c r="LO38" s="482"/>
      <c r="LP38" s="482"/>
      <c r="LQ38" s="482"/>
      <c r="LR38" s="482"/>
      <c r="LS38" s="482"/>
      <c r="LT38" s="482"/>
      <c r="LU38" s="482"/>
      <c r="LV38" s="482"/>
      <c r="LW38" s="482"/>
      <c r="LX38" s="482"/>
      <c r="LY38" s="482"/>
      <c r="LZ38" s="482"/>
      <c r="MA38" s="482"/>
      <c r="MB38" s="482"/>
      <c r="MC38" s="482"/>
      <c r="MD38" s="482"/>
      <c r="ME38" s="482"/>
      <c r="MF38" s="482"/>
      <c r="MG38" s="482"/>
      <c r="MH38" s="482"/>
      <c r="MI38" s="482"/>
      <c r="MJ38" s="482"/>
      <c r="MK38" s="482"/>
      <c r="ML38" s="482"/>
      <c r="MM38" s="482"/>
      <c r="MN38" s="482"/>
      <c r="MO38" s="482"/>
      <c r="MP38" s="482"/>
      <c r="MQ38" s="482"/>
      <c r="MR38" s="482"/>
      <c r="MS38" s="482"/>
      <c r="MT38" s="482"/>
      <c r="MU38" s="482"/>
      <c r="MV38" s="482"/>
      <c r="MW38" s="482"/>
      <c r="MX38" s="482"/>
      <c r="MY38" s="482"/>
      <c r="MZ38" s="482"/>
      <c r="NA38" s="482"/>
      <c r="NB38" s="482"/>
      <c r="NC38" s="482"/>
      <c r="ND38" s="482"/>
      <c r="NE38" s="482"/>
      <c r="NF38" s="482"/>
      <c r="NG38" s="482"/>
      <c r="NH38" s="482"/>
      <c r="NI38" s="482"/>
      <c r="NJ38" s="483"/>
      <c r="NK38" s="34"/>
      <c r="NM38" s="159">
        <f>A38</f>
        <v>4</v>
      </c>
      <c r="NN38" s="373">
        <f ca="1">COUNTIF(INDIRECT((ADDRESS(ROW(NO39),$I$11+(MATCH(NN$11,L.DATE,0))))&amp;":"&amp;(ADDRESS(ROW(NO39),$I$11+NO$11+(MATCH(NN$11,L.DATE,0))-1))),"&gt;=0")-NO38</f>
        <v>0</v>
      </c>
      <c r="NO38" s="374">
        <f ca="1">SUM(INDIRECT((ADDRESS(ROW(NO39),$I$11+(MATCH(NN$11,L.DATE,0))))&amp;":"&amp;(ADDRESS(ROW(NO39),$I$11+NO$11+(MATCH(NN$11,L.DATE,0))-1))))</f>
        <v>0</v>
      </c>
      <c r="NP38" s="373">
        <f ca="1">COUNTIF(INDIRECT((ADDRESS(ROW(NQ39),$I$11+(MATCH(NP$11,L.DATE,0))))&amp;":"&amp;(ADDRESS(ROW(NQ39),$I$11+NQ$11+(MATCH(NP$11,L.DATE,0))-1))),"&gt;=0")-NQ38</f>
        <v>2</v>
      </c>
      <c r="NQ38" s="374">
        <f ca="1">SUM(INDIRECT((ADDRESS(ROW(NQ39),$I$11+(MATCH(NP$11,L.DATE,0))))&amp;":"&amp;(ADDRESS(ROW(NQ39),$I$11+NQ$11+(MATCH(NP$11,L.DATE,0))-1))))</f>
        <v>0</v>
      </c>
      <c r="NR38" s="373">
        <f ca="1">COUNTIF(INDIRECT((ADDRESS(ROW(NS39),$I$11+(MATCH(NR$11,L.DATE,0))))&amp;":"&amp;(ADDRESS(ROW(NS39),$I$11+NS$11+(MATCH(NR$11,L.DATE,0))-1))),"&gt;=0")-NS38</f>
        <v>23</v>
      </c>
      <c r="NS38" s="374">
        <f ca="1">SUM(INDIRECT((ADDRESS(ROW(NS39),$I$11+(MATCH(NR$11,L.DATE,0))))&amp;":"&amp;(ADDRESS(ROW(NS39),$I$11+NS$11+(MATCH(NR$11,L.DATE,0))-1))))</f>
        <v>0</v>
      </c>
      <c r="NT38" s="373">
        <f ca="1">COUNTIF(INDIRECT((ADDRESS(ROW(NU39),$I$11+(MATCH(NT$11,L.DATE,0))))&amp;":"&amp;(ADDRESS(ROW(NU39),$I$11+NU$11+(MATCH(NT$11,L.DATE,0))-1))),"&gt;=0")-NU38</f>
        <v>0</v>
      </c>
      <c r="NU38" s="374">
        <f ca="1">SUM(INDIRECT((ADDRESS(ROW(NU39),$I$11+(MATCH(NT$11,L.DATE,0))))&amp;":"&amp;(ADDRESS(ROW(NU39),$I$11+NU$11+(MATCH(NT$11,L.DATE,0))-1))))</f>
        <v>0</v>
      </c>
      <c r="NV38" s="373">
        <f ca="1">COUNTIF(INDIRECT((ADDRESS(ROW(NW39),$I$11+(MATCH(NV$11,L.DATE,0))))&amp;":"&amp;(ADDRESS(ROW(NW39),$I$11+NW$11+(MATCH(NV$11,L.DATE,0))-1))),"&gt;=0")-NW38</f>
        <v>0</v>
      </c>
      <c r="NW38" s="374">
        <f ca="1">SUM(INDIRECT((ADDRESS(ROW(NW39),$I$11+(MATCH(NV$11,L.DATE,0))))&amp;":"&amp;(ADDRESS(ROW(NW39),$I$11+NW$11+(MATCH(NV$11,L.DATE,0))-1))))</f>
        <v>0</v>
      </c>
      <c r="NX38" s="373">
        <f ca="1">COUNTIF(INDIRECT((ADDRESS(ROW(NY39),$I$11+(MATCH(NX$11,L.DATE,0))))&amp;":"&amp;(ADDRESS(ROW(NY39),$I$11+NY$11+(MATCH(NX$11,L.DATE,0))-1))),"&gt;=0")-NY38</f>
        <v>0</v>
      </c>
      <c r="NY38" s="374">
        <f ca="1">SUM(INDIRECT((ADDRESS(ROW(NY39),$I$11+(MATCH(NX$11,L.DATE,0))))&amp;":"&amp;(ADDRESS(ROW(NY39),$I$11+NY$11+(MATCH(NX$11,L.DATE,0))-1))))</f>
        <v>0</v>
      </c>
      <c r="NZ38" s="373">
        <f ca="1">COUNTIF(INDIRECT((ADDRESS(ROW(OA39),$I$11+(MATCH(NZ$11,L.DATE,0))))&amp;":"&amp;(ADDRESS(ROW(OA39),$I$11+OA$11+(MATCH(NZ$11,L.DATE,0))-1))),"&gt;=0")-OA38</f>
        <v>0</v>
      </c>
      <c r="OA38" s="374">
        <f ca="1">SUM(INDIRECT((ADDRESS(ROW(OA39),$I$11+(MATCH(NZ$11,L.DATE,0))))&amp;":"&amp;(ADDRESS(ROW(OA39),$I$11+OA$11+(MATCH(NZ$11,L.DATE,0))-1))))</f>
        <v>0</v>
      </c>
      <c r="OB38" s="373">
        <f ca="1">COUNTIF(INDIRECT((ADDRESS(ROW(OC39),$I$11+(MATCH(OB$11,L.DATE,0))))&amp;":"&amp;(ADDRESS(ROW(OC39),$I$11+OC$11+(MATCH(OB$11,L.DATE,0))-1))),"&gt;=0")-OC38</f>
        <v>0</v>
      </c>
      <c r="OC38" s="374">
        <f ca="1">SUM(INDIRECT((ADDRESS(ROW(OC39),$I$11+(MATCH(OB$11,L.DATE,0))))&amp;":"&amp;(ADDRESS(ROW(OC39),$I$11+OC$11+(MATCH(OB$11,L.DATE,0))-1))))</f>
        <v>0</v>
      </c>
      <c r="OD38" s="373">
        <f ca="1">COUNTIF(INDIRECT((ADDRESS(ROW(OE39),$I$11+(MATCH(OD$11,L.DATE,0))))&amp;":"&amp;(ADDRESS(ROW(OE39),$I$11+OE$11+(MATCH(OD$11,L.DATE,0))-1))),"&gt;=0")-OE38</f>
        <v>0</v>
      </c>
      <c r="OE38" s="374">
        <f ca="1">SUM(INDIRECT((ADDRESS(ROW(OE39),$I$11+(MATCH(OD$11,L.DATE,0))))&amp;":"&amp;(ADDRESS(ROW(OE39),$I$11+OE$11+(MATCH(OD$11,L.DATE,0))-1))))</f>
        <v>0</v>
      </c>
      <c r="OF38" s="373">
        <f ca="1">COUNTIF(INDIRECT((ADDRESS(ROW(OG39),$I$11+(MATCH(OF$11,L.DATE,0))))&amp;":"&amp;(ADDRESS(ROW(OG39),$I$11+OG$11+(MATCH(OF$11,L.DATE,0))-1))),"&gt;=0")-OG38</f>
        <v>0</v>
      </c>
      <c r="OG38" s="374">
        <f ca="1">SUM(INDIRECT((ADDRESS(ROW(OG39),$I$11+(MATCH(OF$11,L.DATE,0))))&amp;":"&amp;(ADDRESS(ROW(OG39),$I$11+OG$11+(MATCH(OF$11,L.DATE,0))-1))))</f>
        <v>0</v>
      </c>
      <c r="OH38" s="373">
        <f ca="1">COUNTIF(INDIRECT((ADDRESS(ROW(OI39),$I$11+(MATCH(OH$11,L.DATE,0))))&amp;":"&amp;(ADDRESS(ROW(OI39),$I$11+OI$11+(MATCH(OH$11,L.DATE,0))-1))),"&gt;=0")-OI38</f>
        <v>0</v>
      </c>
      <c r="OI38" s="374">
        <f ca="1">SUM(INDIRECT((ADDRESS(ROW(OI39),$I$11+(MATCH(OH$11,L.DATE,0))))&amp;":"&amp;(ADDRESS(ROW(OI39),$I$11+OI$11+(MATCH(OH$11,L.DATE,0))-1))))</f>
        <v>0</v>
      </c>
      <c r="OJ38" s="373">
        <f ca="1">COUNTIF(INDIRECT((ADDRESS(ROW(OK39),$I$11+(MATCH(OJ$11,L.DATE,0))))&amp;":"&amp;(ADDRESS(ROW(OK39),$I$11+OK$11+(MATCH(OJ$11,L.DATE,0))-1))),"&gt;=0")-OK38</f>
        <v>0</v>
      </c>
      <c r="OK38" s="375">
        <f ca="1">SUM(INDIRECT((ADDRESS(ROW(OK39),$I$11+(MATCH(OJ$11,L.DATE,0))))&amp;":"&amp;(ADDRESS(ROW(OK39),$I$11+OK$11+(MATCH(OJ$11,L.DATE,0))-1))))</f>
        <v>0</v>
      </c>
      <c r="OM38" s="39">
        <f ca="1">NN38+NP38+NR38+NT38+NV38+NX38+NZ38+OB38+OD38+OF38+OJ38+OH38</f>
        <v>25</v>
      </c>
      <c r="ON38" s="40">
        <f ca="1">NO38+NQ38+NS38+NU38+NW38+NY38+OA38+OC38+OE38+OG38+OK38+OI38</f>
        <v>0</v>
      </c>
    </row>
    <row r="39" spans="1:404" x14ac:dyDescent="0.3">
      <c r="A39" s="33"/>
      <c r="B39" s="16" t="str">
        <f t="shared" ref="B39:H39" si="35">B38</f>
        <v>TECH.N1</v>
      </c>
      <c r="C39" s="16">
        <f t="shared" si="35"/>
        <v>1</v>
      </c>
      <c r="D39" s="16" t="str">
        <f t="shared" si="35"/>
        <v>EXT</v>
      </c>
      <c r="E39" s="16" t="str">
        <f t="shared" si="35"/>
        <v>ITG</v>
      </c>
      <c r="F39" s="16" t="str">
        <f t="shared" si="35"/>
        <v>SL</v>
      </c>
      <c r="G39" s="105" t="str">
        <f t="shared" si="35"/>
        <v>N1</v>
      </c>
      <c r="H39" s="109">
        <f t="shared" si="35"/>
        <v>2</v>
      </c>
      <c r="I39" s="28"/>
      <c r="J39" s="482"/>
      <c r="K39" s="485"/>
      <c r="L39" s="482"/>
      <c r="M39" s="482"/>
      <c r="N39" s="482"/>
      <c r="O39" s="482"/>
      <c r="P39" s="482"/>
      <c r="Q39" s="482"/>
      <c r="R39" s="482"/>
      <c r="S39" s="482"/>
      <c r="T39" s="482"/>
      <c r="U39" s="482"/>
      <c r="V39" s="482"/>
      <c r="W39" s="482"/>
      <c r="X39" s="482"/>
      <c r="Y39" s="482"/>
      <c r="Z39" s="482"/>
      <c r="AA39" s="482"/>
      <c r="AB39" s="482"/>
      <c r="AC39" s="482"/>
      <c r="AD39" s="482"/>
      <c r="AE39" s="482"/>
      <c r="AF39" s="482"/>
      <c r="AG39" s="482"/>
      <c r="AH39" s="482"/>
      <c r="AI39" s="482"/>
      <c r="AJ39" s="482"/>
      <c r="AK39" s="482"/>
      <c r="AL39" s="482"/>
      <c r="AM39" s="482"/>
      <c r="AN39" s="482"/>
      <c r="AO39" s="482"/>
      <c r="AP39" s="482"/>
      <c r="AQ39" s="482"/>
      <c r="AR39" s="482"/>
      <c r="AS39" s="482"/>
      <c r="AT39" s="482"/>
      <c r="AU39" s="482"/>
      <c r="AV39" s="482"/>
      <c r="AW39" s="482"/>
      <c r="AX39" s="482"/>
      <c r="AY39" s="482"/>
      <c r="AZ39" s="482"/>
      <c r="BA39" s="482"/>
      <c r="BB39" s="482"/>
      <c r="BC39" s="482"/>
      <c r="BD39" s="482"/>
      <c r="BE39" s="482"/>
      <c r="BF39" s="482"/>
      <c r="BG39" s="482"/>
      <c r="BH39" s="482"/>
      <c r="BI39" s="482"/>
      <c r="BJ39" s="482"/>
      <c r="BK39" s="482"/>
      <c r="BL39" s="482"/>
      <c r="BM39" s="482"/>
      <c r="BN39" s="482"/>
      <c r="BO39" s="485">
        <v>0</v>
      </c>
      <c r="BP39" s="485">
        <v>0</v>
      </c>
      <c r="BQ39" s="485">
        <v>0</v>
      </c>
      <c r="BR39" s="485">
        <v>0</v>
      </c>
      <c r="BS39" s="485">
        <v>0</v>
      </c>
      <c r="BT39" s="482"/>
      <c r="BU39" s="482"/>
      <c r="BV39" s="485">
        <v>0</v>
      </c>
      <c r="BW39" s="485">
        <v>0</v>
      </c>
      <c r="BX39" s="485">
        <v>0</v>
      </c>
      <c r="BY39" s="485">
        <v>0</v>
      </c>
      <c r="BZ39" s="485">
        <v>0</v>
      </c>
      <c r="CA39" s="482"/>
      <c r="CB39" s="482"/>
      <c r="CC39" s="485">
        <v>0</v>
      </c>
      <c r="CD39" s="485">
        <v>0</v>
      </c>
      <c r="CE39" s="485">
        <v>0</v>
      </c>
      <c r="CF39" s="485">
        <v>0</v>
      </c>
      <c r="CG39" s="485">
        <v>0</v>
      </c>
      <c r="CH39" s="482"/>
      <c r="CI39" s="482"/>
      <c r="CJ39" s="485">
        <v>0</v>
      </c>
      <c r="CK39" s="485">
        <v>0</v>
      </c>
      <c r="CL39" s="485">
        <v>0</v>
      </c>
      <c r="CM39" s="485">
        <v>0</v>
      </c>
      <c r="CN39" s="485">
        <v>0</v>
      </c>
      <c r="CO39" s="482"/>
      <c r="CP39" s="482"/>
      <c r="CQ39" s="485">
        <v>0</v>
      </c>
      <c r="CR39" s="485">
        <v>0</v>
      </c>
      <c r="CS39" s="485">
        <v>0</v>
      </c>
      <c r="CT39" s="485">
        <v>0</v>
      </c>
      <c r="CU39" s="485">
        <v>0</v>
      </c>
      <c r="CV39" s="482"/>
      <c r="CW39" s="482"/>
      <c r="CX39" s="482"/>
      <c r="CY39" s="482"/>
      <c r="CZ39" s="482"/>
      <c r="DA39" s="482"/>
      <c r="DB39" s="482"/>
      <c r="DC39" s="482"/>
      <c r="DD39" s="482"/>
      <c r="DE39" s="482"/>
      <c r="DF39" s="482"/>
      <c r="DG39" s="482"/>
      <c r="DH39" s="482"/>
      <c r="DI39" s="482"/>
      <c r="DJ39" s="482"/>
      <c r="DK39" s="482"/>
      <c r="DL39" s="482"/>
      <c r="DM39" s="482"/>
      <c r="DN39" s="482"/>
      <c r="DO39" s="482"/>
      <c r="DP39" s="482"/>
      <c r="DQ39" s="482"/>
      <c r="DR39" s="482"/>
      <c r="DS39" s="482"/>
      <c r="DT39" s="482"/>
      <c r="DU39" s="482"/>
      <c r="DV39" s="482"/>
      <c r="DW39" s="482"/>
      <c r="DX39" s="482"/>
      <c r="DY39" s="482"/>
      <c r="DZ39" s="482"/>
      <c r="EA39" s="482"/>
      <c r="EB39" s="482"/>
      <c r="EC39" s="482"/>
      <c r="ED39" s="482"/>
      <c r="EE39" s="482"/>
      <c r="EF39" s="482"/>
      <c r="EG39" s="482"/>
      <c r="EH39" s="482"/>
      <c r="EI39" s="482"/>
      <c r="EJ39" s="482"/>
      <c r="EK39" s="482"/>
      <c r="EL39" s="482"/>
      <c r="EM39" s="482"/>
      <c r="EN39" s="482"/>
      <c r="EO39" s="482"/>
      <c r="EP39" s="482"/>
      <c r="EQ39" s="482"/>
      <c r="ER39" s="482"/>
      <c r="ES39" s="482"/>
      <c r="ET39" s="482"/>
      <c r="EU39" s="482"/>
      <c r="EV39" s="482"/>
      <c r="EW39" s="482"/>
      <c r="EX39" s="482"/>
      <c r="EY39" s="482"/>
      <c r="EZ39" s="482"/>
      <c r="FA39" s="482"/>
      <c r="FB39" s="482"/>
      <c r="FC39" s="482"/>
      <c r="FD39" s="482"/>
      <c r="FE39" s="482"/>
      <c r="FF39" s="482"/>
      <c r="FG39" s="482"/>
      <c r="FH39" s="482"/>
      <c r="FI39" s="482"/>
      <c r="FJ39" s="482"/>
      <c r="FK39" s="482"/>
      <c r="FL39" s="482"/>
      <c r="FM39" s="482"/>
      <c r="FN39" s="482"/>
      <c r="FO39" s="482"/>
      <c r="FP39" s="482"/>
      <c r="FQ39" s="482"/>
      <c r="FR39" s="482"/>
      <c r="FS39" s="482"/>
      <c r="FT39" s="482"/>
      <c r="FU39" s="482"/>
      <c r="FV39" s="482"/>
      <c r="FW39" s="482"/>
      <c r="FX39" s="482"/>
      <c r="FY39" s="482"/>
      <c r="FZ39" s="482"/>
      <c r="GA39" s="482"/>
      <c r="GB39" s="482"/>
      <c r="GC39" s="482"/>
      <c r="GD39" s="482"/>
      <c r="GE39" s="482"/>
      <c r="GF39" s="482"/>
      <c r="GG39" s="482"/>
      <c r="GH39" s="482"/>
      <c r="GI39" s="482"/>
      <c r="GJ39" s="482"/>
      <c r="GK39" s="482"/>
      <c r="GL39" s="482"/>
      <c r="GM39" s="482"/>
      <c r="GN39" s="482"/>
      <c r="GO39" s="482"/>
      <c r="GP39" s="482"/>
      <c r="GQ39" s="482"/>
      <c r="GR39" s="482"/>
      <c r="GS39" s="482"/>
      <c r="GT39" s="482"/>
      <c r="GU39" s="482"/>
      <c r="GV39" s="482"/>
      <c r="GW39" s="482"/>
      <c r="GX39" s="482"/>
      <c r="GY39" s="482"/>
      <c r="GZ39" s="482"/>
      <c r="HA39" s="482"/>
      <c r="HB39" s="482"/>
      <c r="HC39" s="482"/>
      <c r="HD39" s="482"/>
      <c r="HE39" s="482"/>
      <c r="HF39" s="482"/>
      <c r="HG39" s="482"/>
      <c r="HH39" s="482"/>
      <c r="HI39" s="482"/>
      <c r="HJ39" s="482"/>
      <c r="HK39" s="482"/>
      <c r="HL39" s="482"/>
      <c r="HM39" s="482"/>
      <c r="HN39" s="482"/>
      <c r="HO39" s="482"/>
      <c r="HP39" s="482"/>
      <c r="HQ39" s="482"/>
      <c r="HR39" s="482"/>
      <c r="HS39" s="482"/>
      <c r="HT39" s="482"/>
      <c r="HU39" s="482"/>
      <c r="HV39" s="482"/>
      <c r="HW39" s="482"/>
      <c r="HX39" s="482"/>
      <c r="HY39" s="482"/>
      <c r="HZ39" s="482"/>
      <c r="IA39" s="482"/>
      <c r="IB39" s="482"/>
      <c r="IC39" s="482"/>
      <c r="ID39" s="482"/>
      <c r="IE39" s="482"/>
      <c r="IF39" s="482"/>
      <c r="IG39" s="482"/>
      <c r="IH39" s="482"/>
      <c r="II39" s="482"/>
      <c r="IJ39" s="482"/>
      <c r="IK39" s="482"/>
      <c r="IL39" s="482"/>
      <c r="IM39" s="482"/>
      <c r="IN39" s="482"/>
      <c r="IO39" s="482"/>
      <c r="IP39" s="482"/>
      <c r="IQ39" s="482"/>
      <c r="IR39" s="482"/>
      <c r="IS39" s="482"/>
      <c r="IT39" s="482"/>
      <c r="IU39" s="482"/>
      <c r="IV39" s="482"/>
      <c r="IW39" s="482"/>
      <c r="IX39" s="482"/>
      <c r="IY39" s="482"/>
      <c r="IZ39" s="482"/>
      <c r="JA39" s="482"/>
      <c r="JB39" s="482"/>
      <c r="JC39" s="482"/>
      <c r="JD39" s="482"/>
      <c r="JE39" s="482"/>
      <c r="JF39" s="482"/>
      <c r="JG39" s="482"/>
      <c r="JH39" s="482"/>
      <c r="JI39" s="482"/>
      <c r="JJ39" s="482"/>
      <c r="JK39" s="482"/>
      <c r="JL39" s="482"/>
      <c r="JM39" s="482"/>
      <c r="JN39" s="482"/>
      <c r="JO39" s="482"/>
      <c r="JP39" s="482"/>
      <c r="JQ39" s="482"/>
      <c r="JR39" s="482"/>
      <c r="JS39" s="482"/>
      <c r="JT39" s="482"/>
      <c r="JU39" s="482"/>
      <c r="JV39" s="482"/>
      <c r="JW39" s="482"/>
      <c r="JX39" s="482"/>
      <c r="JY39" s="482"/>
      <c r="JZ39" s="482"/>
      <c r="KA39" s="482"/>
      <c r="KB39" s="482"/>
      <c r="KC39" s="482"/>
      <c r="KD39" s="482"/>
      <c r="KE39" s="482"/>
      <c r="KF39" s="482"/>
      <c r="KG39" s="482"/>
      <c r="KH39" s="482"/>
      <c r="KI39" s="482"/>
      <c r="KJ39" s="482"/>
      <c r="KK39" s="482"/>
      <c r="KL39" s="482"/>
      <c r="KM39" s="482"/>
      <c r="KN39" s="482"/>
      <c r="KO39" s="482"/>
      <c r="KP39" s="482"/>
      <c r="KQ39" s="482"/>
      <c r="KR39" s="482"/>
      <c r="KS39" s="482"/>
      <c r="KT39" s="482"/>
      <c r="KU39" s="482"/>
      <c r="KV39" s="482"/>
      <c r="KW39" s="482"/>
      <c r="KX39" s="482"/>
      <c r="KY39" s="482"/>
      <c r="KZ39" s="482"/>
      <c r="LA39" s="482"/>
      <c r="LB39" s="482"/>
      <c r="LC39" s="482"/>
      <c r="LD39" s="482"/>
      <c r="LE39" s="482"/>
      <c r="LF39" s="482"/>
      <c r="LG39" s="482"/>
      <c r="LH39" s="482"/>
      <c r="LI39" s="482"/>
      <c r="LJ39" s="482"/>
      <c r="LK39" s="482"/>
      <c r="LL39" s="482"/>
      <c r="LM39" s="482"/>
      <c r="LN39" s="482"/>
      <c r="LO39" s="482"/>
      <c r="LP39" s="482"/>
      <c r="LQ39" s="482"/>
      <c r="LR39" s="482"/>
      <c r="LS39" s="482"/>
      <c r="LT39" s="482"/>
      <c r="LU39" s="482"/>
      <c r="LV39" s="482"/>
      <c r="LW39" s="482"/>
      <c r="LX39" s="482"/>
      <c r="LY39" s="482"/>
      <c r="LZ39" s="482"/>
      <c r="MA39" s="482"/>
      <c r="MB39" s="482"/>
      <c r="MC39" s="482"/>
      <c r="MD39" s="482"/>
      <c r="ME39" s="482"/>
      <c r="MF39" s="482"/>
      <c r="MG39" s="482"/>
      <c r="MH39" s="482"/>
      <c r="MI39" s="482"/>
      <c r="MJ39" s="482"/>
      <c r="MK39" s="482"/>
      <c r="ML39" s="482"/>
      <c r="MM39" s="482"/>
      <c r="MN39" s="482"/>
      <c r="MO39" s="482"/>
      <c r="MP39" s="482"/>
      <c r="MQ39" s="482"/>
      <c r="MR39" s="482"/>
      <c r="MS39" s="482"/>
      <c r="MT39" s="482"/>
      <c r="MU39" s="482"/>
      <c r="MV39" s="482"/>
      <c r="MW39" s="482"/>
      <c r="MX39" s="482"/>
      <c r="MY39" s="482"/>
      <c r="MZ39" s="482"/>
      <c r="NA39" s="482"/>
      <c r="NB39" s="482"/>
      <c r="NC39" s="482"/>
      <c r="ND39" s="482"/>
      <c r="NE39" s="482"/>
      <c r="NF39" s="482"/>
      <c r="NG39" s="482"/>
      <c r="NH39" s="482"/>
      <c r="NI39" s="482"/>
      <c r="NJ39" s="483"/>
      <c r="NK39" s="34"/>
      <c r="NM39" s="379" t="str">
        <f>NM38&amp;".b"</f>
        <v>4.b</v>
      </c>
      <c r="NN39" s="376" t="str" cm="1">
        <f t="array" aca="1" ref="NN39" ca="1">IF(xcomp(INDIRECT((ADDRESS(ROW(NN38),$I$11+(MATCH(NN$11,L.DATE,0))))&amp;":"&amp;(ADDRESS(ROW(NN38),$I$11+NO$11+(MATCH(NN$11,L.DATE,0))-1))),L.ABSP)=0,"",
xsom(INDIRECT((ADDRESS(ROW(NN38),$I$11+(MATCH(NN$11,L.DATE,0))))&amp;":"&amp;(ADDRESS(ROW(NN38),$I$11+NO$11+(MATCH(NN$11,L.DATE,0))-1))),L.ABSP,
INDIRECT((ADDRESS(ROW(NN38)+1,$I$11+(MATCH(NN$11,L.DATE,0))))&amp;":"&amp;(ADDRESS(ROW(NN38)+1,$I$11+NO$11+(MATCH(NN$11,L.DATE,0))-1)))))</f>
        <v/>
      </c>
      <c r="NO39" s="377" t="str" cm="1">
        <f t="array" aca="1" ref="NO39" ca="1">IF(xcomp(INDIRECT((ADDRESS(ROW(NO38),$I$11+(MATCH(NN$11,L.DATE,0))))&amp;":"&amp;(ADDRESS(ROW(NO38),$I$11+NO$11+(MATCH(NN$11,L.DATE,0))-1))),L.ABS.NP)=0,"",
xsom(INDIRECT((ADDRESS(ROW(NO38),$I$11+(MATCH(NN$11,L.DATE,0))))&amp;":"&amp;(ADDRESS(ROW(NO38),$I$11+NO$11+(MATCH(NN$11,L.DATE,0))-1))),L.ABS.NP,
INDIRECT((ADDRESS(ROW(NO38)+1,$I$11+(MATCH(NN$11,L.DATE,0))))&amp;":"&amp;(ADDRESS(ROW(NO38)+1,$I$11+NO$11+(MATCH(NN$11,L.DATE,0))-1)))))</f>
        <v/>
      </c>
      <c r="NP39" s="376" cm="1">
        <f t="array" aca="1" ref="NP39" ca="1">IF(xcomp(INDIRECT((ADDRESS(ROW(NP38),$I$11+(MATCH(NP$11,L.DATE,0))))&amp;":"&amp;(ADDRESS(ROW(NP38),$I$11+NQ$11+(MATCH(NP$11,L.DATE,0))-1))),L.ABSP)=0,"",
xsom(INDIRECT((ADDRESS(ROW(NP38),$I$11+(MATCH(NP$11,L.DATE,0))))&amp;":"&amp;(ADDRESS(ROW(NP38),$I$11+NQ$11+(MATCH(NP$11,L.DATE,0))-1))),L.ABSP,
INDIRECT((ADDRESS(ROW(NP38)+1,$I$11+(MATCH(NP$11,L.DATE,0))))&amp;":"&amp;(ADDRESS(ROW(NP38)+1,$I$11+NQ$11+(MATCH(NP$11,L.DATE,0))-1)))))</f>
        <v>2</v>
      </c>
      <c r="NQ39" s="377" t="str" cm="1">
        <f t="array" aca="1" ref="NQ39" ca="1">IF(xcomp(INDIRECT((ADDRESS(ROW(NQ38),$I$11+(MATCH(NP$11,L.DATE,0))))&amp;":"&amp;(ADDRESS(ROW(NQ38),$I$11+NQ$11+(MATCH(NP$11,L.DATE,0))-1))),L.ABS.NP)=0,"",
xsom(INDIRECT((ADDRESS(ROW(NQ38),$I$11+(MATCH(NP$11,L.DATE,0))))&amp;":"&amp;(ADDRESS(ROW(NQ38),$I$11+NQ$11+(MATCH(NP$11,L.DATE,0))-1))),L.ABS.NP,
INDIRECT((ADDRESS(ROW(NQ38)+1,$I$11+(MATCH(NP$11,L.DATE,0))))&amp;":"&amp;(ADDRESS(ROW(NQ38)+1,$I$11+NQ$11+(MATCH(NP$11,L.DATE,0))-1)))))</f>
        <v/>
      </c>
      <c r="NR39" s="376" cm="1">
        <f t="array" aca="1" ref="NR39" ca="1">IF(xcomp(INDIRECT((ADDRESS(ROW(NR38),$I$11+(MATCH(NR$11,L.DATE,0))))&amp;":"&amp;(ADDRESS(ROW(NR38),$I$11+NS$11+(MATCH(NR$11,L.DATE,0))-1))),L.ABSP)=0,"",
xsom(INDIRECT((ADDRESS(ROW(NR38),$I$11+(MATCH(NR$11,L.DATE,0))))&amp;":"&amp;(ADDRESS(ROW(NR38),$I$11+NS$11+(MATCH(NR$11,L.DATE,0))-1))),L.ABSP,
INDIRECT((ADDRESS(ROW(NR38)+1,$I$11+(MATCH(NR$11,L.DATE,0))))&amp;":"&amp;(ADDRESS(ROW(NR38)+1,$I$11+NS$11+(MATCH(NR$11,L.DATE,0))-1)))))</f>
        <v>23</v>
      </c>
      <c r="NS39" s="377" t="str" cm="1">
        <f t="array" aca="1" ref="NS39" ca="1">IF(xcomp(INDIRECT((ADDRESS(ROW(NS38),$I$11+(MATCH(NR$11,L.DATE,0))))&amp;":"&amp;(ADDRESS(ROW(NS38),$I$11+NS$11+(MATCH(NR$11,L.DATE,0))-1))),L.ABS.NP)=0,"",
xsom(INDIRECT((ADDRESS(ROW(NS38),$I$11+(MATCH(NR$11,L.DATE,0))))&amp;":"&amp;(ADDRESS(ROW(NS38),$I$11+NS$11+(MATCH(NR$11,L.DATE,0))-1))),L.ABS.NP,
INDIRECT((ADDRESS(ROW(NS38)+1,$I$11+(MATCH(NR$11,L.DATE,0))))&amp;":"&amp;(ADDRESS(ROW(NS38)+1,$I$11+NS$11+(MATCH(NR$11,L.DATE,0))-1)))))</f>
        <v/>
      </c>
      <c r="NT39" s="376" t="str" cm="1">
        <f t="array" aca="1" ref="NT39" ca="1">IF(xcomp(INDIRECT((ADDRESS(ROW(NT38),$I$11+(MATCH(NT$11,L.DATE,0))))&amp;":"&amp;(ADDRESS(ROW(NT38),$I$11+NU$11+(MATCH(NT$11,L.DATE,0))-1))),L.ABSP)=0,"",
xsom(INDIRECT((ADDRESS(ROW(NT38),$I$11+(MATCH(NT$11,L.DATE,0))))&amp;":"&amp;(ADDRESS(ROW(NT38),$I$11+NU$11+(MATCH(NT$11,L.DATE,0))-1))),L.ABSP,
INDIRECT((ADDRESS(ROW(NT38)+1,$I$11+(MATCH(NT$11,L.DATE,0))))&amp;":"&amp;(ADDRESS(ROW(NT38)+1,$I$11+NU$11+(MATCH(NT$11,L.DATE,0))-1)))))</f>
        <v/>
      </c>
      <c r="NU39" s="377" t="str" cm="1">
        <f t="array" aca="1" ref="NU39" ca="1">IF(xcomp(INDIRECT((ADDRESS(ROW(NU38),$I$11+(MATCH(NT$11,L.DATE,0))))&amp;":"&amp;(ADDRESS(ROW(NU38),$I$11+NU$11+(MATCH(NT$11,L.DATE,0))-1))),L.ABS.NP)=0,"",
xsom(INDIRECT((ADDRESS(ROW(NU38),$I$11+(MATCH(NT$11,L.DATE,0))))&amp;":"&amp;(ADDRESS(ROW(NU38),$I$11+NU$11+(MATCH(NT$11,L.DATE,0))-1))),L.ABS.NP,
INDIRECT((ADDRESS(ROW(NU38)+1,$I$11+(MATCH(NT$11,L.DATE,0))))&amp;":"&amp;(ADDRESS(ROW(NU38)+1,$I$11+NU$11+(MATCH(NT$11,L.DATE,0))-1)))))</f>
        <v/>
      </c>
      <c r="NV39" s="376" t="str" cm="1">
        <f t="array" aca="1" ref="NV39" ca="1">IF(xcomp(INDIRECT((ADDRESS(ROW(NV38),$I$11+(MATCH(NV$11,L.DATE,0))))&amp;":"&amp;(ADDRESS(ROW(NV38),$I$11+NW$11+(MATCH(NV$11,L.DATE,0))-1))),L.ABSP)=0,"",
xsom(INDIRECT((ADDRESS(ROW(NV38),$I$11+(MATCH(NV$11,L.DATE,0))))&amp;":"&amp;(ADDRESS(ROW(NV38),$I$11+NW$11+(MATCH(NV$11,L.DATE,0))-1))),L.ABSP,
INDIRECT((ADDRESS(ROW(NV38)+1,$I$11+(MATCH(NV$11,L.DATE,0))))&amp;":"&amp;(ADDRESS(ROW(NV38)+1,$I$11+NW$11+(MATCH(NV$11,L.DATE,0))-1)))))</f>
        <v/>
      </c>
      <c r="NW39" s="377" t="str" cm="1">
        <f t="array" aca="1" ref="NW39" ca="1">IF(xcomp(INDIRECT((ADDRESS(ROW(NW38),$I$11+(MATCH(NV$11,L.DATE,0))))&amp;":"&amp;(ADDRESS(ROW(NW38),$I$11+NW$11+(MATCH(NV$11,L.DATE,0))-1))),L.ABS.NP)=0,"",
xsom(INDIRECT((ADDRESS(ROW(NW38),$I$11+(MATCH(NV$11,L.DATE,0))))&amp;":"&amp;(ADDRESS(ROW(NW38),$I$11+NW$11+(MATCH(NV$11,L.DATE,0))-1))),L.ABS.NP,
INDIRECT((ADDRESS(ROW(NW38)+1,$I$11+(MATCH(NV$11,L.DATE,0))))&amp;":"&amp;(ADDRESS(ROW(NW38)+1,$I$11+NW$11+(MATCH(NV$11,L.DATE,0))-1)))))</f>
        <v/>
      </c>
      <c r="NX39" s="376" t="str" cm="1">
        <f t="array" aca="1" ref="NX39" ca="1">IF(xcomp(INDIRECT((ADDRESS(ROW(NX38),$I$11+(MATCH(NX$11,L.DATE,0))))&amp;":"&amp;(ADDRESS(ROW(NX38),$I$11+NY$11+(MATCH(NX$11,L.DATE,0))-1))),L.ABSP)=0,"",
xsom(INDIRECT((ADDRESS(ROW(NX38),$I$11+(MATCH(NX$11,L.DATE,0))))&amp;":"&amp;(ADDRESS(ROW(NX38),$I$11+NY$11+(MATCH(NX$11,L.DATE,0))-1))),L.ABSP,
INDIRECT((ADDRESS(ROW(NX38)+1,$I$11+(MATCH(NX$11,L.DATE,0))))&amp;":"&amp;(ADDRESS(ROW(NX38)+1,$I$11+NY$11+(MATCH(NX$11,L.DATE,0))-1)))))</f>
        <v/>
      </c>
      <c r="NY39" s="377" t="str" cm="1">
        <f t="array" aca="1" ref="NY39" ca="1">IF(xcomp(INDIRECT((ADDRESS(ROW(NY38),$I$11+(MATCH(NX$11,L.DATE,0))))&amp;":"&amp;(ADDRESS(ROW(NY38),$I$11+NY$11+(MATCH(NX$11,L.DATE,0))-1))),L.ABS.NP)=0,"",
xsom(INDIRECT((ADDRESS(ROW(NY38),$I$11+(MATCH(NX$11,L.DATE,0))))&amp;":"&amp;(ADDRESS(ROW(NY38),$I$11+NY$11+(MATCH(NX$11,L.DATE,0))-1))),L.ABS.NP,
INDIRECT((ADDRESS(ROW(NY38)+1,$I$11+(MATCH(NX$11,L.DATE,0))))&amp;":"&amp;(ADDRESS(ROW(NY38)+1,$I$11+NY$11+(MATCH(NX$11,L.DATE,0))-1)))))</f>
        <v/>
      </c>
      <c r="NZ39" s="376" t="str" cm="1">
        <f t="array" aca="1" ref="NZ39" ca="1">IF(xcomp(INDIRECT((ADDRESS(ROW(NZ38),$I$11+(MATCH(NZ$11,L.DATE,0))))&amp;":"&amp;(ADDRESS(ROW(NZ38),$I$11+OA$11+(MATCH(NZ$11,L.DATE,0))-1))),L.ABSP)=0,"",
xsom(INDIRECT((ADDRESS(ROW(NZ38),$I$11+(MATCH(NZ$11,L.DATE,0))))&amp;":"&amp;(ADDRESS(ROW(NZ38),$I$11+OA$11+(MATCH(NZ$11,L.DATE,0))-1))),L.ABSP,
INDIRECT((ADDRESS(ROW(NZ38)+1,$I$11+(MATCH(NZ$11,L.DATE,0))))&amp;":"&amp;(ADDRESS(ROW(NZ38)+1,$I$11+OA$11+(MATCH(NZ$11,L.DATE,0))-1)))))</f>
        <v/>
      </c>
      <c r="OA39" s="377" t="str" cm="1">
        <f t="array" aca="1" ref="OA39" ca="1">IF(xcomp(INDIRECT((ADDRESS(ROW(OA38),$I$11+(MATCH(NZ$11,L.DATE,0))))&amp;":"&amp;(ADDRESS(ROW(OA38),$I$11+OA$11+(MATCH(NZ$11,L.DATE,0))-1))),L.ABS.NP)=0,"",
xsom(INDIRECT((ADDRESS(ROW(OA38),$I$11+(MATCH(NZ$11,L.DATE,0))))&amp;":"&amp;(ADDRESS(ROW(OA38),$I$11+OA$11+(MATCH(NZ$11,L.DATE,0))-1))),L.ABS.NP,
INDIRECT((ADDRESS(ROW(OA38)+1,$I$11+(MATCH(NZ$11,L.DATE,0))))&amp;":"&amp;(ADDRESS(ROW(OA38)+1,$I$11+OA$11+(MATCH(NZ$11,L.DATE,0))-1)))))</f>
        <v/>
      </c>
      <c r="OB39" s="376" t="str" cm="1">
        <f t="array" aca="1" ref="OB39" ca="1">IF(xcomp(INDIRECT((ADDRESS(ROW(OB38),$I$11+(MATCH(OB$11,L.DATE,0))))&amp;":"&amp;(ADDRESS(ROW(OB38),$I$11+OC$11+(MATCH(OB$11,L.DATE,0))-1))),L.ABSP)=0,"",
xsom(INDIRECT((ADDRESS(ROW(OB38),$I$11+(MATCH(OB$11,L.DATE,0))))&amp;":"&amp;(ADDRESS(ROW(OB38),$I$11+OC$11+(MATCH(OB$11,L.DATE,0))-1))),L.ABSP,
INDIRECT((ADDRESS(ROW(OB38)+1,$I$11+(MATCH(OB$11,L.DATE,0))))&amp;":"&amp;(ADDRESS(ROW(OB38)+1,$I$11+OC$11+(MATCH(OB$11,L.DATE,0))-1)))))</f>
        <v/>
      </c>
      <c r="OC39" s="377" t="str" cm="1">
        <f t="array" aca="1" ref="OC39" ca="1">IF(xcomp(INDIRECT((ADDRESS(ROW(OC38),$I$11+(MATCH(OB$11,L.DATE,0))))&amp;":"&amp;(ADDRESS(ROW(OC38),$I$11+OC$11+(MATCH(OB$11,L.DATE,0))-1))),L.ABS.NP)=0,"",
xsom(INDIRECT((ADDRESS(ROW(OC38),$I$11+(MATCH(OB$11,L.DATE,0))))&amp;":"&amp;(ADDRESS(ROW(OC38),$I$11+OC$11+(MATCH(OB$11,L.DATE,0))-1))),L.ABS.NP,
INDIRECT((ADDRESS(ROW(OC38)+1,$I$11+(MATCH(OB$11,L.DATE,0))))&amp;":"&amp;(ADDRESS(ROW(OC38)+1,$I$11+OC$11+(MATCH(OB$11,L.DATE,0))-1)))))</f>
        <v/>
      </c>
      <c r="OD39" s="376" t="str" cm="1">
        <f t="array" aca="1" ref="OD39" ca="1">IF(xcomp(INDIRECT((ADDRESS(ROW(OD38),$I$11+(MATCH(OD$11,L.DATE,0))))&amp;":"&amp;(ADDRESS(ROW(OD38),$I$11+OE$11+(MATCH(OD$11,L.DATE,0))-1))),L.ABSP)=0,"",
xsom(INDIRECT((ADDRESS(ROW(OD38),$I$11+(MATCH(OD$11,L.DATE,0))))&amp;":"&amp;(ADDRESS(ROW(OD38),$I$11+OE$11+(MATCH(OD$11,L.DATE,0))-1))),L.ABSP,
INDIRECT((ADDRESS(ROW(OD38)+1,$I$11+(MATCH(OD$11,L.DATE,0))))&amp;":"&amp;(ADDRESS(ROW(OD38)+1,$I$11+OE$11+(MATCH(OD$11,L.DATE,0))-1)))))</f>
        <v/>
      </c>
      <c r="OE39" s="377" t="str" cm="1">
        <f t="array" aca="1" ref="OE39" ca="1">IF(xcomp(INDIRECT((ADDRESS(ROW(OE38),$I$11+(MATCH(OD$11,L.DATE,0))))&amp;":"&amp;(ADDRESS(ROW(OE38),$I$11+OE$11+(MATCH(OD$11,L.DATE,0))-1))),L.ABS.NP)=0,"",
xsom(INDIRECT((ADDRESS(ROW(OE38),$I$11+(MATCH(OD$11,L.DATE,0))))&amp;":"&amp;(ADDRESS(ROW(OE38),$I$11+OE$11+(MATCH(OD$11,L.DATE,0))-1))),L.ABS.NP,
INDIRECT((ADDRESS(ROW(OE38)+1,$I$11+(MATCH(OD$11,L.DATE,0))))&amp;":"&amp;(ADDRESS(ROW(OE38)+1,$I$11+OE$11+(MATCH(OD$11,L.DATE,0))-1)))))</f>
        <v/>
      </c>
      <c r="OF39" s="376" t="str" cm="1">
        <f t="array" aca="1" ref="OF39" ca="1">IF(xcomp(INDIRECT((ADDRESS(ROW(OF38),$I$11+(MATCH(OF$11,L.DATE,0))))&amp;":"&amp;(ADDRESS(ROW(OF38),$I$11+OG$11+(MATCH(OF$11,L.DATE,0))-1))),L.ABSP)=0,"",
xsom(INDIRECT((ADDRESS(ROW(OF38),$I$11+(MATCH(OF$11,L.DATE,0))))&amp;":"&amp;(ADDRESS(ROW(OF38),$I$11+OG$11+(MATCH(OF$11,L.DATE,0))-1))),L.ABSP,
INDIRECT((ADDRESS(ROW(OF38)+1,$I$11+(MATCH(OF$11,L.DATE,0))))&amp;":"&amp;(ADDRESS(ROW(OF38)+1,$I$11+OG$11+(MATCH(OF$11,L.DATE,0))-1)))))</f>
        <v/>
      </c>
      <c r="OG39" s="377" t="str" cm="1">
        <f t="array" aca="1" ref="OG39" ca="1">IF(xcomp(INDIRECT((ADDRESS(ROW(OG38),$I$11+(MATCH(OF$11,L.DATE,0))))&amp;":"&amp;(ADDRESS(ROW(OG38),$I$11+OG$11+(MATCH(OF$11,L.DATE,0))-1))),L.ABS.NP)=0,"",
xsom(INDIRECT((ADDRESS(ROW(OG38),$I$11+(MATCH(OF$11,L.DATE,0))))&amp;":"&amp;(ADDRESS(ROW(OG38),$I$11+OG$11+(MATCH(OF$11,L.DATE,0))-1))),L.ABS.NP,
INDIRECT((ADDRESS(ROW(OG38)+1,$I$11+(MATCH(OF$11,L.DATE,0))))&amp;":"&amp;(ADDRESS(ROW(OG38)+1,$I$11+OG$11+(MATCH(OF$11,L.DATE,0))-1)))))</f>
        <v/>
      </c>
      <c r="OH39" s="376" t="str" cm="1">
        <f t="array" aca="1" ref="OH39" ca="1">IF(xcomp(INDIRECT((ADDRESS(ROW(OH38),$I$11+(MATCH(OH$11,L.DATE,0))))&amp;":"&amp;(ADDRESS(ROW(OH38),$I$11+OI$11+(MATCH(OH$11,L.DATE,0))-1))),L.ABSP)=0,"",
xsom(INDIRECT((ADDRESS(ROW(OH38),$I$11+(MATCH(OH$11,L.DATE,0))))&amp;":"&amp;(ADDRESS(ROW(OH38),$I$11+OI$11+(MATCH(OH$11,L.DATE,0))-1))),L.ABSP,
INDIRECT((ADDRESS(ROW(OH38)+1,$I$11+(MATCH(OH$11,L.DATE,0))))&amp;":"&amp;(ADDRESS(ROW(OH38)+1,$I$11+OI$11+(MATCH(OH$11,L.DATE,0))-1)))))</f>
        <v/>
      </c>
      <c r="OI39" s="377" t="str" cm="1">
        <f t="array" aca="1" ref="OI39" ca="1">IF(xcomp(INDIRECT((ADDRESS(ROW(OI38),$I$11+(MATCH(OH$11,L.DATE,0))))&amp;":"&amp;(ADDRESS(ROW(OI38),$I$11+OI$11+(MATCH(OH$11,L.DATE,0))-1))),L.ABS.NP)=0,"",
xsom(INDIRECT((ADDRESS(ROW(OI38),$I$11+(MATCH(OH$11,L.DATE,0))))&amp;":"&amp;(ADDRESS(ROW(OI38),$I$11+OI$11+(MATCH(OH$11,L.DATE,0))-1))),L.ABS.NP,
INDIRECT((ADDRESS(ROW(OI38)+1,$I$11+(MATCH(OH$11,L.DATE,0))))&amp;":"&amp;(ADDRESS(ROW(OI38)+1,$I$11+OI$11+(MATCH(OH$11,L.DATE,0))-1)))))</f>
        <v/>
      </c>
      <c r="OJ39" s="376" t="str" cm="1">
        <f t="array" aca="1" ref="OJ39" ca="1">IF(xcomp(INDIRECT((ADDRESS(ROW(OJ38),$I$11+(MATCH(OJ$11,L.DATE,0))))&amp;":"&amp;(ADDRESS(ROW(OJ38),$I$11+OK$11+(MATCH(OJ$11,L.DATE,0))-1))),L.ABSP)=0,"",
xsom(INDIRECT((ADDRESS(ROW(OJ38),$I$11+(MATCH(OJ$11,L.DATE,0))))&amp;":"&amp;(ADDRESS(ROW(OJ38),$I$11+OK$11+(MATCH(OJ$11,L.DATE,0))-1))),L.ABSP,
INDIRECT((ADDRESS(ROW(OJ38)+1,$I$11+(MATCH(OJ$11,L.DATE,0))))&amp;":"&amp;(ADDRESS(ROW(OJ38)+1,$I$11+OK$11+(MATCH(OJ$11,L.DATE,0))-1)))))</f>
        <v/>
      </c>
      <c r="OK39" s="378" t="str" cm="1">
        <f t="array" aca="1" ref="OK39" ca="1">IF(xcomp(INDIRECT((ADDRESS(ROW(OK38),$I$11+(MATCH(OJ$11,L.DATE,0))))&amp;":"&amp;(ADDRESS(ROW(OK38),$I$11+OK$11+(MATCH(OJ$11,L.DATE,0))-1))),L.ABS.NP)=0,"",
xsom(INDIRECT((ADDRESS(ROW(OK38),$I$11+(MATCH(OJ$11,L.DATE,0))))&amp;":"&amp;(ADDRESS(ROW(OK38),$I$11+OK$11+(MATCH(OJ$11,L.DATE,0))-1))),L.ABS.NP,
INDIRECT((ADDRESS(ROW(OK38)+1,$I$11+(MATCH(OJ$11,L.DATE,0))))&amp;":"&amp;(ADDRESS(ROW(OK38)+1,$I$11+OK$11+(MATCH(OJ$11,L.DATE,0))-1)))))</f>
        <v/>
      </c>
    </row>
    <row r="40" spans="1:404" ht="12" customHeight="1" x14ac:dyDescent="0.3">
      <c r="A40" s="394">
        <v>6</v>
      </c>
      <c r="B40" s="381" t="s">
        <v>502</v>
      </c>
      <c r="C40" s="53">
        <v>1</v>
      </c>
      <c r="D40" s="53" t="s">
        <v>33</v>
      </c>
      <c r="E40" s="53" t="s">
        <v>484</v>
      </c>
      <c r="F40" s="53" t="s">
        <v>13</v>
      </c>
      <c r="G40" s="104" t="s">
        <v>498</v>
      </c>
      <c r="H40" s="108">
        <v>2</v>
      </c>
      <c r="I40" s="28"/>
      <c r="J40" s="482"/>
      <c r="K40" s="487"/>
      <c r="L40" s="486"/>
      <c r="M40" s="482"/>
      <c r="N40" s="482"/>
      <c r="O40" s="482"/>
      <c r="P40" s="482"/>
      <c r="Q40" s="482"/>
      <c r="R40" s="482"/>
      <c r="S40" s="482"/>
      <c r="T40" s="482"/>
      <c r="U40" s="482"/>
      <c r="V40" s="482"/>
      <c r="W40" s="482"/>
      <c r="X40" s="482"/>
      <c r="Y40" s="482"/>
      <c r="Z40" s="482"/>
      <c r="AA40" s="482"/>
      <c r="AB40" s="482"/>
      <c r="AC40" s="482"/>
      <c r="AD40" s="482"/>
      <c r="AE40" s="482"/>
      <c r="AF40" s="482"/>
      <c r="AG40" s="482"/>
      <c r="AH40" s="482"/>
      <c r="AI40" s="482"/>
      <c r="AJ40" s="482"/>
      <c r="AK40" s="482"/>
      <c r="AL40" s="482"/>
      <c r="AM40" s="482"/>
      <c r="AN40" s="482"/>
      <c r="AO40" s="482"/>
      <c r="AP40" s="482"/>
      <c r="AQ40" s="482"/>
      <c r="AR40" s="482"/>
      <c r="AS40" s="482"/>
      <c r="AT40" s="482"/>
      <c r="AU40" s="482"/>
      <c r="AV40" s="482"/>
      <c r="AW40" s="482"/>
      <c r="AX40" s="482"/>
      <c r="AY40" s="482"/>
      <c r="AZ40" s="482"/>
      <c r="BA40" s="482"/>
      <c r="BB40" s="482"/>
      <c r="BC40" s="482"/>
      <c r="BD40" s="482"/>
      <c r="BE40" s="482"/>
      <c r="BF40" s="482"/>
      <c r="BG40" s="482"/>
      <c r="BH40" s="482"/>
      <c r="BI40" s="482"/>
      <c r="BJ40" s="482"/>
      <c r="BK40" s="482"/>
      <c r="BL40" s="482"/>
      <c r="BM40" s="482"/>
      <c r="BN40" s="482"/>
      <c r="BO40" s="484" t="s">
        <v>27</v>
      </c>
      <c r="BP40" s="484" t="s">
        <v>27</v>
      </c>
      <c r="BQ40" s="484" t="s">
        <v>27</v>
      </c>
      <c r="BR40" s="484" t="s">
        <v>27</v>
      </c>
      <c r="BS40" s="484" t="s">
        <v>27</v>
      </c>
      <c r="BT40" s="482"/>
      <c r="BU40" s="482"/>
      <c r="BV40" s="484" t="s">
        <v>27</v>
      </c>
      <c r="BW40" s="484" t="s">
        <v>27</v>
      </c>
      <c r="BX40" s="484" t="s">
        <v>27</v>
      </c>
      <c r="BY40" s="484" t="s">
        <v>27</v>
      </c>
      <c r="BZ40" s="484" t="s">
        <v>27</v>
      </c>
      <c r="CA40" s="482"/>
      <c r="CB40" s="482"/>
      <c r="CC40" s="484" t="s">
        <v>27</v>
      </c>
      <c r="CD40" s="484" t="s">
        <v>27</v>
      </c>
      <c r="CE40" s="484" t="s">
        <v>27</v>
      </c>
      <c r="CF40" s="484" t="s">
        <v>27</v>
      </c>
      <c r="CG40" s="484" t="s">
        <v>27</v>
      </c>
      <c r="CH40" s="482"/>
      <c r="CI40" s="482"/>
      <c r="CJ40" s="484" t="s">
        <v>27</v>
      </c>
      <c r="CK40" s="484" t="s">
        <v>27</v>
      </c>
      <c r="CL40" s="484" t="s">
        <v>27</v>
      </c>
      <c r="CM40" s="484" t="s">
        <v>27</v>
      </c>
      <c r="CN40" s="484" t="s">
        <v>27</v>
      </c>
      <c r="CO40" s="482"/>
      <c r="CP40" s="482"/>
      <c r="CQ40" s="484" t="s">
        <v>27</v>
      </c>
      <c r="CR40" s="484" t="s">
        <v>27</v>
      </c>
      <c r="CS40" s="484" t="s">
        <v>27</v>
      </c>
      <c r="CT40" s="484" t="s">
        <v>27</v>
      </c>
      <c r="CU40" s="484" t="s">
        <v>27</v>
      </c>
      <c r="CV40" s="482"/>
      <c r="CW40" s="482"/>
      <c r="CX40" s="482"/>
      <c r="CY40" s="482"/>
      <c r="CZ40" s="482"/>
      <c r="DA40" s="482"/>
      <c r="DB40" s="482"/>
      <c r="DC40" s="482"/>
      <c r="DD40" s="482"/>
      <c r="DE40" s="482"/>
      <c r="DF40" s="482"/>
      <c r="DG40" s="482"/>
      <c r="DH40" s="482"/>
      <c r="DI40" s="482"/>
      <c r="DJ40" s="482"/>
      <c r="DK40" s="482"/>
      <c r="DL40" s="482"/>
      <c r="DM40" s="482"/>
      <c r="DN40" s="482"/>
      <c r="DO40" s="482"/>
      <c r="DP40" s="482"/>
      <c r="DQ40" s="482"/>
      <c r="DR40" s="482"/>
      <c r="DS40" s="482"/>
      <c r="DT40" s="482"/>
      <c r="DU40" s="482"/>
      <c r="DV40" s="482"/>
      <c r="DW40" s="482"/>
      <c r="DX40" s="482"/>
      <c r="DY40" s="482"/>
      <c r="DZ40" s="482"/>
      <c r="EA40" s="482"/>
      <c r="EB40" s="482"/>
      <c r="EC40" s="482"/>
      <c r="ED40" s="482"/>
      <c r="EE40" s="482"/>
      <c r="EF40" s="482"/>
      <c r="EG40" s="482"/>
      <c r="EH40" s="482"/>
      <c r="EI40" s="482"/>
      <c r="EJ40" s="482"/>
      <c r="EK40" s="482"/>
      <c r="EL40" s="482"/>
      <c r="EM40" s="482"/>
      <c r="EN40" s="482"/>
      <c r="EO40" s="482"/>
      <c r="EP40" s="482"/>
      <c r="EQ40" s="482"/>
      <c r="ER40" s="482"/>
      <c r="ES40" s="482"/>
      <c r="ET40" s="482"/>
      <c r="EU40" s="482"/>
      <c r="EV40" s="482"/>
      <c r="EW40" s="482"/>
      <c r="EX40" s="482"/>
      <c r="EY40" s="482"/>
      <c r="EZ40" s="482"/>
      <c r="FA40" s="482"/>
      <c r="FB40" s="482"/>
      <c r="FC40" s="482"/>
      <c r="FD40" s="482"/>
      <c r="FE40" s="482"/>
      <c r="FF40" s="482"/>
      <c r="FG40" s="482"/>
      <c r="FH40" s="482"/>
      <c r="FI40" s="482"/>
      <c r="FJ40" s="482"/>
      <c r="FK40" s="482"/>
      <c r="FL40" s="482"/>
      <c r="FM40" s="482"/>
      <c r="FN40" s="482"/>
      <c r="FO40" s="482"/>
      <c r="FP40" s="482"/>
      <c r="FQ40" s="482"/>
      <c r="FR40" s="482"/>
      <c r="FS40" s="482"/>
      <c r="FT40" s="482"/>
      <c r="FU40" s="482"/>
      <c r="FV40" s="482"/>
      <c r="FW40" s="482"/>
      <c r="FX40" s="482"/>
      <c r="FY40" s="482"/>
      <c r="FZ40" s="482"/>
      <c r="GA40" s="482"/>
      <c r="GB40" s="482"/>
      <c r="GC40" s="482"/>
      <c r="GD40" s="482"/>
      <c r="GE40" s="482"/>
      <c r="GF40" s="482"/>
      <c r="GG40" s="482"/>
      <c r="GH40" s="482"/>
      <c r="GI40" s="482"/>
      <c r="GJ40" s="482"/>
      <c r="GK40" s="482"/>
      <c r="GL40" s="482"/>
      <c r="GM40" s="482"/>
      <c r="GN40" s="482"/>
      <c r="GO40" s="482"/>
      <c r="GP40" s="482"/>
      <c r="GQ40" s="482"/>
      <c r="GR40" s="482"/>
      <c r="GS40" s="482"/>
      <c r="GT40" s="482"/>
      <c r="GU40" s="482"/>
      <c r="GV40" s="482"/>
      <c r="GW40" s="482"/>
      <c r="GX40" s="482"/>
      <c r="GY40" s="482"/>
      <c r="GZ40" s="482"/>
      <c r="HA40" s="482"/>
      <c r="HB40" s="482"/>
      <c r="HC40" s="482"/>
      <c r="HD40" s="482"/>
      <c r="HE40" s="482"/>
      <c r="HF40" s="482"/>
      <c r="HG40" s="482"/>
      <c r="HH40" s="482"/>
      <c r="HI40" s="482"/>
      <c r="HJ40" s="482"/>
      <c r="HK40" s="482"/>
      <c r="HL40" s="482"/>
      <c r="HM40" s="482"/>
      <c r="HN40" s="482"/>
      <c r="HO40" s="482"/>
      <c r="HP40" s="482"/>
      <c r="HQ40" s="482"/>
      <c r="HR40" s="482"/>
      <c r="HS40" s="482"/>
      <c r="HT40" s="482"/>
      <c r="HU40" s="482"/>
      <c r="HV40" s="482"/>
      <c r="HW40" s="482"/>
      <c r="HX40" s="482"/>
      <c r="HY40" s="482"/>
      <c r="HZ40" s="482"/>
      <c r="IA40" s="482"/>
      <c r="IB40" s="482"/>
      <c r="IC40" s="482"/>
      <c r="ID40" s="482"/>
      <c r="IE40" s="482"/>
      <c r="IF40" s="482"/>
      <c r="IG40" s="482"/>
      <c r="IH40" s="482"/>
      <c r="II40" s="482"/>
      <c r="IJ40" s="482"/>
      <c r="IK40" s="482"/>
      <c r="IL40" s="482"/>
      <c r="IM40" s="482"/>
      <c r="IN40" s="482"/>
      <c r="IO40" s="482"/>
      <c r="IP40" s="482"/>
      <c r="IQ40" s="482"/>
      <c r="IR40" s="482"/>
      <c r="IS40" s="482"/>
      <c r="IT40" s="482"/>
      <c r="IU40" s="482"/>
      <c r="IV40" s="482"/>
      <c r="IW40" s="482"/>
      <c r="IX40" s="482"/>
      <c r="IY40" s="482"/>
      <c r="IZ40" s="482"/>
      <c r="JA40" s="482"/>
      <c r="JB40" s="482"/>
      <c r="JC40" s="482"/>
      <c r="JD40" s="482"/>
      <c r="JE40" s="482"/>
      <c r="JF40" s="482"/>
      <c r="JG40" s="482"/>
      <c r="JH40" s="482"/>
      <c r="JI40" s="482"/>
      <c r="JJ40" s="482"/>
      <c r="JK40" s="482"/>
      <c r="JL40" s="482"/>
      <c r="JM40" s="482"/>
      <c r="JN40" s="482"/>
      <c r="JO40" s="482"/>
      <c r="JP40" s="482"/>
      <c r="JQ40" s="482"/>
      <c r="JR40" s="482"/>
      <c r="JS40" s="482"/>
      <c r="JT40" s="482"/>
      <c r="JU40" s="482"/>
      <c r="JV40" s="482"/>
      <c r="JW40" s="482"/>
      <c r="JX40" s="482"/>
      <c r="JY40" s="482"/>
      <c r="JZ40" s="482"/>
      <c r="KA40" s="482"/>
      <c r="KB40" s="482"/>
      <c r="KC40" s="482"/>
      <c r="KD40" s="482"/>
      <c r="KE40" s="482"/>
      <c r="KF40" s="482"/>
      <c r="KG40" s="482"/>
      <c r="KH40" s="482"/>
      <c r="KI40" s="482"/>
      <c r="KJ40" s="482"/>
      <c r="KK40" s="482"/>
      <c r="KL40" s="482"/>
      <c r="KM40" s="482"/>
      <c r="KN40" s="482"/>
      <c r="KO40" s="482"/>
      <c r="KP40" s="482"/>
      <c r="KQ40" s="482"/>
      <c r="KR40" s="482"/>
      <c r="KS40" s="482"/>
      <c r="KT40" s="482"/>
      <c r="KU40" s="482"/>
      <c r="KV40" s="482"/>
      <c r="KW40" s="482"/>
      <c r="KX40" s="482"/>
      <c r="KY40" s="482"/>
      <c r="KZ40" s="482"/>
      <c r="LA40" s="482"/>
      <c r="LB40" s="482"/>
      <c r="LC40" s="482"/>
      <c r="LD40" s="482"/>
      <c r="LE40" s="482"/>
      <c r="LF40" s="482"/>
      <c r="LG40" s="482"/>
      <c r="LH40" s="482"/>
      <c r="LI40" s="482"/>
      <c r="LJ40" s="482"/>
      <c r="LK40" s="482"/>
      <c r="LL40" s="482"/>
      <c r="LM40" s="482"/>
      <c r="LN40" s="482"/>
      <c r="LO40" s="482"/>
      <c r="LP40" s="482"/>
      <c r="LQ40" s="482"/>
      <c r="LR40" s="482"/>
      <c r="LS40" s="482"/>
      <c r="LT40" s="482"/>
      <c r="LU40" s="482"/>
      <c r="LV40" s="482"/>
      <c r="LW40" s="482"/>
      <c r="LX40" s="482"/>
      <c r="LY40" s="482"/>
      <c r="LZ40" s="482"/>
      <c r="MA40" s="482"/>
      <c r="MB40" s="482"/>
      <c r="MC40" s="482"/>
      <c r="MD40" s="482"/>
      <c r="ME40" s="482"/>
      <c r="MF40" s="482"/>
      <c r="MG40" s="482"/>
      <c r="MH40" s="482"/>
      <c r="MI40" s="482"/>
      <c r="MJ40" s="482"/>
      <c r="MK40" s="482"/>
      <c r="ML40" s="482"/>
      <c r="MM40" s="482"/>
      <c r="MN40" s="482"/>
      <c r="MO40" s="482"/>
      <c r="MP40" s="482"/>
      <c r="MQ40" s="482"/>
      <c r="MR40" s="482"/>
      <c r="MS40" s="482"/>
      <c r="MT40" s="482"/>
      <c r="MU40" s="482"/>
      <c r="MV40" s="482"/>
      <c r="MW40" s="482"/>
      <c r="MX40" s="482"/>
      <c r="MY40" s="482"/>
      <c r="MZ40" s="482"/>
      <c r="NA40" s="482"/>
      <c r="NB40" s="482"/>
      <c r="NC40" s="482"/>
      <c r="ND40" s="482"/>
      <c r="NE40" s="482"/>
      <c r="NF40" s="482"/>
      <c r="NG40" s="482"/>
      <c r="NH40" s="482"/>
      <c r="NI40" s="482"/>
      <c r="NJ40" s="483"/>
      <c r="NK40" s="34"/>
      <c r="NM40" s="159">
        <f>A40</f>
        <v>6</v>
      </c>
      <c r="NN40" s="373">
        <f ca="1">COUNTIF(INDIRECT((ADDRESS(ROW(NO41),$I$11+(MATCH(NN$11,L.DATE,0))))&amp;":"&amp;(ADDRESS(ROW(NO41),$I$11+NO$11+(MATCH(NN$11,L.DATE,0))-1))),"&gt;=0")-NO40</f>
        <v>0</v>
      </c>
      <c r="NO40" s="374">
        <f ca="1">SUM(INDIRECT((ADDRESS(ROW(NO41),$I$11+(MATCH(NN$11,L.DATE,0))))&amp;":"&amp;(ADDRESS(ROW(NO41),$I$11+NO$11+(MATCH(NN$11,L.DATE,0))-1))))</f>
        <v>0</v>
      </c>
      <c r="NP40" s="373">
        <f ca="1">COUNTIF(INDIRECT((ADDRESS(ROW(NQ41),$I$11+(MATCH(NP$11,L.DATE,0))))&amp;":"&amp;(ADDRESS(ROW(NQ41),$I$11+NQ$11+(MATCH(NP$11,L.DATE,0))-1))),"&gt;=0")-NQ40</f>
        <v>2</v>
      </c>
      <c r="NQ40" s="374">
        <f ca="1">SUM(INDIRECT((ADDRESS(ROW(NQ41),$I$11+(MATCH(NP$11,L.DATE,0))))&amp;":"&amp;(ADDRESS(ROW(NQ41),$I$11+NQ$11+(MATCH(NP$11,L.DATE,0))-1))))</f>
        <v>0</v>
      </c>
      <c r="NR40" s="373">
        <f ca="1">COUNTIF(INDIRECT((ADDRESS(ROW(NS41),$I$11+(MATCH(NR$11,L.DATE,0))))&amp;":"&amp;(ADDRESS(ROW(NS41),$I$11+NS$11+(MATCH(NR$11,L.DATE,0))-1))),"&gt;=0")-NS40</f>
        <v>23</v>
      </c>
      <c r="NS40" s="374">
        <f ca="1">SUM(INDIRECT((ADDRESS(ROW(NS41),$I$11+(MATCH(NR$11,L.DATE,0))))&amp;":"&amp;(ADDRESS(ROW(NS41),$I$11+NS$11+(MATCH(NR$11,L.DATE,0))-1))))</f>
        <v>0</v>
      </c>
      <c r="NT40" s="373">
        <f ca="1">COUNTIF(INDIRECT((ADDRESS(ROW(NU41),$I$11+(MATCH(NT$11,L.DATE,0))))&amp;":"&amp;(ADDRESS(ROW(NU41),$I$11+NU$11+(MATCH(NT$11,L.DATE,0))-1))),"&gt;=0")-NU40</f>
        <v>0</v>
      </c>
      <c r="NU40" s="374">
        <f ca="1">SUM(INDIRECT((ADDRESS(ROW(NU41),$I$11+(MATCH(NT$11,L.DATE,0))))&amp;":"&amp;(ADDRESS(ROW(NU41),$I$11+NU$11+(MATCH(NT$11,L.DATE,0))-1))))</f>
        <v>0</v>
      </c>
      <c r="NV40" s="373">
        <f ca="1">COUNTIF(INDIRECT((ADDRESS(ROW(NW41),$I$11+(MATCH(NV$11,L.DATE,0))))&amp;":"&amp;(ADDRESS(ROW(NW41),$I$11+NW$11+(MATCH(NV$11,L.DATE,0))-1))),"&gt;=0")-NW40</f>
        <v>0</v>
      </c>
      <c r="NW40" s="374">
        <f ca="1">SUM(INDIRECT((ADDRESS(ROW(NW41),$I$11+(MATCH(NV$11,L.DATE,0))))&amp;":"&amp;(ADDRESS(ROW(NW41),$I$11+NW$11+(MATCH(NV$11,L.DATE,0))-1))))</f>
        <v>0</v>
      </c>
      <c r="NX40" s="373">
        <f ca="1">COUNTIF(INDIRECT((ADDRESS(ROW(NY41),$I$11+(MATCH(NX$11,L.DATE,0))))&amp;":"&amp;(ADDRESS(ROW(NY41),$I$11+NY$11+(MATCH(NX$11,L.DATE,0))-1))),"&gt;=0")-NY40</f>
        <v>0</v>
      </c>
      <c r="NY40" s="374">
        <f ca="1">SUM(INDIRECT((ADDRESS(ROW(NY41),$I$11+(MATCH(NX$11,L.DATE,0))))&amp;":"&amp;(ADDRESS(ROW(NY41),$I$11+NY$11+(MATCH(NX$11,L.DATE,0))-1))))</f>
        <v>0</v>
      </c>
      <c r="NZ40" s="373">
        <f ca="1">COUNTIF(INDIRECT((ADDRESS(ROW(OA41),$I$11+(MATCH(NZ$11,L.DATE,0))))&amp;":"&amp;(ADDRESS(ROW(OA41),$I$11+OA$11+(MATCH(NZ$11,L.DATE,0))-1))),"&gt;=0")-OA40</f>
        <v>0</v>
      </c>
      <c r="OA40" s="374">
        <f ca="1">SUM(INDIRECT((ADDRESS(ROW(OA41),$I$11+(MATCH(NZ$11,L.DATE,0))))&amp;":"&amp;(ADDRESS(ROW(OA41),$I$11+OA$11+(MATCH(NZ$11,L.DATE,0))-1))))</f>
        <v>0</v>
      </c>
      <c r="OB40" s="373">
        <f ca="1">COUNTIF(INDIRECT((ADDRESS(ROW(OC41),$I$11+(MATCH(OB$11,L.DATE,0))))&amp;":"&amp;(ADDRESS(ROW(OC41),$I$11+OC$11+(MATCH(OB$11,L.DATE,0))-1))),"&gt;=0")-OC40</f>
        <v>0</v>
      </c>
      <c r="OC40" s="374">
        <f ca="1">SUM(INDIRECT((ADDRESS(ROW(OC41),$I$11+(MATCH(OB$11,L.DATE,0))))&amp;":"&amp;(ADDRESS(ROW(OC41),$I$11+OC$11+(MATCH(OB$11,L.DATE,0))-1))))</f>
        <v>0</v>
      </c>
      <c r="OD40" s="373">
        <f ca="1">COUNTIF(INDIRECT((ADDRESS(ROW(OE41),$I$11+(MATCH(OD$11,L.DATE,0))))&amp;":"&amp;(ADDRESS(ROW(OE41),$I$11+OE$11+(MATCH(OD$11,L.DATE,0))-1))),"&gt;=0")-OE40</f>
        <v>0</v>
      </c>
      <c r="OE40" s="374">
        <f ca="1">SUM(INDIRECT((ADDRESS(ROW(OE41),$I$11+(MATCH(OD$11,L.DATE,0))))&amp;":"&amp;(ADDRESS(ROW(OE41),$I$11+OE$11+(MATCH(OD$11,L.DATE,0))-1))))</f>
        <v>0</v>
      </c>
      <c r="OF40" s="373">
        <f ca="1">COUNTIF(INDIRECT((ADDRESS(ROW(OG41),$I$11+(MATCH(OF$11,L.DATE,0))))&amp;":"&amp;(ADDRESS(ROW(OG41),$I$11+OG$11+(MATCH(OF$11,L.DATE,0))-1))),"&gt;=0")-OG40</f>
        <v>0</v>
      </c>
      <c r="OG40" s="374">
        <f ca="1">SUM(INDIRECT((ADDRESS(ROW(OG41),$I$11+(MATCH(OF$11,L.DATE,0))))&amp;":"&amp;(ADDRESS(ROW(OG41),$I$11+OG$11+(MATCH(OF$11,L.DATE,0))-1))))</f>
        <v>0</v>
      </c>
      <c r="OH40" s="373">
        <f ca="1">COUNTIF(INDIRECT((ADDRESS(ROW(OI41),$I$11+(MATCH(OH$11,L.DATE,0))))&amp;":"&amp;(ADDRESS(ROW(OI41),$I$11+OI$11+(MATCH(OH$11,L.DATE,0))-1))),"&gt;=0")-OI40</f>
        <v>0</v>
      </c>
      <c r="OI40" s="374">
        <f ca="1">SUM(INDIRECT((ADDRESS(ROW(OI41),$I$11+(MATCH(OH$11,L.DATE,0))))&amp;":"&amp;(ADDRESS(ROW(OI41),$I$11+OI$11+(MATCH(OH$11,L.DATE,0))-1))))</f>
        <v>0</v>
      </c>
      <c r="OJ40" s="373">
        <f ca="1">COUNTIF(INDIRECT((ADDRESS(ROW(OK41),$I$11+(MATCH(OJ$11,L.DATE,0))))&amp;":"&amp;(ADDRESS(ROW(OK41),$I$11+OK$11+(MATCH(OJ$11,L.DATE,0))-1))),"&gt;=0")-OK40</f>
        <v>0</v>
      </c>
      <c r="OK40" s="375">
        <f ca="1">SUM(INDIRECT((ADDRESS(ROW(OK41),$I$11+(MATCH(OJ$11,L.DATE,0))))&amp;":"&amp;(ADDRESS(ROW(OK41),$I$11+OK$11+(MATCH(OJ$11,L.DATE,0))-1))))</f>
        <v>0</v>
      </c>
      <c r="OM40" s="39">
        <f ca="1">NN40+NP40+NR40+NT40+NV40+NX40+NZ40+OB40+OD40+OF40+OJ40+OH40</f>
        <v>25</v>
      </c>
      <c r="ON40" s="40">
        <f ca="1">NO40+NQ40+NS40+NU40+NW40+NY40+OA40+OC40+OE40+OG40+OK40+OI40</f>
        <v>0</v>
      </c>
    </row>
    <row r="41" spans="1:404" x14ac:dyDescent="0.3">
      <c r="A41" s="33"/>
      <c r="B41" s="16" t="str">
        <f t="shared" ref="B41:H41" si="36">B40</f>
        <v>TECH.N1</v>
      </c>
      <c r="C41" s="16">
        <f t="shared" si="36"/>
        <v>1</v>
      </c>
      <c r="D41" s="16" t="str">
        <f t="shared" si="36"/>
        <v>EXT</v>
      </c>
      <c r="E41" s="16" t="str">
        <f t="shared" si="36"/>
        <v>ITG</v>
      </c>
      <c r="F41" s="16" t="str">
        <f t="shared" si="36"/>
        <v>SL</v>
      </c>
      <c r="G41" s="105" t="str">
        <f t="shared" si="36"/>
        <v>N1</v>
      </c>
      <c r="H41" s="109">
        <f t="shared" si="36"/>
        <v>2</v>
      </c>
      <c r="I41" s="28"/>
      <c r="J41" s="482"/>
      <c r="K41" s="485"/>
      <c r="L41" s="482"/>
      <c r="M41" s="482"/>
      <c r="N41" s="482"/>
      <c r="O41" s="482"/>
      <c r="P41" s="482"/>
      <c r="Q41" s="482"/>
      <c r="R41" s="482"/>
      <c r="S41" s="482"/>
      <c r="T41" s="482"/>
      <c r="U41" s="482"/>
      <c r="V41" s="482"/>
      <c r="W41" s="482"/>
      <c r="X41" s="482"/>
      <c r="Y41" s="482"/>
      <c r="Z41" s="482"/>
      <c r="AA41" s="482"/>
      <c r="AB41" s="482"/>
      <c r="AC41" s="482"/>
      <c r="AD41" s="482"/>
      <c r="AE41" s="482"/>
      <c r="AF41" s="482"/>
      <c r="AG41" s="482"/>
      <c r="AH41" s="482"/>
      <c r="AI41" s="482"/>
      <c r="AJ41" s="482"/>
      <c r="AK41" s="482"/>
      <c r="AL41" s="482"/>
      <c r="AM41" s="482"/>
      <c r="AN41" s="482"/>
      <c r="AO41" s="482"/>
      <c r="AP41" s="482"/>
      <c r="AQ41" s="482"/>
      <c r="AR41" s="482"/>
      <c r="AS41" s="482"/>
      <c r="AT41" s="482"/>
      <c r="AU41" s="482"/>
      <c r="AV41" s="482"/>
      <c r="AW41" s="482"/>
      <c r="AX41" s="482"/>
      <c r="AY41" s="482"/>
      <c r="AZ41" s="482"/>
      <c r="BA41" s="482"/>
      <c r="BB41" s="482"/>
      <c r="BC41" s="482"/>
      <c r="BD41" s="482"/>
      <c r="BE41" s="482"/>
      <c r="BF41" s="482"/>
      <c r="BG41" s="482"/>
      <c r="BH41" s="482"/>
      <c r="BI41" s="482"/>
      <c r="BJ41" s="482"/>
      <c r="BK41" s="482"/>
      <c r="BL41" s="482"/>
      <c r="BM41" s="482"/>
      <c r="BN41" s="482"/>
      <c r="BO41" s="485">
        <v>0</v>
      </c>
      <c r="BP41" s="485">
        <v>0</v>
      </c>
      <c r="BQ41" s="485">
        <v>0</v>
      </c>
      <c r="BR41" s="485">
        <v>0</v>
      </c>
      <c r="BS41" s="485">
        <v>0</v>
      </c>
      <c r="BT41" s="482"/>
      <c r="BU41" s="482"/>
      <c r="BV41" s="485">
        <v>0</v>
      </c>
      <c r="BW41" s="485">
        <v>0</v>
      </c>
      <c r="BX41" s="485">
        <v>0</v>
      </c>
      <c r="BY41" s="485">
        <v>0</v>
      </c>
      <c r="BZ41" s="485">
        <v>0</v>
      </c>
      <c r="CA41" s="482"/>
      <c r="CB41" s="482"/>
      <c r="CC41" s="485">
        <v>0</v>
      </c>
      <c r="CD41" s="485">
        <v>0</v>
      </c>
      <c r="CE41" s="485">
        <v>0</v>
      </c>
      <c r="CF41" s="485">
        <v>0</v>
      </c>
      <c r="CG41" s="485">
        <v>0</v>
      </c>
      <c r="CH41" s="482"/>
      <c r="CI41" s="482"/>
      <c r="CJ41" s="485">
        <v>0</v>
      </c>
      <c r="CK41" s="485">
        <v>0</v>
      </c>
      <c r="CL41" s="485">
        <v>0</v>
      </c>
      <c r="CM41" s="485">
        <v>0</v>
      </c>
      <c r="CN41" s="485">
        <v>0</v>
      </c>
      <c r="CO41" s="482"/>
      <c r="CP41" s="482"/>
      <c r="CQ41" s="485">
        <v>0</v>
      </c>
      <c r="CR41" s="485">
        <v>0</v>
      </c>
      <c r="CS41" s="485">
        <v>0</v>
      </c>
      <c r="CT41" s="485">
        <v>0</v>
      </c>
      <c r="CU41" s="485">
        <v>0</v>
      </c>
      <c r="CV41" s="482"/>
      <c r="CW41" s="482"/>
      <c r="CX41" s="482"/>
      <c r="CY41" s="482"/>
      <c r="CZ41" s="482"/>
      <c r="DA41" s="482"/>
      <c r="DB41" s="482"/>
      <c r="DC41" s="482"/>
      <c r="DD41" s="482"/>
      <c r="DE41" s="482"/>
      <c r="DF41" s="482"/>
      <c r="DG41" s="482"/>
      <c r="DH41" s="482"/>
      <c r="DI41" s="482"/>
      <c r="DJ41" s="482"/>
      <c r="DK41" s="482"/>
      <c r="DL41" s="482"/>
      <c r="DM41" s="482"/>
      <c r="DN41" s="482"/>
      <c r="DO41" s="482"/>
      <c r="DP41" s="482"/>
      <c r="DQ41" s="482"/>
      <c r="DR41" s="482"/>
      <c r="DS41" s="482"/>
      <c r="DT41" s="482"/>
      <c r="DU41" s="482"/>
      <c r="DV41" s="482"/>
      <c r="DW41" s="482"/>
      <c r="DX41" s="482"/>
      <c r="DY41" s="482"/>
      <c r="DZ41" s="482"/>
      <c r="EA41" s="482"/>
      <c r="EB41" s="482"/>
      <c r="EC41" s="482"/>
      <c r="ED41" s="482"/>
      <c r="EE41" s="482"/>
      <c r="EF41" s="482"/>
      <c r="EG41" s="482"/>
      <c r="EH41" s="482"/>
      <c r="EI41" s="482"/>
      <c r="EJ41" s="482"/>
      <c r="EK41" s="482"/>
      <c r="EL41" s="482"/>
      <c r="EM41" s="482"/>
      <c r="EN41" s="482"/>
      <c r="EO41" s="482"/>
      <c r="EP41" s="482"/>
      <c r="EQ41" s="482"/>
      <c r="ER41" s="482"/>
      <c r="ES41" s="482"/>
      <c r="ET41" s="482"/>
      <c r="EU41" s="482"/>
      <c r="EV41" s="482"/>
      <c r="EW41" s="482"/>
      <c r="EX41" s="482"/>
      <c r="EY41" s="482"/>
      <c r="EZ41" s="482"/>
      <c r="FA41" s="482"/>
      <c r="FB41" s="482"/>
      <c r="FC41" s="482"/>
      <c r="FD41" s="482"/>
      <c r="FE41" s="482"/>
      <c r="FF41" s="482"/>
      <c r="FG41" s="482"/>
      <c r="FH41" s="482"/>
      <c r="FI41" s="482"/>
      <c r="FJ41" s="482"/>
      <c r="FK41" s="482"/>
      <c r="FL41" s="482"/>
      <c r="FM41" s="482"/>
      <c r="FN41" s="482"/>
      <c r="FO41" s="482"/>
      <c r="FP41" s="482"/>
      <c r="FQ41" s="482"/>
      <c r="FR41" s="482"/>
      <c r="FS41" s="482"/>
      <c r="FT41" s="482"/>
      <c r="FU41" s="482"/>
      <c r="FV41" s="482"/>
      <c r="FW41" s="482"/>
      <c r="FX41" s="482"/>
      <c r="FY41" s="482"/>
      <c r="FZ41" s="482"/>
      <c r="GA41" s="482"/>
      <c r="GB41" s="482"/>
      <c r="GC41" s="482"/>
      <c r="GD41" s="482"/>
      <c r="GE41" s="482"/>
      <c r="GF41" s="482"/>
      <c r="GG41" s="482"/>
      <c r="GH41" s="482"/>
      <c r="GI41" s="482"/>
      <c r="GJ41" s="482"/>
      <c r="GK41" s="482"/>
      <c r="GL41" s="482"/>
      <c r="GM41" s="482"/>
      <c r="GN41" s="482"/>
      <c r="GO41" s="482"/>
      <c r="GP41" s="482"/>
      <c r="GQ41" s="482"/>
      <c r="GR41" s="482"/>
      <c r="GS41" s="482"/>
      <c r="GT41" s="482"/>
      <c r="GU41" s="482"/>
      <c r="GV41" s="482"/>
      <c r="GW41" s="482"/>
      <c r="GX41" s="482"/>
      <c r="GY41" s="482"/>
      <c r="GZ41" s="482"/>
      <c r="HA41" s="482"/>
      <c r="HB41" s="482"/>
      <c r="HC41" s="482"/>
      <c r="HD41" s="482"/>
      <c r="HE41" s="482"/>
      <c r="HF41" s="482"/>
      <c r="HG41" s="482"/>
      <c r="HH41" s="482"/>
      <c r="HI41" s="482"/>
      <c r="HJ41" s="482"/>
      <c r="HK41" s="482"/>
      <c r="HL41" s="482"/>
      <c r="HM41" s="482"/>
      <c r="HN41" s="482"/>
      <c r="HO41" s="482"/>
      <c r="HP41" s="482"/>
      <c r="HQ41" s="482"/>
      <c r="HR41" s="482"/>
      <c r="HS41" s="482"/>
      <c r="HT41" s="482"/>
      <c r="HU41" s="482"/>
      <c r="HV41" s="482"/>
      <c r="HW41" s="482"/>
      <c r="HX41" s="482"/>
      <c r="HY41" s="482"/>
      <c r="HZ41" s="482"/>
      <c r="IA41" s="482"/>
      <c r="IB41" s="482"/>
      <c r="IC41" s="482"/>
      <c r="ID41" s="482"/>
      <c r="IE41" s="482"/>
      <c r="IF41" s="482"/>
      <c r="IG41" s="482"/>
      <c r="IH41" s="482"/>
      <c r="II41" s="482"/>
      <c r="IJ41" s="482"/>
      <c r="IK41" s="482"/>
      <c r="IL41" s="482"/>
      <c r="IM41" s="482"/>
      <c r="IN41" s="482"/>
      <c r="IO41" s="482"/>
      <c r="IP41" s="482"/>
      <c r="IQ41" s="482"/>
      <c r="IR41" s="482"/>
      <c r="IS41" s="482"/>
      <c r="IT41" s="482"/>
      <c r="IU41" s="482"/>
      <c r="IV41" s="482"/>
      <c r="IW41" s="482"/>
      <c r="IX41" s="482"/>
      <c r="IY41" s="482"/>
      <c r="IZ41" s="482"/>
      <c r="JA41" s="482"/>
      <c r="JB41" s="482"/>
      <c r="JC41" s="482"/>
      <c r="JD41" s="482"/>
      <c r="JE41" s="482"/>
      <c r="JF41" s="482"/>
      <c r="JG41" s="482"/>
      <c r="JH41" s="482"/>
      <c r="JI41" s="482"/>
      <c r="JJ41" s="482"/>
      <c r="JK41" s="482"/>
      <c r="JL41" s="482"/>
      <c r="JM41" s="482"/>
      <c r="JN41" s="482"/>
      <c r="JO41" s="482"/>
      <c r="JP41" s="482"/>
      <c r="JQ41" s="482"/>
      <c r="JR41" s="482"/>
      <c r="JS41" s="482"/>
      <c r="JT41" s="482"/>
      <c r="JU41" s="482"/>
      <c r="JV41" s="482"/>
      <c r="JW41" s="482"/>
      <c r="JX41" s="482"/>
      <c r="JY41" s="482"/>
      <c r="JZ41" s="482"/>
      <c r="KA41" s="482"/>
      <c r="KB41" s="482"/>
      <c r="KC41" s="482"/>
      <c r="KD41" s="482"/>
      <c r="KE41" s="482"/>
      <c r="KF41" s="482"/>
      <c r="KG41" s="482"/>
      <c r="KH41" s="482"/>
      <c r="KI41" s="482"/>
      <c r="KJ41" s="482"/>
      <c r="KK41" s="482"/>
      <c r="KL41" s="482"/>
      <c r="KM41" s="482"/>
      <c r="KN41" s="482"/>
      <c r="KO41" s="482"/>
      <c r="KP41" s="482"/>
      <c r="KQ41" s="482"/>
      <c r="KR41" s="482"/>
      <c r="KS41" s="482"/>
      <c r="KT41" s="482"/>
      <c r="KU41" s="482"/>
      <c r="KV41" s="482"/>
      <c r="KW41" s="482"/>
      <c r="KX41" s="482"/>
      <c r="KY41" s="482"/>
      <c r="KZ41" s="482"/>
      <c r="LA41" s="482"/>
      <c r="LB41" s="482"/>
      <c r="LC41" s="482"/>
      <c r="LD41" s="482"/>
      <c r="LE41" s="482"/>
      <c r="LF41" s="482"/>
      <c r="LG41" s="482"/>
      <c r="LH41" s="482"/>
      <c r="LI41" s="482"/>
      <c r="LJ41" s="482"/>
      <c r="LK41" s="482"/>
      <c r="LL41" s="482"/>
      <c r="LM41" s="482"/>
      <c r="LN41" s="482"/>
      <c r="LO41" s="482"/>
      <c r="LP41" s="482"/>
      <c r="LQ41" s="482"/>
      <c r="LR41" s="482"/>
      <c r="LS41" s="482"/>
      <c r="LT41" s="482"/>
      <c r="LU41" s="482"/>
      <c r="LV41" s="482"/>
      <c r="LW41" s="482"/>
      <c r="LX41" s="482"/>
      <c r="LY41" s="482"/>
      <c r="LZ41" s="482"/>
      <c r="MA41" s="482"/>
      <c r="MB41" s="482"/>
      <c r="MC41" s="482"/>
      <c r="MD41" s="482"/>
      <c r="ME41" s="482"/>
      <c r="MF41" s="482"/>
      <c r="MG41" s="482"/>
      <c r="MH41" s="482"/>
      <c r="MI41" s="482"/>
      <c r="MJ41" s="482"/>
      <c r="MK41" s="482"/>
      <c r="ML41" s="482"/>
      <c r="MM41" s="482"/>
      <c r="MN41" s="482"/>
      <c r="MO41" s="482"/>
      <c r="MP41" s="482"/>
      <c r="MQ41" s="482"/>
      <c r="MR41" s="482"/>
      <c r="MS41" s="482"/>
      <c r="MT41" s="482"/>
      <c r="MU41" s="482"/>
      <c r="MV41" s="482"/>
      <c r="MW41" s="482"/>
      <c r="MX41" s="482"/>
      <c r="MY41" s="482"/>
      <c r="MZ41" s="482"/>
      <c r="NA41" s="482"/>
      <c r="NB41" s="482"/>
      <c r="NC41" s="482"/>
      <c r="ND41" s="482"/>
      <c r="NE41" s="482"/>
      <c r="NF41" s="482"/>
      <c r="NG41" s="482"/>
      <c r="NH41" s="482"/>
      <c r="NI41" s="482"/>
      <c r="NJ41" s="483"/>
      <c r="NK41" s="34"/>
      <c r="NM41" s="379" t="str">
        <f>NM40&amp;".b"</f>
        <v>6.b</v>
      </c>
      <c r="NN41" s="376" t="str" cm="1">
        <f t="array" aca="1" ref="NN41" ca="1">IF(xcomp(INDIRECT((ADDRESS(ROW(NN40),$I$11+(MATCH(NN$11,L.DATE,0))))&amp;":"&amp;(ADDRESS(ROW(NN40),$I$11+NO$11+(MATCH(NN$11,L.DATE,0))-1))),L.ABSP)=0,"",
xsom(INDIRECT((ADDRESS(ROW(NN40),$I$11+(MATCH(NN$11,L.DATE,0))))&amp;":"&amp;(ADDRESS(ROW(NN40),$I$11+NO$11+(MATCH(NN$11,L.DATE,0))-1))),L.ABSP,
INDIRECT((ADDRESS(ROW(NN40)+1,$I$11+(MATCH(NN$11,L.DATE,0))))&amp;":"&amp;(ADDRESS(ROW(NN40)+1,$I$11+NO$11+(MATCH(NN$11,L.DATE,0))-1)))))</f>
        <v/>
      </c>
      <c r="NO41" s="377" t="str" cm="1">
        <f t="array" aca="1" ref="NO41" ca="1">IF(xcomp(INDIRECT((ADDRESS(ROW(NO40),$I$11+(MATCH(NN$11,L.DATE,0))))&amp;":"&amp;(ADDRESS(ROW(NO40),$I$11+NO$11+(MATCH(NN$11,L.DATE,0))-1))),L.ABS.NP)=0,"",
xsom(INDIRECT((ADDRESS(ROW(NO40),$I$11+(MATCH(NN$11,L.DATE,0))))&amp;":"&amp;(ADDRESS(ROW(NO40),$I$11+NO$11+(MATCH(NN$11,L.DATE,0))-1))),L.ABS.NP,
INDIRECT((ADDRESS(ROW(NO40)+1,$I$11+(MATCH(NN$11,L.DATE,0))))&amp;":"&amp;(ADDRESS(ROW(NO40)+1,$I$11+NO$11+(MATCH(NN$11,L.DATE,0))-1)))))</f>
        <v/>
      </c>
      <c r="NP41" s="376" cm="1">
        <f t="array" aca="1" ref="NP41" ca="1">IF(xcomp(INDIRECT((ADDRESS(ROW(NP40),$I$11+(MATCH(NP$11,L.DATE,0))))&amp;":"&amp;(ADDRESS(ROW(NP40),$I$11+NQ$11+(MATCH(NP$11,L.DATE,0))-1))),L.ABSP)=0,"",
xsom(INDIRECT((ADDRESS(ROW(NP40),$I$11+(MATCH(NP$11,L.DATE,0))))&amp;":"&amp;(ADDRESS(ROW(NP40),$I$11+NQ$11+(MATCH(NP$11,L.DATE,0))-1))),L.ABSP,
INDIRECT((ADDRESS(ROW(NP40)+1,$I$11+(MATCH(NP$11,L.DATE,0))))&amp;":"&amp;(ADDRESS(ROW(NP40)+1,$I$11+NQ$11+(MATCH(NP$11,L.DATE,0))-1)))))</f>
        <v>2</v>
      </c>
      <c r="NQ41" s="377" t="str" cm="1">
        <f t="array" aca="1" ref="NQ41" ca="1">IF(xcomp(INDIRECT((ADDRESS(ROW(NQ40),$I$11+(MATCH(NP$11,L.DATE,0))))&amp;":"&amp;(ADDRESS(ROW(NQ40),$I$11+NQ$11+(MATCH(NP$11,L.DATE,0))-1))),L.ABS.NP)=0,"",
xsom(INDIRECT((ADDRESS(ROW(NQ40),$I$11+(MATCH(NP$11,L.DATE,0))))&amp;":"&amp;(ADDRESS(ROW(NQ40),$I$11+NQ$11+(MATCH(NP$11,L.DATE,0))-1))),L.ABS.NP,
INDIRECT((ADDRESS(ROW(NQ40)+1,$I$11+(MATCH(NP$11,L.DATE,0))))&amp;":"&amp;(ADDRESS(ROW(NQ40)+1,$I$11+NQ$11+(MATCH(NP$11,L.DATE,0))-1)))))</f>
        <v/>
      </c>
      <c r="NR41" s="376" cm="1">
        <f t="array" aca="1" ref="NR41" ca="1">IF(xcomp(INDIRECT((ADDRESS(ROW(NR40),$I$11+(MATCH(NR$11,L.DATE,0))))&amp;":"&amp;(ADDRESS(ROW(NR40),$I$11+NS$11+(MATCH(NR$11,L.DATE,0))-1))),L.ABSP)=0,"",
xsom(INDIRECT((ADDRESS(ROW(NR40),$I$11+(MATCH(NR$11,L.DATE,0))))&amp;":"&amp;(ADDRESS(ROW(NR40),$I$11+NS$11+(MATCH(NR$11,L.DATE,0))-1))),L.ABSP,
INDIRECT((ADDRESS(ROW(NR40)+1,$I$11+(MATCH(NR$11,L.DATE,0))))&amp;":"&amp;(ADDRESS(ROW(NR40)+1,$I$11+NS$11+(MATCH(NR$11,L.DATE,0))-1)))))</f>
        <v>23</v>
      </c>
      <c r="NS41" s="377" t="str" cm="1">
        <f t="array" aca="1" ref="NS41" ca="1">IF(xcomp(INDIRECT((ADDRESS(ROW(NS40),$I$11+(MATCH(NR$11,L.DATE,0))))&amp;":"&amp;(ADDRESS(ROW(NS40),$I$11+NS$11+(MATCH(NR$11,L.DATE,0))-1))),L.ABS.NP)=0,"",
xsom(INDIRECT((ADDRESS(ROW(NS40),$I$11+(MATCH(NR$11,L.DATE,0))))&amp;":"&amp;(ADDRESS(ROW(NS40),$I$11+NS$11+(MATCH(NR$11,L.DATE,0))-1))),L.ABS.NP,
INDIRECT((ADDRESS(ROW(NS40)+1,$I$11+(MATCH(NR$11,L.DATE,0))))&amp;":"&amp;(ADDRESS(ROW(NS40)+1,$I$11+NS$11+(MATCH(NR$11,L.DATE,0))-1)))))</f>
        <v/>
      </c>
      <c r="NT41" s="376" t="str" cm="1">
        <f t="array" aca="1" ref="NT41" ca="1">IF(xcomp(INDIRECT((ADDRESS(ROW(NT40),$I$11+(MATCH(NT$11,L.DATE,0))))&amp;":"&amp;(ADDRESS(ROW(NT40),$I$11+NU$11+(MATCH(NT$11,L.DATE,0))-1))),L.ABSP)=0,"",
xsom(INDIRECT((ADDRESS(ROW(NT40),$I$11+(MATCH(NT$11,L.DATE,0))))&amp;":"&amp;(ADDRESS(ROW(NT40),$I$11+NU$11+(MATCH(NT$11,L.DATE,0))-1))),L.ABSP,
INDIRECT((ADDRESS(ROW(NT40)+1,$I$11+(MATCH(NT$11,L.DATE,0))))&amp;":"&amp;(ADDRESS(ROW(NT40)+1,$I$11+NU$11+(MATCH(NT$11,L.DATE,0))-1)))))</f>
        <v/>
      </c>
      <c r="NU41" s="377" t="str" cm="1">
        <f t="array" aca="1" ref="NU41" ca="1">IF(xcomp(INDIRECT((ADDRESS(ROW(NU40),$I$11+(MATCH(NT$11,L.DATE,0))))&amp;":"&amp;(ADDRESS(ROW(NU40),$I$11+NU$11+(MATCH(NT$11,L.DATE,0))-1))),L.ABS.NP)=0,"",
xsom(INDIRECT((ADDRESS(ROW(NU40),$I$11+(MATCH(NT$11,L.DATE,0))))&amp;":"&amp;(ADDRESS(ROW(NU40),$I$11+NU$11+(MATCH(NT$11,L.DATE,0))-1))),L.ABS.NP,
INDIRECT((ADDRESS(ROW(NU40)+1,$I$11+(MATCH(NT$11,L.DATE,0))))&amp;":"&amp;(ADDRESS(ROW(NU40)+1,$I$11+NU$11+(MATCH(NT$11,L.DATE,0))-1)))))</f>
        <v/>
      </c>
      <c r="NV41" s="376" t="str" cm="1">
        <f t="array" aca="1" ref="NV41" ca="1">IF(xcomp(INDIRECT((ADDRESS(ROW(NV40),$I$11+(MATCH(NV$11,L.DATE,0))))&amp;":"&amp;(ADDRESS(ROW(NV40),$I$11+NW$11+(MATCH(NV$11,L.DATE,0))-1))),L.ABSP)=0,"",
xsom(INDIRECT((ADDRESS(ROW(NV40),$I$11+(MATCH(NV$11,L.DATE,0))))&amp;":"&amp;(ADDRESS(ROW(NV40),$I$11+NW$11+(MATCH(NV$11,L.DATE,0))-1))),L.ABSP,
INDIRECT((ADDRESS(ROW(NV40)+1,$I$11+(MATCH(NV$11,L.DATE,0))))&amp;":"&amp;(ADDRESS(ROW(NV40)+1,$I$11+NW$11+(MATCH(NV$11,L.DATE,0))-1)))))</f>
        <v/>
      </c>
      <c r="NW41" s="377" t="str" cm="1">
        <f t="array" aca="1" ref="NW41" ca="1">IF(xcomp(INDIRECT((ADDRESS(ROW(NW40),$I$11+(MATCH(NV$11,L.DATE,0))))&amp;":"&amp;(ADDRESS(ROW(NW40),$I$11+NW$11+(MATCH(NV$11,L.DATE,0))-1))),L.ABS.NP)=0,"",
xsom(INDIRECT((ADDRESS(ROW(NW40),$I$11+(MATCH(NV$11,L.DATE,0))))&amp;":"&amp;(ADDRESS(ROW(NW40),$I$11+NW$11+(MATCH(NV$11,L.DATE,0))-1))),L.ABS.NP,
INDIRECT((ADDRESS(ROW(NW40)+1,$I$11+(MATCH(NV$11,L.DATE,0))))&amp;":"&amp;(ADDRESS(ROW(NW40)+1,$I$11+NW$11+(MATCH(NV$11,L.DATE,0))-1)))))</f>
        <v/>
      </c>
      <c r="NX41" s="376" t="str" cm="1">
        <f t="array" aca="1" ref="NX41" ca="1">IF(xcomp(INDIRECT((ADDRESS(ROW(NX40),$I$11+(MATCH(NX$11,L.DATE,0))))&amp;":"&amp;(ADDRESS(ROW(NX40),$I$11+NY$11+(MATCH(NX$11,L.DATE,0))-1))),L.ABSP)=0,"",
xsom(INDIRECT((ADDRESS(ROW(NX40),$I$11+(MATCH(NX$11,L.DATE,0))))&amp;":"&amp;(ADDRESS(ROW(NX40),$I$11+NY$11+(MATCH(NX$11,L.DATE,0))-1))),L.ABSP,
INDIRECT((ADDRESS(ROW(NX40)+1,$I$11+(MATCH(NX$11,L.DATE,0))))&amp;":"&amp;(ADDRESS(ROW(NX40)+1,$I$11+NY$11+(MATCH(NX$11,L.DATE,0))-1)))))</f>
        <v/>
      </c>
      <c r="NY41" s="377" t="str" cm="1">
        <f t="array" aca="1" ref="NY41" ca="1">IF(xcomp(INDIRECT((ADDRESS(ROW(NY40),$I$11+(MATCH(NX$11,L.DATE,0))))&amp;":"&amp;(ADDRESS(ROW(NY40),$I$11+NY$11+(MATCH(NX$11,L.DATE,0))-1))),L.ABS.NP)=0,"",
xsom(INDIRECT((ADDRESS(ROW(NY40),$I$11+(MATCH(NX$11,L.DATE,0))))&amp;":"&amp;(ADDRESS(ROW(NY40),$I$11+NY$11+(MATCH(NX$11,L.DATE,0))-1))),L.ABS.NP,
INDIRECT((ADDRESS(ROW(NY40)+1,$I$11+(MATCH(NX$11,L.DATE,0))))&amp;":"&amp;(ADDRESS(ROW(NY40)+1,$I$11+NY$11+(MATCH(NX$11,L.DATE,0))-1)))))</f>
        <v/>
      </c>
      <c r="NZ41" s="376" t="str" cm="1">
        <f t="array" aca="1" ref="NZ41" ca="1">IF(xcomp(INDIRECT((ADDRESS(ROW(NZ40),$I$11+(MATCH(NZ$11,L.DATE,0))))&amp;":"&amp;(ADDRESS(ROW(NZ40),$I$11+OA$11+(MATCH(NZ$11,L.DATE,0))-1))),L.ABSP)=0,"",
xsom(INDIRECT((ADDRESS(ROW(NZ40),$I$11+(MATCH(NZ$11,L.DATE,0))))&amp;":"&amp;(ADDRESS(ROW(NZ40),$I$11+OA$11+(MATCH(NZ$11,L.DATE,0))-1))),L.ABSP,
INDIRECT((ADDRESS(ROW(NZ40)+1,$I$11+(MATCH(NZ$11,L.DATE,0))))&amp;":"&amp;(ADDRESS(ROW(NZ40)+1,$I$11+OA$11+(MATCH(NZ$11,L.DATE,0))-1)))))</f>
        <v/>
      </c>
      <c r="OA41" s="377" t="str" cm="1">
        <f t="array" aca="1" ref="OA41" ca="1">IF(xcomp(INDIRECT((ADDRESS(ROW(OA40),$I$11+(MATCH(NZ$11,L.DATE,0))))&amp;":"&amp;(ADDRESS(ROW(OA40),$I$11+OA$11+(MATCH(NZ$11,L.DATE,0))-1))),L.ABS.NP)=0,"",
xsom(INDIRECT((ADDRESS(ROW(OA40),$I$11+(MATCH(NZ$11,L.DATE,0))))&amp;":"&amp;(ADDRESS(ROW(OA40),$I$11+OA$11+(MATCH(NZ$11,L.DATE,0))-1))),L.ABS.NP,
INDIRECT((ADDRESS(ROW(OA40)+1,$I$11+(MATCH(NZ$11,L.DATE,0))))&amp;":"&amp;(ADDRESS(ROW(OA40)+1,$I$11+OA$11+(MATCH(NZ$11,L.DATE,0))-1)))))</f>
        <v/>
      </c>
      <c r="OB41" s="376" t="str" cm="1">
        <f t="array" aca="1" ref="OB41" ca="1">IF(xcomp(INDIRECT((ADDRESS(ROW(OB40),$I$11+(MATCH(OB$11,L.DATE,0))))&amp;":"&amp;(ADDRESS(ROW(OB40),$I$11+OC$11+(MATCH(OB$11,L.DATE,0))-1))),L.ABSP)=0,"",
xsom(INDIRECT((ADDRESS(ROW(OB40),$I$11+(MATCH(OB$11,L.DATE,0))))&amp;":"&amp;(ADDRESS(ROW(OB40),$I$11+OC$11+(MATCH(OB$11,L.DATE,0))-1))),L.ABSP,
INDIRECT((ADDRESS(ROW(OB40)+1,$I$11+(MATCH(OB$11,L.DATE,0))))&amp;":"&amp;(ADDRESS(ROW(OB40)+1,$I$11+OC$11+(MATCH(OB$11,L.DATE,0))-1)))))</f>
        <v/>
      </c>
      <c r="OC41" s="377" t="str" cm="1">
        <f t="array" aca="1" ref="OC41" ca="1">IF(xcomp(INDIRECT((ADDRESS(ROW(OC40),$I$11+(MATCH(OB$11,L.DATE,0))))&amp;":"&amp;(ADDRESS(ROW(OC40),$I$11+OC$11+(MATCH(OB$11,L.DATE,0))-1))),L.ABS.NP)=0,"",
xsom(INDIRECT((ADDRESS(ROW(OC40),$I$11+(MATCH(OB$11,L.DATE,0))))&amp;":"&amp;(ADDRESS(ROW(OC40),$I$11+OC$11+(MATCH(OB$11,L.DATE,0))-1))),L.ABS.NP,
INDIRECT((ADDRESS(ROW(OC40)+1,$I$11+(MATCH(OB$11,L.DATE,0))))&amp;":"&amp;(ADDRESS(ROW(OC40)+1,$I$11+OC$11+(MATCH(OB$11,L.DATE,0))-1)))))</f>
        <v/>
      </c>
      <c r="OD41" s="376" t="str" cm="1">
        <f t="array" aca="1" ref="OD41" ca="1">IF(xcomp(INDIRECT((ADDRESS(ROW(OD40),$I$11+(MATCH(OD$11,L.DATE,0))))&amp;":"&amp;(ADDRESS(ROW(OD40),$I$11+OE$11+(MATCH(OD$11,L.DATE,0))-1))),L.ABSP)=0,"",
xsom(INDIRECT((ADDRESS(ROW(OD40),$I$11+(MATCH(OD$11,L.DATE,0))))&amp;":"&amp;(ADDRESS(ROW(OD40),$I$11+OE$11+(MATCH(OD$11,L.DATE,0))-1))),L.ABSP,
INDIRECT((ADDRESS(ROW(OD40)+1,$I$11+(MATCH(OD$11,L.DATE,0))))&amp;":"&amp;(ADDRESS(ROW(OD40)+1,$I$11+OE$11+(MATCH(OD$11,L.DATE,0))-1)))))</f>
        <v/>
      </c>
      <c r="OE41" s="377" t="str" cm="1">
        <f t="array" aca="1" ref="OE41" ca="1">IF(xcomp(INDIRECT((ADDRESS(ROW(OE40),$I$11+(MATCH(OD$11,L.DATE,0))))&amp;":"&amp;(ADDRESS(ROW(OE40),$I$11+OE$11+(MATCH(OD$11,L.DATE,0))-1))),L.ABS.NP)=0,"",
xsom(INDIRECT((ADDRESS(ROW(OE40),$I$11+(MATCH(OD$11,L.DATE,0))))&amp;":"&amp;(ADDRESS(ROW(OE40),$I$11+OE$11+(MATCH(OD$11,L.DATE,0))-1))),L.ABS.NP,
INDIRECT((ADDRESS(ROW(OE40)+1,$I$11+(MATCH(OD$11,L.DATE,0))))&amp;":"&amp;(ADDRESS(ROW(OE40)+1,$I$11+OE$11+(MATCH(OD$11,L.DATE,0))-1)))))</f>
        <v/>
      </c>
      <c r="OF41" s="376" t="str" cm="1">
        <f t="array" aca="1" ref="OF41" ca="1">IF(xcomp(INDIRECT((ADDRESS(ROW(OF40),$I$11+(MATCH(OF$11,L.DATE,0))))&amp;":"&amp;(ADDRESS(ROW(OF40),$I$11+OG$11+(MATCH(OF$11,L.DATE,0))-1))),L.ABSP)=0,"",
xsom(INDIRECT((ADDRESS(ROW(OF40),$I$11+(MATCH(OF$11,L.DATE,0))))&amp;":"&amp;(ADDRESS(ROW(OF40),$I$11+OG$11+(MATCH(OF$11,L.DATE,0))-1))),L.ABSP,
INDIRECT((ADDRESS(ROW(OF40)+1,$I$11+(MATCH(OF$11,L.DATE,0))))&amp;":"&amp;(ADDRESS(ROW(OF40)+1,$I$11+OG$11+(MATCH(OF$11,L.DATE,0))-1)))))</f>
        <v/>
      </c>
      <c r="OG41" s="377" t="str" cm="1">
        <f t="array" aca="1" ref="OG41" ca="1">IF(xcomp(INDIRECT((ADDRESS(ROW(OG40),$I$11+(MATCH(OF$11,L.DATE,0))))&amp;":"&amp;(ADDRESS(ROW(OG40),$I$11+OG$11+(MATCH(OF$11,L.DATE,0))-1))),L.ABS.NP)=0,"",
xsom(INDIRECT((ADDRESS(ROW(OG40),$I$11+(MATCH(OF$11,L.DATE,0))))&amp;":"&amp;(ADDRESS(ROW(OG40),$I$11+OG$11+(MATCH(OF$11,L.DATE,0))-1))),L.ABS.NP,
INDIRECT((ADDRESS(ROW(OG40)+1,$I$11+(MATCH(OF$11,L.DATE,0))))&amp;":"&amp;(ADDRESS(ROW(OG40)+1,$I$11+OG$11+(MATCH(OF$11,L.DATE,0))-1)))))</f>
        <v/>
      </c>
      <c r="OH41" s="376" t="str" cm="1">
        <f t="array" aca="1" ref="OH41" ca="1">IF(xcomp(INDIRECT((ADDRESS(ROW(OH40),$I$11+(MATCH(OH$11,L.DATE,0))))&amp;":"&amp;(ADDRESS(ROW(OH40),$I$11+OI$11+(MATCH(OH$11,L.DATE,0))-1))),L.ABSP)=0,"",
xsom(INDIRECT((ADDRESS(ROW(OH40),$I$11+(MATCH(OH$11,L.DATE,0))))&amp;":"&amp;(ADDRESS(ROW(OH40),$I$11+OI$11+(MATCH(OH$11,L.DATE,0))-1))),L.ABSP,
INDIRECT((ADDRESS(ROW(OH40)+1,$I$11+(MATCH(OH$11,L.DATE,0))))&amp;":"&amp;(ADDRESS(ROW(OH40)+1,$I$11+OI$11+(MATCH(OH$11,L.DATE,0))-1)))))</f>
        <v/>
      </c>
      <c r="OI41" s="377" t="str" cm="1">
        <f t="array" aca="1" ref="OI41" ca="1">IF(xcomp(INDIRECT((ADDRESS(ROW(OI40),$I$11+(MATCH(OH$11,L.DATE,0))))&amp;":"&amp;(ADDRESS(ROW(OI40),$I$11+OI$11+(MATCH(OH$11,L.DATE,0))-1))),L.ABS.NP)=0,"",
xsom(INDIRECT((ADDRESS(ROW(OI40),$I$11+(MATCH(OH$11,L.DATE,0))))&amp;":"&amp;(ADDRESS(ROW(OI40),$I$11+OI$11+(MATCH(OH$11,L.DATE,0))-1))),L.ABS.NP,
INDIRECT((ADDRESS(ROW(OI40)+1,$I$11+(MATCH(OH$11,L.DATE,0))))&amp;":"&amp;(ADDRESS(ROW(OI40)+1,$I$11+OI$11+(MATCH(OH$11,L.DATE,0))-1)))))</f>
        <v/>
      </c>
      <c r="OJ41" s="376" t="str" cm="1">
        <f t="array" aca="1" ref="OJ41" ca="1">IF(xcomp(INDIRECT((ADDRESS(ROW(OJ40),$I$11+(MATCH(OJ$11,L.DATE,0))))&amp;":"&amp;(ADDRESS(ROW(OJ40),$I$11+OK$11+(MATCH(OJ$11,L.DATE,0))-1))),L.ABSP)=0,"",
xsom(INDIRECT((ADDRESS(ROW(OJ40),$I$11+(MATCH(OJ$11,L.DATE,0))))&amp;":"&amp;(ADDRESS(ROW(OJ40),$I$11+OK$11+(MATCH(OJ$11,L.DATE,0))-1))),L.ABSP,
INDIRECT((ADDRESS(ROW(OJ40)+1,$I$11+(MATCH(OJ$11,L.DATE,0))))&amp;":"&amp;(ADDRESS(ROW(OJ40)+1,$I$11+OK$11+(MATCH(OJ$11,L.DATE,0))-1)))))</f>
        <v/>
      </c>
      <c r="OK41" s="378" t="str" cm="1">
        <f t="array" aca="1" ref="OK41" ca="1">IF(xcomp(INDIRECT((ADDRESS(ROW(OK40),$I$11+(MATCH(OJ$11,L.DATE,0))))&amp;":"&amp;(ADDRESS(ROW(OK40),$I$11+OK$11+(MATCH(OJ$11,L.DATE,0))-1))),L.ABS.NP)=0,"",
xsom(INDIRECT((ADDRESS(ROW(OK40),$I$11+(MATCH(OJ$11,L.DATE,0))))&amp;":"&amp;(ADDRESS(ROW(OK40),$I$11+OK$11+(MATCH(OJ$11,L.DATE,0))-1))),L.ABS.NP,
INDIRECT((ADDRESS(ROW(OK40)+1,$I$11+(MATCH(OJ$11,L.DATE,0))))&amp;":"&amp;(ADDRESS(ROW(OK40)+1,$I$11+OK$11+(MATCH(OJ$11,L.DATE,0))-1)))))</f>
        <v/>
      </c>
    </row>
    <row r="42" spans="1:404" ht="12" customHeight="1" x14ac:dyDescent="0.3">
      <c r="A42" s="394">
        <v>7</v>
      </c>
      <c r="B42" s="381" t="s">
        <v>502</v>
      </c>
      <c r="C42" s="53">
        <v>1</v>
      </c>
      <c r="D42" s="53" t="s">
        <v>33</v>
      </c>
      <c r="E42" s="53" t="s">
        <v>484</v>
      </c>
      <c r="F42" s="53" t="s">
        <v>13</v>
      </c>
      <c r="G42" s="104" t="s">
        <v>498</v>
      </c>
      <c r="H42" s="108">
        <v>2</v>
      </c>
      <c r="I42" s="28"/>
      <c r="J42" s="482"/>
      <c r="K42" s="487"/>
      <c r="L42" s="486"/>
      <c r="M42" s="482"/>
      <c r="N42" s="482"/>
      <c r="O42" s="482"/>
      <c r="P42" s="482"/>
      <c r="Q42" s="482"/>
      <c r="R42" s="482"/>
      <c r="S42" s="482"/>
      <c r="T42" s="482"/>
      <c r="U42" s="482"/>
      <c r="V42" s="482"/>
      <c r="W42" s="482"/>
      <c r="X42" s="482"/>
      <c r="Y42" s="482"/>
      <c r="Z42" s="482"/>
      <c r="AA42" s="482"/>
      <c r="AB42" s="482"/>
      <c r="AC42" s="482"/>
      <c r="AD42" s="482"/>
      <c r="AE42" s="482"/>
      <c r="AF42" s="482"/>
      <c r="AG42" s="482"/>
      <c r="AH42" s="482"/>
      <c r="AI42" s="482"/>
      <c r="AJ42" s="482"/>
      <c r="AK42" s="482"/>
      <c r="AL42" s="482"/>
      <c r="AM42" s="482"/>
      <c r="AN42" s="482"/>
      <c r="AO42" s="482"/>
      <c r="AP42" s="482"/>
      <c r="AQ42" s="482"/>
      <c r="AR42" s="482"/>
      <c r="AS42" s="482"/>
      <c r="AT42" s="482"/>
      <c r="AU42" s="482"/>
      <c r="AV42" s="482"/>
      <c r="AW42" s="482"/>
      <c r="AX42" s="482"/>
      <c r="AY42" s="482"/>
      <c r="AZ42" s="482"/>
      <c r="BA42" s="482"/>
      <c r="BB42" s="482"/>
      <c r="BC42" s="482"/>
      <c r="BD42" s="482"/>
      <c r="BE42" s="482"/>
      <c r="BF42" s="482"/>
      <c r="BG42" s="482"/>
      <c r="BH42" s="482"/>
      <c r="BI42" s="482"/>
      <c r="BJ42" s="482"/>
      <c r="BK42" s="482"/>
      <c r="BL42" s="482"/>
      <c r="BM42" s="482"/>
      <c r="BN42" s="482"/>
      <c r="BO42" s="482"/>
      <c r="BP42" s="482"/>
      <c r="BQ42" s="482"/>
      <c r="BR42" s="482"/>
      <c r="BS42" s="482"/>
      <c r="BT42" s="482"/>
      <c r="BU42" s="482"/>
      <c r="BV42" s="482"/>
      <c r="BW42" s="482"/>
      <c r="BX42" s="482"/>
      <c r="BY42" s="482"/>
      <c r="BZ42" s="482"/>
      <c r="CA42" s="482"/>
      <c r="CB42" s="482"/>
      <c r="CC42" s="484" t="s">
        <v>27</v>
      </c>
      <c r="CD42" s="484" t="s">
        <v>27</v>
      </c>
      <c r="CE42" s="484" t="s">
        <v>27</v>
      </c>
      <c r="CF42" s="484" t="s">
        <v>27</v>
      </c>
      <c r="CG42" s="484" t="s">
        <v>27</v>
      </c>
      <c r="CH42" s="482"/>
      <c r="CI42" s="482"/>
      <c r="CJ42" s="484" t="s">
        <v>27</v>
      </c>
      <c r="CK42" s="484" t="s">
        <v>27</v>
      </c>
      <c r="CL42" s="484" t="s">
        <v>27</v>
      </c>
      <c r="CM42" s="484" t="s">
        <v>27</v>
      </c>
      <c r="CN42" s="484" t="s">
        <v>27</v>
      </c>
      <c r="CO42" s="482"/>
      <c r="CP42" s="482"/>
      <c r="CQ42" s="484" t="s">
        <v>27</v>
      </c>
      <c r="CR42" s="484" t="s">
        <v>27</v>
      </c>
      <c r="CS42" s="484" t="s">
        <v>27</v>
      </c>
      <c r="CT42" s="484" t="s">
        <v>27</v>
      </c>
      <c r="CU42" s="484" t="s">
        <v>27</v>
      </c>
      <c r="CV42" s="482"/>
      <c r="CW42" s="482"/>
      <c r="CX42" s="482"/>
      <c r="CY42" s="482"/>
      <c r="CZ42" s="482"/>
      <c r="DA42" s="482"/>
      <c r="DB42" s="482"/>
      <c r="DC42" s="482"/>
      <c r="DD42" s="482"/>
      <c r="DE42" s="482"/>
      <c r="DF42" s="482"/>
      <c r="DG42" s="482"/>
      <c r="DH42" s="482"/>
      <c r="DI42" s="482"/>
      <c r="DJ42" s="482"/>
      <c r="DK42" s="482"/>
      <c r="DL42" s="482"/>
      <c r="DM42" s="482"/>
      <c r="DN42" s="482"/>
      <c r="DO42" s="482"/>
      <c r="DP42" s="482"/>
      <c r="DQ42" s="482"/>
      <c r="DR42" s="482"/>
      <c r="DS42" s="482"/>
      <c r="DT42" s="482"/>
      <c r="DU42" s="482"/>
      <c r="DV42" s="482"/>
      <c r="DW42" s="482"/>
      <c r="DX42" s="482"/>
      <c r="DY42" s="482"/>
      <c r="DZ42" s="482"/>
      <c r="EA42" s="482"/>
      <c r="EB42" s="482"/>
      <c r="EC42" s="482"/>
      <c r="ED42" s="482"/>
      <c r="EE42" s="482"/>
      <c r="EF42" s="482"/>
      <c r="EG42" s="482"/>
      <c r="EH42" s="482"/>
      <c r="EI42" s="482"/>
      <c r="EJ42" s="482"/>
      <c r="EK42" s="482"/>
      <c r="EL42" s="482"/>
      <c r="EM42" s="482"/>
      <c r="EN42" s="482"/>
      <c r="EO42" s="482"/>
      <c r="EP42" s="482"/>
      <c r="EQ42" s="482"/>
      <c r="ER42" s="482"/>
      <c r="ES42" s="482"/>
      <c r="ET42" s="482"/>
      <c r="EU42" s="482"/>
      <c r="EV42" s="482"/>
      <c r="EW42" s="482"/>
      <c r="EX42" s="482"/>
      <c r="EY42" s="482"/>
      <c r="EZ42" s="482"/>
      <c r="FA42" s="482"/>
      <c r="FB42" s="482"/>
      <c r="FC42" s="482"/>
      <c r="FD42" s="482"/>
      <c r="FE42" s="482"/>
      <c r="FF42" s="482"/>
      <c r="FG42" s="482"/>
      <c r="FH42" s="482"/>
      <c r="FI42" s="482"/>
      <c r="FJ42" s="482"/>
      <c r="FK42" s="482"/>
      <c r="FL42" s="482"/>
      <c r="FM42" s="482"/>
      <c r="FN42" s="482"/>
      <c r="FO42" s="482"/>
      <c r="FP42" s="482"/>
      <c r="FQ42" s="482"/>
      <c r="FR42" s="482"/>
      <c r="FS42" s="482"/>
      <c r="FT42" s="482"/>
      <c r="FU42" s="482"/>
      <c r="FV42" s="482"/>
      <c r="FW42" s="482"/>
      <c r="FX42" s="482"/>
      <c r="FY42" s="482"/>
      <c r="FZ42" s="482"/>
      <c r="GA42" s="482"/>
      <c r="GB42" s="482"/>
      <c r="GC42" s="482"/>
      <c r="GD42" s="482"/>
      <c r="GE42" s="482"/>
      <c r="GF42" s="482"/>
      <c r="GG42" s="482"/>
      <c r="GH42" s="482"/>
      <c r="GI42" s="482"/>
      <c r="GJ42" s="482"/>
      <c r="GK42" s="482"/>
      <c r="GL42" s="482"/>
      <c r="GM42" s="482"/>
      <c r="GN42" s="482"/>
      <c r="GO42" s="482"/>
      <c r="GP42" s="482"/>
      <c r="GQ42" s="482"/>
      <c r="GR42" s="482"/>
      <c r="GS42" s="482"/>
      <c r="GT42" s="482"/>
      <c r="GU42" s="482"/>
      <c r="GV42" s="482"/>
      <c r="GW42" s="482"/>
      <c r="GX42" s="482"/>
      <c r="GY42" s="482"/>
      <c r="GZ42" s="482"/>
      <c r="HA42" s="482"/>
      <c r="HB42" s="482"/>
      <c r="HC42" s="482"/>
      <c r="HD42" s="482"/>
      <c r="HE42" s="482"/>
      <c r="HF42" s="482"/>
      <c r="HG42" s="482"/>
      <c r="HH42" s="482"/>
      <c r="HI42" s="482"/>
      <c r="HJ42" s="482"/>
      <c r="HK42" s="482"/>
      <c r="HL42" s="482"/>
      <c r="HM42" s="482"/>
      <c r="HN42" s="482"/>
      <c r="HO42" s="482"/>
      <c r="HP42" s="482"/>
      <c r="HQ42" s="482"/>
      <c r="HR42" s="482"/>
      <c r="HS42" s="482"/>
      <c r="HT42" s="482"/>
      <c r="HU42" s="482"/>
      <c r="HV42" s="482"/>
      <c r="HW42" s="482"/>
      <c r="HX42" s="482"/>
      <c r="HY42" s="482"/>
      <c r="HZ42" s="482"/>
      <c r="IA42" s="482"/>
      <c r="IB42" s="482"/>
      <c r="IC42" s="482"/>
      <c r="ID42" s="482"/>
      <c r="IE42" s="482"/>
      <c r="IF42" s="482"/>
      <c r="IG42" s="482"/>
      <c r="IH42" s="482"/>
      <c r="II42" s="482"/>
      <c r="IJ42" s="482"/>
      <c r="IK42" s="482"/>
      <c r="IL42" s="482"/>
      <c r="IM42" s="482"/>
      <c r="IN42" s="482"/>
      <c r="IO42" s="482"/>
      <c r="IP42" s="482"/>
      <c r="IQ42" s="482"/>
      <c r="IR42" s="482"/>
      <c r="IS42" s="482"/>
      <c r="IT42" s="482"/>
      <c r="IU42" s="482"/>
      <c r="IV42" s="482"/>
      <c r="IW42" s="482"/>
      <c r="IX42" s="482"/>
      <c r="IY42" s="482"/>
      <c r="IZ42" s="482"/>
      <c r="JA42" s="482"/>
      <c r="JB42" s="482"/>
      <c r="JC42" s="482"/>
      <c r="JD42" s="482"/>
      <c r="JE42" s="482"/>
      <c r="JF42" s="482"/>
      <c r="JG42" s="482"/>
      <c r="JH42" s="482"/>
      <c r="JI42" s="482"/>
      <c r="JJ42" s="482"/>
      <c r="JK42" s="482"/>
      <c r="JL42" s="482"/>
      <c r="JM42" s="482"/>
      <c r="JN42" s="482"/>
      <c r="JO42" s="482"/>
      <c r="JP42" s="482"/>
      <c r="JQ42" s="482"/>
      <c r="JR42" s="482"/>
      <c r="JS42" s="482"/>
      <c r="JT42" s="482"/>
      <c r="JU42" s="482"/>
      <c r="JV42" s="482"/>
      <c r="JW42" s="482"/>
      <c r="JX42" s="482"/>
      <c r="JY42" s="482"/>
      <c r="JZ42" s="482"/>
      <c r="KA42" s="482"/>
      <c r="KB42" s="482"/>
      <c r="KC42" s="482"/>
      <c r="KD42" s="482"/>
      <c r="KE42" s="482"/>
      <c r="KF42" s="482"/>
      <c r="KG42" s="482"/>
      <c r="KH42" s="482"/>
      <c r="KI42" s="482"/>
      <c r="KJ42" s="482"/>
      <c r="KK42" s="482"/>
      <c r="KL42" s="482"/>
      <c r="KM42" s="482"/>
      <c r="KN42" s="482"/>
      <c r="KO42" s="482"/>
      <c r="KP42" s="482"/>
      <c r="KQ42" s="482"/>
      <c r="KR42" s="482"/>
      <c r="KS42" s="482"/>
      <c r="KT42" s="482"/>
      <c r="KU42" s="482"/>
      <c r="KV42" s="482"/>
      <c r="KW42" s="482"/>
      <c r="KX42" s="482"/>
      <c r="KY42" s="482"/>
      <c r="KZ42" s="482"/>
      <c r="LA42" s="482"/>
      <c r="LB42" s="482"/>
      <c r="LC42" s="482"/>
      <c r="LD42" s="482"/>
      <c r="LE42" s="482"/>
      <c r="LF42" s="482"/>
      <c r="LG42" s="482"/>
      <c r="LH42" s="482"/>
      <c r="LI42" s="482"/>
      <c r="LJ42" s="482"/>
      <c r="LK42" s="482"/>
      <c r="LL42" s="482"/>
      <c r="LM42" s="482"/>
      <c r="LN42" s="482"/>
      <c r="LO42" s="482"/>
      <c r="LP42" s="482"/>
      <c r="LQ42" s="482"/>
      <c r="LR42" s="482"/>
      <c r="LS42" s="482"/>
      <c r="LT42" s="482"/>
      <c r="LU42" s="482"/>
      <c r="LV42" s="482"/>
      <c r="LW42" s="482"/>
      <c r="LX42" s="482"/>
      <c r="LY42" s="482"/>
      <c r="LZ42" s="482"/>
      <c r="MA42" s="482"/>
      <c r="MB42" s="482"/>
      <c r="MC42" s="482"/>
      <c r="MD42" s="482"/>
      <c r="ME42" s="482"/>
      <c r="MF42" s="482"/>
      <c r="MG42" s="482"/>
      <c r="MH42" s="482"/>
      <c r="MI42" s="482"/>
      <c r="MJ42" s="482"/>
      <c r="MK42" s="482"/>
      <c r="ML42" s="482"/>
      <c r="MM42" s="482"/>
      <c r="MN42" s="482"/>
      <c r="MO42" s="482"/>
      <c r="MP42" s="482"/>
      <c r="MQ42" s="482"/>
      <c r="MR42" s="482"/>
      <c r="MS42" s="482"/>
      <c r="MT42" s="482"/>
      <c r="MU42" s="482"/>
      <c r="MV42" s="482"/>
      <c r="MW42" s="482"/>
      <c r="MX42" s="482"/>
      <c r="MY42" s="482"/>
      <c r="MZ42" s="482"/>
      <c r="NA42" s="482"/>
      <c r="NB42" s="482"/>
      <c r="NC42" s="482"/>
      <c r="ND42" s="482"/>
      <c r="NE42" s="482"/>
      <c r="NF42" s="482"/>
      <c r="NG42" s="482"/>
      <c r="NH42" s="482"/>
      <c r="NI42" s="482"/>
      <c r="NJ42" s="483"/>
      <c r="NK42" s="34"/>
      <c r="NM42" s="159">
        <f>A42</f>
        <v>7</v>
      </c>
      <c r="NN42" s="373">
        <f ca="1">COUNTIF(INDIRECT((ADDRESS(ROW(NO43),$I$11+(MATCH(NN$11,L.DATE,0))))&amp;":"&amp;(ADDRESS(ROW(NO43),$I$11+NO$11+(MATCH(NN$11,L.DATE,0))-1))),"&gt;=0")-NO42</f>
        <v>0</v>
      </c>
      <c r="NO42" s="374">
        <f ca="1">SUM(INDIRECT((ADDRESS(ROW(NO43),$I$11+(MATCH(NN$11,L.DATE,0))))&amp;":"&amp;(ADDRESS(ROW(NO43),$I$11+NO$11+(MATCH(NN$11,L.DATE,0))-1))))</f>
        <v>0</v>
      </c>
      <c r="NP42" s="373">
        <f ca="1">COUNTIF(INDIRECT((ADDRESS(ROW(NQ43),$I$11+(MATCH(NP$11,L.DATE,0))))&amp;":"&amp;(ADDRESS(ROW(NQ43),$I$11+NQ$11+(MATCH(NP$11,L.DATE,0))-1))),"&gt;=0")-NQ42</f>
        <v>0</v>
      </c>
      <c r="NQ42" s="374">
        <f ca="1">SUM(INDIRECT((ADDRESS(ROW(NQ43),$I$11+(MATCH(NP$11,L.DATE,0))))&amp;":"&amp;(ADDRESS(ROW(NQ43),$I$11+NQ$11+(MATCH(NP$11,L.DATE,0))-1))))</f>
        <v>0</v>
      </c>
      <c r="NR42" s="373">
        <f ca="1">COUNTIF(INDIRECT((ADDRESS(ROW(NS43),$I$11+(MATCH(NR$11,L.DATE,0))))&amp;":"&amp;(ADDRESS(ROW(NS43),$I$11+NS$11+(MATCH(NR$11,L.DATE,0))-1))),"&gt;=0")-NS42</f>
        <v>15</v>
      </c>
      <c r="NS42" s="374">
        <f ca="1">SUM(INDIRECT((ADDRESS(ROW(NS43),$I$11+(MATCH(NR$11,L.DATE,0))))&amp;":"&amp;(ADDRESS(ROW(NS43),$I$11+NS$11+(MATCH(NR$11,L.DATE,0))-1))))</f>
        <v>0</v>
      </c>
      <c r="NT42" s="373">
        <f ca="1">COUNTIF(INDIRECT((ADDRESS(ROW(NU43),$I$11+(MATCH(NT$11,L.DATE,0))))&amp;":"&amp;(ADDRESS(ROW(NU43),$I$11+NU$11+(MATCH(NT$11,L.DATE,0))-1))),"&gt;=0")-NU42</f>
        <v>0</v>
      </c>
      <c r="NU42" s="374">
        <f ca="1">SUM(INDIRECT((ADDRESS(ROW(NU43),$I$11+(MATCH(NT$11,L.DATE,0))))&amp;":"&amp;(ADDRESS(ROW(NU43),$I$11+NU$11+(MATCH(NT$11,L.DATE,0))-1))))</f>
        <v>0</v>
      </c>
      <c r="NV42" s="373">
        <f ca="1">COUNTIF(INDIRECT((ADDRESS(ROW(NW43),$I$11+(MATCH(NV$11,L.DATE,0))))&amp;":"&amp;(ADDRESS(ROW(NW43),$I$11+NW$11+(MATCH(NV$11,L.DATE,0))-1))),"&gt;=0")-NW42</f>
        <v>0</v>
      </c>
      <c r="NW42" s="374">
        <f ca="1">SUM(INDIRECT((ADDRESS(ROW(NW43),$I$11+(MATCH(NV$11,L.DATE,0))))&amp;":"&amp;(ADDRESS(ROW(NW43),$I$11+NW$11+(MATCH(NV$11,L.DATE,0))-1))))</f>
        <v>0</v>
      </c>
      <c r="NX42" s="373">
        <f ca="1">COUNTIF(INDIRECT((ADDRESS(ROW(NY43),$I$11+(MATCH(NX$11,L.DATE,0))))&amp;":"&amp;(ADDRESS(ROW(NY43),$I$11+NY$11+(MATCH(NX$11,L.DATE,0))-1))),"&gt;=0")-NY42</f>
        <v>0</v>
      </c>
      <c r="NY42" s="374">
        <f ca="1">SUM(INDIRECT((ADDRESS(ROW(NY43),$I$11+(MATCH(NX$11,L.DATE,0))))&amp;":"&amp;(ADDRESS(ROW(NY43),$I$11+NY$11+(MATCH(NX$11,L.DATE,0))-1))))</f>
        <v>0</v>
      </c>
      <c r="NZ42" s="373">
        <f ca="1">COUNTIF(INDIRECT((ADDRESS(ROW(OA43),$I$11+(MATCH(NZ$11,L.DATE,0))))&amp;":"&amp;(ADDRESS(ROW(OA43),$I$11+OA$11+(MATCH(NZ$11,L.DATE,0))-1))),"&gt;=0")-OA42</f>
        <v>0</v>
      </c>
      <c r="OA42" s="374">
        <f ca="1">SUM(INDIRECT((ADDRESS(ROW(OA43),$I$11+(MATCH(NZ$11,L.DATE,0))))&amp;":"&amp;(ADDRESS(ROW(OA43),$I$11+OA$11+(MATCH(NZ$11,L.DATE,0))-1))))</f>
        <v>0</v>
      </c>
      <c r="OB42" s="373">
        <f ca="1">COUNTIF(INDIRECT((ADDRESS(ROW(OC43),$I$11+(MATCH(OB$11,L.DATE,0))))&amp;":"&amp;(ADDRESS(ROW(OC43),$I$11+OC$11+(MATCH(OB$11,L.DATE,0))-1))),"&gt;=0")-OC42</f>
        <v>0</v>
      </c>
      <c r="OC42" s="374">
        <f ca="1">SUM(INDIRECT((ADDRESS(ROW(OC43),$I$11+(MATCH(OB$11,L.DATE,0))))&amp;":"&amp;(ADDRESS(ROW(OC43),$I$11+OC$11+(MATCH(OB$11,L.DATE,0))-1))))</f>
        <v>0</v>
      </c>
      <c r="OD42" s="373">
        <f ca="1">COUNTIF(INDIRECT((ADDRESS(ROW(OE43),$I$11+(MATCH(OD$11,L.DATE,0))))&amp;":"&amp;(ADDRESS(ROW(OE43),$I$11+OE$11+(MATCH(OD$11,L.DATE,0))-1))),"&gt;=0")-OE42</f>
        <v>0</v>
      </c>
      <c r="OE42" s="374">
        <f ca="1">SUM(INDIRECT((ADDRESS(ROW(OE43),$I$11+(MATCH(OD$11,L.DATE,0))))&amp;":"&amp;(ADDRESS(ROW(OE43),$I$11+OE$11+(MATCH(OD$11,L.DATE,0))-1))))</f>
        <v>0</v>
      </c>
      <c r="OF42" s="373">
        <f ca="1">COUNTIF(INDIRECT((ADDRESS(ROW(OG43),$I$11+(MATCH(OF$11,L.DATE,0))))&amp;":"&amp;(ADDRESS(ROW(OG43),$I$11+OG$11+(MATCH(OF$11,L.DATE,0))-1))),"&gt;=0")-OG42</f>
        <v>0</v>
      </c>
      <c r="OG42" s="374">
        <f ca="1">SUM(INDIRECT((ADDRESS(ROW(OG43),$I$11+(MATCH(OF$11,L.DATE,0))))&amp;":"&amp;(ADDRESS(ROW(OG43),$I$11+OG$11+(MATCH(OF$11,L.DATE,0))-1))))</f>
        <v>0</v>
      </c>
      <c r="OH42" s="373">
        <f ca="1">COUNTIF(INDIRECT((ADDRESS(ROW(OI43),$I$11+(MATCH(OH$11,L.DATE,0))))&amp;":"&amp;(ADDRESS(ROW(OI43),$I$11+OI$11+(MATCH(OH$11,L.DATE,0))-1))),"&gt;=0")-OI42</f>
        <v>0</v>
      </c>
      <c r="OI42" s="374">
        <f ca="1">SUM(INDIRECT((ADDRESS(ROW(OI43),$I$11+(MATCH(OH$11,L.DATE,0))))&amp;":"&amp;(ADDRESS(ROW(OI43),$I$11+OI$11+(MATCH(OH$11,L.DATE,0))-1))))</f>
        <v>0</v>
      </c>
      <c r="OJ42" s="373">
        <f ca="1">COUNTIF(INDIRECT((ADDRESS(ROW(OK43),$I$11+(MATCH(OJ$11,L.DATE,0))))&amp;":"&amp;(ADDRESS(ROW(OK43),$I$11+OK$11+(MATCH(OJ$11,L.DATE,0))-1))),"&gt;=0")-OK42</f>
        <v>0</v>
      </c>
      <c r="OK42" s="375">
        <f ca="1">SUM(INDIRECT((ADDRESS(ROW(OK43),$I$11+(MATCH(OJ$11,L.DATE,0))))&amp;":"&amp;(ADDRESS(ROW(OK43),$I$11+OK$11+(MATCH(OJ$11,L.DATE,0))-1))))</f>
        <v>0</v>
      </c>
      <c r="OM42" s="39">
        <f ca="1">NN42+NP42+NR42+NT42+NV42+NX42+NZ42+OB42+OD42+OF42+OJ42+OH42</f>
        <v>15</v>
      </c>
      <c r="ON42" s="40">
        <f ca="1">NO42+NQ42+NS42+NU42+NW42+NY42+OA42+OC42+OE42+OG42+OK42+OI42</f>
        <v>0</v>
      </c>
    </row>
    <row r="43" spans="1:404" x14ac:dyDescent="0.3">
      <c r="A43" s="33"/>
      <c r="B43" s="16" t="str">
        <f t="shared" ref="B43:H43" si="37">B42</f>
        <v>TECH.N1</v>
      </c>
      <c r="C43" s="16">
        <f t="shared" si="37"/>
        <v>1</v>
      </c>
      <c r="D43" s="16" t="str">
        <f t="shared" si="37"/>
        <v>EXT</v>
      </c>
      <c r="E43" s="16" t="str">
        <f t="shared" si="37"/>
        <v>ITG</v>
      </c>
      <c r="F43" s="16" t="str">
        <f t="shared" si="37"/>
        <v>SL</v>
      </c>
      <c r="G43" s="105" t="str">
        <f t="shared" si="37"/>
        <v>N1</v>
      </c>
      <c r="H43" s="109">
        <f t="shared" si="37"/>
        <v>2</v>
      </c>
      <c r="I43" s="28"/>
      <c r="J43" s="482"/>
      <c r="K43" s="485"/>
      <c r="L43" s="482"/>
      <c r="M43" s="482"/>
      <c r="N43" s="482"/>
      <c r="O43" s="482"/>
      <c r="P43" s="482"/>
      <c r="Q43" s="482"/>
      <c r="R43" s="482"/>
      <c r="S43" s="482"/>
      <c r="T43" s="482"/>
      <c r="U43" s="482"/>
      <c r="V43" s="482"/>
      <c r="W43" s="482"/>
      <c r="X43" s="482"/>
      <c r="Y43" s="482"/>
      <c r="Z43" s="482"/>
      <c r="AA43" s="482"/>
      <c r="AB43" s="482"/>
      <c r="AC43" s="482"/>
      <c r="AD43" s="482"/>
      <c r="AE43" s="482"/>
      <c r="AF43" s="482"/>
      <c r="AG43" s="482"/>
      <c r="AH43" s="482"/>
      <c r="AI43" s="482"/>
      <c r="AJ43" s="482"/>
      <c r="AK43" s="482"/>
      <c r="AL43" s="482"/>
      <c r="AM43" s="482"/>
      <c r="AN43" s="482"/>
      <c r="AO43" s="482"/>
      <c r="AP43" s="482"/>
      <c r="AQ43" s="482"/>
      <c r="AR43" s="482"/>
      <c r="AS43" s="482"/>
      <c r="AT43" s="482"/>
      <c r="AU43" s="482"/>
      <c r="AV43" s="482"/>
      <c r="AW43" s="482"/>
      <c r="AX43" s="482"/>
      <c r="AY43" s="482"/>
      <c r="AZ43" s="482"/>
      <c r="BA43" s="482"/>
      <c r="BB43" s="482"/>
      <c r="BC43" s="482"/>
      <c r="BD43" s="482"/>
      <c r="BE43" s="482"/>
      <c r="BF43" s="482"/>
      <c r="BG43" s="482"/>
      <c r="BH43" s="482"/>
      <c r="BI43" s="482"/>
      <c r="BJ43" s="482"/>
      <c r="BK43" s="482"/>
      <c r="BL43" s="482"/>
      <c r="BM43" s="482"/>
      <c r="BN43" s="482"/>
      <c r="BO43" s="482"/>
      <c r="BP43" s="482"/>
      <c r="BQ43" s="482"/>
      <c r="BR43" s="482"/>
      <c r="BS43" s="482"/>
      <c r="BT43" s="482"/>
      <c r="BU43" s="482"/>
      <c r="BV43" s="482"/>
      <c r="BW43" s="482"/>
      <c r="BX43" s="482"/>
      <c r="BY43" s="482"/>
      <c r="BZ43" s="482"/>
      <c r="CA43" s="482"/>
      <c r="CB43" s="482"/>
      <c r="CC43" s="485">
        <v>0</v>
      </c>
      <c r="CD43" s="485">
        <v>0</v>
      </c>
      <c r="CE43" s="485">
        <v>0</v>
      </c>
      <c r="CF43" s="485">
        <v>0</v>
      </c>
      <c r="CG43" s="485">
        <v>0</v>
      </c>
      <c r="CH43" s="482"/>
      <c r="CI43" s="482"/>
      <c r="CJ43" s="485">
        <v>0</v>
      </c>
      <c r="CK43" s="485">
        <v>0</v>
      </c>
      <c r="CL43" s="485">
        <v>0</v>
      </c>
      <c r="CM43" s="485">
        <v>0</v>
      </c>
      <c r="CN43" s="485">
        <v>0</v>
      </c>
      <c r="CO43" s="482"/>
      <c r="CP43" s="482"/>
      <c r="CQ43" s="485">
        <v>0</v>
      </c>
      <c r="CR43" s="485">
        <v>0</v>
      </c>
      <c r="CS43" s="485">
        <v>0</v>
      </c>
      <c r="CT43" s="485">
        <v>0</v>
      </c>
      <c r="CU43" s="485">
        <v>0</v>
      </c>
      <c r="CV43" s="482"/>
      <c r="CW43" s="482"/>
      <c r="CX43" s="482"/>
      <c r="CY43" s="482"/>
      <c r="CZ43" s="482"/>
      <c r="DA43" s="482"/>
      <c r="DB43" s="482"/>
      <c r="DC43" s="482"/>
      <c r="DD43" s="482"/>
      <c r="DE43" s="482"/>
      <c r="DF43" s="482"/>
      <c r="DG43" s="482"/>
      <c r="DH43" s="482"/>
      <c r="DI43" s="482"/>
      <c r="DJ43" s="482"/>
      <c r="DK43" s="482"/>
      <c r="DL43" s="482"/>
      <c r="DM43" s="482"/>
      <c r="DN43" s="482"/>
      <c r="DO43" s="482"/>
      <c r="DP43" s="482"/>
      <c r="DQ43" s="482"/>
      <c r="DR43" s="482"/>
      <c r="DS43" s="482"/>
      <c r="DT43" s="482"/>
      <c r="DU43" s="482"/>
      <c r="DV43" s="482"/>
      <c r="DW43" s="482"/>
      <c r="DX43" s="482"/>
      <c r="DY43" s="482"/>
      <c r="DZ43" s="482"/>
      <c r="EA43" s="482"/>
      <c r="EB43" s="482"/>
      <c r="EC43" s="482"/>
      <c r="ED43" s="482"/>
      <c r="EE43" s="482"/>
      <c r="EF43" s="482"/>
      <c r="EG43" s="482"/>
      <c r="EH43" s="482"/>
      <c r="EI43" s="482"/>
      <c r="EJ43" s="482"/>
      <c r="EK43" s="482"/>
      <c r="EL43" s="482"/>
      <c r="EM43" s="482"/>
      <c r="EN43" s="482"/>
      <c r="EO43" s="482"/>
      <c r="EP43" s="482"/>
      <c r="EQ43" s="482"/>
      <c r="ER43" s="482"/>
      <c r="ES43" s="482"/>
      <c r="ET43" s="482"/>
      <c r="EU43" s="482"/>
      <c r="EV43" s="482"/>
      <c r="EW43" s="482"/>
      <c r="EX43" s="482"/>
      <c r="EY43" s="482"/>
      <c r="EZ43" s="482"/>
      <c r="FA43" s="482"/>
      <c r="FB43" s="482"/>
      <c r="FC43" s="482"/>
      <c r="FD43" s="482"/>
      <c r="FE43" s="482"/>
      <c r="FF43" s="482"/>
      <c r="FG43" s="482"/>
      <c r="FH43" s="482"/>
      <c r="FI43" s="482"/>
      <c r="FJ43" s="482"/>
      <c r="FK43" s="482"/>
      <c r="FL43" s="482"/>
      <c r="FM43" s="482"/>
      <c r="FN43" s="482"/>
      <c r="FO43" s="482"/>
      <c r="FP43" s="482"/>
      <c r="FQ43" s="482"/>
      <c r="FR43" s="482"/>
      <c r="FS43" s="482"/>
      <c r="FT43" s="482"/>
      <c r="FU43" s="482"/>
      <c r="FV43" s="482"/>
      <c r="FW43" s="482"/>
      <c r="FX43" s="482"/>
      <c r="FY43" s="482"/>
      <c r="FZ43" s="482"/>
      <c r="GA43" s="482"/>
      <c r="GB43" s="482"/>
      <c r="GC43" s="482"/>
      <c r="GD43" s="482"/>
      <c r="GE43" s="482"/>
      <c r="GF43" s="482"/>
      <c r="GG43" s="482"/>
      <c r="GH43" s="482"/>
      <c r="GI43" s="482"/>
      <c r="GJ43" s="482"/>
      <c r="GK43" s="482"/>
      <c r="GL43" s="482"/>
      <c r="GM43" s="482"/>
      <c r="GN43" s="482"/>
      <c r="GO43" s="482"/>
      <c r="GP43" s="482"/>
      <c r="GQ43" s="482"/>
      <c r="GR43" s="482"/>
      <c r="GS43" s="482"/>
      <c r="GT43" s="482"/>
      <c r="GU43" s="482"/>
      <c r="GV43" s="482"/>
      <c r="GW43" s="482"/>
      <c r="GX43" s="482"/>
      <c r="GY43" s="482"/>
      <c r="GZ43" s="482"/>
      <c r="HA43" s="482"/>
      <c r="HB43" s="482"/>
      <c r="HC43" s="482"/>
      <c r="HD43" s="482"/>
      <c r="HE43" s="482"/>
      <c r="HF43" s="482"/>
      <c r="HG43" s="482"/>
      <c r="HH43" s="482"/>
      <c r="HI43" s="482"/>
      <c r="HJ43" s="482"/>
      <c r="HK43" s="482"/>
      <c r="HL43" s="482"/>
      <c r="HM43" s="482"/>
      <c r="HN43" s="482"/>
      <c r="HO43" s="482"/>
      <c r="HP43" s="482"/>
      <c r="HQ43" s="482"/>
      <c r="HR43" s="482"/>
      <c r="HS43" s="482"/>
      <c r="HT43" s="482"/>
      <c r="HU43" s="482"/>
      <c r="HV43" s="482"/>
      <c r="HW43" s="482"/>
      <c r="HX43" s="482"/>
      <c r="HY43" s="482"/>
      <c r="HZ43" s="482"/>
      <c r="IA43" s="482"/>
      <c r="IB43" s="482"/>
      <c r="IC43" s="482"/>
      <c r="ID43" s="482"/>
      <c r="IE43" s="482"/>
      <c r="IF43" s="482"/>
      <c r="IG43" s="482"/>
      <c r="IH43" s="482"/>
      <c r="II43" s="482"/>
      <c r="IJ43" s="482"/>
      <c r="IK43" s="482"/>
      <c r="IL43" s="482"/>
      <c r="IM43" s="482"/>
      <c r="IN43" s="482"/>
      <c r="IO43" s="482"/>
      <c r="IP43" s="482"/>
      <c r="IQ43" s="482"/>
      <c r="IR43" s="482"/>
      <c r="IS43" s="482"/>
      <c r="IT43" s="482"/>
      <c r="IU43" s="482"/>
      <c r="IV43" s="482"/>
      <c r="IW43" s="482"/>
      <c r="IX43" s="482"/>
      <c r="IY43" s="482"/>
      <c r="IZ43" s="482"/>
      <c r="JA43" s="482"/>
      <c r="JB43" s="482"/>
      <c r="JC43" s="482"/>
      <c r="JD43" s="482"/>
      <c r="JE43" s="482"/>
      <c r="JF43" s="482"/>
      <c r="JG43" s="482"/>
      <c r="JH43" s="482"/>
      <c r="JI43" s="482"/>
      <c r="JJ43" s="482"/>
      <c r="JK43" s="482"/>
      <c r="JL43" s="482"/>
      <c r="JM43" s="482"/>
      <c r="JN43" s="482"/>
      <c r="JO43" s="482"/>
      <c r="JP43" s="482"/>
      <c r="JQ43" s="482"/>
      <c r="JR43" s="482"/>
      <c r="JS43" s="482"/>
      <c r="JT43" s="482"/>
      <c r="JU43" s="482"/>
      <c r="JV43" s="482"/>
      <c r="JW43" s="482"/>
      <c r="JX43" s="482"/>
      <c r="JY43" s="482"/>
      <c r="JZ43" s="482"/>
      <c r="KA43" s="482"/>
      <c r="KB43" s="482"/>
      <c r="KC43" s="482"/>
      <c r="KD43" s="482"/>
      <c r="KE43" s="482"/>
      <c r="KF43" s="482"/>
      <c r="KG43" s="482"/>
      <c r="KH43" s="482"/>
      <c r="KI43" s="482"/>
      <c r="KJ43" s="482"/>
      <c r="KK43" s="482"/>
      <c r="KL43" s="482"/>
      <c r="KM43" s="482"/>
      <c r="KN43" s="482"/>
      <c r="KO43" s="482"/>
      <c r="KP43" s="482"/>
      <c r="KQ43" s="482"/>
      <c r="KR43" s="482"/>
      <c r="KS43" s="482"/>
      <c r="KT43" s="482"/>
      <c r="KU43" s="482"/>
      <c r="KV43" s="482"/>
      <c r="KW43" s="482"/>
      <c r="KX43" s="482"/>
      <c r="KY43" s="482"/>
      <c r="KZ43" s="482"/>
      <c r="LA43" s="482"/>
      <c r="LB43" s="482"/>
      <c r="LC43" s="482"/>
      <c r="LD43" s="482"/>
      <c r="LE43" s="482"/>
      <c r="LF43" s="482"/>
      <c r="LG43" s="482"/>
      <c r="LH43" s="482"/>
      <c r="LI43" s="482"/>
      <c r="LJ43" s="482"/>
      <c r="LK43" s="482"/>
      <c r="LL43" s="482"/>
      <c r="LM43" s="482"/>
      <c r="LN43" s="482"/>
      <c r="LO43" s="482"/>
      <c r="LP43" s="482"/>
      <c r="LQ43" s="482"/>
      <c r="LR43" s="482"/>
      <c r="LS43" s="482"/>
      <c r="LT43" s="482"/>
      <c r="LU43" s="482"/>
      <c r="LV43" s="482"/>
      <c r="LW43" s="482"/>
      <c r="LX43" s="482"/>
      <c r="LY43" s="482"/>
      <c r="LZ43" s="482"/>
      <c r="MA43" s="482"/>
      <c r="MB43" s="482"/>
      <c r="MC43" s="482"/>
      <c r="MD43" s="482"/>
      <c r="ME43" s="482"/>
      <c r="MF43" s="482"/>
      <c r="MG43" s="482"/>
      <c r="MH43" s="482"/>
      <c r="MI43" s="482"/>
      <c r="MJ43" s="482"/>
      <c r="MK43" s="482"/>
      <c r="ML43" s="482"/>
      <c r="MM43" s="482"/>
      <c r="MN43" s="482"/>
      <c r="MO43" s="482"/>
      <c r="MP43" s="482"/>
      <c r="MQ43" s="482"/>
      <c r="MR43" s="482"/>
      <c r="MS43" s="482"/>
      <c r="MT43" s="482"/>
      <c r="MU43" s="482"/>
      <c r="MV43" s="482"/>
      <c r="MW43" s="482"/>
      <c r="MX43" s="482"/>
      <c r="MY43" s="482"/>
      <c r="MZ43" s="482"/>
      <c r="NA43" s="482"/>
      <c r="NB43" s="482"/>
      <c r="NC43" s="482"/>
      <c r="ND43" s="482"/>
      <c r="NE43" s="482"/>
      <c r="NF43" s="482"/>
      <c r="NG43" s="482"/>
      <c r="NH43" s="482"/>
      <c r="NI43" s="482"/>
      <c r="NJ43" s="483"/>
      <c r="NK43" s="34"/>
      <c r="NM43" s="379" t="str">
        <f>NM42&amp;".b"</f>
        <v>7.b</v>
      </c>
      <c r="NN43" s="376" t="str" cm="1">
        <f t="array" aca="1" ref="NN43" ca="1">IF(xcomp(INDIRECT((ADDRESS(ROW(NN42),$I$11+(MATCH(NN$11,L.DATE,0))))&amp;":"&amp;(ADDRESS(ROW(NN42),$I$11+NO$11+(MATCH(NN$11,L.DATE,0))-1))),L.ABSP)=0,"",
xsom(INDIRECT((ADDRESS(ROW(NN42),$I$11+(MATCH(NN$11,L.DATE,0))))&amp;":"&amp;(ADDRESS(ROW(NN42),$I$11+NO$11+(MATCH(NN$11,L.DATE,0))-1))),L.ABSP,
INDIRECT((ADDRESS(ROW(NN42)+1,$I$11+(MATCH(NN$11,L.DATE,0))))&amp;":"&amp;(ADDRESS(ROW(NN42)+1,$I$11+NO$11+(MATCH(NN$11,L.DATE,0))-1)))))</f>
        <v/>
      </c>
      <c r="NO43" s="377" t="str" cm="1">
        <f t="array" aca="1" ref="NO43" ca="1">IF(xcomp(INDIRECT((ADDRESS(ROW(NO42),$I$11+(MATCH(NN$11,L.DATE,0))))&amp;":"&amp;(ADDRESS(ROW(NO42),$I$11+NO$11+(MATCH(NN$11,L.DATE,0))-1))),L.ABS.NP)=0,"",
xsom(INDIRECT((ADDRESS(ROW(NO42),$I$11+(MATCH(NN$11,L.DATE,0))))&amp;":"&amp;(ADDRESS(ROW(NO42),$I$11+NO$11+(MATCH(NN$11,L.DATE,0))-1))),L.ABS.NP,
INDIRECT((ADDRESS(ROW(NO42)+1,$I$11+(MATCH(NN$11,L.DATE,0))))&amp;":"&amp;(ADDRESS(ROW(NO42)+1,$I$11+NO$11+(MATCH(NN$11,L.DATE,0))-1)))))</f>
        <v/>
      </c>
      <c r="NP43" s="376" t="str" cm="1">
        <f t="array" aca="1" ref="NP43" ca="1">IF(xcomp(INDIRECT((ADDRESS(ROW(NP42),$I$11+(MATCH(NP$11,L.DATE,0))))&amp;":"&amp;(ADDRESS(ROW(NP42),$I$11+NQ$11+(MATCH(NP$11,L.DATE,0))-1))),L.ABSP)=0,"",
xsom(INDIRECT((ADDRESS(ROW(NP42),$I$11+(MATCH(NP$11,L.DATE,0))))&amp;":"&amp;(ADDRESS(ROW(NP42),$I$11+NQ$11+(MATCH(NP$11,L.DATE,0))-1))),L.ABSP,
INDIRECT((ADDRESS(ROW(NP42)+1,$I$11+(MATCH(NP$11,L.DATE,0))))&amp;":"&amp;(ADDRESS(ROW(NP42)+1,$I$11+NQ$11+(MATCH(NP$11,L.DATE,0))-1)))))</f>
        <v/>
      </c>
      <c r="NQ43" s="377" t="str" cm="1">
        <f t="array" aca="1" ref="NQ43" ca="1">IF(xcomp(INDIRECT((ADDRESS(ROW(NQ42),$I$11+(MATCH(NP$11,L.DATE,0))))&amp;":"&amp;(ADDRESS(ROW(NQ42),$I$11+NQ$11+(MATCH(NP$11,L.DATE,0))-1))),L.ABS.NP)=0,"",
xsom(INDIRECT((ADDRESS(ROW(NQ42),$I$11+(MATCH(NP$11,L.DATE,0))))&amp;":"&amp;(ADDRESS(ROW(NQ42),$I$11+NQ$11+(MATCH(NP$11,L.DATE,0))-1))),L.ABS.NP,
INDIRECT((ADDRESS(ROW(NQ42)+1,$I$11+(MATCH(NP$11,L.DATE,0))))&amp;":"&amp;(ADDRESS(ROW(NQ42)+1,$I$11+NQ$11+(MATCH(NP$11,L.DATE,0))-1)))))</f>
        <v/>
      </c>
      <c r="NR43" s="376" cm="1">
        <f t="array" aca="1" ref="NR43" ca="1">IF(xcomp(INDIRECT((ADDRESS(ROW(NR42),$I$11+(MATCH(NR$11,L.DATE,0))))&amp;":"&amp;(ADDRESS(ROW(NR42),$I$11+NS$11+(MATCH(NR$11,L.DATE,0))-1))),L.ABSP)=0,"",
xsom(INDIRECT((ADDRESS(ROW(NR42),$I$11+(MATCH(NR$11,L.DATE,0))))&amp;":"&amp;(ADDRESS(ROW(NR42),$I$11+NS$11+(MATCH(NR$11,L.DATE,0))-1))),L.ABSP,
INDIRECT((ADDRESS(ROW(NR42)+1,$I$11+(MATCH(NR$11,L.DATE,0))))&amp;":"&amp;(ADDRESS(ROW(NR42)+1,$I$11+NS$11+(MATCH(NR$11,L.DATE,0))-1)))))</f>
        <v>15</v>
      </c>
      <c r="NS43" s="377" t="str" cm="1">
        <f t="array" aca="1" ref="NS43" ca="1">IF(xcomp(INDIRECT((ADDRESS(ROW(NS42),$I$11+(MATCH(NR$11,L.DATE,0))))&amp;":"&amp;(ADDRESS(ROW(NS42),$I$11+NS$11+(MATCH(NR$11,L.DATE,0))-1))),L.ABS.NP)=0,"",
xsom(INDIRECT((ADDRESS(ROW(NS42),$I$11+(MATCH(NR$11,L.DATE,0))))&amp;":"&amp;(ADDRESS(ROW(NS42),$I$11+NS$11+(MATCH(NR$11,L.DATE,0))-1))),L.ABS.NP,
INDIRECT((ADDRESS(ROW(NS42)+1,$I$11+(MATCH(NR$11,L.DATE,0))))&amp;":"&amp;(ADDRESS(ROW(NS42)+1,$I$11+NS$11+(MATCH(NR$11,L.DATE,0))-1)))))</f>
        <v/>
      </c>
      <c r="NT43" s="376" t="str" cm="1">
        <f t="array" aca="1" ref="NT43" ca="1">IF(xcomp(INDIRECT((ADDRESS(ROW(NT42),$I$11+(MATCH(NT$11,L.DATE,0))))&amp;":"&amp;(ADDRESS(ROW(NT42),$I$11+NU$11+(MATCH(NT$11,L.DATE,0))-1))),L.ABSP)=0,"",
xsom(INDIRECT((ADDRESS(ROW(NT42),$I$11+(MATCH(NT$11,L.DATE,0))))&amp;":"&amp;(ADDRESS(ROW(NT42),$I$11+NU$11+(MATCH(NT$11,L.DATE,0))-1))),L.ABSP,
INDIRECT((ADDRESS(ROW(NT42)+1,$I$11+(MATCH(NT$11,L.DATE,0))))&amp;":"&amp;(ADDRESS(ROW(NT42)+1,$I$11+NU$11+(MATCH(NT$11,L.DATE,0))-1)))))</f>
        <v/>
      </c>
      <c r="NU43" s="377" t="str" cm="1">
        <f t="array" aca="1" ref="NU43" ca="1">IF(xcomp(INDIRECT((ADDRESS(ROW(NU42),$I$11+(MATCH(NT$11,L.DATE,0))))&amp;":"&amp;(ADDRESS(ROW(NU42),$I$11+NU$11+(MATCH(NT$11,L.DATE,0))-1))),L.ABS.NP)=0,"",
xsom(INDIRECT((ADDRESS(ROW(NU42),$I$11+(MATCH(NT$11,L.DATE,0))))&amp;":"&amp;(ADDRESS(ROW(NU42),$I$11+NU$11+(MATCH(NT$11,L.DATE,0))-1))),L.ABS.NP,
INDIRECT((ADDRESS(ROW(NU42)+1,$I$11+(MATCH(NT$11,L.DATE,0))))&amp;":"&amp;(ADDRESS(ROW(NU42)+1,$I$11+NU$11+(MATCH(NT$11,L.DATE,0))-1)))))</f>
        <v/>
      </c>
      <c r="NV43" s="376" t="str" cm="1">
        <f t="array" aca="1" ref="NV43" ca="1">IF(xcomp(INDIRECT((ADDRESS(ROW(NV42),$I$11+(MATCH(NV$11,L.DATE,0))))&amp;":"&amp;(ADDRESS(ROW(NV42),$I$11+NW$11+(MATCH(NV$11,L.DATE,0))-1))),L.ABSP)=0,"",
xsom(INDIRECT((ADDRESS(ROW(NV42),$I$11+(MATCH(NV$11,L.DATE,0))))&amp;":"&amp;(ADDRESS(ROW(NV42),$I$11+NW$11+(MATCH(NV$11,L.DATE,0))-1))),L.ABSP,
INDIRECT((ADDRESS(ROW(NV42)+1,$I$11+(MATCH(NV$11,L.DATE,0))))&amp;":"&amp;(ADDRESS(ROW(NV42)+1,$I$11+NW$11+(MATCH(NV$11,L.DATE,0))-1)))))</f>
        <v/>
      </c>
      <c r="NW43" s="377" t="str" cm="1">
        <f t="array" aca="1" ref="NW43" ca="1">IF(xcomp(INDIRECT((ADDRESS(ROW(NW42),$I$11+(MATCH(NV$11,L.DATE,0))))&amp;":"&amp;(ADDRESS(ROW(NW42),$I$11+NW$11+(MATCH(NV$11,L.DATE,0))-1))),L.ABS.NP)=0,"",
xsom(INDIRECT((ADDRESS(ROW(NW42),$I$11+(MATCH(NV$11,L.DATE,0))))&amp;":"&amp;(ADDRESS(ROW(NW42),$I$11+NW$11+(MATCH(NV$11,L.DATE,0))-1))),L.ABS.NP,
INDIRECT((ADDRESS(ROW(NW42)+1,$I$11+(MATCH(NV$11,L.DATE,0))))&amp;":"&amp;(ADDRESS(ROW(NW42)+1,$I$11+NW$11+(MATCH(NV$11,L.DATE,0))-1)))))</f>
        <v/>
      </c>
      <c r="NX43" s="376" t="str" cm="1">
        <f t="array" aca="1" ref="NX43" ca="1">IF(xcomp(INDIRECT((ADDRESS(ROW(NX42),$I$11+(MATCH(NX$11,L.DATE,0))))&amp;":"&amp;(ADDRESS(ROW(NX42),$I$11+NY$11+(MATCH(NX$11,L.DATE,0))-1))),L.ABSP)=0,"",
xsom(INDIRECT((ADDRESS(ROW(NX42),$I$11+(MATCH(NX$11,L.DATE,0))))&amp;":"&amp;(ADDRESS(ROW(NX42),$I$11+NY$11+(MATCH(NX$11,L.DATE,0))-1))),L.ABSP,
INDIRECT((ADDRESS(ROW(NX42)+1,$I$11+(MATCH(NX$11,L.DATE,0))))&amp;":"&amp;(ADDRESS(ROW(NX42)+1,$I$11+NY$11+(MATCH(NX$11,L.DATE,0))-1)))))</f>
        <v/>
      </c>
      <c r="NY43" s="377" t="str" cm="1">
        <f t="array" aca="1" ref="NY43" ca="1">IF(xcomp(INDIRECT((ADDRESS(ROW(NY42),$I$11+(MATCH(NX$11,L.DATE,0))))&amp;":"&amp;(ADDRESS(ROW(NY42),$I$11+NY$11+(MATCH(NX$11,L.DATE,0))-1))),L.ABS.NP)=0,"",
xsom(INDIRECT((ADDRESS(ROW(NY42),$I$11+(MATCH(NX$11,L.DATE,0))))&amp;":"&amp;(ADDRESS(ROW(NY42),$I$11+NY$11+(MATCH(NX$11,L.DATE,0))-1))),L.ABS.NP,
INDIRECT((ADDRESS(ROW(NY42)+1,$I$11+(MATCH(NX$11,L.DATE,0))))&amp;":"&amp;(ADDRESS(ROW(NY42)+1,$I$11+NY$11+(MATCH(NX$11,L.DATE,0))-1)))))</f>
        <v/>
      </c>
      <c r="NZ43" s="376" t="str" cm="1">
        <f t="array" aca="1" ref="NZ43" ca="1">IF(xcomp(INDIRECT((ADDRESS(ROW(NZ42),$I$11+(MATCH(NZ$11,L.DATE,0))))&amp;":"&amp;(ADDRESS(ROW(NZ42),$I$11+OA$11+(MATCH(NZ$11,L.DATE,0))-1))),L.ABSP)=0,"",
xsom(INDIRECT((ADDRESS(ROW(NZ42),$I$11+(MATCH(NZ$11,L.DATE,0))))&amp;":"&amp;(ADDRESS(ROW(NZ42),$I$11+OA$11+(MATCH(NZ$11,L.DATE,0))-1))),L.ABSP,
INDIRECT((ADDRESS(ROW(NZ42)+1,$I$11+(MATCH(NZ$11,L.DATE,0))))&amp;":"&amp;(ADDRESS(ROW(NZ42)+1,$I$11+OA$11+(MATCH(NZ$11,L.DATE,0))-1)))))</f>
        <v/>
      </c>
      <c r="OA43" s="377" t="str" cm="1">
        <f t="array" aca="1" ref="OA43" ca="1">IF(xcomp(INDIRECT((ADDRESS(ROW(OA42),$I$11+(MATCH(NZ$11,L.DATE,0))))&amp;":"&amp;(ADDRESS(ROW(OA42),$I$11+OA$11+(MATCH(NZ$11,L.DATE,0))-1))),L.ABS.NP)=0,"",
xsom(INDIRECT((ADDRESS(ROW(OA42),$I$11+(MATCH(NZ$11,L.DATE,0))))&amp;":"&amp;(ADDRESS(ROW(OA42),$I$11+OA$11+(MATCH(NZ$11,L.DATE,0))-1))),L.ABS.NP,
INDIRECT((ADDRESS(ROW(OA42)+1,$I$11+(MATCH(NZ$11,L.DATE,0))))&amp;":"&amp;(ADDRESS(ROW(OA42)+1,$I$11+OA$11+(MATCH(NZ$11,L.DATE,0))-1)))))</f>
        <v/>
      </c>
      <c r="OB43" s="376" t="str" cm="1">
        <f t="array" aca="1" ref="OB43" ca="1">IF(xcomp(INDIRECT((ADDRESS(ROW(OB42),$I$11+(MATCH(OB$11,L.DATE,0))))&amp;":"&amp;(ADDRESS(ROW(OB42),$I$11+OC$11+(MATCH(OB$11,L.DATE,0))-1))),L.ABSP)=0,"",
xsom(INDIRECT((ADDRESS(ROW(OB42),$I$11+(MATCH(OB$11,L.DATE,0))))&amp;":"&amp;(ADDRESS(ROW(OB42),$I$11+OC$11+(MATCH(OB$11,L.DATE,0))-1))),L.ABSP,
INDIRECT((ADDRESS(ROW(OB42)+1,$I$11+(MATCH(OB$11,L.DATE,0))))&amp;":"&amp;(ADDRESS(ROW(OB42)+1,$I$11+OC$11+(MATCH(OB$11,L.DATE,0))-1)))))</f>
        <v/>
      </c>
      <c r="OC43" s="377" t="str" cm="1">
        <f t="array" aca="1" ref="OC43" ca="1">IF(xcomp(INDIRECT((ADDRESS(ROW(OC42),$I$11+(MATCH(OB$11,L.DATE,0))))&amp;":"&amp;(ADDRESS(ROW(OC42),$I$11+OC$11+(MATCH(OB$11,L.DATE,0))-1))),L.ABS.NP)=0,"",
xsom(INDIRECT((ADDRESS(ROW(OC42),$I$11+(MATCH(OB$11,L.DATE,0))))&amp;":"&amp;(ADDRESS(ROW(OC42),$I$11+OC$11+(MATCH(OB$11,L.DATE,0))-1))),L.ABS.NP,
INDIRECT((ADDRESS(ROW(OC42)+1,$I$11+(MATCH(OB$11,L.DATE,0))))&amp;":"&amp;(ADDRESS(ROW(OC42)+1,$I$11+OC$11+(MATCH(OB$11,L.DATE,0))-1)))))</f>
        <v/>
      </c>
      <c r="OD43" s="376" t="str" cm="1">
        <f t="array" aca="1" ref="OD43" ca="1">IF(xcomp(INDIRECT((ADDRESS(ROW(OD42),$I$11+(MATCH(OD$11,L.DATE,0))))&amp;":"&amp;(ADDRESS(ROW(OD42),$I$11+OE$11+(MATCH(OD$11,L.DATE,0))-1))),L.ABSP)=0,"",
xsom(INDIRECT((ADDRESS(ROW(OD42),$I$11+(MATCH(OD$11,L.DATE,0))))&amp;":"&amp;(ADDRESS(ROW(OD42),$I$11+OE$11+(MATCH(OD$11,L.DATE,0))-1))),L.ABSP,
INDIRECT((ADDRESS(ROW(OD42)+1,$I$11+(MATCH(OD$11,L.DATE,0))))&amp;":"&amp;(ADDRESS(ROW(OD42)+1,$I$11+OE$11+(MATCH(OD$11,L.DATE,0))-1)))))</f>
        <v/>
      </c>
      <c r="OE43" s="377" t="str" cm="1">
        <f t="array" aca="1" ref="OE43" ca="1">IF(xcomp(INDIRECT((ADDRESS(ROW(OE42),$I$11+(MATCH(OD$11,L.DATE,0))))&amp;":"&amp;(ADDRESS(ROW(OE42),$I$11+OE$11+(MATCH(OD$11,L.DATE,0))-1))),L.ABS.NP)=0,"",
xsom(INDIRECT((ADDRESS(ROW(OE42),$I$11+(MATCH(OD$11,L.DATE,0))))&amp;":"&amp;(ADDRESS(ROW(OE42),$I$11+OE$11+(MATCH(OD$11,L.DATE,0))-1))),L.ABS.NP,
INDIRECT((ADDRESS(ROW(OE42)+1,$I$11+(MATCH(OD$11,L.DATE,0))))&amp;":"&amp;(ADDRESS(ROW(OE42)+1,$I$11+OE$11+(MATCH(OD$11,L.DATE,0))-1)))))</f>
        <v/>
      </c>
      <c r="OF43" s="376" t="str" cm="1">
        <f t="array" aca="1" ref="OF43" ca="1">IF(xcomp(INDIRECT((ADDRESS(ROW(OF42),$I$11+(MATCH(OF$11,L.DATE,0))))&amp;":"&amp;(ADDRESS(ROW(OF42),$I$11+OG$11+(MATCH(OF$11,L.DATE,0))-1))),L.ABSP)=0,"",
xsom(INDIRECT((ADDRESS(ROW(OF42),$I$11+(MATCH(OF$11,L.DATE,0))))&amp;":"&amp;(ADDRESS(ROW(OF42),$I$11+OG$11+(MATCH(OF$11,L.DATE,0))-1))),L.ABSP,
INDIRECT((ADDRESS(ROW(OF42)+1,$I$11+(MATCH(OF$11,L.DATE,0))))&amp;":"&amp;(ADDRESS(ROW(OF42)+1,$I$11+OG$11+(MATCH(OF$11,L.DATE,0))-1)))))</f>
        <v/>
      </c>
      <c r="OG43" s="377" t="str" cm="1">
        <f t="array" aca="1" ref="OG43" ca="1">IF(xcomp(INDIRECT((ADDRESS(ROW(OG42),$I$11+(MATCH(OF$11,L.DATE,0))))&amp;":"&amp;(ADDRESS(ROW(OG42),$I$11+OG$11+(MATCH(OF$11,L.DATE,0))-1))),L.ABS.NP)=0,"",
xsom(INDIRECT((ADDRESS(ROW(OG42),$I$11+(MATCH(OF$11,L.DATE,0))))&amp;":"&amp;(ADDRESS(ROW(OG42),$I$11+OG$11+(MATCH(OF$11,L.DATE,0))-1))),L.ABS.NP,
INDIRECT((ADDRESS(ROW(OG42)+1,$I$11+(MATCH(OF$11,L.DATE,0))))&amp;":"&amp;(ADDRESS(ROW(OG42)+1,$I$11+OG$11+(MATCH(OF$11,L.DATE,0))-1)))))</f>
        <v/>
      </c>
      <c r="OH43" s="376" t="str" cm="1">
        <f t="array" aca="1" ref="OH43" ca="1">IF(xcomp(INDIRECT((ADDRESS(ROW(OH42),$I$11+(MATCH(OH$11,L.DATE,0))))&amp;":"&amp;(ADDRESS(ROW(OH42),$I$11+OI$11+(MATCH(OH$11,L.DATE,0))-1))),L.ABSP)=0,"",
xsom(INDIRECT((ADDRESS(ROW(OH42),$I$11+(MATCH(OH$11,L.DATE,0))))&amp;":"&amp;(ADDRESS(ROW(OH42),$I$11+OI$11+(MATCH(OH$11,L.DATE,0))-1))),L.ABSP,
INDIRECT((ADDRESS(ROW(OH42)+1,$I$11+(MATCH(OH$11,L.DATE,0))))&amp;":"&amp;(ADDRESS(ROW(OH42)+1,$I$11+OI$11+(MATCH(OH$11,L.DATE,0))-1)))))</f>
        <v/>
      </c>
      <c r="OI43" s="377" t="str" cm="1">
        <f t="array" aca="1" ref="OI43" ca="1">IF(xcomp(INDIRECT((ADDRESS(ROW(OI42),$I$11+(MATCH(OH$11,L.DATE,0))))&amp;":"&amp;(ADDRESS(ROW(OI42),$I$11+OI$11+(MATCH(OH$11,L.DATE,0))-1))),L.ABS.NP)=0,"",
xsom(INDIRECT((ADDRESS(ROW(OI42),$I$11+(MATCH(OH$11,L.DATE,0))))&amp;":"&amp;(ADDRESS(ROW(OI42),$I$11+OI$11+(MATCH(OH$11,L.DATE,0))-1))),L.ABS.NP,
INDIRECT((ADDRESS(ROW(OI42)+1,$I$11+(MATCH(OH$11,L.DATE,0))))&amp;":"&amp;(ADDRESS(ROW(OI42)+1,$I$11+OI$11+(MATCH(OH$11,L.DATE,0))-1)))))</f>
        <v/>
      </c>
      <c r="OJ43" s="376" t="str" cm="1">
        <f t="array" aca="1" ref="OJ43" ca="1">IF(xcomp(INDIRECT((ADDRESS(ROW(OJ42),$I$11+(MATCH(OJ$11,L.DATE,0))))&amp;":"&amp;(ADDRESS(ROW(OJ42),$I$11+OK$11+(MATCH(OJ$11,L.DATE,0))-1))),L.ABSP)=0,"",
xsom(INDIRECT((ADDRESS(ROW(OJ42),$I$11+(MATCH(OJ$11,L.DATE,0))))&amp;":"&amp;(ADDRESS(ROW(OJ42),$I$11+OK$11+(MATCH(OJ$11,L.DATE,0))-1))),L.ABSP,
INDIRECT((ADDRESS(ROW(OJ42)+1,$I$11+(MATCH(OJ$11,L.DATE,0))))&amp;":"&amp;(ADDRESS(ROW(OJ42)+1,$I$11+OK$11+(MATCH(OJ$11,L.DATE,0))-1)))))</f>
        <v/>
      </c>
      <c r="OK43" s="378" t="str" cm="1">
        <f t="array" aca="1" ref="OK43" ca="1">IF(xcomp(INDIRECT((ADDRESS(ROW(OK42),$I$11+(MATCH(OJ$11,L.DATE,0))))&amp;":"&amp;(ADDRESS(ROW(OK42),$I$11+OK$11+(MATCH(OJ$11,L.DATE,0))-1))),L.ABS.NP)=0,"",
xsom(INDIRECT((ADDRESS(ROW(OK42),$I$11+(MATCH(OJ$11,L.DATE,0))))&amp;":"&amp;(ADDRESS(ROW(OK42),$I$11+OK$11+(MATCH(OJ$11,L.DATE,0))-1))),L.ABS.NP,
INDIRECT((ADDRESS(ROW(OK42)+1,$I$11+(MATCH(OJ$11,L.DATE,0))))&amp;":"&amp;(ADDRESS(ROW(OK42)+1,$I$11+OK$11+(MATCH(OJ$11,L.DATE,0))-1)))))</f>
        <v/>
      </c>
    </row>
    <row r="44" spans="1:404" ht="12" customHeight="1" x14ac:dyDescent="0.3">
      <c r="A44" s="394">
        <v>8</v>
      </c>
      <c r="B44" s="381" t="s">
        <v>502</v>
      </c>
      <c r="C44" s="53">
        <v>1</v>
      </c>
      <c r="D44" s="53" t="s">
        <v>33</v>
      </c>
      <c r="E44" s="53" t="s">
        <v>484</v>
      </c>
      <c r="F44" s="53" t="s">
        <v>13</v>
      </c>
      <c r="G44" s="104" t="s">
        <v>498</v>
      </c>
      <c r="H44" s="108">
        <v>2</v>
      </c>
      <c r="I44" s="28"/>
      <c r="J44" s="482"/>
      <c r="K44" s="487"/>
      <c r="L44" s="486"/>
      <c r="M44" s="482"/>
      <c r="N44" s="482"/>
      <c r="O44" s="482"/>
      <c r="P44" s="482"/>
      <c r="Q44" s="482"/>
      <c r="R44" s="482"/>
      <c r="S44" s="482"/>
      <c r="T44" s="482"/>
      <c r="U44" s="482"/>
      <c r="V44" s="482"/>
      <c r="W44" s="482"/>
      <c r="X44" s="482"/>
      <c r="Y44" s="482"/>
      <c r="Z44" s="482"/>
      <c r="AA44" s="482"/>
      <c r="AB44" s="482"/>
      <c r="AC44" s="482"/>
      <c r="AD44" s="482"/>
      <c r="AE44" s="482"/>
      <c r="AF44" s="482"/>
      <c r="AG44" s="482"/>
      <c r="AH44" s="482"/>
      <c r="AI44" s="482"/>
      <c r="AJ44" s="482"/>
      <c r="AK44" s="482"/>
      <c r="AL44" s="482"/>
      <c r="AM44" s="482"/>
      <c r="AN44" s="482"/>
      <c r="AO44" s="482"/>
      <c r="AP44" s="482"/>
      <c r="AQ44" s="482"/>
      <c r="AR44" s="482"/>
      <c r="AS44" s="482"/>
      <c r="AT44" s="482"/>
      <c r="AU44" s="482"/>
      <c r="AV44" s="482"/>
      <c r="AW44" s="482"/>
      <c r="AX44" s="482"/>
      <c r="AY44" s="482"/>
      <c r="AZ44" s="482"/>
      <c r="BA44" s="482"/>
      <c r="BB44" s="482"/>
      <c r="BC44" s="482"/>
      <c r="BD44" s="482"/>
      <c r="BE44" s="482"/>
      <c r="BF44" s="482"/>
      <c r="BG44" s="482"/>
      <c r="BH44" s="482"/>
      <c r="BI44" s="482"/>
      <c r="BJ44" s="482"/>
      <c r="BK44" s="482"/>
      <c r="BL44" s="482"/>
      <c r="BM44" s="482"/>
      <c r="BN44" s="482"/>
      <c r="BO44" s="482"/>
      <c r="BP44" s="482"/>
      <c r="BQ44" s="482"/>
      <c r="BR44" s="482"/>
      <c r="BS44" s="482"/>
      <c r="BT44" s="482"/>
      <c r="BU44" s="482"/>
      <c r="BV44" s="482"/>
      <c r="BW44" s="482"/>
      <c r="BX44" s="482"/>
      <c r="BY44" s="482"/>
      <c r="BZ44" s="482"/>
      <c r="CA44" s="482"/>
      <c r="CB44" s="482"/>
      <c r="CC44" s="484" t="s">
        <v>27</v>
      </c>
      <c r="CD44" s="484" t="s">
        <v>27</v>
      </c>
      <c r="CE44" s="484" t="s">
        <v>27</v>
      </c>
      <c r="CF44" s="484" t="s">
        <v>27</v>
      </c>
      <c r="CG44" s="484" t="s">
        <v>27</v>
      </c>
      <c r="CH44" s="482"/>
      <c r="CI44" s="482"/>
      <c r="CJ44" s="484" t="s">
        <v>27</v>
      </c>
      <c r="CK44" s="484" t="s">
        <v>27</v>
      </c>
      <c r="CL44" s="484" t="s">
        <v>27</v>
      </c>
      <c r="CM44" s="484" t="s">
        <v>27</v>
      </c>
      <c r="CN44" s="484" t="s">
        <v>27</v>
      </c>
      <c r="CO44" s="482"/>
      <c r="CP44" s="482"/>
      <c r="CQ44" s="484" t="s">
        <v>27</v>
      </c>
      <c r="CR44" s="484" t="s">
        <v>27</v>
      </c>
      <c r="CS44" s="484" t="s">
        <v>27</v>
      </c>
      <c r="CT44" s="484" t="s">
        <v>27</v>
      </c>
      <c r="CU44" s="484" t="s">
        <v>27</v>
      </c>
      <c r="CV44" s="482"/>
      <c r="CW44" s="482"/>
      <c r="CX44" s="482"/>
      <c r="CY44" s="482"/>
      <c r="CZ44" s="482"/>
      <c r="DA44" s="482"/>
      <c r="DB44" s="482"/>
      <c r="DC44" s="482"/>
      <c r="DD44" s="482"/>
      <c r="DE44" s="482"/>
      <c r="DF44" s="482"/>
      <c r="DG44" s="482"/>
      <c r="DH44" s="482"/>
      <c r="DI44" s="482"/>
      <c r="DJ44" s="482"/>
      <c r="DK44" s="482"/>
      <c r="DL44" s="482"/>
      <c r="DM44" s="482"/>
      <c r="DN44" s="482"/>
      <c r="DO44" s="482"/>
      <c r="DP44" s="482"/>
      <c r="DQ44" s="482"/>
      <c r="DR44" s="482"/>
      <c r="DS44" s="482"/>
      <c r="DT44" s="482"/>
      <c r="DU44" s="482"/>
      <c r="DV44" s="482"/>
      <c r="DW44" s="482"/>
      <c r="DX44" s="482"/>
      <c r="DY44" s="482"/>
      <c r="DZ44" s="482"/>
      <c r="EA44" s="482"/>
      <c r="EB44" s="482"/>
      <c r="EC44" s="482"/>
      <c r="ED44" s="482"/>
      <c r="EE44" s="482"/>
      <c r="EF44" s="482"/>
      <c r="EG44" s="482"/>
      <c r="EH44" s="482"/>
      <c r="EI44" s="482"/>
      <c r="EJ44" s="482"/>
      <c r="EK44" s="482"/>
      <c r="EL44" s="482"/>
      <c r="EM44" s="482"/>
      <c r="EN44" s="482"/>
      <c r="EO44" s="482"/>
      <c r="EP44" s="482"/>
      <c r="EQ44" s="482"/>
      <c r="ER44" s="482"/>
      <c r="ES44" s="482"/>
      <c r="ET44" s="482"/>
      <c r="EU44" s="482"/>
      <c r="EV44" s="482"/>
      <c r="EW44" s="482"/>
      <c r="EX44" s="482"/>
      <c r="EY44" s="482"/>
      <c r="EZ44" s="482"/>
      <c r="FA44" s="482"/>
      <c r="FB44" s="482"/>
      <c r="FC44" s="482"/>
      <c r="FD44" s="482"/>
      <c r="FE44" s="482"/>
      <c r="FF44" s="482"/>
      <c r="FG44" s="482"/>
      <c r="FH44" s="482"/>
      <c r="FI44" s="482"/>
      <c r="FJ44" s="482"/>
      <c r="FK44" s="482"/>
      <c r="FL44" s="482"/>
      <c r="FM44" s="482"/>
      <c r="FN44" s="482"/>
      <c r="FO44" s="482"/>
      <c r="FP44" s="482"/>
      <c r="FQ44" s="482"/>
      <c r="FR44" s="482"/>
      <c r="FS44" s="482"/>
      <c r="FT44" s="482"/>
      <c r="FU44" s="482"/>
      <c r="FV44" s="482"/>
      <c r="FW44" s="482"/>
      <c r="FX44" s="482"/>
      <c r="FY44" s="482"/>
      <c r="FZ44" s="482"/>
      <c r="GA44" s="482"/>
      <c r="GB44" s="482"/>
      <c r="GC44" s="482"/>
      <c r="GD44" s="482"/>
      <c r="GE44" s="482"/>
      <c r="GF44" s="482"/>
      <c r="GG44" s="482"/>
      <c r="GH44" s="482"/>
      <c r="GI44" s="482"/>
      <c r="GJ44" s="482"/>
      <c r="GK44" s="482"/>
      <c r="GL44" s="482"/>
      <c r="GM44" s="482"/>
      <c r="GN44" s="482"/>
      <c r="GO44" s="482"/>
      <c r="GP44" s="482"/>
      <c r="GQ44" s="482"/>
      <c r="GR44" s="482"/>
      <c r="GS44" s="482"/>
      <c r="GT44" s="482"/>
      <c r="GU44" s="482"/>
      <c r="GV44" s="482"/>
      <c r="GW44" s="482"/>
      <c r="GX44" s="482"/>
      <c r="GY44" s="482"/>
      <c r="GZ44" s="482"/>
      <c r="HA44" s="482"/>
      <c r="HB44" s="482"/>
      <c r="HC44" s="482"/>
      <c r="HD44" s="482"/>
      <c r="HE44" s="482"/>
      <c r="HF44" s="482"/>
      <c r="HG44" s="482"/>
      <c r="HH44" s="482"/>
      <c r="HI44" s="482"/>
      <c r="HJ44" s="482"/>
      <c r="HK44" s="482"/>
      <c r="HL44" s="482"/>
      <c r="HM44" s="482"/>
      <c r="HN44" s="482"/>
      <c r="HO44" s="482"/>
      <c r="HP44" s="482"/>
      <c r="HQ44" s="482"/>
      <c r="HR44" s="482"/>
      <c r="HS44" s="482"/>
      <c r="HT44" s="482"/>
      <c r="HU44" s="482"/>
      <c r="HV44" s="482"/>
      <c r="HW44" s="482"/>
      <c r="HX44" s="482"/>
      <c r="HY44" s="482"/>
      <c r="HZ44" s="482"/>
      <c r="IA44" s="482"/>
      <c r="IB44" s="482"/>
      <c r="IC44" s="482"/>
      <c r="ID44" s="482"/>
      <c r="IE44" s="482"/>
      <c r="IF44" s="482"/>
      <c r="IG44" s="482"/>
      <c r="IH44" s="482"/>
      <c r="II44" s="482"/>
      <c r="IJ44" s="482"/>
      <c r="IK44" s="482"/>
      <c r="IL44" s="482"/>
      <c r="IM44" s="482"/>
      <c r="IN44" s="482"/>
      <c r="IO44" s="482"/>
      <c r="IP44" s="482"/>
      <c r="IQ44" s="482"/>
      <c r="IR44" s="482"/>
      <c r="IS44" s="482"/>
      <c r="IT44" s="482"/>
      <c r="IU44" s="482"/>
      <c r="IV44" s="482"/>
      <c r="IW44" s="482"/>
      <c r="IX44" s="482"/>
      <c r="IY44" s="482"/>
      <c r="IZ44" s="482"/>
      <c r="JA44" s="482"/>
      <c r="JB44" s="482"/>
      <c r="JC44" s="482"/>
      <c r="JD44" s="482"/>
      <c r="JE44" s="482"/>
      <c r="JF44" s="482"/>
      <c r="JG44" s="482"/>
      <c r="JH44" s="482"/>
      <c r="JI44" s="482"/>
      <c r="JJ44" s="482"/>
      <c r="JK44" s="482"/>
      <c r="JL44" s="482"/>
      <c r="JM44" s="482"/>
      <c r="JN44" s="482"/>
      <c r="JO44" s="482"/>
      <c r="JP44" s="482"/>
      <c r="JQ44" s="482"/>
      <c r="JR44" s="482"/>
      <c r="JS44" s="482"/>
      <c r="JT44" s="482"/>
      <c r="JU44" s="482"/>
      <c r="JV44" s="482"/>
      <c r="JW44" s="482"/>
      <c r="JX44" s="482"/>
      <c r="JY44" s="482"/>
      <c r="JZ44" s="482"/>
      <c r="KA44" s="482"/>
      <c r="KB44" s="482"/>
      <c r="KC44" s="482"/>
      <c r="KD44" s="482"/>
      <c r="KE44" s="482"/>
      <c r="KF44" s="482"/>
      <c r="KG44" s="482"/>
      <c r="KH44" s="482"/>
      <c r="KI44" s="482"/>
      <c r="KJ44" s="482"/>
      <c r="KK44" s="482"/>
      <c r="KL44" s="482"/>
      <c r="KM44" s="482"/>
      <c r="KN44" s="482"/>
      <c r="KO44" s="482"/>
      <c r="KP44" s="482"/>
      <c r="KQ44" s="482"/>
      <c r="KR44" s="482"/>
      <c r="KS44" s="482"/>
      <c r="KT44" s="482"/>
      <c r="KU44" s="482"/>
      <c r="KV44" s="482"/>
      <c r="KW44" s="482"/>
      <c r="KX44" s="482"/>
      <c r="KY44" s="482"/>
      <c r="KZ44" s="482"/>
      <c r="LA44" s="482"/>
      <c r="LB44" s="482"/>
      <c r="LC44" s="482"/>
      <c r="LD44" s="482"/>
      <c r="LE44" s="482"/>
      <c r="LF44" s="482"/>
      <c r="LG44" s="482"/>
      <c r="LH44" s="482"/>
      <c r="LI44" s="482"/>
      <c r="LJ44" s="482"/>
      <c r="LK44" s="482"/>
      <c r="LL44" s="482"/>
      <c r="LM44" s="482"/>
      <c r="LN44" s="482"/>
      <c r="LO44" s="482"/>
      <c r="LP44" s="482"/>
      <c r="LQ44" s="482"/>
      <c r="LR44" s="482"/>
      <c r="LS44" s="482"/>
      <c r="LT44" s="482"/>
      <c r="LU44" s="482"/>
      <c r="LV44" s="482"/>
      <c r="LW44" s="482"/>
      <c r="LX44" s="482"/>
      <c r="LY44" s="482"/>
      <c r="LZ44" s="482"/>
      <c r="MA44" s="482"/>
      <c r="MB44" s="482"/>
      <c r="MC44" s="482"/>
      <c r="MD44" s="482"/>
      <c r="ME44" s="482"/>
      <c r="MF44" s="482"/>
      <c r="MG44" s="482"/>
      <c r="MH44" s="482"/>
      <c r="MI44" s="482"/>
      <c r="MJ44" s="482"/>
      <c r="MK44" s="482"/>
      <c r="ML44" s="482"/>
      <c r="MM44" s="482"/>
      <c r="MN44" s="482"/>
      <c r="MO44" s="482"/>
      <c r="MP44" s="482"/>
      <c r="MQ44" s="482"/>
      <c r="MR44" s="482"/>
      <c r="MS44" s="482"/>
      <c r="MT44" s="482"/>
      <c r="MU44" s="482"/>
      <c r="MV44" s="482"/>
      <c r="MW44" s="482"/>
      <c r="MX44" s="482"/>
      <c r="MY44" s="482"/>
      <c r="MZ44" s="482"/>
      <c r="NA44" s="482"/>
      <c r="NB44" s="482"/>
      <c r="NC44" s="482"/>
      <c r="ND44" s="482"/>
      <c r="NE44" s="482"/>
      <c r="NF44" s="482"/>
      <c r="NG44" s="482"/>
      <c r="NH44" s="482"/>
      <c r="NI44" s="482"/>
      <c r="NJ44" s="483"/>
      <c r="NK44" s="34"/>
      <c r="NM44" s="159">
        <f>A44</f>
        <v>8</v>
      </c>
      <c r="NN44" s="373">
        <f ca="1">COUNTIF(INDIRECT((ADDRESS(ROW(NO45),$I$11+(MATCH(NN$11,L.DATE,0))))&amp;":"&amp;(ADDRESS(ROW(NO45),$I$11+NO$11+(MATCH(NN$11,L.DATE,0))-1))),"&gt;=0")-NO44</f>
        <v>0</v>
      </c>
      <c r="NO44" s="374">
        <f ca="1">SUM(INDIRECT((ADDRESS(ROW(NO45),$I$11+(MATCH(NN$11,L.DATE,0))))&amp;":"&amp;(ADDRESS(ROW(NO45),$I$11+NO$11+(MATCH(NN$11,L.DATE,0))-1))))</f>
        <v>0</v>
      </c>
      <c r="NP44" s="373">
        <f ca="1">COUNTIF(INDIRECT((ADDRESS(ROW(NQ45),$I$11+(MATCH(NP$11,L.DATE,0))))&amp;":"&amp;(ADDRESS(ROW(NQ45),$I$11+NQ$11+(MATCH(NP$11,L.DATE,0))-1))),"&gt;=0")-NQ44</f>
        <v>0</v>
      </c>
      <c r="NQ44" s="374">
        <f ca="1">SUM(INDIRECT((ADDRESS(ROW(NQ45),$I$11+(MATCH(NP$11,L.DATE,0))))&amp;":"&amp;(ADDRESS(ROW(NQ45),$I$11+NQ$11+(MATCH(NP$11,L.DATE,0))-1))))</f>
        <v>0</v>
      </c>
      <c r="NR44" s="373">
        <f ca="1">COUNTIF(INDIRECT((ADDRESS(ROW(NS45),$I$11+(MATCH(NR$11,L.DATE,0))))&amp;":"&amp;(ADDRESS(ROW(NS45),$I$11+NS$11+(MATCH(NR$11,L.DATE,0))-1))),"&gt;=0")-NS44</f>
        <v>15</v>
      </c>
      <c r="NS44" s="374">
        <f ca="1">SUM(INDIRECT((ADDRESS(ROW(NS45),$I$11+(MATCH(NR$11,L.DATE,0))))&amp;":"&amp;(ADDRESS(ROW(NS45),$I$11+NS$11+(MATCH(NR$11,L.DATE,0))-1))))</f>
        <v>0</v>
      </c>
      <c r="NT44" s="373">
        <f ca="1">COUNTIF(INDIRECT((ADDRESS(ROW(NU45),$I$11+(MATCH(NT$11,L.DATE,0))))&amp;":"&amp;(ADDRESS(ROW(NU45),$I$11+NU$11+(MATCH(NT$11,L.DATE,0))-1))),"&gt;=0")-NU44</f>
        <v>0</v>
      </c>
      <c r="NU44" s="374">
        <f ca="1">SUM(INDIRECT((ADDRESS(ROW(NU45),$I$11+(MATCH(NT$11,L.DATE,0))))&amp;":"&amp;(ADDRESS(ROW(NU45),$I$11+NU$11+(MATCH(NT$11,L.DATE,0))-1))))</f>
        <v>0</v>
      </c>
      <c r="NV44" s="373">
        <f ca="1">COUNTIF(INDIRECT((ADDRESS(ROW(NW45),$I$11+(MATCH(NV$11,L.DATE,0))))&amp;":"&amp;(ADDRESS(ROW(NW45),$I$11+NW$11+(MATCH(NV$11,L.DATE,0))-1))),"&gt;=0")-NW44</f>
        <v>0</v>
      </c>
      <c r="NW44" s="374">
        <f ca="1">SUM(INDIRECT((ADDRESS(ROW(NW45),$I$11+(MATCH(NV$11,L.DATE,0))))&amp;":"&amp;(ADDRESS(ROW(NW45),$I$11+NW$11+(MATCH(NV$11,L.DATE,0))-1))))</f>
        <v>0</v>
      </c>
      <c r="NX44" s="373">
        <f ca="1">COUNTIF(INDIRECT((ADDRESS(ROW(NY45),$I$11+(MATCH(NX$11,L.DATE,0))))&amp;":"&amp;(ADDRESS(ROW(NY45),$I$11+NY$11+(MATCH(NX$11,L.DATE,0))-1))),"&gt;=0")-NY44</f>
        <v>0</v>
      </c>
      <c r="NY44" s="374">
        <f ca="1">SUM(INDIRECT((ADDRESS(ROW(NY45),$I$11+(MATCH(NX$11,L.DATE,0))))&amp;":"&amp;(ADDRESS(ROW(NY45),$I$11+NY$11+(MATCH(NX$11,L.DATE,0))-1))))</f>
        <v>0</v>
      </c>
      <c r="NZ44" s="373">
        <f ca="1">COUNTIF(INDIRECT((ADDRESS(ROW(OA45),$I$11+(MATCH(NZ$11,L.DATE,0))))&amp;":"&amp;(ADDRESS(ROW(OA45),$I$11+OA$11+(MATCH(NZ$11,L.DATE,0))-1))),"&gt;=0")-OA44</f>
        <v>0</v>
      </c>
      <c r="OA44" s="374">
        <f ca="1">SUM(INDIRECT((ADDRESS(ROW(OA45),$I$11+(MATCH(NZ$11,L.DATE,0))))&amp;":"&amp;(ADDRESS(ROW(OA45),$I$11+OA$11+(MATCH(NZ$11,L.DATE,0))-1))))</f>
        <v>0</v>
      </c>
      <c r="OB44" s="373">
        <f ca="1">COUNTIF(INDIRECT((ADDRESS(ROW(OC45),$I$11+(MATCH(OB$11,L.DATE,0))))&amp;":"&amp;(ADDRESS(ROW(OC45),$I$11+OC$11+(MATCH(OB$11,L.DATE,0))-1))),"&gt;=0")-OC44</f>
        <v>0</v>
      </c>
      <c r="OC44" s="374">
        <f ca="1">SUM(INDIRECT((ADDRESS(ROW(OC45),$I$11+(MATCH(OB$11,L.DATE,0))))&amp;":"&amp;(ADDRESS(ROW(OC45),$I$11+OC$11+(MATCH(OB$11,L.DATE,0))-1))))</f>
        <v>0</v>
      </c>
      <c r="OD44" s="373">
        <f ca="1">COUNTIF(INDIRECT((ADDRESS(ROW(OE45),$I$11+(MATCH(OD$11,L.DATE,0))))&amp;":"&amp;(ADDRESS(ROW(OE45),$I$11+OE$11+(MATCH(OD$11,L.DATE,0))-1))),"&gt;=0")-OE44</f>
        <v>0</v>
      </c>
      <c r="OE44" s="374">
        <f ca="1">SUM(INDIRECT((ADDRESS(ROW(OE45),$I$11+(MATCH(OD$11,L.DATE,0))))&amp;":"&amp;(ADDRESS(ROW(OE45),$I$11+OE$11+(MATCH(OD$11,L.DATE,0))-1))))</f>
        <v>0</v>
      </c>
      <c r="OF44" s="373">
        <f ca="1">COUNTIF(INDIRECT((ADDRESS(ROW(OG45),$I$11+(MATCH(OF$11,L.DATE,0))))&amp;":"&amp;(ADDRESS(ROW(OG45),$I$11+OG$11+(MATCH(OF$11,L.DATE,0))-1))),"&gt;=0")-OG44</f>
        <v>0</v>
      </c>
      <c r="OG44" s="374">
        <f ca="1">SUM(INDIRECT((ADDRESS(ROW(OG45),$I$11+(MATCH(OF$11,L.DATE,0))))&amp;":"&amp;(ADDRESS(ROW(OG45),$I$11+OG$11+(MATCH(OF$11,L.DATE,0))-1))))</f>
        <v>0</v>
      </c>
      <c r="OH44" s="373">
        <f ca="1">COUNTIF(INDIRECT((ADDRESS(ROW(OI45),$I$11+(MATCH(OH$11,L.DATE,0))))&amp;":"&amp;(ADDRESS(ROW(OI45),$I$11+OI$11+(MATCH(OH$11,L.DATE,0))-1))),"&gt;=0")-OI44</f>
        <v>0</v>
      </c>
      <c r="OI44" s="374">
        <f ca="1">SUM(INDIRECT((ADDRESS(ROW(OI45),$I$11+(MATCH(OH$11,L.DATE,0))))&amp;":"&amp;(ADDRESS(ROW(OI45),$I$11+OI$11+(MATCH(OH$11,L.DATE,0))-1))))</f>
        <v>0</v>
      </c>
      <c r="OJ44" s="373">
        <f ca="1">COUNTIF(INDIRECT((ADDRESS(ROW(OK45),$I$11+(MATCH(OJ$11,L.DATE,0))))&amp;":"&amp;(ADDRESS(ROW(OK45),$I$11+OK$11+(MATCH(OJ$11,L.DATE,0))-1))),"&gt;=0")-OK44</f>
        <v>0</v>
      </c>
      <c r="OK44" s="375">
        <f ca="1">SUM(INDIRECT((ADDRESS(ROW(OK45),$I$11+(MATCH(OJ$11,L.DATE,0))))&amp;":"&amp;(ADDRESS(ROW(OK45),$I$11+OK$11+(MATCH(OJ$11,L.DATE,0))-1))))</f>
        <v>0</v>
      </c>
      <c r="OM44" s="39">
        <f ca="1">NN44+NP44+NR44+NT44+NV44+NX44+NZ44+OB44+OD44+OF44+OJ44+OH44</f>
        <v>15</v>
      </c>
      <c r="ON44" s="40">
        <f ca="1">NO44+NQ44+NS44+NU44+NW44+NY44+OA44+OC44+OE44+OG44+OK44+OI44</f>
        <v>0</v>
      </c>
    </row>
    <row r="45" spans="1:404" x14ac:dyDescent="0.3">
      <c r="A45" s="33"/>
      <c r="B45" s="16" t="str">
        <f t="shared" ref="B45:H45" si="38">B44</f>
        <v>TECH.N1</v>
      </c>
      <c r="C45" s="16">
        <f t="shared" si="38"/>
        <v>1</v>
      </c>
      <c r="D45" s="16" t="str">
        <f t="shared" si="38"/>
        <v>EXT</v>
      </c>
      <c r="E45" s="16" t="str">
        <f t="shared" si="38"/>
        <v>ITG</v>
      </c>
      <c r="F45" s="16" t="str">
        <f t="shared" si="38"/>
        <v>SL</v>
      </c>
      <c r="G45" s="105" t="str">
        <f t="shared" si="38"/>
        <v>N1</v>
      </c>
      <c r="H45" s="109">
        <f t="shared" si="38"/>
        <v>2</v>
      </c>
      <c r="I45" s="28"/>
      <c r="J45" s="482"/>
      <c r="K45" s="485"/>
      <c r="L45" s="482"/>
      <c r="M45" s="482"/>
      <c r="N45" s="482"/>
      <c r="O45" s="482"/>
      <c r="P45" s="482"/>
      <c r="Q45" s="482"/>
      <c r="R45" s="482"/>
      <c r="S45" s="482"/>
      <c r="T45" s="482"/>
      <c r="U45" s="482"/>
      <c r="V45" s="482"/>
      <c r="W45" s="482"/>
      <c r="X45" s="482"/>
      <c r="Y45" s="482"/>
      <c r="Z45" s="482"/>
      <c r="AA45" s="482"/>
      <c r="AB45" s="482"/>
      <c r="AC45" s="482"/>
      <c r="AD45" s="482"/>
      <c r="AE45" s="482"/>
      <c r="AF45" s="482"/>
      <c r="AG45" s="482"/>
      <c r="AH45" s="482"/>
      <c r="AI45" s="482"/>
      <c r="AJ45" s="482"/>
      <c r="AK45" s="482"/>
      <c r="AL45" s="482"/>
      <c r="AM45" s="482"/>
      <c r="AN45" s="482"/>
      <c r="AO45" s="482"/>
      <c r="AP45" s="482"/>
      <c r="AQ45" s="482"/>
      <c r="AR45" s="482"/>
      <c r="AS45" s="482"/>
      <c r="AT45" s="482"/>
      <c r="AU45" s="482"/>
      <c r="AV45" s="482"/>
      <c r="AW45" s="482"/>
      <c r="AX45" s="482"/>
      <c r="AY45" s="482"/>
      <c r="AZ45" s="482"/>
      <c r="BA45" s="482"/>
      <c r="BB45" s="482"/>
      <c r="BC45" s="482"/>
      <c r="BD45" s="482"/>
      <c r="BE45" s="482"/>
      <c r="BF45" s="482"/>
      <c r="BG45" s="482"/>
      <c r="BH45" s="482"/>
      <c r="BI45" s="482"/>
      <c r="BJ45" s="482"/>
      <c r="BK45" s="482"/>
      <c r="BL45" s="482"/>
      <c r="BM45" s="482"/>
      <c r="BN45" s="482"/>
      <c r="BO45" s="482"/>
      <c r="BP45" s="482"/>
      <c r="BQ45" s="482"/>
      <c r="BR45" s="482"/>
      <c r="BS45" s="482"/>
      <c r="BT45" s="482"/>
      <c r="BU45" s="482"/>
      <c r="BV45" s="482"/>
      <c r="BW45" s="482"/>
      <c r="BX45" s="482"/>
      <c r="BY45" s="482"/>
      <c r="BZ45" s="482"/>
      <c r="CA45" s="482"/>
      <c r="CB45" s="482"/>
      <c r="CC45" s="485">
        <v>0</v>
      </c>
      <c r="CD45" s="485">
        <v>0</v>
      </c>
      <c r="CE45" s="485">
        <v>0</v>
      </c>
      <c r="CF45" s="485">
        <v>0</v>
      </c>
      <c r="CG45" s="485">
        <v>0</v>
      </c>
      <c r="CH45" s="482"/>
      <c r="CI45" s="482"/>
      <c r="CJ45" s="485">
        <v>0</v>
      </c>
      <c r="CK45" s="485">
        <v>0</v>
      </c>
      <c r="CL45" s="485">
        <v>0</v>
      </c>
      <c r="CM45" s="485">
        <v>0</v>
      </c>
      <c r="CN45" s="485">
        <v>0</v>
      </c>
      <c r="CO45" s="482"/>
      <c r="CP45" s="482"/>
      <c r="CQ45" s="485">
        <v>0</v>
      </c>
      <c r="CR45" s="485">
        <v>0</v>
      </c>
      <c r="CS45" s="485">
        <v>0</v>
      </c>
      <c r="CT45" s="485">
        <v>0</v>
      </c>
      <c r="CU45" s="485">
        <v>0</v>
      </c>
      <c r="CV45" s="482"/>
      <c r="CW45" s="482"/>
      <c r="CX45" s="482"/>
      <c r="CY45" s="482"/>
      <c r="CZ45" s="482"/>
      <c r="DA45" s="482"/>
      <c r="DB45" s="482"/>
      <c r="DC45" s="482"/>
      <c r="DD45" s="482"/>
      <c r="DE45" s="482"/>
      <c r="DF45" s="482"/>
      <c r="DG45" s="482"/>
      <c r="DH45" s="482"/>
      <c r="DI45" s="482"/>
      <c r="DJ45" s="482"/>
      <c r="DK45" s="482"/>
      <c r="DL45" s="482"/>
      <c r="DM45" s="482"/>
      <c r="DN45" s="482"/>
      <c r="DO45" s="482"/>
      <c r="DP45" s="482"/>
      <c r="DQ45" s="482"/>
      <c r="DR45" s="482"/>
      <c r="DS45" s="482"/>
      <c r="DT45" s="482"/>
      <c r="DU45" s="482"/>
      <c r="DV45" s="482"/>
      <c r="DW45" s="482"/>
      <c r="DX45" s="482"/>
      <c r="DY45" s="482"/>
      <c r="DZ45" s="482"/>
      <c r="EA45" s="482"/>
      <c r="EB45" s="482"/>
      <c r="EC45" s="482"/>
      <c r="ED45" s="482"/>
      <c r="EE45" s="482"/>
      <c r="EF45" s="482"/>
      <c r="EG45" s="482"/>
      <c r="EH45" s="482"/>
      <c r="EI45" s="482"/>
      <c r="EJ45" s="482"/>
      <c r="EK45" s="482"/>
      <c r="EL45" s="482"/>
      <c r="EM45" s="482"/>
      <c r="EN45" s="482"/>
      <c r="EO45" s="482"/>
      <c r="EP45" s="482"/>
      <c r="EQ45" s="482"/>
      <c r="ER45" s="482"/>
      <c r="ES45" s="482"/>
      <c r="ET45" s="482"/>
      <c r="EU45" s="482"/>
      <c r="EV45" s="482"/>
      <c r="EW45" s="482"/>
      <c r="EX45" s="482"/>
      <c r="EY45" s="482"/>
      <c r="EZ45" s="482"/>
      <c r="FA45" s="482"/>
      <c r="FB45" s="482"/>
      <c r="FC45" s="482"/>
      <c r="FD45" s="482"/>
      <c r="FE45" s="482"/>
      <c r="FF45" s="482"/>
      <c r="FG45" s="482"/>
      <c r="FH45" s="482"/>
      <c r="FI45" s="482"/>
      <c r="FJ45" s="482"/>
      <c r="FK45" s="482"/>
      <c r="FL45" s="482"/>
      <c r="FM45" s="482"/>
      <c r="FN45" s="482"/>
      <c r="FO45" s="482"/>
      <c r="FP45" s="482"/>
      <c r="FQ45" s="482"/>
      <c r="FR45" s="482"/>
      <c r="FS45" s="482"/>
      <c r="FT45" s="482"/>
      <c r="FU45" s="482"/>
      <c r="FV45" s="482"/>
      <c r="FW45" s="482"/>
      <c r="FX45" s="482"/>
      <c r="FY45" s="482"/>
      <c r="FZ45" s="482"/>
      <c r="GA45" s="482"/>
      <c r="GB45" s="482"/>
      <c r="GC45" s="482"/>
      <c r="GD45" s="482"/>
      <c r="GE45" s="482"/>
      <c r="GF45" s="482"/>
      <c r="GG45" s="482"/>
      <c r="GH45" s="482"/>
      <c r="GI45" s="482"/>
      <c r="GJ45" s="482"/>
      <c r="GK45" s="482"/>
      <c r="GL45" s="482"/>
      <c r="GM45" s="482"/>
      <c r="GN45" s="482"/>
      <c r="GO45" s="482"/>
      <c r="GP45" s="482"/>
      <c r="GQ45" s="482"/>
      <c r="GR45" s="482"/>
      <c r="GS45" s="482"/>
      <c r="GT45" s="482"/>
      <c r="GU45" s="482"/>
      <c r="GV45" s="482"/>
      <c r="GW45" s="482"/>
      <c r="GX45" s="482"/>
      <c r="GY45" s="482"/>
      <c r="GZ45" s="482"/>
      <c r="HA45" s="482"/>
      <c r="HB45" s="482"/>
      <c r="HC45" s="482"/>
      <c r="HD45" s="482"/>
      <c r="HE45" s="482"/>
      <c r="HF45" s="482"/>
      <c r="HG45" s="482"/>
      <c r="HH45" s="482"/>
      <c r="HI45" s="482"/>
      <c r="HJ45" s="482"/>
      <c r="HK45" s="482"/>
      <c r="HL45" s="482"/>
      <c r="HM45" s="482"/>
      <c r="HN45" s="482"/>
      <c r="HO45" s="482"/>
      <c r="HP45" s="482"/>
      <c r="HQ45" s="482"/>
      <c r="HR45" s="482"/>
      <c r="HS45" s="482"/>
      <c r="HT45" s="482"/>
      <c r="HU45" s="482"/>
      <c r="HV45" s="482"/>
      <c r="HW45" s="482"/>
      <c r="HX45" s="482"/>
      <c r="HY45" s="482"/>
      <c r="HZ45" s="482"/>
      <c r="IA45" s="482"/>
      <c r="IB45" s="482"/>
      <c r="IC45" s="482"/>
      <c r="ID45" s="482"/>
      <c r="IE45" s="482"/>
      <c r="IF45" s="482"/>
      <c r="IG45" s="482"/>
      <c r="IH45" s="482"/>
      <c r="II45" s="482"/>
      <c r="IJ45" s="482"/>
      <c r="IK45" s="482"/>
      <c r="IL45" s="482"/>
      <c r="IM45" s="482"/>
      <c r="IN45" s="482"/>
      <c r="IO45" s="482"/>
      <c r="IP45" s="482"/>
      <c r="IQ45" s="482"/>
      <c r="IR45" s="482"/>
      <c r="IS45" s="482"/>
      <c r="IT45" s="482"/>
      <c r="IU45" s="482"/>
      <c r="IV45" s="482"/>
      <c r="IW45" s="482"/>
      <c r="IX45" s="482"/>
      <c r="IY45" s="482"/>
      <c r="IZ45" s="482"/>
      <c r="JA45" s="482"/>
      <c r="JB45" s="482"/>
      <c r="JC45" s="482"/>
      <c r="JD45" s="482"/>
      <c r="JE45" s="482"/>
      <c r="JF45" s="482"/>
      <c r="JG45" s="482"/>
      <c r="JH45" s="482"/>
      <c r="JI45" s="482"/>
      <c r="JJ45" s="482"/>
      <c r="JK45" s="482"/>
      <c r="JL45" s="482"/>
      <c r="JM45" s="482"/>
      <c r="JN45" s="482"/>
      <c r="JO45" s="482"/>
      <c r="JP45" s="482"/>
      <c r="JQ45" s="482"/>
      <c r="JR45" s="482"/>
      <c r="JS45" s="482"/>
      <c r="JT45" s="482"/>
      <c r="JU45" s="482"/>
      <c r="JV45" s="482"/>
      <c r="JW45" s="482"/>
      <c r="JX45" s="482"/>
      <c r="JY45" s="482"/>
      <c r="JZ45" s="482"/>
      <c r="KA45" s="482"/>
      <c r="KB45" s="482"/>
      <c r="KC45" s="482"/>
      <c r="KD45" s="482"/>
      <c r="KE45" s="482"/>
      <c r="KF45" s="482"/>
      <c r="KG45" s="482"/>
      <c r="KH45" s="482"/>
      <c r="KI45" s="482"/>
      <c r="KJ45" s="482"/>
      <c r="KK45" s="482"/>
      <c r="KL45" s="482"/>
      <c r="KM45" s="482"/>
      <c r="KN45" s="482"/>
      <c r="KO45" s="482"/>
      <c r="KP45" s="482"/>
      <c r="KQ45" s="482"/>
      <c r="KR45" s="482"/>
      <c r="KS45" s="482"/>
      <c r="KT45" s="482"/>
      <c r="KU45" s="482"/>
      <c r="KV45" s="482"/>
      <c r="KW45" s="482"/>
      <c r="KX45" s="482"/>
      <c r="KY45" s="482"/>
      <c r="KZ45" s="482"/>
      <c r="LA45" s="482"/>
      <c r="LB45" s="482"/>
      <c r="LC45" s="482"/>
      <c r="LD45" s="482"/>
      <c r="LE45" s="482"/>
      <c r="LF45" s="482"/>
      <c r="LG45" s="482"/>
      <c r="LH45" s="482"/>
      <c r="LI45" s="482"/>
      <c r="LJ45" s="482"/>
      <c r="LK45" s="482"/>
      <c r="LL45" s="482"/>
      <c r="LM45" s="482"/>
      <c r="LN45" s="482"/>
      <c r="LO45" s="482"/>
      <c r="LP45" s="482"/>
      <c r="LQ45" s="482"/>
      <c r="LR45" s="482"/>
      <c r="LS45" s="482"/>
      <c r="LT45" s="482"/>
      <c r="LU45" s="482"/>
      <c r="LV45" s="482"/>
      <c r="LW45" s="482"/>
      <c r="LX45" s="482"/>
      <c r="LY45" s="482"/>
      <c r="LZ45" s="482"/>
      <c r="MA45" s="482"/>
      <c r="MB45" s="482"/>
      <c r="MC45" s="482"/>
      <c r="MD45" s="482"/>
      <c r="ME45" s="482"/>
      <c r="MF45" s="482"/>
      <c r="MG45" s="482"/>
      <c r="MH45" s="482"/>
      <c r="MI45" s="482"/>
      <c r="MJ45" s="482"/>
      <c r="MK45" s="482"/>
      <c r="ML45" s="482"/>
      <c r="MM45" s="482"/>
      <c r="MN45" s="482"/>
      <c r="MO45" s="482"/>
      <c r="MP45" s="482"/>
      <c r="MQ45" s="482"/>
      <c r="MR45" s="482"/>
      <c r="MS45" s="482"/>
      <c r="MT45" s="482"/>
      <c r="MU45" s="482"/>
      <c r="MV45" s="482"/>
      <c r="MW45" s="482"/>
      <c r="MX45" s="482"/>
      <c r="MY45" s="482"/>
      <c r="MZ45" s="482"/>
      <c r="NA45" s="482"/>
      <c r="NB45" s="482"/>
      <c r="NC45" s="482"/>
      <c r="ND45" s="482"/>
      <c r="NE45" s="482"/>
      <c r="NF45" s="482"/>
      <c r="NG45" s="482"/>
      <c r="NH45" s="482"/>
      <c r="NI45" s="482"/>
      <c r="NJ45" s="483"/>
      <c r="NK45" s="34"/>
      <c r="NM45" s="379" t="str">
        <f>NM44&amp;".b"</f>
        <v>8.b</v>
      </c>
      <c r="NN45" s="376" t="str" cm="1">
        <f t="array" aca="1" ref="NN45" ca="1">IF(xcomp(INDIRECT((ADDRESS(ROW(NN44),$I$11+(MATCH(NN$11,L.DATE,0))))&amp;":"&amp;(ADDRESS(ROW(NN44),$I$11+NO$11+(MATCH(NN$11,L.DATE,0))-1))),L.ABSP)=0,"",
xsom(INDIRECT((ADDRESS(ROW(NN44),$I$11+(MATCH(NN$11,L.DATE,0))))&amp;":"&amp;(ADDRESS(ROW(NN44),$I$11+NO$11+(MATCH(NN$11,L.DATE,0))-1))),L.ABSP,
INDIRECT((ADDRESS(ROW(NN44)+1,$I$11+(MATCH(NN$11,L.DATE,0))))&amp;":"&amp;(ADDRESS(ROW(NN44)+1,$I$11+NO$11+(MATCH(NN$11,L.DATE,0))-1)))))</f>
        <v/>
      </c>
      <c r="NO45" s="377" t="str" cm="1">
        <f t="array" aca="1" ref="NO45" ca="1">IF(xcomp(INDIRECT((ADDRESS(ROW(NO44),$I$11+(MATCH(NN$11,L.DATE,0))))&amp;":"&amp;(ADDRESS(ROW(NO44),$I$11+NO$11+(MATCH(NN$11,L.DATE,0))-1))),L.ABS.NP)=0,"",
xsom(INDIRECT((ADDRESS(ROW(NO44),$I$11+(MATCH(NN$11,L.DATE,0))))&amp;":"&amp;(ADDRESS(ROW(NO44),$I$11+NO$11+(MATCH(NN$11,L.DATE,0))-1))),L.ABS.NP,
INDIRECT((ADDRESS(ROW(NO44)+1,$I$11+(MATCH(NN$11,L.DATE,0))))&amp;":"&amp;(ADDRESS(ROW(NO44)+1,$I$11+NO$11+(MATCH(NN$11,L.DATE,0))-1)))))</f>
        <v/>
      </c>
      <c r="NP45" s="376" t="str" cm="1">
        <f t="array" aca="1" ref="NP45" ca="1">IF(xcomp(INDIRECT((ADDRESS(ROW(NP44),$I$11+(MATCH(NP$11,L.DATE,0))))&amp;":"&amp;(ADDRESS(ROW(NP44),$I$11+NQ$11+(MATCH(NP$11,L.DATE,0))-1))),L.ABSP)=0,"",
xsom(INDIRECT((ADDRESS(ROW(NP44),$I$11+(MATCH(NP$11,L.DATE,0))))&amp;":"&amp;(ADDRESS(ROW(NP44),$I$11+NQ$11+(MATCH(NP$11,L.DATE,0))-1))),L.ABSP,
INDIRECT((ADDRESS(ROW(NP44)+1,$I$11+(MATCH(NP$11,L.DATE,0))))&amp;":"&amp;(ADDRESS(ROW(NP44)+1,$I$11+NQ$11+(MATCH(NP$11,L.DATE,0))-1)))))</f>
        <v/>
      </c>
      <c r="NQ45" s="377" t="str" cm="1">
        <f t="array" aca="1" ref="NQ45" ca="1">IF(xcomp(INDIRECT((ADDRESS(ROW(NQ44),$I$11+(MATCH(NP$11,L.DATE,0))))&amp;":"&amp;(ADDRESS(ROW(NQ44),$I$11+NQ$11+(MATCH(NP$11,L.DATE,0))-1))),L.ABS.NP)=0,"",
xsom(INDIRECT((ADDRESS(ROW(NQ44),$I$11+(MATCH(NP$11,L.DATE,0))))&amp;":"&amp;(ADDRESS(ROW(NQ44),$I$11+NQ$11+(MATCH(NP$11,L.DATE,0))-1))),L.ABS.NP,
INDIRECT((ADDRESS(ROW(NQ44)+1,$I$11+(MATCH(NP$11,L.DATE,0))))&amp;":"&amp;(ADDRESS(ROW(NQ44)+1,$I$11+NQ$11+(MATCH(NP$11,L.DATE,0))-1)))))</f>
        <v/>
      </c>
      <c r="NR45" s="376" cm="1">
        <f t="array" aca="1" ref="NR45" ca="1">IF(xcomp(INDIRECT((ADDRESS(ROW(NR44),$I$11+(MATCH(NR$11,L.DATE,0))))&amp;":"&amp;(ADDRESS(ROW(NR44),$I$11+NS$11+(MATCH(NR$11,L.DATE,0))-1))),L.ABSP)=0,"",
xsom(INDIRECT((ADDRESS(ROW(NR44),$I$11+(MATCH(NR$11,L.DATE,0))))&amp;":"&amp;(ADDRESS(ROW(NR44),$I$11+NS$11+(MATCH(NR$11,L.DATE,0))-1))),L.ABSP,
INDIRECT((ADDRESS(ROW(NR44)+1,$I$11+(MATCH(NR$11,L.DATE,0))))&amp;":"&amp;(ADDRESS(ROW(NR44)+1,$I$11+NS$11+(MATCH(NR$11,L.DATE,0))-1)))))</f>
        <v>15</v>
      </c>
      <c r="NS45" s="377" t="str" cm="1">
        <f t="array" aca="1" ref="NS45" ca="1">IF(xcomp(INDIRECT((ADDRESS(ROW(NS44),$I$11+(MATCH(NR$11,L.DATE,0))))&amp;":"&amp;(ADDRESS(ROW(NS44),$I$11+NS$11+(MATCH(NR$11,L.DATE,0))-1))),L.ABS.NP)=0,"",
xsom(INDIRECT((ADDRESS(ROW(NS44),$I$11+(MATCH(NR$11,L.DATE,0))))&amp;":"&amp;(ADDRESS(ROW(NS44),$I$11+NS$11+(MATCH(NR$11,L.DATE,0))-1))),L.ABS.NP,
INDIRECT((ADDRESS(ROW(NS44)+1,$I$11+(MATCH(NR$11,L.DATE,0))))&amp;":"&amp;(ADDRESS(ROW(NS44)+1,$I$11+NS$11+(MATCH(NR$11,L.DATE,0))-1)))))</f>
        <v/>
      </c>
      <c r="NT45" s="376" t="str" cm="1">
        <f t="array" aca="1" ref="NT45" ca="1">IF(xcomp(INDIRECT((ADDRESS(ROW(NT44),$I$11+(MATCH(NT$11,L.DATE,0))))&amp;":"&amp;(ADDRESS(ROW(NT44),$I$11+NU$11+(MATCH(NT$11,L.DATE,0))-1))),L.ABSP)=0,"",
xsom(INDIRECT((ADDRESS(ROW(NT44),$I$11+(MATCH(NT$11,L.DATE,0))))&amp;":"&amp;(ADDRESS(ROW(NT44),$I$11+NU$11+(MATCH(NT$11,L.DATE,0))-1))),L.ABSP,
INDIRECT((ADDRESS(ROW(NT44)+1,$I$11+(MATCH(NT$11,L.DATE,0))))&amp;":"&amp;(ADDRESS(ROW(NT44)+1,$I$11+NU$11+(MATCH(NT$11,L.DATE,0))-1)))))</f>
        <v/>
      </c>
      <c r="NU45" s="377" t="str" cm="1">
        <f t="array" aca="1" ref="NU45" ca="1">IF(xcomp(INDIRECT((ADDRESS(ROW(NU44),$I$11+(MATCH(NT$11,L.DATE,0))))&amp;":"&amp;(ADDRESS(ROW(NU44),$I$11+NU$11+(MATCH(NT$11,L.DATE,0))-1))),L.ABS.NP)=0,"",
xsom(INDIRECT((ADDRESS(ROW(NU44),$I$11+(MATCH(NT$11,L.DATE,0))))&amp;":"&amp;(ADDRESS(ROW(NU44),$I$11+NU$11+(MATCH(NT$11,L.DATE,0))-1))),L.ABS.NP,
INDIRECT((ADDRESS(ROW(NU44)+1,$I$11+(MATCH(NT$11,L.DATE,0))))&amp;":"&amp;(ADDRESS(ROW(NU44)+1,$I$11+NU$11+(MATCH(NT$11,L.DATE,0))-1)))))</f>
        <v/>
      </c>
      <c r="NV45" s="376" t="str" cm="1">
        <f t="array" aca="1" ref="NV45" ca="1">IF(xcomp(INDIRECT((ADDRESS(ROW(NV44),$I$11+(MATCH(NV$11,L.DATE,0))))&amp;":"&amp;(ADDRESS(ROW(NV44),$I$11+NW$11+(MATCH(NV$11,L.DATE,0))-1))),L.ABSP)=0,"",
xsom(INDIRECT((ADDRESS(ROW(NV44),$I$11+(MATCH(NV$11,L.DATE,0))))&amp;":"&amp;(ADDRESS(ROW(NV44),$I$11+NW$11+(MATCH(NV$11,L.DATE,0))-1))),L.ABSP,
INDIRECT((ADDRESS(ROW(NV44)+1,$I$11+(MATCH(NV$11,L.DATE,0))))&amp;":"&amp;(ADDRESS(ROW(NV44)+1,$I$11+NW$11+(MATCH(NV$11,L.DATE,0))-1)))))</f>
        <v/>
      </c>
      <c r="NW45" s="377" t="str" cm="1">
        <f t="array" aca="1" ref="NW45" ca="1">IF(xcomp(INDIRECT((ADDRESS(ROW(NW44),$I$11+(MATCH(NV$11,L.DATE,0))))&amp;":"&amp;(ADDRESS(ROW(NW44),$I$11+NW$11+(MATCH(NV$11,L.DATE,0))-1))),L.ABS.NP)=0,"",
xsom(INDIRECT((ADDRESS(ROW(NW44),$I$11+(MATCH(NV$11,L.DATE,0))))&amp;":"&amp;(ADDRESS(ROW(NW44),$I$11+NW$11+(MATCH(NV$11,L.DATE,0))-1))),L.ABS.NP,
INDIRECT((ADDRESS(ROW(NW44)+1,$I$11+(MATCH(NV$11,L.DATE,0))))&amp;":"&amp;(ADDRESS(ROW(NW44)+1,$I$11+NW$11+(MATCH(NV$11,L.DATE,0))-1)))))</f>
        <v/>
      </c>
      <c r="NX45" s="376" t="str" cm="1">
        <f t="array" aca="1" ref="NX45" ca="1">IF(xcomp(INDIRECT((ADDRESS(ROW(NX44),$I$11+(MATCH(NX$11,L.DATE,0))))&amp;":"&amp;(ADDRESS(ROW(NX44),$I$11+NY$11+(MATCH(NX$11,L.DATE,0))-1))),L.ABSP)=0,"",
xsom(INDIRECT((ADDRESS(ROW(NX44),$I$11+(MATCH(NX$11,L.DATE,0))))&amp;":"&amp;(ADDRESS(ROW(NX44),$I$11+NY$11+(MATCH(NX$11,L.DATE,0))-1))),L.ABSP,
INDIRECT((ADDRESS(ROW(NX44)+1,$I$11+(MATCH(NX$11,L.DATE,0))))&amp;":"&amp;(ADDRESS(ROW(NX44)+1,$I$11+NY$11+(MATCH(NX$11,L.DATE,0))-1)))))</f>
        <v/>
      </c>
      <c r="NY45" s="377" t="str" cm="1">
        <f t="array" aca="1" ref="NY45" ca="1">IF(xcomp(INDIRECT((ADDRESS(ROW(NY44),$I$11+(MATCH(NX$11,L.DATE,0))))&amp;":"&amp;(ADDRESS(ROW(NY44),$I$11+NY$11+(MATCH(NX$11,L.DATE,0))-1))),L.ABS.NP)=0,"",
xsom(INDIRECT((ADDRESS(ROW(NY44),$I$11+(MATCH(NX$11,L.DATE,0))))&amp;":"&amp;(ADDRESS(ROW(NY44),$I$11+NY$11+(MATCH(NX$11,L.DATE,0))-1))),L.ABS.NP,
INDIRECT((ADDRESS(ROW(NY44)+1,$I$11+(MATCH(NX$11,L.DATE,0))))&amp;":"&amp;(ADDRESS(ROW(NY44)+1,$I$11+NY$11+(MATCH(NX$11,L.DATE,0))-1)))))</f>
        <v/>
      </c>
      <c r="NZ45" s="376" t="str" cm="1">
        <f t="array" aca="1" ref="NZ45" ca="1">IF(xcomp(INDIRECT((ADDRESS(ROW(NZ44),$I$11+(MATCH(NZ$11,L.DATE,0))))&amp;":"&amp;(ADDRESS(ROW(NZ44),$I$11+OA$11+(MATCH(NZ$11,L.DATE,0))-1))),L.ABSP)=0,"",
xsom(INDIRECT((ADDRESS(ROW(NZ44),$I$11+(MATCH(NZ$11,L.DATE,0))))&amp;":"&amp;(ADDRESS(ROW(NZ44),$I$11+OA$11+(MATCH(NZ$11,L.DATE,0))-1))),L.ABSP,
INDIRECT((ADDRESS(ROW(NZ44)+1,$I$11+(MATCH(NZ$11,L.DATE,0))))&amp;":"&amp;(ADDRESS(ROW(NZ44)+1,$I$11+OA$11+(MATCH(NZ$11,L.DATE,0))-1)))))</f>
        <v/>
      </c>
      <c r="OA45" s="377" t="str" cm="1">
        <f t="array" aca="1" ref="OA45" ca="1">IF(xcomp(INDIRECT((ADDRESS(ROW(OA44),$I$11+(MATCH(NZ$11,L.DATE,0))))&amp;":"&amp;(ADDRESS(ROW(OA44),$I$11+OA$11+(MATCH(NZ$11,L.DATE,0))-1))),L.ABS.NP)=0,"",
xsom(INDIRECT((ADDRESS(ROW(OA44),$I$11+(MATCH(NZ$11,L.DATE,0))))&amp;":"&amp;(ADDRESS(ROW(OA44),$I$11+OA$11+(MATCH(NZ$11,L.DATE,0))-1))),L.ABS.NP,
INDIRECT((ADDRESS(ROW(OA44)+1,$I$11+(MATCH(NZ$11,L.DATE,0))))&amp;":"&amp;(ADDRESS(ROW(OA44)+1,$I$11+OA$11+(MATCH(NZ$11,L.DATE,0))-1)))))</f>
        <v/>
      </c>
      <c r="OB45" s="376" t="str" cm="1">
        <f t="array" aca="1" ref="OB45" ca="1">IF(xcomp(INDIRECT((ADDRESS(ROW(OB44),$I$11+(MATCH(OB$11,L.DATE,0))))&amp;":"&amp;(ADDRESS(ROW(OB44),$I$11+OC$11+(MATCH(OB$11,L.DATE,0))-1))),L.ABSP)=0,"",
xsom(INDIRECT((ADDRESS(ROW(OB44),$I$11+(MATCH(OB$11,L.DATE,0))))&amp;":"&amp;(ADDRESS(ROW(OB44),$I$11+OC$11+(MATCH(OB$11,L.DATE,0))-1))),L.ABSP,
INDIRECT((ADDRESS(ROW(OB44)+1,$I$11+(MATCH(OB$11,L.DATE,0))))&amp;":"&amp;(ADDRESS(ROW(OB44)+1,$I$11+OC$11+(MATCH(OB$11,L.DATE,0))-1)))))</f>
        <v/>
      </c>
      <c r="OC45" s="377" t="str" cm="1">
        <f t="array" aca="1" ref="OC45" ca="1">IF(xcomp(INDIRECT((ADDRESS(ROW(OC44),$I$11+(MATCH(OB$11,L.DATE,0))))&amp;":"&amp;(ADDRESS(ROW(OC44),$I$11+OC$11+(MATCH(OB$11,L.DATE,0))-1))),L.ABS.NP)=0,"",
xsom(INDIRECT((ADDRESS(ROW(OC44),$I$11+(MATCH(OB$11,L.DATE,0))))&amp;":"&amp;(ADDRESS(ROW(OC44),$I$11+OC$11+(MATCH(OB$11,L.DATE,0))-1))),L.ABS.NP,
INDIRECT((ADDRESS(ROW(OC44)+1,$I$11+(MATCH(OB$11,L.DATE,0))))&amp;":"&amp;(ADDRESS(ROW(OC44)+1,$I$11+OC$11+(MATCH(OB$11,L.DATE,0))-1)))))</f>
        <v/>
      </c>
      <c r="OD45" s="376" t="str" cm="1">
        <f t="array" aca="1" ref="OD45" ca="1">IF(xcomp(INDIRECT((ADDRESS(ROW(OD44),$I$11+(MATCH(OD$11,L.DATE,0))))&amp;":"&amp;(ADDRESS(ROW(OD44),$I$11+OE$11+(MATCH(OD$11,L.DATE,0))-1))),L.ABSP)=0,"",
xsom(INDIRECT((ADDRESS(ROW(OD44),$I$11+(MATCH(OD$11,L.DATE,0))))&amp;":"&amp;(ADDRESS(ROW(OD44),$I$11+OE$11+(MATCH(OD$11,L.DATE,0))-1))),L.ABSP,
INDIRECT((ADDRESS(ROW(OD44)+1,$I$11+(MATCH(OD$11,L.DATE,0))))&amp;":"&amp;(ADDRESS(ROW(OD44)+1,$I$11+OE$11+(MATCH(OD$11,L.DATE,0))-1)))))</f>
        <v/>
      </c>
      <c r="OE45" s="377" t="str" cm="1">
        <f t="array" aca="1" ref="OE45" ca="1">IF(xcomp(INDIRECT((ADDRESS(ROW(OE44),$I$11+(MATCH(OD$11,L.DATE,0))))&amp;":"&amp;(ADDRESS(ROW(OE44),$I$11+OE$11+(MATCH(OD$11,L.DATE,0))-1))),L.ABS.NP)=0,"",
xsom(INDIRECT((ADDRESS(ROW(OE44),$I$11+(MATCH(OD$11,L.DATE,0))))&amp;":"&amp;(ADDRESS(ROW(OE44),$I$11+OE$11+(MATCH(OD$11,L.DATE,0))-1))),L.ABS.NP,
INDIRECT((ADDRESS(ROW(OE44)+1,$I$11+(MATCH(OD$11,L.DATE,0))))&amp;":"&amp;(ADDRESS(ROW(OE44)+1,$I$11+OE$11+(MATCH(OD$11,L.DATE,0))-1)))))</f>
        <v/>
      </c>
      <c r="OF45" s="376" t="str" cm="1">
        <f t="array" aca="1" ref="OF45" ca="1">IF(xcomp(INDIRECT((ADDRESS(ROW(OF44),$I$11+(MATCH(OF$11,L.DATE,0))))&amp;":"&amp;(ADDRESS(ROW(OF44),$I$11+OG$11+(MATCH(OF$11,L.DATE,0))-1))),L.ABSP)=0,"",
xsom(INDIRECT((ADDRESS(ROW(OF44),$I$11+(MATCH(OF$11,L.DATE,0))))&amp;":"&amp;(ADDRESS(ROW(OF44),$I$11+OG$11+(MATCH(OF$11,L.DATE,0))-1))),L.ABSP,
INDIRECT((ADDRESS(ROW(OF44)+1,$I$11+(MATCH(OF$11,L.DATE,0))))&amp;":"&amp;(ADDRESS(ROW(OF44)+1,$I$11+OG$11+(MATCH(OF$11,L.DATE,0))-1)))))</f>
        <v/>
      </c>
      <c r="OG45" s="377" t="str" cm="1">
        <f t="array" aca="1" ref="OG45" ca="1">IF(xcomp(INDIRECT((ADDRESS(ROW(OG44),$I$11+(MATCH(OF$11,L.DATE,0))))&amp;":"&amp;(ADDRESS(ROW(OG44),$I$11+OG$11+(MATCH(OF$11,L.DATE,0))-1))),L.ABS.NP)=0,"",
xsom(INDIRECT((ADDRESS(ROW(OG44),$I$11+(MATCH(OF$11,L.DATE,0))))&amp;":"&amp;(ADDRESS(ROW(OG44),$I$11+OG$11+(MATCH(OF$11,L.DATE,0))-1))),L.ABS.NP,
INDIRECT((ADDRESS(ROW(OG44)+1,$I$11+(MATCH(OF$11,L.DATE,0))))&amp;":"&amp;(ADDRESS(ROW(OG44)+1,$I$11+OG$11+(MATCH(OF$11,L.DATE,0))-1)))))</f>
        <v/>
      </c>
      <c r="OH45" s="376" t="str" cm="1">
        <f t="array" aca="1" ref="OH45" ca="1">IF(xcomp(INDIRECT((ADDRESS(ROW(OH44),$I$11+(MATCH(OH$11,L.DATE,0))))&amp;":"&amp;(ADDRESS(ROW(OH44),$I$11+OI$11+(MATCH(OH$11,L.DATE,0))-1))),L.ABSP)=0,"",
xsom(INDIRECT((ADDRESS(ROW(OH44),$I$11+(MATCH(OH$11,L.DATE,0))))&amp;":"&amp;(ADDRESS(ROW(OH44),$I$11+OI$11+(MATCH(OH$11,L.DATE,0))-1))),L.ABSP,
INDIRECT((ADDRESS(ROW(OH44)+1,$I$11+(MATCH(OH$11,L.DATE,0))))&amp;":"&amp;(ADDRESS(ROW(OH44)+1,$I$11+OI$11+(MATCH(OH$11,L.DATE,0))-1)))))</f>
        <v/>
      </c>
      <c r="OI45" s="377" t="str" cm="1">
        <f t="array" aca="1" ref="OI45" ca="1">IF(xcomp(INDIRECT((ADDRESS(ROW(OI44),$I$11+(MATCH(OH$11,L.DATE,0))))&amp;":"&amp;(ADDRESS(ROW(OI44),$I$11+OI$11+(MATCH(OH$11,L.DATE,0))-1))),L.ABS.NP)=0,"",
xsom(INDIRECT((ADDRESS(ROW(OI44),$I$11+(MATCH(OH$11,L.DATE,0))))&amp;":"&amp;(ADDRESS(ROW(OI44),$I$11+OI$11+(MATCH(OH$11,L.DATE,0))-1))),L.ABS.NP,
INDIRECT((ADDRESS(ROW(OI44)+1,$I$11+(MATCH(OH$11,L.DATE,0))))&amp;":"&amp;(ADDRESS(ROW(OI44)+1,$I$11+OI$11+(MATCH(OH$11,L.DATE,0))-1)))))</f>
        <v/>
      </c>
      <c r="OJ45" s="376" t="str" cm="1">
        <f t="array" aca="1" ref="OJ45" ca="1">IF(xcomp(INDIRECT((ADDRESS(ROW(OJ44),$I$11+(MATCH(OJ$11,L.DATE,0))))&amp;":"&amp;(ADDRESS(ROW(OJ44),$I$11+OK$11+(MATCH(OJ$11,L.DATE,0))-1))),L.ABSP)=0,"",
xsom(INDIRECT((ADDRESS(ROW(OJ44),$I$11+(MATCH(OJ$11,L.DATE,0))))&amp;":"&amp;(ADDRESS(ROW(OJ44),$I$11+OK$11+(MATCH(OJ$11,L.DATE,0))-1))),L.ABSP,
INDIRECT((ADDRESS(ROW(OJ44)+1,$I$11+(MATCH(OJ$11,L.DATE,0))))&amp;":"&amp;(ADDRESS(ROW(OJ44)+1,$I$11+OK$11+(MATCH(OJ$11,L.DATE,0))-1)))))</f>
        <v/>
      </c>
      <c r="OK45" s="378" t="str" cm="1">
        <f t="array" aca="1" ref="OK45" ca="1">IF(xcomp(INDIRECT((ADDRESS(ROW(OK44),$I$11+(MATCH(OJ$11,L.DATE,0))))&amp;":"&amp;(ADDRESS(ROW(OK44),$I$11+OK$11+(MATCH(OJ$11,L.DATE,0))-1))),L.ABS.NP)=0,"",
xsom(INDIRECT((ADDRESS(ROW(OK44),$I$11+(MATCH(OJ$11,L.DATE,0))))&amp;":"&amp;(ADDRESS(ROW(OK44),$I$11+OK$11+(MATCH(OJ$11,L.DATE,0))-1))),L.ABS.NP,
INDIRECT((ADDRESS(ROW(OK44)+1,$I$11+(MATCH(OJ$11,L.DATE,0))))&amp;":"&amp;(ADDRESS(ROW(OK44)+1,$I$11+OK$11+(MATCH(OJ$11,L.DATE,0))-1)))))</f>
        <v/>
      </c>
    </row>
    <row r="46" spans="1:404" ht="12" customHeight="1" x14ac:dyDescent="0.3">
      <c r="A46" s="394">
        <v>9</v>
      </c>
      <c r="B46" s="381" t="s">
        <v>502</v>
      </c>
      <c r="C46" s="53">
        <v>1</v>
      </c>
      <c r="D46" s="53" t="s">
        <v>33</v>
      </c>
      <c r="E46" s="53" t="s">
        <v>484</v>
      </c>
      <c r="F46" s="53" t="s">
        <v>13</v>
      </c>
      <c r="G46" s="104" t="s">
        <v>498</v>
      </c>
      <c r="H46" s="108">
        <v>2</v>
      </c>
      <c r="I46" s="28"/>
      <c r="J46" s="482"/>
      <c r="K46" s="487"/>
      <c r="L46" s="486"/>
      <c r="M46" s="482"/>
      <c r="N46" s="482"/>
      <c r="O46" s="482"/>
      <c r="P46" s="482"/>
      <c r="Q46" s="482"/>
      <c r="R46" s="482"/>
      <c r="S46" s="482"/>
      <c r="T46" s="482"/>
      <c r="U46" s="482"/>
      <c r="V46" s="482"/>
      <c r="W46" s="482"/>
      <c r="X46" s="482"/>
      <c r="Y46" s="482"/>
      <c r="Z46" s="482"/>
      <c r="AA46" s="482"/>
      <c r="AB46" s="482"/>
      <c r="AC46" s="482"/>
      <c r="AD46" s="482"/>
      <c r="AE46" s="482"/>
      <c r="AF46" s="482"/>
      <c r="AG46" s="482"/>
      <c r="AH46" s="482"/>
      <c r="AI46" s="482"/>
      <c r="AJ46" s="482"/>
      <c r="AK46" s="482"/>
      <c r="AL46" s="482"/>
      <c r="AM46" s="482"/>
      <c r="AN46" s="482"/>
      <c r="AO46" s="482"/>
      <c r="AP46" s="482"/>
      <c r="AQ46" s="482"/>
      <c r="AR46" s="482"/>
      <c r="AS46" s="482"/>
      <c r="AT46" s="482"/>
      <c r="AU46" s="482"/>
      <c r="AV46" s="482"/>
      <c r="AW46" s="482"/>
      <c r="AX46" s="482"/>
      <c r="AY46" s="482"/>
      <c r="AZ46" s="482"/>
      <c r="BA46" s="482"/>
      <c r="BB46" s="482"/>
      <c r="BC46" s="482"/>
      <c r="BD46" s="482"/>
      <c r="BE46" s="482"/>
      <c r="BF46" s="482"/>
      <c r="BG46" s="482"/>
      <c r="BH46" s="482"/>
      <c r="BI46" s="482"/>
      <c r="BJ46" s="482"/>
      <c r="BK46" s="482"/>
      <c r="BL46" s="482"/>
      <c r="BM46" s="482"/>
      <c r="BN46" s="482"/>
      <c r="BO46" s="482"/>
      <c r="BP46" s="482"/>
      <c r="BQ46" s="482"/>
      <c r="BR46" s="482"/>
      <c r="BS46" s="482"/>
      <c r="BT46" s="482"/>
      <c r="BU46" s="482"/>
      <c r="BV46" s="482"/>
      <c r="BW46" s="482"/>
      <c r="BX46" s="482"/>
      <c r="BY46" s="482"/>
      <c r="BZ46" s="482"/>
      <c r="CA46" s="482"/>
      <c r="CB46" s="482"/>
      <c r="CC46" s="482"/>
      <c r="CD46" s="482"/>
      <c r="CE46" s="482"/>
      <c r="CF46" s="482"/>
      <c r="CG46" s="482"/>
      <c r="CH46" s="482"/>
      <c r="CI46" s="482"/>
      <c r="CJ46" s="482"/>
      <c r="CK46" s="482"/>
      <c r="CL46" s="482"/>
      <c r="CM46" s="482"/>
      <c r="CN46" s="482"/>
      <c r="CO46" s="482"/>
      <c r="CP46" s="482"/>
      <c r="CQ46" s="484" t="s">
        <v>27</v>
      </c>
      <c r="CR46" s="484" t="s">
        <v>27</v>
      </c>
      <c r="CS46" s="484" t="s">
        <v>27</v>
      </c>
      <c r="CT46" s="484" t="s">
        <v>27</v>
      </c>
      <c r="CU46" s="484" t="s">
        <v>27</v>
      </c>
      <c r="CV46" s="482"/>
      <c r="CW46" s="482"/>
      <c r="CX46" s="482"/>
      <c r="CY46" s="482"/>
      <c r="CZ46" s="482"/>
      <c r="DA46" s="482"/>
      <c r="DB46" s="482"/>
      <c r="DC46" s="482"/>
      <c r="DD46" s="482"/>
      <c r="DE46" s="482"/>
      <c r="DF46" s="482"/>
      <c r="DG46" s="482"/>
      <c r="DH46" s="482"/>
      <c r="DI46" s="482"/>
      <c r="DJ46" s="482"/>
      <c r="DK46" s="482"/>
      <c r="DL46" s="482"/>
      <c r="DM46" s="482"/>
      <c r="DN46" s="482"/>
      <c r="DO46" s="482"/>
      <c r="DP46" s="482"/>
      <c r="DQ46" s="482"/>
      <c r="DR46" s="482"/>
      <c r="DS46" s="482"/>
      <c r="DT46" s="482"/>
      <c r="DU46" s="482"/>
      <c r="DV46" s="482"/>
      <c r="DW46" s="482"/>
      <c r="DX46" s="482"/>
      <c r="DY46" s="482"/>
      <c r="DZ46" s="482"/>
      <c r="EA46" s="482"/>
      <c r="EB46" s="482"/>
      <c r="EC46" s="482"/>
      <c r="ED46" s="482"/>
      <c r="EE46" s="482"/>
      <c r="EF46" s="482"/>
      <c r="EG46" s="482"/>
      <c r="EH46" s="482"/>
      <c r="EI46" s="482"/>
      <c r="EJ46" s="482"/>
      <c r="EK46" s="482"/>
      <c r="EL46" s="482"/>
      <c r="EM46" s="482"/>
      <c r="EN46" s="482"/>
      <c r="EO46" s="482"/>
      <c r="EP46" s="482"/>
      <c r="EQ46" s="482"/>
      <c r="ER46" s="482"/>
      <c r="ES46" s="482"/>
      <c r="ET46" s="482"/>
      <c r="EU46" s="482"/>
      <c r="EV46" s="482"/>
      <c r="EW46" s="482"/>
      <c r="EX46" s="482"/>
      <c r="EY46" s="482"/>
      <c r="EZ46" s="482"/>
      <c r="FA46" s="482"/>
      <c r="FB46" s="482"/>
      <c r="FC46" s="482"/>
      <c r="FD46" s="482"/>
      <c r="FE46" s="482"/>
      <c r="FF46" s="482"/>
      <c r="FG46" s="482"/>
      <c r="FH46" s="482"/>
      <c r="FI46" s="482"/>
      <c r="FJ46" s="482"/>
      <c r="FK46" s="482"/>
      <c r="FL46" s="482"/>
      <c r="FM46" s="482"/>
      <c r="FN46" s="482"/>
      <c r="FO46" s="482"/>
      <c r="FP46" s="482"/>
      <c r="FQ46" s="482"/>
      <c r="FR46" s="482"/>
      <c r="FS46" s="482"/>
      <c r="FT46" s="482"/>
      <c r="FU46" s="482"/>
      <c r="FV46" s="482"/>
      <c r="FW46" s="482"/>
      <c r="FX46" s="482"/>
      <c r="FY46" s="482"/>
      <c r="FZ46" s="482"/>
      <c r="GA46" s="482"/>
      <c r="GB46" s="482"/>
      <c r="GC46" s="482"/>
      <c r="GD46" s="482"/>
      <c r="GE46" s="482"/>
      <c r="GF46" s="482"/>
      <c r="GG46" s="482"/>
      <c r="GH46" s="482"/>
      <c r="GI46" s="482"/>
      <c r="GJ46" s="482"/>
      <c r="GK46" s="482"/>
      <c r="GL46" s="482"/>
      <c r="GM46" s="482"/>
      <c r="GN46" s="482"/>
      <c r="GO46" s="482"/>
      <c r="GP46" s="482"/>
      <c r="GQ46" s="482"/>
      <c r="GR46" s="482"/>
      <c r="GS46" s="482"/>
      <c r="GT46" s="482"/>
      <c r="GU46" s="482"/>
      <c r="GV46" s="482"/>
      <c r="GW46" s="482"/>
      <c r="GX46" s="482"/>
      <c r="GY46" s="482"/>
      <c r="GZ46" s="482"/>
      <c r="HA46" s="482"/>
      <c r="HB46" s="482"/>
      <c r="HC46" s="482"/>
      <c r="HD46" s="482"/>
      <c r="HE46" s="482"/>
      <c r="HF46" s="482"/>
      <c r="HG46" s="482"/>
      <c r="HH46" s="482"/>
      <c r="HI46" s="482"/>
      <c r="HJ46" s="482"/>
      <c r="HK46" s="482"/>
      <c r="HL46" s="482"/>
      <c r="HM46" s="482"/>
      <c r="HN46" s="482"/>
      <c r="HO46" s="482"/>
      <c r="HP46" s="482"/>
      <c r="HQ46" s="482"/>
      <c r="HR46" s="482"/>
      <c r="HS46" s="482"/>
      <c r="HT46" s="482"/>
      <c r="HU46" s="482"/>
      <c r="HV46" s="482"/>
      <c r="HW46" s="482"/>
      <c r="HX46" s="482"/>
      <c r="HY46" s="482"/>
      <c r="HZ46" s="482"/>
      <c r="IA46" s="482"/>
      <c r="IB46" s="482"/>
      <c r="IC46" s="482"/>
      <c r="ID46" s="482"/>
      <c r="IE46" s="482"/>
      <c r="IF46" s="482"/>
      <c r="IG46" s="482"/>
      <c r="IH46" s="482"/>
      <c r="II46" s="482"/>
      <c r="IJ46" s="482"/>
      <c r="IK46" s="482"/>
      <c r="IL46" s="482"/>
      <c r="IM46" s="482"/>
      <c r="IN46" s="482"/>
      <c r="IO46" s="482"/>
      <c r="IP46" s="482"/>
      <c r="IQ46" s="482"/>
      <c r="IR46" s="482"/>
      <c r="IS46" s="482"/>
      <c r="IT46" s="482"/>
      <c r="IU46" s="482"/>
      <c r="IV46" s="482"/>
      <c r="IW46" s="482"/>
      <c r="IX46" s="482"/>
      <c r="IY46" s="482"/>
      <c r="IZ46" s="482"/>
      <c r="JA46" s="482"/>
      <c r="JB46" s="482"/>
      <c r="JC46" s="482"/>
      <c r="JD46" s="482"/>
      <c r="JE46" s="482"/>
      <c r="JF46" s="482"/>
      <c r="JG46" s="482"/>
      <c r="JH46" s="482"/>
      <c r="JI46" s="482"/>
      <c r="JJ46" s="482"/>
      <c r="JK46" s="482"/>
      <c r="JL46" s="482"/>
      <c r="JM46" s="482"/>
      <c r="JN46" s="482"/>
      <c r="JO46" s="482"/>
      <c r="JP46" s="482"/>
      <c r="JQ46" s="482"/>
      <c r="JR46" s="482"/>
      <c r="JS46" s="482"/>
      <c r="JT46" s="482"/>
      <c r="JU46" s="482"/>
      <c r="JV46" s="482"/>
      <c r="JW46" s="482"/>
      <c r="JX46" s="482"/>
      <c r="JY46" s="482"/>
      <c r="JZ46" s="482"/>
      <c r="KA46" s="482"/>
      <c r="KB46" s="482"/>
      <c r="KC46" s="482"/>
      <c r="KD46" s="482"/>
      <c r="KE46" s="482"/>
      <c r="KF46" s="482"/>
      <c r="KG46" s="482"/>
      <c r="KH46" s="482"/>
      <c r="KI46" s="482"/>
      <c r="KJ46" s="482"/>
      <c r="KK46" s="482"/>
      <c r="KL46" s="482"/>
      <c r="KM46" s="482"/>
      <c r="KN46" s="482"/>
      <c r="KO46" s="482"/>
      <c r="KP46" s="482"/>
      <c r="KQ46" s="482"/>
      <c r="KR46" s="482"/>
      <c r="KS46" s="482"/>
      <c r="KT46" s="482"/>
      <c r="KU46" s="482"/>
      <c r="KV46" s="482"/>
      <c r="KW46" s="482"/>
      <c r="KX46" s="482"/>
      <c r="KY46" s="482"/>
      <c r="KZ46" s="482"/>
      <c r="LA46" s="482"/>
      <c r="LB46" s="482"/>
      <c r="LC46" s="482"/>
      <c r="LD46" s="482"/>
      <c r="LE46" s="482"/>
      <c r="LF46" s="482"/>
      <c r="LG46" s="482"/>
      <c r="LH46" s="482"/>
      <c r="LI46" s="482"/>
      <c r="LJ46" s="482"/>
      <c r="LK46" s="482"/>
      <c r="LL46" s="482"/>
      <c r="LM46" s="482"/>
      <c r="LN46" s="482"/>
      <c r="LO46" s="482"/>
      <c r="LP46" s="482"/>
      <c r="LQ46" s="482"/>
      <c r="LR46" s="482"/>
      <c r="LS46" s="482"/>
      <c r="LT46" s="482"/>
      <c r="LU46" s="482"/>
      <c r="LV46" s="482"/>
      <c r="LW46" s="482"/>
      <c r="LX46" s="482"/>
      <c r="LY46" s="482"/>
      <c r="LZ46" s="482"/>
      <c r="MA46" s="482"/>
      <c r="MB46" s="482"/>
      <c r="MC46" s="482"/>
      <c r="MD46" s="482"/>
      <c r="ME46" s="482"/>
      <c r="MF46" s="482"/>
      <c r="MG46" s="482"/>
      <c r="MH46" s="482"/>
      <c r="MI46" s="482"/>
      <c r="MJ46" s="482"/>
      <c r="MK46" s="482"/>
      <c r="ML46" s="482"/>
      <c r="MM46" s="482"/>
      <c r="MN46" s="482"/>
      <c r="MO46" s="482"/>
      <c r="MP46" s="482"/>
      <c r="MQ46" s="482"/>
      <c r="MR46" s="482"/>
      <c r="MS46" s="482"/>
      <c r="MT46" s="482"/>
      <c r="MU46" s="482"/>
      <c r="MV46" s="482"/>
      <c r="MW46" s="482"/>
      <c r="MX46" s="482"/>
      <c r="MY46" s="482"/>
      <c r="MZ46" s="482"/>
      <c r="NA46" s="482"/>
      <c r="NB46" s="482"/>
      <c r="NC46" s="482"/>
      <c r="ND46" s="482"/>
      <c r="NE46" s="482"/>
      <c r="NF46" s="482"/>
      <c r="NG46" s="482"/>
      <c r="NH46" s="482"/>
      <c r="NI46" s="482"/>
      <c r="NJ46" s="483"/>
      <c r="NK46" s="34"/>
      <c r="NM46" s="159">
        <f>A46</f>
        <v>9</v>
      </c>
      <c r="NN46" s="373">
        <f ca="1">COUNTIF(INDIRECT((ADDRESS(ROW(NO47),$I$11+(MATCH(NN$11,L.DATE,0))))&amp;":"&amp;(ADDRESS(ROW(NO47),$I$11+NO$11+(MATCH(NN$11,L.DATE,0))-1))),"&gt;=0")-NO46</f>
        <v>0</v>
      </c>
      <c r="NO46" s="374">
        <f ca="1">SUM(INDIRECT((ADDRESS(ROW(NO47),$I$11+(MATCH(NN$11,L.DATE,0))))&amp;":"&amp;(ADDRESS(ROW(NO47),$I$11+NO$11+(MATCH(NN$11,L.DATE,0))-1))))</f>
        <v>0</v>
      </c>
      <c r="NP46" s="373">
        <f ca="1">COUNTIF(INDIRECT((ADDRESS(ROW(NQ47),$I$11+(MATCH(NP$11,L.DATE,0))))&amp;":"&amp;(ADDRESS(ROW(NQ47),$I$11+NQ$11+(MATCH(NP$11,L.DATE,0))-1))),"&gt;=0")-NQ46</f>
        <v>0</v>
      </c>
      <c r="NQ46" s="374">
        <f ca="1">SUM(INDIRECT((ADDRESS(ROW(NQ47),$I$11+(MATCH(NP$11,L.DATE,0))))&amp;":"&amp;(ADDRESS(ROW(NQ47),$I$11+NQ$11+(MATCH(NP$11,L.DATE,0))-1))))</f>
        <v>0</v>
      </c>
      <c r="NR46" s="373">
        <f ca="1">COUNTIF(INDIRECT((ADDRESS(ROW(NS47),$I$11+(MATCH(NR$11,L.DATE,0))))&amp;":"&amp;(ADDRESS(ROW(NS47),$I$11+NS$11+(MATCH(NR$11,L.DATE,0))-1))),"&gt;=0")-NS46</f>
        <v>5</v>
      </c>
      <c r="NS46" s="374">
        <f ca="1">SUM(INDIRECT((ADDRESS(ROW(NS47),$I$11+(MATCH(NR$11,L.DATE,0))))&amp;":"&amp;(ADDRESS(ROW(NS47),$I$11+NS$11+(MATCH(NR$11,L.DATE,0))-1))))</f>
        <v>0</v>
      </c>
      <c r="NT46" s="373">
        <f ca="1">COUNTIF(INDIRECT((ADDRESS(ROW(NU47),$I$11+(MATCH(NT$11,L.DATE,0))))&amp;":"&amp;(ADDRESS(ROW(NU47),$I$11+NU$11+(MATCH(NT$11,L.DATE,0))-1))),"&gt;=0")-NU46</f>
        <v>0</v>
      </c>
      <c r="NU46" s="374">
        <f ca="1">SUM(INDIRECT((ADDRESS(ROW(NU47),$I$11+(MATCH(NT$11,L.DATE,0))))&amp;":"&amp;(ADDRESS(ROW(NU47),$I$11+NU$11+(MATCH(NT$11,L.DATE,0))-1))))</f>
        <v>0</v>
      </c>
      <c r="NV46" s="373">
        <f ca="1">COUNTIF(INDIRECT((ADDRESS(ROW(NW47),$I$11+(MATCH(NV$11,L.DATE,0))))&amp;":"&amp;(ADDRESS(ROW(NW47),$I$11+NW$11+(MATCH(NV$11,L.DATE,0))-1))),"&gt;=0")-NW46</f>
        <v>0</v>
      </c>
      <c r="NW46" s="374">
        <f ca="1">SUM(INDIRECT((ADDRESS(ROW(NW47),$I$11+(MATCH(NV$11,L.DATE,0))))&amp;":"&amp;(ADDRESS(ROW(NW47),$I$11+NW$11+(MATCH(NV$11,L.DATE,0))-1))))</f>
        <v>0</v>
      </c>
      <c r="NX46" s="373">
        <f ca="1">COUNTIF(INDIRECT((ADDRESS(ROW(NY47),$I$11+(MATCH(NX$11,L.DATE,0))))&amp;":"&amp;(ADDRESS(ROW(NY47),$I$11+NY$11+(MATCH(NX$11,L.DATE,0))-1))),"&gt;=0")-NY46</f>
        <v>0</v>
      </c>
      <c r="NY46" s="374">
        <f ca="1">SUM(INDIRECT((ADDRESS(ROW(NY47),$I$11+(MATCH(NX$11,L.DATE,0))))&amp;":"&amp;(ADDRESS(ROW(NY47),$I$11+NY$11+(MATCH(NX$11,L.DATE,0))-1))))</f>
        <v>0</v>
      </c>
      <c r="NZ46" s="373">
        <f ca="1">COUNTIF(INDIRECT((ADDRESS(ROW(OA47),$I$11+(MATCH(NZ$11,L.DATE,0))))&amp;":"&amp;(ADDRESS(ROW(OA47),$I$11+OA$11+(MATCH(NZ$11,L.DATE,0))-1))),"&gt;=0")-OA46</f>
        <v>0</v>
      </c>
      <c r="OA46" s="374">
        <f ca="1">SUM(INDIRECT((ADDRESS(ROW(OA47),$I$11+(MATCH(NZ$11,L.DATE,0))))&amp;":"&amp;(ADDRESS(ROW(OA47),$I$11+OA$11+(MATCH(NZ$11,L.DATE,0))-1))))</f>
        <v>0</v>
      </c>
      <c r="OB46" s="373">
        <f ca="1">COUNTIF(INDIRECT((ADDRESS(ROW(OC47),$I$11+(MATCH(OB$11,L.DATE,0))))&amp;":"&amp;(ADDRESS(ROW(OC47),$I$11+OC$11+(MATCH(OB$11,L.DATE,0))-1))),"&gt;=0")-OC46</f>
        <v>0</v>
      </c>
      <c r="OC46" s="374">
        <f ca="1">SUM(INDIRECT((ADDRESS(ROW(OC47),$I$11+(MATCH(OB$11,L.DATE,0))))&amp;":"&amp;(ADDRESS(ROW(OC47),$I$11+OC$11+(MATCH(OB$11,L.DATE,0))-1))))</f>
        <v>0</v>
      </c>
      <c r="OD46" s="373">
        <f ca="1">COUNTIF(INDIRECT((ADDRESS(ROW(OE47),$I$11+(MATCH(OD$11,L.DATE,0))))&amp;":"&amp;(ADDRESS(ROW(OE47),$I$11+OE$11+(MATCH(OD$11,L.DATE,0))-1))),"&gt;=0")-OE46</f>
        <v>0</v>
      </c>
      <c r="OE46" s="374">
        <f ca="1">SUM(INDIRECT((ADDRESS(ROW(OE47),$I$11+(MATCH(OD$11,L.DATE,0))))&amp;":"&amp;(ADDRESS(ROW(OE47),$I$11+OE$11+(MATCH(OD$11,L.DATE,0))-1))))</f>
        <v>0</v>
      </c>
      <c r="OF46" s="373">
        <f ca="1">COUNTIF(INDIRECT((ADDRESS(ROW(OG47),$I$11+(MATCH(OF$11,L.DATE,0))))&amp;":"&amp;(ADDRESS(ROW(OG47),$I$11+OG$11+(MATCH(OF$11,L.DATE,0))-1))),"&gt;=0")-OG46</f>
        <v>0</v>
      </c>
      <c r="OG46" s="374">
        <f ca="1">SUM(INDIRECT((ADDRESS(ROW(OG47),$I$11+(MATCH(OF$11,L.DATE,0))))&amp;":"&amp;(ADDRESS(ROW(OG47),$I$11+OG$11+(MATCH(OF$11,L.DATE,0))-1))))</f>
        <v>0</v>
      </c>
      <c r="OH46" s="373">
        <f ca="1">COUNTIF(INDIRECT((ADDRESS(ROW(OI47),$I$11+(MATCH(OH$11,L.DATE,0))))&amp;":"&amp;(ADDRESS(ROW(OI47),$I$11+OI$11+(MATCH(OH$11,L.DATE,0))-1))),"&gt;=0")-OI46</f>
        <v>0</v>
      </c>
      <c r="OI46" s="374">
        <f ca="1">SUM(INDIRECT((ADDRESS(ROW(OI47),$I$11+(MATCH(OH$11,L.DATE,0))))&amp;":"&amp;(ADDRESS(ROW(OI47),$I$11+OI$11+(MATCH(OH$11,L.DATE,0))-1))))</f>
        <v>0</v>
      </c>
      <c r="OJ46" s="373">
        <f ca="1">COUNTIF(INDIRECT((ADDRESS(ROW(OK47),$I$11+(MATCH(OJ$11,L.DATE,0))))&amp;":"&amp;(ADDRESS(ROW(OK47),$I$11+OK$11+(MATCH(OJ$11,L.DATE,0))-1))),"&gt;=0")-OK46</f>
        <v>0</v>
      </c>
      <c r="OK46" s="375">
        <f ca="1">SUM(INDIRECT((ADDRESS(ROW(OK47),$I$11+(MATCH(OJ$11,L.DATE,0))))&amp;":"&amp;(ADDRESS(ROW(OK47),$I$11+OK$11+(MATCH(OJ$11,L.DATE,0))-1))))</f>
        <v>0</v>
      </c>
      <c r="OM46" s="39">
        <f ca="1">NN46+NP46+NR46+NT46+NV46+NX46+NZ46+OB46+OD46+OF46+OJ46+OH46</f>
        <v>5</v>
      </c>
      <c r="ON46" s="40">
        <f ca="1">NO46+NQ46+NS46+NU46+NW46+NY46+OA46+OC46+OE46+OG46+OK46+OI46</f>
        <v>0</v>
      </c>
    </row>
    <row r="47" spans="1:404" x14ac:dyDescent="0.3">
      <c r="A47" s="33"/>
      <c r="B47" s="16" t="str">
        <f t="shared" ref="B47:H47" si="39">B46</f>
        <v>TECH.N1</v>
      </c>
      <c r="C47" s="16">
        <f t="shared" si="39"/>
        <v>1</v>
      </c>
      <c r="D47" s="16" t="str">
        <f t="shared" si="39"/>
        <v>EXT</v>
      </c>
      <c r="E47" s="16" t="str">
        <f t="shared" si="39"/>
        <v>ITG</v>
      </c>
      <c r="F47" s="16" t="str">
        <f t="shared" si="39"/>
        <v>SL</v>
      </c>
      <c r="G47" s="105" t="str">
        <f t="shared" si="39"/>
        <v>N1</v>
      </c>
      <c r="H47" s="109">
        <f t="shared" si="39"/>
        <v>2</v>
      </c>
      <c r="I47" s="28"/>
      <c r="J47" s="482"/>
      <c r="K47" s="485"/>
      <c r="L47" s="482"/>
      <c r="M47" s="482"/>
      <c r="N47" s="482"/>
      <c r="O47" s="482"/>
      <c r="P47" s="482"/>
      <c r="Q47" s="482"/>
      <c r="R47" s="482"/>
      <c r="S47" s="482"/>
      <c r="T47" s="482"/>
      <c r="U47" s="482"/>
      <c r="V47" s="482"/>
      <c r="W47" s="482"/>
      <c r="X47" s="482"/>
      <c r="Y47" s="482"/>
      <c r="Z47" s="482"/>
      <c r="AA47" s="482"/>
      <c r="AB47" s="482"/>
      <c r="AC47" s="482"/>
      <c r="AD47" s="482"/>
      <c r="AE47" s="482"/>
      <c r="AF47" s="482"/>
      <c r="AG47" s="482"/>
      <c r="AH47" s="482"/>
      <c r="AI47" s="482"/>
      <c r="AJ47" s="482"/>
      <c r="AK47" s="482"/>
      <c r="AL47" s="482"/>
      <c r="AM47" s="482"/>
      <c r="AN47" s="482"/>
      <c r="AO47" s="482"/>
      <c r="AP47" s="482"/>
      <c r="AQ47" s="482"/>
      <c r="AR47" s="482"/>
      <c r="AS47" s="482"/>
      <c r="AT47" s="482"/>
      <c r="AU47" s="482"/>
      <c r="AV47" s="482"/>
      <c r="AW47" s="482"/>
      <c r="AX47" s="482"/>
      <c r="AY47" s="482"/>
      <c r="AZ47" s="482"/>
      <c r="BA47" s="482"/>
      <c r="BB47" s="482"/>
      <c r="BC47" s="482"/>
      <c r="BD47" s="482"/>
      <c r="BE47" s="482"/>
      <c r="BF47" s="482"/>
      <c r="BG47" s="482"/>
      <c r="BH47" s="482"/>
      <c r="BI47" s="482"/>
      <c r="BJ47" s="482"/>
      <c r="BK47" s="482"/>
      <c r="BL47" s="482"/>
      <c r="BM47" s="482"/>
      <c r="BN47" s="482"/>
      <c r="BO47" s="482"/>
      <c r="BP47" s="482"/>
      <c r="BQ47" s="482"/>
      <c r="BR47" s="482"/>
      <c r="BS47" s="482"/>
      <c r="BT47" s="482"/>
      <c r="BU47" s="482"/>
      <c r="BV47" s="482"/>
      <c r="BW47" s="482"/>
      <c r="BX47" s="482"/>
      <c r="BY47" s="482"/>
      <c r="BZ47" s="482"/>
      <c r="CA47" s="482"/>
      <c r="CB47" s="482"/>
      <c r="CC47" s="482"/>
      <c r="CD47" s="482"/>
      <c r="CE47" s="482"/>
      <c r="CF47" s="482"/>
      <c r="CG47" s="482"/>
      <c r="CH47" s="482"/>
      <c r="CI47" s="482"/>
      <c r="CJ47" s="482"/>
      <c r="CK47" s="482"/>
      <c r="CL47" s="482"/>
      <c r="CM47" s="482"/>
      <c r="CN47" s="482"/>
      <c r="CO47" s="482"/>
      <c r="CP47" s="482"/>
      <c r="CQ47" s="485">
        <v>0</v>
      </c>
      <c r="CR47" s="485">
        <v>0</v>
      </c>
      <c r="CS47" s="485">
        <v>0</v>
      </c>
      <c r="CT47" s="485">
        <v>0</v>
      </c>
      <c r="CU47" s="485">
        <v>0</v>
      </c>
      <c r="CV47" s="482"/>
      <c r="CW47" s="482"/>
      <c r="CX47" s="482"/>
      <c r="CY47" s="482"/>
      <c r="CZ47" s="482"/>
      <c r="DA47" s="482"/>
      <c r="DB47" s="482"/>
      <c r="DC47" s="482"/>
      <c r="DD47" s="482"/>
      <c r="DE47" s="482"/>
      <c r="DF47" s="482"/>
      <c r="DG47" s="482"/>
      <c r="DH47" s="482"/>
      <c r="DI47" s="482"/>
      <c r="DJ47" s="482"/>
      <c r="DK47" s="482"/>
      <c r="DL47" s="482"/>
      <c r="DM47" s="482"/>
      <c r="DN47" s="482"/>
      <c r="DO47" s="482"/>
      <c r="DP47" s="482"/>
      <c r="DQ47" s="482"/>
      <c r="DR47" s="482"/>
      <c r="DS47" s="482"/>
      <c r="DT47" s="482"/>
      <c r="DU47" s="482"/>
      <c r="DV47" s="482"/>
      <c r="DW47" s="482"/>
      <c r="DX47" s="482"/>
      <c r="DY47" s="482"/>
      <c r="DZ47" s="482"/>
      <c r="EA47" s="482"/>
      <c r="EB47" s="482"/>
      <c r="EC47" s="482"/>
      <c r="ED47" s="482"/>
      <c r="EE47" s="482"/>
      <c r="EF47" s="482"/>
      <c r="EG47" s="482"/>
      <c r="EH47" s="482"/>
      <c r="EI47" s="482"/>
      <c r="EJ47" s="482"/>
      <c r="EK47" s="482"/>
      <c r="EL47" s="482"/>
      <c r="EM47" s="482"/>
      <c r="EN47" s="482"/>
      <c r="EO47" s="482"/>
      <c r="EP47" s="482"/>
      <c r="EQ47" s="482"/>
      <c r="ER47" s="482"/>
      <c r="ES47" s="482"/>
      <c r="ET47" s="482"/>
      <c r="EU47" s="482"/>
      <c r="EV47" s="482"/>
      <c r="EW47" s="482"/>
      <c r="EX47" s="482"/>
      <c r="EY47" s="482"/>
      <c r="EZ47" s="482"/>
      <c r="FA47" s="482"/>
      <c r="FB47" s="482"/>
      <c r="FC47" s="482"/>
      <c r="FD47" s="482"/>
      <c r="FE47" s="482"/>
      <c r="FF47" s="482"/>
      <c r="FG47" s="482"/>
      <c r="FH47" s="482"/>
      <c r="FI47" s="482"/>
      <c r="FJ47" s="482"/>
      <c r="FK47" s="482"/>
      <c r="FL47" s="482"/>
      <c r="FM47" s="482"/>
      <c r="FN47" s="482"/>
      <c r="FO47" s="482"/>
      <c r="FP47" s="482"/>
      <c r="FQ47" s="482"/>
      <c r="FR47" s="482"/>
      <c r="FS47" s="482"/>
      <c r="FT47" s="482"/>
      <c r="FU47" s="482"/>
      <c r="FV47" s="482"/>
      <c r="FW47" s="482"/>
      <c r="FX47" s="482"/>
      <c r="FY47" s="482"/>
      <c r="FZ47" s="482"/>
      <c r="GA47" s="482"/>
      <c r="GB47" s="482"/>
      <c r="GC47" s="482"/>
      <c r="GD47" s="482"/>
      <c r="GE47" s="482"/>
      <c r="GF47" s="482"/>
      <c r="GG47" s="482"/>
      <c r="GH47" s="482"/>
      <c r="GI47" s="482"/>
      <c r="GJ47" s="482"/>
      <c r="GK47" s="482"/>
      <c r="GL47" s="482"/>
      <c r="GM47" s="482"/>
      <c r="GN47" s="482"/>
      <c r="GO47" s="482"/>
      <c r="GP47" s="482"/>
      <c r="GQ47" s="482"/>
      <c r="GR47" s="482"/>
      <c r="GS47" s="482"/>
      <c r="GT47" s="482"/>
      <c r="GU47" s="482"/>
      <c r="GV47" s="482"/>
      <c r="GW47" s="482"/>
      <c r="GX47" s="482"/>
      <c r="GY47" s="482"/>
      <c r="GZ47" s="482"/>
      <c r="HA47" s="482"/>
      <c r="HB47" s="482"/>
      <c r="HC47" s="482"/>
      <c r="HD47" s="482"/>
      <c r="HE47" s="482"/>
      <c r="HF47" s="482"/>
      <c r="HG47" s="482"/>
      <c r="HH47" s="482"/>
      <c r="HI47" s="482"/>
      <c r="HJ47" s="482"/>
      <c r="HK47" s="482"/>
      <c r="HL47" s="482"/>
      <c r="HM47" s="482"/>
      <c r="HN47" s="482"/>
      <c r="HO47" s="482"/>
      <c r="HP47" s="482"/>
      <c r="HQ47" s="482"/>
      <c r="HR47" s="482"/>
      <c r="HS47" s="482"/>
      <c r="HT47" s="482"/>
      <c r="HU47" s="482"/>
      <c r="HV47" s="482"/>
      <c r="HW47" s="482"/>
      <c r="HX47" s="482"/>
      <c r="HY47" s="482"/>
      <c r="HZ47" s="482"/>
      <c r="IA47" s="482"/>
      <c r="IB47" s="482"/>
      <c r="IC47" s="482"/>
      <c r="ID47" s="482"/>
      <c r="IE47" s="482"/>
      <c r="IF47" s="482"/>
      <c r="IG47" s="482"/>
      <c r="IH47" s="482"/>
      <c r="II47" s="482"/>
      <c r="IJ47" s="482"/>
      <c r="IK47" s="482"/>
      <c r="IL47" s="482"/>
      <c r="IM47" s="482"/>
      <c r="IN47" s="482"/>
      <c r="IO47" s="482"/>
      <c r="IP47" s="482"/>
      <c r="IQ47" s="482"/>
      <c r="IR47" s="482"/>
      <c r="IS47" s="482"/>
      <c r="IT47" s="482"/>
      <c r="IU47" s="482"/>
      <c r="IV47" s="482"/>
      <c r="IW47" s="482"/>
      <c r="IX47" s="482"/>
      <c r="IY47" s="482"/>
      <c r="IZ47" s="482"/>
      <c r="JA47" s="482"/>
      <c r="JB47" s="482"/>
      <c r="JC47" s="482"/>
      <c r="JD47" s="482"/>
      <c r="JE47" s="482"/>
      <c r="JF47" s="482"/>
      <c r="JG47" s="482"/>
      <c r="JH47" s="482"/>
      <c r="JI47" s="482"/>
      <c r="JJ47" s="482"/>
      <c r="JK47" s="482"/>
      <c r="JL47" s="482"/>
      <c r="JM47" s="482"/>
      <c r="JN47" s="482"/>
      <c r="JO47" s="482"/>
      <c r="JP47" s="482"/>
      <c r="JQ47" s="482"/>
      <c r="JR47" s="482"/>
      <c r="JS47" s="482"/>
      <c r="JT47" s="482"/>
      <c r="JU47" s="482"/>
      <c r="JV47" s="482"/>
      <c r="JW47" s="482"/>
      <c r="JX47" s="482"/>
      <c r="JY47" s="482"/>
      <c r="JZ47" s="482"/>
      <c r="KA47" s="482"/>
      <c r="KB47" s="482"/>
      <c r="KC47" s="482"/>
      <c r="KD47" s="482"/>
      <c r="KE47" s="482"/>
      <c r="KF47" s="482"/>
      <c r="KG47" s="482"/>
      <c r="KH47" s="482"/>
      <c r="KI47" s="482"/>
      <c r="KJ47" s="482"/>
      <c r="KK47" s="482"/>
      <c r="KL47" s="482"/>
      <c r="KM47" s="482"/>
      <c r="KN47" s="482"/>
      <c r="KO47" s="482"/>
      <c r="KP47" s="482"/>
      <c r="KQ47" s="482"/>
      <c r="KR47" s="482"/>
      <c r="KS47" s="482"/>
      <c r="KT47" s="482"/>
      <c r="KU47" s="482"/>
      <c r="KV47" s="482"/>
      <c r="KW47" s="482"/>
      <c r="KX47" s="482"/>
      <c r="KY47" s="482"/>
      <c r="KZ47" s="482"/>
      <c r="LA47" s="482"/>
      <c r="LB47" s="482"/>
      <c r="LC47" s="482"/>
      <c r="LD47" s="482"/>
      <c r="LE47" s="482"/>
      <c r="LF47" s="482"/>
      <c r="LG47" s="482"/>
      <c r="LH47" s="482"/>
      <c r="LI47" s="482"/>
      <c r="LJ47" s="482"/>
      <c r="LK47" s="482"/>
      <c r="LL47" s="482"/>
      <c r="LM47" s="482"/>
      <c r="LN47" s="482"/>
      <c r="LO47" s="482"/>
      <c r="LP47" s="482"/>
      <c r="LQ47" s="482"/>
      <c r="LR47" s="482"/>
      <c r="LS47" s="482"/>
      <c r="LT47" s="482"/>
      <c r="LU47" s="482"/>
      <c r="LV47" s="482"/>
      <c r="LW47" s="482"/>
      <c r="LX47" s="482"/>
      <c r="LY47" s="482"/>
      <c r="LZ47" s="482"/>
      <c r="MA47" s="482"/>
      <c r="MB47" s="482"/>
      <c r="MC47" s="482"/>
      <c r="MD47" s="482"/>
      <c r="ME47" s="482"/>
      <c r="MF47" s="482"/>
      <c r="MG47" s="482"/>
      <c r="MH47" s="482"/>
      <c r="MI47" s="482"/>
      <c r="MJ47" s="482"/>
      <c r="MK47" s="482"/>
      <c r="ML47" s="482"/>
      <c r="MM47" s="482"/>
      <c r="MN47" s="482"/>
      <c r="MO47" s="482"/>
      <c r="MP47" s="482"/>
      <c r="MQ47" s="482"/>
      <c r="MR47" s="482"/>
      <c r="MS47" s="482"/>
      <c r="MT47" s="482"/>
      <c r="MU47" s="482"/>
      <c r="MV47" s="482"/>
      <c r="MW47" s="482"/>
      <c r="MX47" s="482"/>
      <c r="MY47" s="482"/>
      <c r="MZ47" s="482"/>
      <c r="NA47" s="482"/>
      <c r="NB47" s="482"/>
      <c r="NC47" s="482"/>
      <c r="ND47" s="482"/>
      <c r="NE47" s="482"/>
      <c r="NF47" s="482"/>
      <c r="NG47" s="482"/>
      <c r="NH47" s="482"/>
      <c r="NI47" s="482"/>
      <c r="NJ47" s="483"/>
      <c r="NK47" s="34"/>
      <c r="NM47" s="379" t="str">
        <f>NM46&amp;".b"</f>
        <v>9.b</v>
      </c>
      <c r="NN47" s="376" t="str" cm="1">
        <f t="array" aca="1" ref="NN47" ca="1">IF(xcomp(INDIRECT((ADDRESS(ROW(NN46),$I$11+(MATCH(NN$11,L.DATE,0))))&amp;":"&amp;(ADDRESS(ROW(NN46),$I$11+NO$11+(MATCH(NN$11,L.DATE,0))-1))),L.ABSP)=0,"",
xsom(INDIRECT((ADDRESS(ROW(NN46),$I$11+(MATCH(NN$11,L.DATE,0))))&amp;":"&amp;(ADDRESS(ROW(NN46),$I$11+NO$11+(MATCH(NN$11,L.DATE,0))-1))),L.ABSP,
INDIRECT((ADDRESS(ROW(NN46)+1,$I$11+(MATCH(NN$11,L.DATE,0))))&amp;":"&amp;(ADDRESS(ROW(NN46)+1,$I$11+NO$11+(MATCH(NN$11,L.DATE,0))-1)))))</f>
        <v/>
      </c>
      <c r="NO47" s="377" t="str" cm="1">
        <f t="array" aca="1" ref="NO47" ca="1">IF(xcomp(INDIRECT((ADDRESS(ROW(NO46),$I$11+(MATCH(NN$11,L.DATE,0))))&amp;":"&amp;(ADDRESS(ROW(NO46),$I$11+NO$11+(MATCH(NN$11,L.DATE,0))-1))),L.ABS.NP)=0,"",
xsom(INDIRECT((ADDRESS(ROW(NO46),$I$11+(MATCH(NN$11,L.DATE,0))))&amp;":"&amp;(ADDRESS(ROW(NO46),$I$11+NO$11+(MATCH(NN$11,L.DATE,0))-1))),L.ABS.NP,
INDIRECT((ADDRESS(ROW(NO46)+1,$I$11+(MATCH(NN$11,L.DATE,0))))&amp;":"&amp;(ADDRESS(ROW(NO46)+1,$I$11+NO$11+(MATCH(NN$11,L.DATE,0))-1)))))</f>
        <v/>
      </c>
      <c r="NP47" s="376" t="str" cm="1">
        <f t="array" aca="1" ref="NP47" ca="1">IF(xcomp(INDIRECT((ADDRESS(ROW(NP46),$I$11+(MATCH(NP$11,L.DATE,0))))&amp;":"&amp;(ADDRESS(ROW(NP46),$I$11+NQ$11+(MATCH(NP$11,L.DATE,0))-1))),L.ABSP)=0,"",
xsom(INDIRECT((ADDRESS(ROW(NP46),$I$11+(MATCH(NP$11,L.DATE,0))))&amp;":"&amp;(ADDRESS(ROW(NP46),$I$11+NQ$11+(MATCH(NP$11,L.DATE,0))-1))),L.ABSP,
INDIRECT((ADDRESS(ROW(NP46)+1,$I$11+(MATCH(NP$11,L.DATE,0))))&amp;":"&amp;(ADDRESS(ROW(NP46)+1,$I$11+NQ$11+(MATCH(NP$11,L.DATE,0))-1)))))</f>
        <v/>
      </c>
      <c r="NQ47" s="377" t="str" cm="1">
        <f t="array" aca="1" ref="NQ47" ca="1">IF(xcomp(INDIRECT((ADDRESS(ROW(NQ46),$I$11+(MATCH(NP$11,L.DATE,0))))&amp;":"&amp;(ADDRESS(ROW(NQ46),$I$11+NQ$11+(MATCH(NP$11,L.DATE,0))-1))),L.ABS.NP)=0,"",
xsom(INDIRECT((ADDRESS(ROW(NQ46),$I$11+(MATCH(NP$11,L.DATE,0))))&amp;":"&amp;(ADDRESS(ROW(NQ46),$I$11+NQ$11+(MATCH(NP$11,L.DATE,0))-1))),L.ABS.NP,
INDIRECT((ADDRESS(ROW(NQ46)+1,$I$11+(MATCH(NP$11,L.DATE,0))))&amp;":"&amp;(ADDRESS(ROW(NQ46)+1,$I$11+NQ$11+(MATCH(NP$11,L.DATE,0))-1)))))</f>
        <v/>
      </c>
      <c r="NR47" s="376" cm="1">
        <f t="array" aca="1" ref="NR47" ca="1">IF(xcomp(INDIRECT((ADDRESS(ROW(NR46),$I$11+(MATCH(NR$11,L.DATE,0))))&amp;":"&amp;(ADDRESS(ROW(NR46),$I$11+NS$11+(MATCH(NR$11,L.DATE,0))-1))),L.ABSP)=0,"",
xsom(INDIRECT((ADDRESS(ROW(NR46),$I$11+(MATCH(NR$11,L.DATE,0))))&amp;":"&amp;(ADDRESS(ROW(NR46),$I$11+NS$11+(MATCH(NR$11,L.DATE,0))-1))),L.ABSP,
INDIRECT((ADDRESS(ROW(NR46)+1,$I$11+(MATCH(NR$11,L.DATE,0))))&amp;":"&amp;(ADDRESS(ROW(NR46)+1,$I$11+NS$11+(MATCH(NR$11,L.DATE,0))-1)))))</f>
        <v>5</v>
      </c>
      <c r="NS47" s="377" t="str" cm="1">
        <f t="array" aca="1" ref="NS47" ca="1">IF(xcomp(INDIRECT((ADDRESS(ROW(NS46),$I$11+(MATCH(NR$11,L.DATE,0))))&amp;":"&amp;(ADDRESS(ROW(NS46),$I$11+NS$11+(MATCH(NR$11,L.DATE,0))-1))),L.ABS.NP)=0,"",
xsom(INDIRECT((ADDRESS(ROW(NS46),$I$11+(MATCH(NR$11,L.DATE,0))))&amp;":"&amp;(ADDRESS(ROW(NS46),$I$11+NS$11+(MATCH(NR$11,L.DATE,0))-1))),L.ABS.NP,
INDIRECT((ADDRESS(ROW(NS46)+1,$I$11+(MATCH(NR$11,L.DATE,0))))&amp;":"&amp;(ADDRESS(ROW(NS46)+1,$I$11+NS$11+(MATCH(NR$11,L.DATE,0))-1)))))</f>
        <v/>
      </c>
      <c r="NT47" s="376" t="str" cm="1">
        <f t="array" aca="1" ref="NT47" ca="1">IF(xcomp(INDIRECT((ADDRESS(ROW(NT46),$I$11+(MATCH(NT$11,L.DATE,0))))&amp;":"&amp;(ADDRESS(ROW(NT46),$I$11+NU$11+(MATCH(NT$11,L.DATE,0))-1))),L.ABSP)=0,"",
xsom(INDIRECT((ADDRESS(ROW(NT46),$I$11+(MATCH(NT$11,L.DATE,0))))&amp;":"&amp;(ADDRESS(ROW(NT46),$I$11+NU$11+(MATCH(NT$11,L.DATE,0))-1))),L.ABSP,
INDIRECT((ADDRESS(ROW(NT46)+1,$I$11+(MATCH(NT$11,L.DATE,0))))&amp;":"&amp;(ADDRESS(ROW(NT46)+1,$I$11+NU$11+(MATCH(NT$11,L.DATE,0))-1)))))</f>
        <v/>
      </c>
      <c r="NU47" s="377" t="str" cm="1">
        <f t="array" aca="1" ref="NU47" ca="1">IF(xcomp(INDIRECT((ADDRESS(ROW(NU46),$I$11+(MATCH(NT$11,L.DATE,0))))&amp;":"&amp;(ADDRESS(ROW(NU46),$I$11+NU$11+(MATCH(NT$11,L.DATE,0))-1))),L.ABS.NP)=0,"",
xsom(INDIRECT((ADDRESS(ROW(NU46),$I$11+(MATCH(NT$11,L.DATE,0))))&amp;":"&amp;(ADDRESS(ROW(NU46),$I$11+NU$11+(MATCH(NT$11,L.DATE,0))-1))),L.ABS.NP,
INDIRECT((ADDRESS(ROW(NU46)+1,$I$11+(MATCH(NT$11,L.DATE,0))))&amp;":"&amp;(ADDRESS(ROW(NU46)+1,$I$11+NU$11+(MATCH(NT$11,L.DATE,0))-1)))))</f>
        <v/>
      </c>
      <c r="NV47" s="376" t="str" cm="1">
        <f t="array" aca="1" ref="NV47" ca="1">IF(xcomp(INDIRECT((ADDRESS(ROW(NV46),$I$11+(MATCH(NV$11,L.DATE,0))))&amp;":"&amp;(ADDRESS(ROW(NV46),$I$11+NW$11+(MATCH(NV$11,L.DATE,0))-1))),L.ABSP)=0,"",
xsom(INDIRECT((ADDRESS(ROW(NV46),$I$11+(MATCH(NV$11,L.DATE,0))))&amp;":"&amp;(ADDRESS(ROW(NV46),$I$11+NW$11+(MATCH(NV$11,L.DATE,0))-1))),L.ABSP,
INDIRECT((ADDRESS(ROW(NV46)+1,$I$11+(MATCH(NV$11,L.DATE,0))))&amp;":"&amp;(ADDRESS(ROW(NV46)+1,$I$11+NW$11+(MATCH(NV$11,L.DATE,0))-1)))))</f>
        <v/>
      </c>
      <c r="NW47" s="377" t="str" cm="1">
        <f t="array" aca="1" ref="NW47" ca="1">IF(xcomp(INDIRECT((ADDRESS(ROW(NW46),$I$11+(MATCH(NV$11,L.DATE,0))))&amp;":"&amp;(ADDRESS(ROW(NW46),$I$11+NW$11+(MATCH(NV$11,L.DATE,0))-1))),L.ABS.NP)=0,"",
xsom(INDIRECT((ADDRESS(ROW(NW46),$I$11+(MATCH(NV$11,L.DATE,0))))&amp;":"&amp;(ADDRESS(ROW(NW46),$I$11+NW$11+(MATCH(NV$11,L.DATE,0))-1))),L.ABS.NP,
INDIRECT((ADDRESS(ROW(NW46)+1,$I$11+(MATCH(NV$11,L.DATE,0))))&amp;":"&amp;(ADDRESS(ROW(NW46)+1,$I$11+NW$11+(MATCH(NV$11,L.DATE,0))-1)))))</f>
        <v/>
      </c>
      <c r="NX47" s="376" t="str" cm="1">
        <f t="array" aca="1" ref="NX47" ca="1">IF(xcomp(INDIRECT((ADDRESS(ROW(NX46),$I$11+(MATCH(NX$11,L.DATE,0))))&amp;":"&amp;(ADDRESS(ROW(NX46),$I$11+NY$11+(MATCH(NX$11,L.DATE,0))-1))),L.ABSP)=0,"",
xsom(INDIRECT((ADDRESS(ROW(NX46),$I$11+(MATCH(NX$11,L.DATE,0))))&amp;":"&amp;(ADDRESS(ROW(NX46),$I$11+NY$11+(MATCH(NX$11,L.DATE,0))-1))),L.ABSP,
INDIRECT((ADDRESS(ROW(NX46)+1,$I$11+(MATCH(NX$11,L.DATE,0))))&amp;":"&amp;(ADDRESS(ROW(NX46)+1,$I$11+NY$11+(MATCH(NX$11,L.DATE,0))-1)))))</f>
        <v/>
      </c>
      <c r="NY47" s="377" t="str" cm="1">
        <f t="array" aca="1" ref="NY47" ca="1">IF(xcomp(INDIRECT((ADDRESS(ROW(NY46),$I$11+(MATCH(NX$11,L.DATE,0))))&amp;":"&amp;(ADDRESS(ROW(NY46),$I$11+NY$11+(MATCH(NX$11,L.DATE,0))-1))),L.ABS.NP)=0,"",
xsom(INDIRECT((ADDRESS(ROW(NY46),$I$11+(MATCH(NX$11,L.DATE,0))))&amp;":"&amp;(ADDRESS(ROW(NY46),$I$11+NY$11+(MATCH(NX$11,L.DATE,0))-1))),L.ABS.NP,
INDIRECT((ADDRESS(ROW(NY46)+1,$I$11+(MATCH(NX$11,L.DATE,0))))&amp;":"&amp;(ADDRESS(ROW(NY46)+1,$I$11+NY$11+(MATCH(NX$11,L.DATE,0))-1)))))</f>
        <v/>
      </c>
      <c r="NZ47" s="376" t="str" cm="1">
        <f t="array" aca="1" ref="NZ47" ca="1">IF(xcomp(INDIRECT((ADDRESS(ROW(NZ46),$I$11+(MATCH(NZ$11,L.DATE,0))))&amp;":"&amp;(ADDRESS(ROW(NZ46),$I$11+OA$11+(MATCH(NZ$11,L.DATE,0))-1))),L.ABSP)=0,"",
xsom(INDIRECT((ADDRESS(ROW(NZ46),$I$11+(MATCH(NZ$11,L.DATE,0))))&amp;":"&amp;(ADDRESS(ROW(NZ46),$I$11+OA$11+(MATCH(NZ$11,L.DATE,0))-1))),L.ABSP,
INDIRECT((ADDRESS(ROW(NZ46)+1,$I$11+(MATCH(NZ$11,L.DATE,0))))&amp;":"&amp;(ADDRESS(ROW(NZ46)+1,$I$11+OA$11+(MATCH(NZ$11,L.DATE,0))-1)))))</f>
        <v/>
      </c>
      <c r="OA47" s="377" t="str" cm="1">
        <f t="array" aca="1" ref="OA47" ca="1">IF(xcomp(INDIRECT((ADDRESS(ROW(OA46),$I$11+(MATCH(NZ$11,L.DATE,0))))&amp;":"&amp;(ADDRESS(ROW(OA46),$I$11+OA$11+(MATCH(NZ$11,L.DATE,0))-1))),L.ABS.NP)=0,"",
xsom(INDIRECT((ADDRESS(ROW(OA46),$I$11+(MATCH(NZ$11,L.DATE,0))))&amp;":"&amp;(ADDRESS(ROW(OA46),$I$11+OA$11+(MATCH(NZ$11,L.DATE,0))-1))),L.ABS.NP,
INDIRECT((ADDRESS(ROW(OA46)+1,$I$11+(MATCH(NZ$11,L.DATE,0))))&amp;":"&amp;(ADDRESS(ROW(OA46)+1,$I$11+OA$11+(MATCH(NZ$11,L.DATE,0))-1)))))</f>
        <v/>
      </c>
      <c r="OB47" s="376" t="str" cm="1">
        <f t="array" aca="1" ref="OB47" ca="1">IF(xcomp(INDIRECT((ADDRESS(ROW(OB46),$I$11+(MATCH(OB$11,L.DATE,0))))&amp;":"&amp;(ADDRESS(ROW(OB46),$I$11+OC$11+(MATCH(OB$11,L.DATE,0))-1))),L.ABSP)=0,"",
xsom(INDIRECT((ADDRESS(ROW(OB46),$I$11+(MATCH(OB$11,L.DATE,0))))&amp;":"&amp;(ADDRESS(ROW(OB46),$I$11+OC$11+(MATCH(OB$11,L.DATE,0))-1))),L.ABSP,
INDIRECT((ADDRESS(ROW(OB46)+1,$I$11+(MATCH(OB$11,L.DATE,0))))&amp;":"&amp;(ADDRESS(ROW(OB46)+1,$I$11+OC$11+(MATCH(OB$11,L.DATE,0))-1)))))</f>
        <v/>
      </c>
      <c r="OC47" s="377" t="str" cm="1">
        <f t="array" aca="1" ref="OC47" ca="1">IF(xcomp(INDIRECT((ADDRESS(ROW(OC46),$I$11+(MATCH(OB$11,L.DATE,0))))&amp;":"&amp;(ADDRESS(ROW(OC46),$I$11+OC$11+(MATCH(OB$11,L.DATE,0))-1))),L.ABS.NP)=0,"",
xsom(INDIRECT((ADDRESS(ROW(OC46),$I$11+(MATCH(OB$11,L.DATE,0))))&amp;":"&amp;(ADDRESS(ROW(OC46),$I$11+OC$11+(MATCH(OB$11,L.DATE,0))-1))),L.ABS.NP,
INDIRECT((ADDRESS(ROW(OC46)+1,$I$11+(MATCH(OB$11,L.DATE,0))))&amp;":"&amp;(ADDRESS(ROW(OC46)+1,$I$11+OC$11+(MATCH(OB$11,L.DATE,0))-1)))))</f>
        <v/>
      </c>
      <c r="OD47" s="376" t="str" cm="1">
        <f t="array" aca="1" ref="OD47" ca="1">IF(xcomp(INDIRECT((ADDRESS(ROW(OD46),$I$11+(MATCH(OD$11,L.DATE,0))))&amp;":"&amp;(ADDRESS(ROW(OD46),$I$11+OE$11+(MATCH(OD$11,L.DATE,0))-1))),L.ABSP)=0,"",
xsom(INDIRECT((ADDRESS(ROW(OD46),$I$11+(MATCH(OD$11,L.DATE,0))))&amp;":"&amp;(ADDRESS(ROW(OD46),$I$11+OE$11+(MATCH(OD$11,L.DATE,0))-1))),L.ABSP,
INDIRECT((ADDRESS(ROW(OD46)+1,$I$11+(MATCH(OD$11,L.DATE,0))))&amp;":"&amp;(ADDRESS(ROW(OD46)+1,$I$11+OE$11+(MATCH(OD$11,L.DATE,0))-1)))))</f>
        <v/>
      </c>
      <c r="OE47" s="377" t="str" cm="1">
        <f t="array" aca="1" ref="OE47" ca="1">IF(xcomp(INDIRECT((ADDRESS(ROW(OE46),$I$11+(MATCH(OD$11,L.DATE,0))))&amp;":"&amp;(ADDRESS(ROW(OE46),$I$11+OE$11+(MATCH(OD$11,L.DATE,0))-1))),L.ABS.NP)=0,"",
xsom(INDIRECT((ADDRESS(ROW(OE46),$I$11+(MATCH(OD$11,L.DATE,0))))&amp;":"&amp;(ADDRESS(ROW(OE46),$I$11+OE$11+(MATCH(OD$11,L.DATE,0))-1))),L.ABS.NP,
INDIRECT((ADDRESS(ROW(OE46)+1,$I$11+(MATCH(OD$11,L.DATE,0))))&amp;":"&amp;(ADDRESS(ROW(OE46)+1,$I$11+OE$11+(MATCH(OD$11,L.DATE,0))-1)))))</f>
        <v/>
      </c>
      <c r="OF47" s="376" t="str" cm="1">
        <f t="array" aca="1" ref="OF47" ca="1">IF(xcomp(INDIRECT((ADDRESS(ROW(OF46),$I$11+(MATCH(OF$11,L.DATE,0))))&amp;":"&amp;(ADDRESS(ROW(OF46),$I$11+OG$11+(MATCH(OF$11,L.DATE,0))-1))),L.ABSP)=0,"",
xsom(INDIRECT((ADDRESS(ROW(OF46),$I$11+(MATCH(OF$11,L.DATE,0))))&amp;":"&amp;(ADDRESS(ROW(OF46),$I$11+OG$11+(MATCH(OF$11,L.DATE,0))-1))),L.ABSP,
INDIRECT((ADDRESS(ROW(OF46)+1,$I$11+(MATCH(OF$11,L.DATE,0))))&amp;":"&amp;(ADDRESS(ROW(OF46)+1,$I$11+OG$11+(MATCH(OF$11,L.DATE,0))-1)))))</f>
        <v/>
      </c>
      <c r="OG47" s="377" t="str" cm="1">
        <f t="array" aca="1" ref="OG47" ca="1">IF(xcomp(INDIRECT((ADDRESS(ROW(OG46),$I$11+(MATCH(OF$11,L.DATE,0))))&amp;":"&amp;(ADDRESS(ROW(OG46),$I$11+OG$11+(MATCH(OF$11,L.DATE,0))-1))),L.ABS.NP)=0,"",
xsom(INDIRECT((ADDRESS(ROW(OG46),$I$11+(MATCH(OF$11,L.DATE,0))))&amp;":"&amp;(ADDRESS(ROW(OG46),$I$11+OG$11+(MATCH(OF$11,L.DATE,0))-1))),L.ABS.NP,
INDIRECT((ADDRESS(ROW(OG46)+1,$I$11+(MATCH(OF$11,L.DATE,0))))&amp;":"&amp;(ADDRESS(ROW(OG46)+1,$I$11+OG$11+(MATCH(OF$11,L.DATE,0))-1)))))</f>
        <v/>
      </c>
      <c r="OH47" s="376" t="str" cm="1">
        <f t="array" aca="1" ref="OH47" ca="1">IF(xcomp(INDIRECT((ADDRESS(ROW(OH46),$I$11+(MATCH(OH$11,L.DATE,0))))&amp;":"&amp;(ADDRESS(ROW(OH46),$I$11+OI$11+(MATCH(OH$11,L.DATE,0))-1))),L.ABSP)=0,"",
xsom(INDIRECT((ADDRESS(ROW(OH46),$I$11+(MATCH(OH$11,L.DATE,0))))&amp;":"&amp;(ADDRESS(ROW(OH46),$I$11+OI$11+(MATCH(OH$11,L.DATE,0))-1))),L.ABSP,
INDIRECT((ADDRESS(ROW(OH46)+1,$I$11+(MATCH(OH$11,L.DATE,0))))&amp;":"&amp;(ADDRESS(ROW(OH46)+1,$I$11+OI$11+(MATCH(OH$11,L.DATE,0))-1)))))</f>
        <v/>
      </c>
      <c r="OI47" s="377" t="str" cm="1">
        <f t="array" aca="1" ref="OI47" ca="1">IF(xcomp(INDIRECT((ADDRESS(ROW(OI46),$I$11+(MATCH(OH$11,L.DATE,0))))&amp;":"&amp;(ADDRESS(ROW(OI46),$I$11+OI$11+(MATCH(OH$11,L.DATE,0))-1))),L.ABS.NP)=0,"",
xsom(INDIRECT((ADDRESS(ROW(OI46),$I$11+(MATCH(OH$11,L.DATE,0))))&amp;":"&amp;(ADDRESS(ROW(OI46),$I$11+OI$11+(MATCH(OH$11,L.DATE,0))-1))),L.ABS.NP,
INDIRECT((ADDRESS(ROW(OI46)+1,$I$11+(MATCH(OH$11,L.DATE,0))))&amp;":"&amp;(ADDRESS(ROW(OI46)+1,$I$11+OI$11+(MATCH(OH$11,L.DATE,0))-1)))))</f>
        <v/>
      </c>
      <c r="OJ47" s="376" t="str" cm="1">
        <f t="array" aca="1" ref="OJ47" ca="1">IF(xcomp(INDIRECT((ADDRESS(ROW(OJ46),$I$11+(MATCH(OJ$11,L.DATE,0))))&amp;":"&amp;(ADDRESS(ROW(OJ46),$I$11+OK$11+(MATCH(OJ$11,L.DATE,0))-1))),L.ABSP)=0,"",
xsom(INDIRECT((ADDRESS(ROW(OJ46),$I$11+(MATCH(OJ$11,L.DATE,0))))&amp;":"&amp;(ADDRESS(ROW(OJ46),$I$11+OK$11+(MATCH(OJ$11,L.DATE,0))-1))),L.ABSP,
INDIRECT((ADDRESS(ROW(OJ46)+1,$I$11+(MATCH(OJ$11,L.DATE,0))))&amp;":"&amp;(ADDRESS(ROW(OJ46)+1,$I$11+OK$11+(MATCH(OJ$11,L.DATE,0))-1)))))</f>
        <v/>
      </c>
      <c r="OK47" s="378" t="str" cm="1">
        <f t="array" aca="1" ref="OK47" ca="1">IF(xcomp(INDIRECT((ADDRESS(ROW(OK46),$I$11+(MATCH(OJ$11,L.DATE,0))))&amp;":"&amp;(ADDRESS(ROW(OK46),$I$11+OK$11+(MATCH(OJ$11,L.DATE,0))-1))),L.ABS.NP)=0,"",
xsom(INDIRECT((ADDRESS(ROW(OK46),$I$11+(MATCH(OJ$11,L.DATE,0))))&amp;":"&amp;(ADDRESS(ROW(OK46),$I$11+OK$11+(MATCH(OJ$11,L.DATE,0))-1))),L.ABS.NP,
INDIRECT((ADDRESS(ROW(OK46)+1,$I$11+(MATCH(OJ$11,L.DATE,0))))&amp;":"&amp;(ADDRESS(ROW(OK46)+1,$I$11+OK$11+(MATCH(OJ$11,L.DATE,0))-1)))))</f>
        <v/>
      </c>
    </row>
    <row r="48" spans="1:404" ht="12" customHeight="1" x14ac:dyDescent="0.3">
      <c r="A48" s="394">
        <v>10</v>
      </c>
      <c r="B48" s="381" t="s">
        <v>502</v>
      </c>
      <c r="C48" s="53">
        <v>1</v>
      </c>
      <c r="D48" s="53" t="s">
        <v>33</v>
      </c>
      <c r="E48" s="53" t="s">
        <v>484</v>
      </c>
      <c r="F48" s="53" t="s">
        <v>13</v>
      </c>
      <c r="G48" s="104" t="s">
        <v>498</v>
      </c>
      <c r="H48" s="108">
        <v>2</v>
      </c>
      <c r="I48" s="28"/>
      <c r="J48" s="482"/>
      <c r="K48" s="487"/>
      <c r="L48" s="486"/>
      <c r="M48" s="482"/>
      <c r="N48" s="482"/>
      <c r="O48" s="482"/>
      <c r="P48" s="482"/>
      <c r="Q48" s="482"/>
      <c r="R48" s="482"/>
      <c r="S48" s="482"/>
      <c r="T48" s="482"/>
      <c r="U48" s="482"/>
      <c r="V48" s="482"/>
      <c r="W48" s="482"/>
      <c r="X48" s="482"/>
      <c r="Y48" s="482"/>
      <c r="Z48" s="482"/>
      <c r="AA48" s="482"/>
      <c r="AB48" s="482"/>
      <c r="AC48" s="482"/>
      <c r="AD48" s="482"/>
      <c r="AE48" s="482"/>
      <c r="AF48" s="482"/>
      <c r="AG48" s="482"/>
      <c r="AH48" s="482"/>
      <c r="AI48" s="482"/>
      <c r="AJ48" s="482"/>
      <c r="AK48" s="482"/>
      <c r="AL48" s="482"/>
      <c r="AM48" s="482"/>
      <c r="AN48" s="482"/>
      <c r="AO48" s="482"/>
      <c r="AP48" s="482"/>
      <c r="AQ48" s="482"/>
      <c r="AR48" s="482"/>
      <c r="AS48" s="482"/>
      <c r="AT48" s="482"/>
      <c r="AU48" s="482"/>
      <c r="AV48" s="482"/>
      <c r="AW48" s="482"/>
      <c r="AX48" s="482"/>
      <c r="AY48" s="482"/>
      <c r="AZ48" s="482"/>
      <c r="BA48" s="482"/>
      <c r="BB48" s="482"/>
      <c r="BC48" s="482"/>
      <c r="BD48" s="482"/>
      <c r="BE48" s="482"/>
      <c r="BF48" s="482"/>
      <c r="BG48" s="482"/>
      <c r="BH48" s="482"/>
      <c r="BI48" s="482"/>
      <c r="BJ48" s="482"/>
      <c r="BK48" s="482"/>
      <c r="BL48" s="482"/>
      <c r="BM48" s="482"/>
      <c r="BN48" s="482"/>
      <c r="BO48" s="482"/>
      <c r="BP48" s="482"/>
      <c r="BQ48" s="482"/>
      <c r="BR48" s="482"/>
      <c r="BS48" s="482"/>
      <c r="BT48" s="482"/>
      <c r="BU48" s="482"/>
      <c r="BV48" s="482"/>
      <c r="BW48" s="482"/>
      <c r="BX48" s="482"/>
      <c r="BY48" s="482"/>
      <c r="BZ48" s="482"/>
      <c r="CA48" s="482"/>
      <c r="CB48" s="482"/>
      <c r="CC48" s="482"/>
      <c r="CD48" s="482"/>
      <c r="CE48" s="482"/>
      <c r="CF48" s="482"/>
      <c r="CG48" s="482"/>
      <c r="CH48" s="482"/>
      <c r="CI48" s="482"/>
      <c r="CJ48" s="482"/>
      <c r="CK48" s="482"/>
      <c r="CL48" s="482"/>
      <c r="CM48" s="482"/>
      <c r="CN48" s="482"/>
      <c r="CO48" s="482"/>
      <c r="CP48" s="482"/>
      <c r="CQ48" s="484" t="s">
        <v>27</v>
      </c>
      <c r="CR48" s="484" t="s">
        <v>27</v>
      </c>
      <c r="CS48" s="484" t="s">
        <v>27</v>
      </c>
      <c r="CT48" s="484" t="s">
        <v>27</v>
      </c>
      <c r="CU48" s="484" t="s">
        <v>27</v>
      </c>
      <c r="CV48" s="482"/>
      <c r="CW48" s="482"/>
      <c r="CX48" s="482"/>
      <c r="CY48" s="482"/>
      <c r="CZ48" s="482"/>
      <c r="DA48" s="482"/>
      <c r="DB48" s="482"/>
      <c r="DC48" s="482"/>
      <c r="DD48" s="482"/>
      <c r="DE48" s="482"/>
      <c r="DF48" s="482"/>
      <c r="DG48" s="482"/>
      <c r="DH48" s="482"/>
      <c r="DI48" s="482"/>
      <c r="DJ48" s="482"/>
      <c r="DK48" s="482"/>
      <c r="DL48" s="482"/>
      <c r="DM48" s="482"/>
      <c r="DN48" s="482"/>
      <c r="DO48" s="482"/>
      <c r="DP48" s="482"/>
      <c r="DQ48" s="482"/>
      <c r="DR48" s="482"/>
      <c r="DS48" s="482"/>
      <c r="DT48" s="482"/>
      <c r="DU48" s="482"/>
      <c r="DV48" s="482"/>
      <c r="DW48" s="482"/>
      <c r="DX48" s="482"/>
      <c r="DY48" s="482"/>
      <c r="DZ48" s="482"/>
      <c r="EA48" s="482"/>
      <c r="EB48" s="482"/>
      <c r="EC48" s="482"/>
      <c r="ED48" s="482"/>
      <c r="EE48" s="482"/>
      <c r="EF48" s="482"/>
      <c r="EG48" s="482"/>
      <c r="EH48" s="482"/>
      <c r="EI48" s="482"/>
      <c r="EJ48" s="482"/>
      <c r="EK48" s="482"/>
      <c r="EL48" s="482"/>
      <c r="EM48" s="482"/>
      <c r="EN48" s="482"/>
      <c r="EO48" s="482"/>
      <c r="EP48" s="482"/>
      <c r="EQ48" s="482"/>
      <c r="ER48" s="482"/>
      <c r="ES48" s="482"/>
      <c r="ET48" s="482"/>
      <c r="EU48" s="482"/>
      <c r="EV48" s="482"/>
      <c r="EW48" s="482"/>
      <c r="EX48" s="482"/>
      <c r="EY48" s="482"/>
      <c r="EZ48" s="482"/>
      <c r="FA48" s="482"/>
      <c r="FB48" s="482"/>
      <c r="FC48" s="482"/>
      <c r="FD48" s="482"/>
      <c r="FE48" s="482"/>
      <c r="FF48" s="482"/>
      <c r="FG48" s="482"/>
      <c r="FH48" s="482"/>
      <c r="FI48" s="482"/>
      <c r="FJ48" s="482"/>
      <c r="FK48" s="482"/>
      <c r="FL48" s="482"/>
      <c r="FM48" s="482"/>
      <c r="FN48" s="482"/>
      <c r="FO48" s="482"/>
      <c r="FP48" s="482"/>
      <c r="FQ48" s="482"/>
      <c r="FR48" s="482"/>
      <c r="FS48" s="482"/>
      <c r="FT48" s="482"/>
      <c r="FU48" s="482"/>
      <c r="FV48" s="482"/>
      <c r="FW48" s="482"/>
      <c r="FX48" s="482"/>
      <c r="FY48" s="482"/>
      <c r="FZ48" s="482"/>
      <c r="GA48" s="482"/>
      <c r="GB48" s="482"/>
      <c r="GC48" s="482"/>
      <c r="GD48" s="482"/>
      <c r="GE48" s="482"/>
      <c r="GF48" s="482"/>
      <c r="GG48" s="482"/>
      <c r="GH48" s="482"/>
      <c r="GI48" s="482"/>
      <c r="GJ48" s="482"/>
      <c r="GK48" s="482"/>
      <c r="GL48" s="482"/>
      <c r="GM48" s="482"/>
      <c r="GN48" s="482"/>
      <c r="GO48" s="482"/>
      <c r="GP48" s="482"/>
      <c r="GQ48" s="482"/>
      <c r="GR48" s="482"/>
      <c r="GS48" s="482"/>
      <c r="GT48" s="482"/>
      <c r="GU48" s="482"/>
      <c r="GV48" s="482"/>
      <c r="GW48" s="482"/>
      <c r="GX48" s="482"/>
      <c r="GY48" s="482"/>
      <c r="GZ48" s="482"/>
      <c r="HA48" s="482"/>
      <c r="HB48" s="482"/>
      <c r="HC48" s="482"/>
      <c r="HD48" s="482"/>
      <c r="HE48" s="482"/>
      <c r="HF48" s="482"/>
      <c r="HG48" s="482"/>
      <c r="HH48" s="482"/>
      <c r="HI48" s="482"/>
      <c r="HJ48" s="482"/>
      <c r="HK48" s="482"/>
      <c r="HL48" s="482"/>
      <c r="HM48" s="482"/>
      <c r="HN48" s="482"/>
      <c r="HO48" s="482"/>
      <c r="HP48" s="482"/>
      <c r="HQ48" s="482"/>
      <c r="HR48" s="482"/>
      <c r="HS48" s="482"/>
      <c r="HT48" s="482"/>
      <c r="HU48" s="482"/>
      <c r="HV48" s="482"/>
      <c r="HW48" s="482"/>
      <c r="HX48" s="482"/>
      <c r="HY48" s="482"/>
      <c r="HZ48" s="482"/>
      <c r="IA48" s="482"/>
      <c r="IB48" s="482"/>
      <c r="IC48" s="482"/>
      <c r="ID48" s="482"/>
      <c r="IE48" s="482"/>
      <c r="IF48" s="482"/>
      <c r="IG48" s="482"/>
      <c r="IH48" s="482"/>
      <c r="II48" s="482"/>
      <c r="IJ48" s="482"/>
      <c r="IK48" s="482"/>
      <c r="IL48" s="482"/>
      <c r="IM48" s="482"/>
      <c r="IN48" s="482"/>
      <c r="IO48" s="482"/>
      <c r="IP48" s="482"/>
      <c r="IQ48" s="482"/>
      <c r="IR48" s="482"/>
      <c r="IS48" s="482"/>
      <c r="IT48" s="482"/>
      <c r="IU48" s="482"/>
      <c r="IV48" s="482"/>
      <c r="IW48" s="482"/>
      <c r="IX48" s="482"/>
      <c r="IY48" s="482"/>
      <c r="IZ48" s="482"/>
      <c r="JA48" s="482"/>
      <c r="JB48" s="482"/>
      <c r="JC48" s="482"/>
      <c r="JD48" s="482"/>
      <c r="JE48" s="482"/>
      <c r="JF48" s="482"/>
      <c r="JG48" s="482"/>
      <c r="JH48" s="482"/>
      <c r="JI48" s="482"/>
      <c r="JJ48" s="482"/>
      <c r="JK48" s="482"/>
      <c r="JL48" s="482"/>
      <c r="JM48" s="482"/>
      <c r="JN48" s="482"/>
      <c r="JO48" s="482"/>
      <c r="JP48" s="482"/>
      <c r="JQ48" s="482"/>
      <c r="JR48" s="482"/>
      <c r="JS48" s="482"/>
      <c r="JT48" s="482"/>
      <c r="JU48" s="482"/>
      <c r="JV48" s="482"/>
      <c r="JW48" s="482"/>
      <c r="JX48" s="482"/>
      <c r="JY48" s="482"/>
      <c r="JZ48" s="482"/>
      <c r="KA48" s="482"/>
      <c r="KB48" s="482"/>
      <c r="KC48" s="482"/>
      <c r="KD48" s="482"/>
      <c r="KE48" s="482"/>
      <c r="KF48" s="482"/>
      <c r="KG48" s="482"/>
      <c r="KH48" s="482"/>
      <c r="KI48" s="482"/>
      <c r="KJ48" s="482"/>
      <c r="KK48" s="482"/>
      <c r="KL48" s="482"/>
      <c r="KM48" s="482"/>
      <c r="KN48" s="482"/>
      <c r="KO48" s="482"/>
      <c r="KP48" s="482"/>
      <c r="KQ48" s="482"/>
      <c r="KR48" s="482"/>
      <c r="KS48" s="482"/>
      <c r="KT48" s="482"/>
      <c r="KU48" s="482"/>
      <c r="KV48" s="482"/>
      <c r="KW48" s="482"/>
      <c r="KX48" s="482"/>
      <c r="KY48" s="482"/>
      <c r="KZ48" s="482"/>
      <c r="LA48" s="482"/>
      <c r="LB48" s="482"/>
      <c r="LC48" s="482"/>
      <c r="LD48" s="482"/>
      <c r="LE48" s="482"/>
      <c r="LF48" s="482"/>
      <c r="LG48" s="482"/>
      <c r="LH48" s="482"/>
      <c r="LI48" s="482"/>
      <c r="LJ48" s="482"/>
      <c r="LK48" s="482"/>
      <c r="LL48" s="482"/>
      <c r="LM48" s="482"/>
      <c r="LN48" s="482"/>
      <c r="LO48" s="482"/>
      <c r="LP48" s="482"/>
      <c r="LQ48" s="482"/>
      <c r="LR48" s="482"/>
      <c r="LS48" s="482"/>
      <c r="LT48" s="482"/>
      <c r="LU48" s="482"/>
      <c r="LV48" s="482"/>
      <c r="LW48" s="482"/>
      <c r="LX48" s="482"/>
      <c r="LY48" s="482"/>
      <c r="LZ48" s="482"/>
      <c r="MA48" s="482"/>
      <c r="MB48" s="482"/>
      <c r="MC48" s="482"/>
      <c r="MD48" s="482"/>
      <c r="ME48" s="482"/>
      <c r="MF48" s="482"/>
      <c r="MG48" s="482"/>
      <c r="MH48" s="482"/>
      <c r="MI48" s="482"/>
      <c r="MJ48" s="482"/>
      <c r="MK48" s="482"/>
      <c r="ML48" s="482"/>
      <c r="MM48" s="482"/>
      <c r="MN48" s="482"/>
      <c r="MO48" s="482"/>
      <c r="MP48" s="482"/>
      <c r="MQ48" s="482"/>
      <c r="MR48" s="482"/>
      <c r="MS48" s="482"/>
      <c r="MT48" s="482"/>
      <c r="MU48" s="482"/>
      <c r="MV48" s="482"/>
      <c r="MW48" s="482"/>
      <c r="MX48" s="482"/>
      <c r="MY48" s="482"/>
      <c r="MZ48" s="482"/>
      <c r="NA48" s="482"/>
      <c r="NB48" s="482"/>
      <c r="NC48" s="482"/>
      <c r="ND48" s="482"/>
      <c r="NE48" s="482"/>
      <c r="NF48" s="482"/>
      <c r="NG48" s="482"/>
      <c r="NH48" s="482"/>
      <c r="NI48" s="482"/>
      <c r="NJ48" s="483"/>
      <c r="NK48" s="34"/>
      <c r="NM48" s="159">
        <f>A48</f>
        <v>10</v>
      </c>
      <c r="NN48" s="373">
        <f ca="1">COUNTIF(INDIRECT((ADDRESS(ROW(NO49),$I$11+(MATCH(NN$11,L.DATE,0))))&amp;":"&amp;(ADDRESS(ROW(NO49),$I$11+NO$11+(MATCH(NN$11,L.DATE,0))-1))),"&gt;=0")-NO48</f>
        <v>0</v>
      </c>
      <c r="NO48" s="374">
        <f ca="1">SUM(INDIRECT((ADDRESS(ROW(NO49),$I$11+(MATCH(NN$11,L.DATE,0))))&amp;":"&amp;(ADDRESS(ROW(NO49),$I$11+NO$11+(MATCH(NN$11,L.DATE,0))-1))))</f>
        <v>0</v>
      </c>
      <c r="NP48" s="373">
        <f ca="1">COUNTIF(INDIRECT((ADDRESS(ROW(NQ49),$I$11+(MATCH(NP$11,L.DATE,0))))&amp;":"&amp;(ADDRESS(ROW(NQ49),$I$11+NQ$11+(MATCH(NP$11,L.DATE,0))-1))),"&gt;=0")-NQ48</f>
        <v>0</v>
      </c>
      <c r="NQ48" s="374">
        <f ca="1">SUM(INDIRECT((ADDRESS(ROW(NQ49),$I$11+(MATCH(NP$11,L.DATE,0))))&amp;":"&amp;(ADDRESS(ROW(NQ49),$I$11+NQ$11+(MATCH(NP$11,L.DATE,0))-1))))</f>
        <v>0</v>
      </c>
      <c r="NR48" s="373">
        <f ca="1">COUNTIF(INDIRECT((ADDRESS(ROW(NS49),$I$11+(MATCH(NR$11,L.DATE,0))))&amp;":"&amp;(ADDRESS(ROW(NS49),$I$11+NS$11+(MATCH(NR$11,L.DATE,0))-1))),"&gt;=0")-NS48</f>
        <v>5</v>
      </c>
      <c r="NS48" s="374">
        <f ca="1">SUM(INDIRECT((ADDRESS(ROW(NS49),$I$11+(MATCH(NR$11,L.DATE,0))))&amp;":"&amp;(ADDRESS(ROW(NS49),$I$11+NS$11+(MATCH(NR$11,L.DATE,0))-1))))</f>
        <v>0</v>
      </c>
      <c r="NT48" s="373">
        <f ca="1">COUNTIF(INDIRECT((ADDRESS(ROW(NU49),$I$11+(MATCH(NT$11,L.DATE,0))))&amp;":"&amp;(ADDRESS(ROW(NU49),$I$11+NU$11+(MATCH(NT$11,L.DATE,0))-1))),"&gt;=0")-NU48</f>
        <v>0</v>
      </c>
      <c r="NU48" s="374">
        <f ca="1">SUM(INDIRECT((ADDRESS(ROW(NU49),$I$11+(MATCH(NT$11,L.DATE,0))))&amp;":"&amp;(ADDRESS(ROW(NU49),$I$11+NU$11+(MATCH(NT$11,L.DATE,0))-1))))</f>
        <v>0</v>
      </c>
      <c r="NV48" s="373">
        <f ca="1">COUNTIF(INDIRECT((ADDRESS(ROW(NW49),$I$11+(MATCH(NV$11,L.DATE,0))))&amp;":"&amp;(ADDRESS(ROW(NW49),$I$11+NW$11+(MATCH(NV$11,L.DATE,0))-1))),"&gt;=0")-NW48</f>
        <v>0</v>
      </c>
      <c r="NW48" s="374">
        <f ca="1">SUM(INDIRECT((ADDRESS(ROW(NW49),$I$11+(MATCH(NV$11,L.DATE,0))))&amp;":"&amp;(ADDRESS(ROW(NW49),$I$11+NW$11+(MATCH(NV$11,L.DATE,0))-1))))</f>
        <v>0</v>
      </c>
      <c r="NX48" s="373">
        <f ca="1">COUNTIF(INDIRECT((ADDRESS(ROW(NY49),$I$11+(MATCH(NX$11,L.DATE,0))))&amp;":"&amp;(ADDRESS(ROW(NY49),$I$11+NY$11+(MATCH(NX$11,L.DATE,0))-1))),"&gt;=0")-NY48</f>
        <v>0</v>
      </c>
      <c r="NY48" s="374">
        <f ca="1">SUM(INDIRECT((ADDRESS(ROW(NY49),$I$11+(MATCH(NX$11,L.DATE,0))))&amp;":"&amp;(ADDRESS(ROW(NY49),$I$11+NY$11+(MATCH(NX$11,L.DATE,0))-1))))</f>
        <v>0</v>
      </c>
      <c r="NZ48" s="373">
        <f ca="1">COUNTIF(INDIRECT((ADDRESS(ROW(OA49),$I$11+(MATCH(NZ$11,L.DATE,0))))&amp;":"&amp;(ADDRESS(ROW(OA49),$I$11+OA$11+(MATCH(NZ$11,L.DATE,0))-1))),"&gt;=0")-OA48</f>
        <v>0</v>
      </c>
      <c r="OA48" s="374">
        <f ca="1">SUM(INDIRECT((ADDRESS(ROW(OA49),$I$11+(MATCH(NZ$11,L.DATE,0))))&amp;":"&amp;(ADDRESS(ROW(OA49),$I$11+OA$11+(MATCH(NZ$11,L.DATE,0))-1))))</f>
        <v>0</v>
      </c>
      <c r="OB48" s="373">
        <f ca="1">COUNTIF(INDIRECT((ADDRESS(ROW(OC49),$I$11+(MATCH(OB$11,L.DATE,0))))&amp;":"&amp;(ADDRESS(ROW(OC49),$I$11+OC$11+(MATCH(OB$11,L.DATE,0))-1))),"&gt;=0")-OC48</f>
        <v>0</v>
      </c>
      <c r="OC48" s="374">
        <f ca="1">SUM(INDIRECT((ADDRESS(ROW(OC49),$I$11+(MATCH(OB$11,L.DATE,0))))&amp;":"&amp;(ADDRESS(ROW(OC49),$I$11+OC$11+(MATCH(OB$11,L.DATE,0))-1))))</f>
        <v>0</v>
      </c>
      <c r="OD48" s="373">
        <f ca="1">COUNTIF(INDIRECT((ADDRESS(ROW(OE49),$I$11+(MATCH(OD$11,L.DATE,0))))&amp;":"&amp;(ADDRESS(ROW(OE49),$I$11+OE$11+(MATCH(OD$11,L.DATE,0))-1))),"&gt;=0")-OE48</f>
        <v>0</v>
      </c>
      <c r="OE48" s="374">
        <f ca="1">SUM(INDIRECT((ADDRESS(ROW(OE49),$I$11+(MATCH(OD$11,L.DATE,0))))&amp;":"&amp;(ADDRESS(ROW(OE49),$I$11+OE$11+(MATCH(OD$11,L.DATE,0))-1))))</f>
        <v>0</v>
      </c>
      <c r="OF48" s="373">
        <f ca="1">COUNTIF(INDIRECT((ADDRESS(ROW(OG49),$I$11+(MATCH(OF$11,L.DATE,0))))&amp;":"&amp;(ADDRESS(ROW(OG49),$I$11+OG$11+(MATCH(OF$11,L.DATE,0))-1))),"&gt;=0")-OG48</f>
        <v>0</v>
      </c>
      <c r="OG48" s="374">
        <f ca="1">SUM(INDIRECT((ADDRESS(ROW(OG49),$I$11+(MATCH(OF$11,L.DATE,0))))&amp;":"&amp;(ADDRESS(ROW(OG49),$I$11+OG$11+(MATCH(OF$11,L.DATE,0))-1))))</f>
        <v>0</v>
      </c>
      <c r="OH48" s="373">
        <f ca="1">COUNTIF(INDIRECT((ADDRESS(ROW(OI49),$I$11+(MATCH(OH$11,L.DATE,0))))&amp;":"&amp;(ADDRESS(ROW(OI49),$I$11+OI$11+(MATCH(OH$11,L.DATE,0))-1))),"&gt;=0")-OI48</f>
        <v>0</v>
      </c>
      <c r="OI48" s="374">
        <f ca="1">SUM(INDIRECT((ADDRESS(ROW(OI49),$I$11+(MATCH(OH$11,L.DATE,0))))&amp;":"&amp;(ADDRESS(ROW(OI49),$I$11+OI$11+(MATCH(OH$11,L.DATE,0))-1))))</f>
        <v>0</v>
      </c>
      <c r="OJ48" s="373">
        <f ca="1">COUNTIF(INDIRECT((ADDRESS(ROW(OK49),$I$11+(MATCH(OJ$11,L.DATE,0))))&amp;":"&amp;(ADDRESS(ROW(OK49),$I$11+OK$11+(MATCH(OJ$11,L.DATE,0))-1))),"&gt;=0")-OK48</f>
        <v>0</v>
      </c>
      <c r="OK48" s="375">
        <f ca="1">SUM(INDIRECT((ADDRESS(ROW(OK49),$I$11+(MATCH(OJ$11,L.DATE,0))))&amp;":"&amp;(ADDRESS(ROW(OK49),$I$11+OK$11+(MATCH(OJ$11,L.DATE,0))-1))))</f>
        <v>0</v>
      </c>
      <c r="OM48" s="39">
        <f ca="1">NN48+NP48+NR48+NT48+NV48+NX48+NZ48+OB48+OD48+OF48+OJ48+OH48</f>
        <v>5</v>
      </c>
      <c r="ON48" s="40">
        <f ca="1">NO48+NQ48+NS48+NU48+NW48+NY48+OA48+OC48+OE48+OG48+OK48+OI48</f>
        <v>0</v>
      </c>
    </row>
    <row r="49" spans="1:404" x14ac:dyDescent="0.3">
      <c r="A49" s="33"/>
      <c r="B49" s="16" t="str">
        <f t="shared" ref="B49:H49" si="40">B48</f>
        <v>TECH.N1</v>
      </c>
      <c r="C49" s="16">
        <f t="shared" si="40"/>
        <v>1</v>
      </c>
      <c r="D49" s="16" t="str">
        <f t="shared" si="40"/>
        <v>EXT</v>
      </c>
      <c r="E49" s="16" t="str">
        <f t="shared" si="40"/>
        <v>ITG</v>
      </c>
      <c r="F49" s="16" t="str">
        <f t="shared" si="40"/>
        <v>SL</v>
      </c>
      <c r="G49" s="105" t="str">
        <f t="shared" si="40"/>
        <v>N1</v>
      </c>
      <c r="H49" s="109">
        <f t="shared" si="40"/>
        <v>2</v>
      </c>
      <c r="I49" s="28"/>
      <c r="J49" s="482"/>
      <c r="K49" s="485"/>
      <c r="L49" s="482"/>
      <c r="M49" s="482"/>
      <c r="N49" s="482"/>
      <c r="O49" s="482"/>
      <c r="P49" s="482"/>
      <c r="Q49" s="482"/>
      <c r="R49" s="482"/>
      <c r="S49" s="482"/>
      <c r="T49" s="482"/>
      <c r="U49" s="482"/>
      <c r="V49" s="482"/>
      <c r="W49" s="482"/>
      <c r="X49" s="482"/>
      <c r="Y49" s="482"/>
      <c r="Z49" s="482"/>
      <c r="AA49" s="482"/>
      <c r="AB49" s="482"/>
      <c r="AC49" s="482"/>
      <c r="AD49" s="482"/>
      <c r="AE49" s="482"/>
      <c r="AF49" s="482"/>
      <c r="AG49" s="482"/>
      <c r="AH49" s="482"/>
      <c r="AI49" s="482"/>
      <c r="AJ49" s="482"/>
      <c r="AK49" s="482"/>
      <c r="AL49" s="482"/>
      <c r="AM49" s="482"/>
      <c r="AN49" s="482"/>
      <c r="AO49" s="482"/>
      <c r="AP49" s="482"/>
      <c r="AQ49" s="482"/>
      <c r="AR49" s="482"/>
      <c r="AS49" s="482"/>
      <c r="AT49" s="482"/>
      <c r="AU49" s="482"/>
      <c r="AV49" s="482"/>
      <c r="AW49" s="482"/>
      <c r="AX49" s="482"/>
      <c r="AY49" s="482"/>
      <c r="AZ49" s="482"/>
      <c r="BA49" s="482"/>
      <c r="BB49" s="482"/>
      <c r="BC49" s="482"/>
      <c r="BD49" s="482"/>
      <c r="BE49" s="482"/>
      <c r="BF49" s="482"/>
      <c r="BG49" s="482"/>
      <c r="BH49" s="482"/>
      <c r="BI49" s="482"/>
      <c r="BJ49" s="482"/>
      <c r="BK49" s="482"/>
      <c r="BL49" s="482"/>
      <c r="BM49" s="482"/>
      <c r="BN49" s="482"/>
      <c r="BO49" s="482"/>
      <c r="BP49" s="482"/>
      <c r="BQ49" s="482"/>
      <c r="BR49" s="482"/>
      <c r="BS49" s="482"/>
      <c r="BT49" s="482"/>
      <c r="BU49" s="482"/>
      <c r="BV49" s="482"/>
      <c r="BW49" s="482"/>
      <c r="BX49" s="482"/>
      <c r="BY49" s="482"/>
      <c r="BZ49" s="482"/>
      <c r="CA49" s="482"/>
      <c r="CB49" s="482"/>
      <c r="CC49" s="482"/>
      <c r="CD49" s="482"/>
      <c r="CE49" s="482"/>
      <c r="CF49" s="482"/>
      <c r="CG49" s="482"/>
      <c r="CH49" s="482"/>
      <c r="CI49" s="482"/>
      <c r="CJ49" s="482"/>
      <c r="CK49" s="482"/>
      <c r="CL49" s="482"/>
      <c r="CM49" s="482"/>
      <c r="CN49" s="482"/>
      <c r="CO49" s="482"/>
      <c r="CP49" s="482"/>
      <c r="CQ49" s="485">
        <v>0</v>
      </c>
      <c r="CR49" s="485">
        <v>0</v>
      </c>
      <c r="CS49" s="485">
        <v>0</v>
      </c>
      <c r="CT49" s="485">
        <v>0</v>
      </c>
      <c r="CU49" s="485">
        <v>0</v>
      </c>
      <c r="CV49" s="482"/>
      <c r="CW49" s="482"/>
      <c r="CX49" s="482"/>
      <c r="CY49" s="482"/>
      <c r="CZ49" s="482"/>
      <c r="DA49" s="482"/>
      <c r="DB49" s="482"/>
      <c r="DC49" s="482"/>
      <c r="DD49" s="482"/>
      <c r="DE49" s="482"/>
      <c r="DF49" s="482"/>
      <c r="DG49" s="482"/>
      <c r="DH49" s="482"/>
      <c r="DI49" s="482"/>
      <c r="DJ49" s="482"/>
      <c r="DK49" s="482"/>
      <c r="DL49" s="482"/>
      <c r="DM49" s="482"/>
      <c r="DN49" s="482"/>
      <c r="DO49" s="482"/>
      <c r="DP49" s="482"/>
      <c r="DQ49" s="482"/>
      <c r="DR49" s="482"/>
      <c r="DS49" s="482"/>
      <c r="DT49" s="482"/>
      <c r="DU49" s="482"/>
      <c r="DV49" s="482"/>
      <c r="DW49" s="482"/>
      <c r="DX49" s="482"/>
      <c r="DY49" s="482"/>
      <c r="DZ49" s="482"/>
      <c r="EA49" s="482"/>
      <c r="EB49" s="482"/>
      <c r="EC49" s="482"/>
      <c r="ED49" s="482"/>
      <c r="EE49" s="482"/>
      <c r="EF49" s="482"/>
      <c r="EG49" s="482"/>
      <c r="EH49" s="482"/>
      <c r="EI49" s="482"/>
      <c r="EJ49" s="482"/>
      <c r="EK49" s="482"/>
      <c r="EL49" s="482"/>
      <c r="EM49" s="482"/>
      <c r="EN49" s="482"/>
      <c r="EO49" s="482"/>
      <c r="EP49" s="482"/>
      <c r="EQ49" s="482"/>
      <c r="ER49" s="482"/>
      <c r="ES49" s="482"/>
      <c r="ET49" s="482"/>
      <c r="EU49" s="482"/>
      <c r="EV49" s="482"/>
      <c r="EW49" s="482"/>
      <c r="EX49" s="482"/>
      <c r="EY49" s="482"/>
      <c r="EZ49" s="482"/>
      <c r="FA49" s="482"/>
      <c r="FB49" s="482"/>
      <c r="FC49" s="482"/>
      <c r="FD49" s="482"/>
      <c r="FE49" s="482"/>
      <c r="FF49" s="482"/>
      <c r="FG49" s="482"/>
      <c r="FH49" s="482"/>
      <c r="FI49" s="482"/>
      <c r="FJ49" s="482"/>
      <c r="FK49" s="482"/>
      <c r="FL49" s="482"/>
      <c r="FM49" s="482"/>
      <c r="FN49" s="482"/>
      <c r="FO49" s="482"/>
      <c r="FP49" s="482"/>
      <c r="FQ49" s="482"/>
      <c r="FR49" s="482"/>
      <c r="FS49" s="482"/>
      <c r="FT49" s="482"/>
      <c r="FU49" s="482"/>
      <c r="FV49" s="482"/>
      <c r="FW49" s="482"/>
      <c r="FX49" s="482"/>
      <c r="FY49" s="482"/>
      <c r="FZ49" s="482"/>
      <c r="GA49" s="482"/>
      <c r="GB49" s="482"/>
      <c r="GC49" s="482"/>
      <c r="GD49" s="482"/>
      <c r="GE49" s="482"/>
      <c r="GF49" s="482"/>
      <c r="GG49" s="482"/>
      <c r="GH49" s="482"/>
      <c r="GI49" s="482"/>
      <c r="GJ49" s="482"/>
      <c r="GK49" s="482"/>
      <c r="GL49" s="482"/>
      <c r="GM49" s="482"/>
      <c r="GN49" s="482"/>
      <c r="GO49" s="482"/>
      <c r="GP49" s="482"/>
      <c r="GQ49" s="482"/>
      <c r="GR49" s="482"/>
      <c r="GS49" s="482"/>
      <c r="GT49" s="482"/>
      <c r="GU49" s="482"/>
      <c r="GV49" s="482"/>
      <c r="GW49" s="482"/>
      <c r="GX49" s="482"/>
      <c r="GY49" s="482"/>
      <c r="GZ49" s="482"/>
      <c r="HA49" s="482"/>
      <c r="HB49" s="482"/>
      <c r="HC49" s="482"/>
      <c r="HD49" s="482"/>
      <c r="HE49" s="482"/>
      <c r="HF49" s="482"/>
      <c r="HG49" s="482"/>
      <c r="HH49" s="482"/>
      <c r="HI49" s="482"/>
      <c r="HJ49" s="482"/>
      <c r="HK49" s="482"/>
      <c r="HL49" s="482"/>
      <c r="HM49" s="482"/>
      <c r="HN49" s="482"/>
      <c r="HO49" s="482"/>
      <c r="HP49" s="482"/>
      <c r="HQ49" s="482"/>
      <c r="HR49" s="482"/>
      <c r="HS49" s="482"/>
      <c r="HT49" s="482"/>
      <c r="HU49" s="482"/>
      <c r="HV49" s="482"/>
      <c r="HW49" s="482"/>
      <c r="HX49" s="482"/>
      <c r="HY49" s="482"/>
      <c r="HZ49" s="482"/>
      <c r="IA49" s="482"/>
      <c r="IB49" s="482"/>
      <c r="IC49" s="482"/>
      <c r="ID49" s="482"/>
      <c r="IE49" s="482"/>
      <c r="IF49" s="482"/>
      <c r="IG49" s="482"/>
      <c r="IH49" s="482"/>
      <c r="II49" s="482"/>
      <c r="IJ49" s="482"/>
      <c r="IK49" s="482"/>
      <c r="IL49" s="482"/>
      <c r="IM49" s="482"/>
      <c r="IN49" s="482"/>
      <c r="IO49" s="482"/>
      <c r="IP49" s="482"/>
      <c r="IQ49" s="482"/>
      <c r="IR49" s="482"/>
      <c r="IS49" s="482"/>
      <c r="IT49" s="482"/>
      <c r="IU49" s="482"/>
      <c r="IV49" s="482"/>
      <c r="IW49" s="482"/>
      <c r="IX49" s="482"/>
      <c r="IY49" s="482"/>
      <c r="IZ49" s="482"/>
      <c r="JA49" s="482"/>
      <c r="JB49" s="482"/>
      <c r="JC49" s="482"/>
      <c r="JD49" s="482"/>
      <c r="JE49" s="482"/>
      <c r="JF49" s="482"/>
      <c r="JG49" s="482"/>
      <c r="JH49" s="482"/>
      <c r="JI49" s="482"/>
      <c r="JJ49" s="482"/>
      <c r="JK49" s="482"/>
      <c r="JL49" s="482"/>
      <c r="JM49" s="482"/>
      <c r="JN49" s="482"/>
      <c r="JO49" s="482"/>
      <c r="JP49" s="482"/>
      <c r="JQ49" s="482"/>
      <c r="JR49" s="482"/>
      <c r="JS49" s="482"/>
      <c r="JT49" s="482"/>
      <c r="JU49" s="482"/>
      <c r="JV49" s="482"/>
      <c r="JW49" s="482"/>
      <c r="JX49" s="482"/>
      <c r="JY49" s="482"/>
      <c r="JZ49" s="482"/>
      <c r="KA49" s="482"/>
      <c r="KB49" s="482"/>
      <c r="KC49" s="482"/>
      <c r="KD49" s="482"/>
      <c r="KE49" s="482"/>
      <c r="KF49" s="482"/>
      <c r="KG49" s="482"/>
      <c r="KH49" s="482"/>
      <c r="KI49" s="482"/>
      <c r="KJ49" s="482"/>
      <c r="KK49" s="482"/>
      <c r="KL49" s="482"/>
      <c r="KM49" s="482"/>
      <c r="KN49" s="482"/>
      <c r="KO49" s="482"/>
      <c r="KP49" s="482"/>
      <c r="KQ49" s="482"/>
      <c r="KR49" s="482"/>
      <c r="KS49" s="482"/>
      <c r="KT49" s="482"/>
      <c r="KU49" s="482"/>
      <c r="KV49" s="482"/>
      <c r="KW49" s="482"/>
      <c r="KX49" s="482"/>
      <c r="KY49" s="482"/>
      <c r="KZ49" s="482"/>
      <c r="LA49" s="482"/>
      <c r="LB49" s="482"/>
      <c r="LC49" s="482"/>
      <c r="LD49" s="482"/>
      <c r="LE49" s="482"/>
      <c r="LF49" s="482"/>
      <c r="LG49" s="482"/>
      <c r="LH49" s="482"/>
      <c r="LI49" s="482"/>
      <c r="LJ49" s="482"/>
      <c r="LK49" s="482"/>
      <c r="LL49" s="482"/>
      <c r="LM49" s="482"/>
      <c r="LN49" s="482"/>
      <c r="LO49" s="482"/>
      <c r="LP49" s="482"/>
      <c r="LQ49" s="482"/>
      <c r="LR49" s="482"/>
      <c r="LS49" s="482"/>
      <c r="LT49" s="482"/>
      <c r="LU49" s="482"/>
      <c r="LV49" s="482"/>
      <c r="LW49" s="482"/>
      <c r="LX49" s="482"/>
      <c r="LY49" s="482"/>
      <c r="LZ49" s="482"/>
      <c r="MA49" s="482"/>
      <c r="MB49" s="482"/>
      <c r="MC49" s="482"/>
      <c r="MD49" s="482"/>
      <c r="ME49" s="482"/>
      <c r="MF49" s="482"/>
      <c r="MG49" s="482"/>
      <c r="MH49" s="482"/>
      <c r="MI49" s="482"/>
      <c r="MJ49" s="482"/>
      <c r="MK49" s="482"/>
      <c r="ML49" s="482"/>
      <c r="MM49" s="482"/>
      <c r="MN49" s="482"/>
      <c r="MO49" s="482"/>
      <c r="MP49" s="482"/>
      <c r="MQ49" s="482"/>
      <c r="MR49" s="482"/>
      <c r="MS49" s="482"/>
      <c r="MT49" s="482"/>
      <c r="MU49" s="482"/>
      <c r="MV49" s="482"/>
      <c r="MW49" s="482"/>
      <c r="MX49" s="482"/>
      <c r="MY49" s="482"/>
      <c r="MZ49" s="482"/>
      <c r="NA49" s="482"/>
      <c r="NB49" s="482"/>
      <c r="NC49" s="482"/>
      <c r="ND49" s="482"/>
      <c r="NE49" s="482"/>
      <c r="NF49" s="482"/>
      <c r="NG49" s="482"/>
      <c r="NH49" s="482"/>
      <c r="NI49" s="482"/>
      <c r="NJ49" s="483"/>
      <c r="NK49" s="34"/>
      <c r="NM49" s="379" t="str">
        <f>NM48&amp;".b"</f>
        <v>10.b</v>
      </c>
      <c r="NN49" s="376" t="str" cm="1">
        <f t="array" aca="1" ref="NN49" ca="1">IF(xcomp(INDIRECT((ADDRESS(ROW(NN48),$I$11+(MATCH(NN$11,L.DATE,0))))&amp;":"&amp;(ADDRESS(ROW(NN48),$I$11+NO$11+(MATCH(NN$11,L.DATE,0))-1))),L.ABSP)=0,"",
xsom(INDIRECT((ADDRESS(ROW(NN48),$I$11+(MATCH(NN$11,L.DATE,0))))&amp;":"&amp;(ADDRESS(ROW(NN48),$I$11+NO$11+(MATCH(NN$11,L.DATE,0))-1))),L.ABSP,
INDIRECT((ADDRESS(ROW(NN48)+1,$I$11+(MATCH(NN$11,L.DATE,0))))&amp;":"&amp;(ADDRESS(ROW(NN48)+1,$I$11+NO$11+(MATCH(NN$11,L.DATE,0))-1)))))</f>
        <v/>
      </c>
      <c r="NO49" s="377" t="str" cm="1">
        <f t="array" aca="1" ref="NO49" ca="1">IF(xcomp(INDIRECT((ADDRESS(ROW(NO48),$I$11+(MATCH(NN$11,L.DATE,0))))&amp;":"&amp;(ADDRESS(ROW(NO48),$I$11+NO$11+(MATCH(NN$11,L.DATE,0))-1))),L.ABS.NP)=0,"",
xsom(INDIRECT((ADDRESS(ROW(NO48),$I$11+(MATCH(NN$11,L.DATE,0))))&amp;":"&amp;(ADDRESS(ROW(NO48),$I$11+NO$11+(MATCH(NN$11,L.DATE,0))-1))),L.ABS.NP,
INDIRECT((ADDRESS(ROW(NO48)+1,$I$11+(MATCH(NN$11,L.DATE,0))))&amp;":"&amp;(ADDRESS(ROW(NO48)+1,$I$11+NO$11+(MATCH(NN$11,L.DATE,0))-1)))))</f>
        <v/>
      </c>
      <c r="NP49" s="376" t="str" cm="1">
        <f t="array" aca="1" ref="NP49" ca="1">IF(xcomp(INDIRECT((ADDRESS(ROW(NP48),$I$11+(MATCH(NP$11,L.DATE,0))))&amp;":"&amp;(ADDRESS(ROW(NP48),$I$11+NQ$11+(MATCH(NP$11,L.DATE,0))-1))),L.ABSP)=0,"",
xsom(INDIRECT((ADDRESS(ROW(NP48),$I$11+(MATCH(NP$11,L.DATE,0))))&amp;":"&amp;(ADDRESS(ROW(NP48),$I$11+NQ$11+(MATCH(NP$11,L.DATE,0))-1))),L.ABSP,
INDIRECT((ADDRESS(ROW(NP48)+1,$I$11+(MATCH(NP$11,L.DATE,0))))&amp;":"&amp;(ADDRESS(ROW(NP48)+1,$I$11+NQ$11+(MATCH(NP$11,L.DATE,0))-1)))))</f>
        <v/>
      </c>
      <c r="NQ49" s="377" t="str" cm="1">
        <f t="array" aca="1" ref="NQ49" ca="1">IF(xcomp(INDIRECT((ADDRESS(ROW(NQ48),$I$11+(MATCH(NP$11,L.DATE,0))))&amp;":"&amp;(ADDRESS(ROW(NQ48),$I$11+NQ$11+(MATCH(NP$11,L.DATE,0))-1))),L.ABS.NP)=0,"",
xsom(INDIRECT((ADDRESS(ROW(NQ48),$I$11+(MATCH(NP$11,L.DATE,0))))&amp;":"&amp;(ADDRESS(ROW(NQ48),$I$11+NQ$11+(MATCH(NP$11,L.DATE,0))-1))),L.ABS.NP,
INDIRECT((ADDRESS(ROW(NQ48)+1,$I$11+(MATCH(NP$11,L.DATE,0))))&amp;":"&amp;(ADDRESS(ROW(NQ48)+1,$I$11+NQ$11+(MATCH(NP$11,L.DATE,0))-1)))))</f>
        <v/>
      </c>
      <c r="NR49" s="376" cm="1">
        <f t="array" aca="1" ref="NR49" ca="1">IF(xcomp(INDIRECT((ADDRESS(ROW(NR48),$I$11+(MATCH(NR$11,L.DATE,0))))&amp;":"&amp;(ADDRESS(ROW(NR48),$I$11+NS$11+(MATCH(NR$11,L.DATE,0))-1))),L.ABSP)=0,"",
xsom(INDIRECT((ADDRESS(ROW(NR48),$I$11+(MATCH(NR$11,L.DATE,0))))&amp;":"&amp;(ADDRESS(ROW(NR48),$I$11+NS$11+(MATCH(NR$11,L.DATE,0))-1))),L.ABSP,
INDIRECT((ADDRESS(ROW(NR48)+1,$I$11+(MATCH(NR$11,L.DATE,0))))&amp;":"&amp;(ADDRESS(ROW(NR48)+1,$I$11+NS$11+(MATCH(NR$11,L.DATE,0))-1)))))</f>
        <v>5</v>
      </c>
      <c r="NS49" s="377" t="str" cm="1">
        <f t="array" aca="1" ref="NS49" ca="1">IF(xcomp(INDIRECT((ADDRESS(ROW(NS48),$I$11+(MATCH(NR$11,L.DATE,0))))&amp;":"&amp;(ADDRESS(ROW(NS48),$I$11+NS$11+(MATCH(NR$11,L.DATE,0))-1))),L.ABS.NP)=0,"",
xsom(INDIRECT((ADDRESS(ROW(NS48),$I$11+(MATCH(NR$11,L.DATE,0))))&amp;":"&amp;(ADDRESS(ROW(NS48),$I$11+NS$11+(MATCH(NR$11,L.DATE,0))-1))),L.ABS.NP,
INDIRECT((ADDRESS(ROW(NS48)+1,$I$11+(MATCH(NR$11,L.DATE,0))))&amp;":"&amp;(ADDRESS(ROW(NS48)+1,$I$11+NS$11+(MATCH(NR$11,L.DATE,0))-1)))))</f>
        <v/>
      </c>
      <c r="NT49" s="376" t="str" cm="1">
        <f t="array" aca="1" ref="NT49" ca="1">IF(xcomp(INDIRECT((ADDRESS(ROW(NT48),$I$11+(MATCH(NT$11,L.DATE,0))))&amp;":"&amp;(ADDRESS(ROW(NT48),$I$11+NU$11+(MATCH(NT$11,L.DATE,0))-1))),L.ABSP)=0,"",
xsom(INDIRECT((ADDRESS(ROW(NT48),$I$11+(MATCH(NT$11,L.DATE,0))))&amp;":"&amp;(ADDRESS(ROW(NT48),$I$11+NU$11+(MATCH(NT$11,L.DATE,0))-1))),L.ABSP,
INDIRECT((ADDRESS(ROW(NT48)+1,$I$11+(MATCH(NT$11,L.DATE,0))))&amp;":"&amp;(ADDRESS(ROW(NT48)+1,$I$11+NU$11+(MATCH(NT$11,L.DATE,0))-1)))))</f>
        <v/>
      </c>
      <c r="NU49" s="377" t="str" cm="1">
        <f t="array" aca="1" ref="NU49" ca="1">IF(xcomp(INDIRECT((ADDRESS(ROW(NU48),$I$11+(MATCH(NT$11,L.DATE,0))))&amp;":"&amp;(ADDRESS(ROW(NU48),$I$11+NU$11+(MATCH(NT$11,L.DATE,0))-1))),L.ABS.NP)=0,"",
xsom(INDIRECT((ADDRESS(ROW(NU48),$I$11+(MATCH(NT$11,L.DATE,0))))&amp;":"&amp;(ADDRESS(ROW(NU48),$I$11+NU$11+(MATCH(NT$11,L.DATE,0))-1))),L.ABS.NP,
INDIRECT((ADDRESS(ROW(NU48)+1,$I$11+(MATCH(NT$11,L.DATE,0))))&amp;":"&amp;(ADDRESS(ROW(NU48)+1,$I$11+NU$11+(MATCH(NT$11,L.DATE,0))-1)))))</f>
        <v/>
      </c>
      <c r="NV49" s="376" t="str" cm="1">
        <f t="array" aca="1" ref="NV49" ca="1">IF(xcomp(INDIRECT((ADDRESS(ROW(NV48),$I$11+(MATCH(NV$11,L.DATE,0))))&amp;":"&amp;(ADDRESS(ROW(NV48),$I$11+NW$11+(MATCH(NV$11,L.DATE,0))-1))),L.ABSP)=0,"",
xsom(INDIRECT((ADDRESS(ROW(NV48),$I$11+(MATCH(NV$11,L.DATE,0))))&amp;":"&amp;(ADDRESS(ROW(NV48),$I$11+NW$11+(MATCH(NV$11,L.DATE,0))-1))),L.ABSP,
INDIRECT((ADDRESS(ROW(NV48)+1,$I$11+(MATCH(NV$11,L.DATE,0))))&amp;":"&amp;(ADDRESS(ROW(NV48)+1,$I$11+NW$11+(MATCH(NV$11,L.DATE,0))-1)))))</f>
        <v/>
      </c>
      <c r="NW49" s="377" t="str" cm="1">
        <f t="array" aca="1" ref="NW49" ca="1">IF(xcomp(INDIRECT((ADDRESS(ROW(NW48),$I$11+(MATCH(NV$11,L.DATE,0))))&amp;":"&amp;(ADDRESS(ROW(NW48),$I$11+NW$11+(MATCH(NV$11,L.DATE,0))-1))),L.ABS.NP)=0,"",
xsom(INDIRECT((ADDRESS(ROW(NW48),$I$11+(MATCH(NV$11,L.DATE,0))))&amp;":"&amp;(ADDRESS(ROW(NW48),$I$11+NW$11+(MATCH(NV$11,L.DATE,0))-1))),L.ABS.NP,
INDIRECT((ADDRESS(ROW(NW48)+1,$I$11+(MATCH(NV$11,L.DATE,0))))&amp;":"&amp;(ADDRESS(ROW(NW48)+1,$I$11+NW$11+(MATCH(NV$11,L.DATE,0))-1)))))</f>
        <v/>
      </c>
      <c r="NX49" s="376" t="str" cm="1">
        <f t="array" aca="1" ref="NX49" ca="1">IF(xcomp(INDIRECT((ADDRESS(ROW(NX48),$I$11+(MATCH(NX$11,L.DATE,0))))&amp;":"&amp;(ADDRESS(ROW(NX48),$I$11+NY$11+(MATCH(NX$11,L.DATE,0))-1))),L.ABSP)=0,"",
xsom(INDIRECT((ADDRESS(ROW(NX48),$I$11+(MATCH(NX$11,L.DATE,0))))&amp;":"&amp;(ADDRESS(ROW(NX48),$I$11+NY$11+(MATCH(NX$11,L.DATE,0))-1))),L.ABSP,
INDIRECT((ADDRESS(ROW(NX48)+1,$I$11+(MATCH(NX$11,L.DATE,0))))&amp;":"&amp;(ADDRESS(ROW(NX48)+1,$I$11+NY$11+(MATCH(NX$11,L.DATE,0))-1)))))</f>
        <v/>
      </c>
      <c r="NY49" s="377" t="str" cm="1">
        <f t="array" aca="1" ref="NY49" ca="1">IF(xcomp(INDIRECT((ADDRESS(ROW(NY48),$I$11+(MATCH(NX$11,L.DATE,0))))&amp;":"&amp;(ADDRESS(ROW(NY48),$I$11+NY$11+(MATCH(NX$11,L.DATE,0))-1))),L.ABS.NP)=0,"",
xsom(INDIRECT((ADDRESS(ROW(NY48),$I$11+(MATCH(NX$11,L.DATE,0))))&amp;":"&amp;(ADDRESS(ROW(NY48),$I$11+NY$11+(MATCH(NX$11,L.DATE,0))-1))),L.ABS.NP,
INDIRECT((ADDRESS(ROW(NY48)+1,$I$11+(MATCH(NX$11,L.DATE,0))))&amp;":"&amp;(ADDRESS(ROW(NY48)+1,$I$11+NY$11+(MATCH(NX$11,L.DATE,0))-1)))))</f>
        <v/>
      </c>
      <c r="NZ49" s="376" t="str" cm="1">
        <f t="array" aca="1" ref="NZ49" ca="1">IF(xcomp(INDIRECT((ADDRESS(ROW(NZ48),$I$11+(MATCH(NZ$11,L.DATE,0))))&amp;":"&amp;(ADDRESS(ROW(NZ48),$I$11+OA$11+(MATCH(NZ$11,L.DATE,0))-1))),L.ABSP)=0,"",
xsom(INDIRECT((ADDRESS(ROW(NZ48),$I$11+(MATCH(NZ$11,L.DATE,0))))&amp;":"&amp;(ADDRESS(ROW(NZ48),$I$11+OA$11+(MATCH(NZ$11,L.DATE,0))-1))),L.ABSP,
INDIRECT((ADDRESS(ROW(NZ48)+1,$I$11+(MATCH(NZ$11,L.DATE,0))))&amp;":"&amp;(ADDRESS(ROW(NZ48)+1,$I$11+OA$11+(MATCH(NZ$11,L.DATE,0))-1)))))</f>
        <v/>
      </c>
      <c r="OA49" s="377" t="str" cm="1">
        <f t="array" aca="1" ref="OA49" ca="1">IF(xcomp(INDIRECT((ADDRESS(ROW(OA48),$I$11+(MATCH(NZ$11,L.DATE,0))))&amp;":"&amp;(ADDRESS(ROW(OA48),$I$11+OA$11+(MATCH(NZ$11,L.DATE,0))-1))),L.ABS.NP)=0,"",
xsom(INDIRECT((ADDRESS(ROW(OA48),$I$11+(MATCH(NZ$11,L.DATE,0))))&amp;":"&amp;(ADDRESS(ROW(OA48),$I$11+OA$11+(MATCH(NZ$11,L.DATE,0))-1))),L.ABS.NP,
INDIRECT((ADDRESS(ROW(OA48)+1,$I$11+(MATCH(NZ$11,L.DATE,0))))&amp;":"&amp;(ADDRESS(ROW(OA48)+1,$I$11+OA$11+(MATCH(NZ$11,L.DATE,0))-1)))))</f>
        <v/>
      </c>
      <c r="OB49" s="376" t="str" cm="1">
        <f t="array" aca="1" ref="OB49" ca="1">IF(xcomp(INDIRECT((ADDRESS(ROW(OB48),$I$11+(MATCH(OB$11,L.DATE,0))))&amp;":"&amp;(ADDRESS(ROW(OB48),$I$11+OC$11+(MATCH(OB$11,L.DATE,0))-1))),L.ABSP)=0,"",
xsom(INDIRECT((ADDRESS(ROW(OB48),$I$11+(MATCH(OB$11,L.DATE,0))))&amp;":"&amp;(ADDRESS(ROW(OB48),$I$11+OC$11+(MATCH(OB$11,L.DATE,0))-1))),L.ABSP,
INDIRECT((ADDRESS(ROW(OB48)+1,$I$11+(MATCH(OB$11,L.DATE,0))))&amp;":"&amp;(ADDRESS(ROW(OB48)+1,$I$11+OC$11+(MATCH(OB$11,L.DATE,0))-1)))))</f>
        <v/>
      </c>
      <c r="OC49" s="377" t="str" cm="1">
        <f t="array" aca="1" ref="OC49" ca="1">IF(xcomp(INDIRECT((ADDRESS(ROW(OC48),$I$11+(MATCH(OB$11,L.DATE,0))))&amp;":"&amp;(ADDRESS(ROW(OC48),$I$11+OC$11+(MATCH(OB$11,L.DATE,0))-1))),L.ABS.NP)=0,"",
xsom(INDIRECT((ADDRESS(ROW(OC48),$I$11+(MATCH(OB$11,L.DATE,0))))&amp;":"&amp;(ADDRESS(ROW(OC48),$I$11+OC$11+(MATCH(OB$11,L.DATE,0))-1))),L.ABS.NP,
INDIRECT((ADDRESS(ROW(OC48)+1,$I$11+(MATCH(OB$11,L.DATE,0))))&amp;":"&amp;(ADDRESS(ROW(OC48)+1,$I$11+OC$11+(MATCH(OB$11,L.DATE,0))-1)))))</f>
        <v/>
      </c>
      <c r="OD49" s="376" t="str" cm="1">
        <f t="array" aca="1" ref="OD49" ca="1">IF(xcomp(INDIRECT((ADDRESS(ROW(OD48),$I$11+(MATCH(OD$11,L.DATE,0))))&amp;":"&amp;(ADDRESS(ROW(OD48),$I$11+OE$11+(MATCH(OD$11,L.DATE,0))-1))),L.ABSP)=0,"",
xsom(INDIRECT((ADDRESS(ROW(OD48),$I$11+(MATCH(OD$11,L.DATE,0))))&amp;":"&amp;(ADDRESS(ROW(OD48),$I$11+OE$11+(MATCH(OD$11,L.DATE,0))-1))),L.ABSP,
INDIRECT((ADDRESS(ROW(OD48)+1,$I$11+(MATCH(OD$11,L.DATE,0))))&amp;":"&amp;(ADDRESS(ROW(OD48)+1,$I$11+OE$11+(MATCH(OD$11,L.DATE,0))-1)))))</f>
        <v/>
      </c>
      <c r="OE49" s="377" t="str" cm="1">
        <f t="array" aca="1" ref="OE49" ca="1">IF(xcomp(INDIRECT((ADDRESS(ROW(OE48),$I$11+(MATCH(OD$11,L.DATE,0))))&amp;":"&amp;(ADDRESS(ROW(OE48),$I$11+OE$11+(MATCH(OD$11,L.DATE,0))-1))),L.ABS.NP)=0,"",
xsom(INDIRECT((ADDRESS(ROW(OE48),$I$11+(MATCH(OD$11,L.DATE,0))))&amp;":"&amp;(ADDRESS(ROW(OE48),$I$11+OE$11+(MATCH(OD$11,L.DATE,0))-1))),L.ABS.NP,
INDIRECT((ADDRESS(ROW(OE48)+1,$I$11+(MATCH(OD$11,L.DATE,0))))&amp;":"&amp;(ADDRESS(ROW(OE48)+1,$I$11+OE$11+(MATCH(OD$11,L.DATE,0))-1)))))</f>
        <v/>
      </c>
      <c r="OF49" s="376" t="str" cm="1">
        <f t="array" aca="1" ref="OF49" ca="1">IF(xcomp(INDIRECT((ADDRESS(ROW(OF48),$I$11+(MATCH(OF$11,L.DATE,0))))&amp;":"&amp;(ADDRESS(ROW(OF48),$I$11+OG$11+(MATCH(OF$11,L.DATE,0))-1))),L.ABSP)=0,"",
xsom(INDIRECT((ADDRESS(ROW(OF48),$I$11+(MATCH(OF$11,L.DATE,0))))&amp;":"&amp;(ADDRESS(ROW(OF48),$I$11+OG$11+(MATCH(OF$11,L.DATE,0))-1))),L.ABSP,
INDIRECT((ADDRESS(ROW(OF48)+1,$I$11+(MATCH(OF$11,L.DATE,0))))&amp;":"&amp;(ADDRESS(ROW(OF48)+1,$I$11+OG$11+(MATCH(OF$11,L.DATE,0))-1)))))</f>
        <v/>
      </c>
      <c r="OG49" s="377" t="str" cm="1">
        <f t="array" aca="1" ref="OG49" ca="1">IF(xcomp(INDIRECT((ADDRESS(ROW(OG48),$I$11+(MATCH(OF$11,L.DATE,0))))&amp;":"&amp;(ADDRESS(ROW(OG48),$I$11+OG$11+(MATCH(OF$11,L.DATE,0))-1))),L.ABS.NP)=0,"",
xsom(INDIRECT((ADDRESS(ROW(OG48),$I$11+(MATCH(OF$11,L.DATE,0))))&amp;":"&amp;(ADDRESS(ROW(OG48),$I$11+OG$11+(MATCH(OF$11,L.DATE,0))-1))),L.ABS.NP,
INDIRECT((ADDRESS(ROW(OG48)+1,$I$11+(MATCH(OF$11,L.DATE,0))))&amp;":"&amp;(ADDRESS(ROW(OG48)+1,$I$11+OG$11+(MATCH(OF$11,L.DATE,0))-1)))))</f>
        <v/>
      </c>
      <c r="OH49" s="376" t="str" cm="1">
        <f t="array" aca="1" ref="OH49" ca="1">IF(xcomp(INDIRECT((ADDRESS(ROW(OH48),$I$11+(MATCH(OH$11,L.DATE,0))))&amp;":"&amp;(ADDRESS(ROW(OH48),$I$11+OI$11+(MATCH(OH$11,L.DATE,0))-1))),L.ABSP)=0,"",
xsom(INDIRECT((ADDRESS(ROW(OH48),$I$11+(MATCH(OH$11,L.DATE,0))))&amp;":"&amp;(ADDRESS(ROW(OH48),$I$11+OI$11+(MATCH(OH$11,L.DATE,0))-1))),L.ABSP,
INDIRECT((ADDRESS(ROW(OH48)+1,$I$11+(MATCH(OH$11,L.DATE,0))))&amp;":"&amp;(ADDRESS(ROW(OH48)+1,$I$11+OI$11+(MATCH(OH$11,L.DATE,0))-1)))))</f>
        <v/>
      </c>
      <c r="OI49" s="377" t="str" cm="1">
        <f t="array" aca="1" ref="OI49" ca="1">IF(xcomp(INDIRECT((ADDRESS(ROW(OI48),$I$11+(MATCH(OH$11,L.DATE,0))))&amp;":"&amp;(ADDRESS(ROW(OI48),$I$11+OI$11+(MATCH(OH$11,L.DATE,0))-1))),L.ABS.NP)=0,"",
xsom(INDIRECT((ADDRESS(ROW(OI48),$I$11+(MATCH(OH$11,L.DATE,0))))&amp;":"&amp;(ADDRESS(ROW(OI48),$I$11+OI$11+(MATCH(OH$11,L.DATE,0))-1))),L.ABS.NP,
INDIRECT((ADDRESS(ROW(OI48)+1,$I$11+(MATCH(OH$11,L.DATE,0))))&amp;":"&amp;(ADDRESS(ROW(OI48)+1,$I$11+OI$11+(MATCH(OH$11,L.DATE,0))-1)))))</f>
        <v/>
      </c>
      <c r="OJ49" s="376" t="str" cm="1">
        <f t="array" aca="1" ref="OJ49" ca="1">IF(xcomp(INDIRECT((ADDRESS(ROW(OJ48),$I$11+(MATCH(OJ$11,L.DATE,0))))&amp;":"&amp;(ADDRESS(ROW(OJ48),$I$11+OK$11+(MATCH(OJ$11,L.DATE,0))-1))),L.ABSP)=0,"",
xsom(INDIRECT((ADDRESS(ROW(OJ48),$I$11+(MATCH(OJ$11,L.DATE,0))))&amp;":"&amp;(ADDRESS(ROW(OJ48),$I$11+OK$11+(MATCH(OJ$11,L.DATE,0))-1))),L.ABSP,
INDIRECT((ADDRESS(ROW(OJ48)+1,$I$11+(MATCH(OJ$11,L.DATE,0))))&amp;":"&amp;(ADDRESS(ROW(OJ48)+1,$I$11+OK$11+(MATCH(OJ$11,L.DATE,0))-1)))))</f>
        <v/>
      </c>
      <c r="OK49" s="378" t="str" cm="1">
        <f t="array" aca="1" ref="OK49" ca="1">IF(xcomp(INDIRECT((ADDRESS(ROW(OK48),$I$11+(MATCH(OJ$11,L.DATE,0))))&amp;":"&amp;(ADDRESS(ROW(OK48),$I$11+OK$11+(MATCH(OJ$11,L.DATE,0))-1))),L.ABS.NP)=0,"",
xsom(INDIRECT((ADDRESS(ROW(OK48),$I$11+(MATCH(OJ$11,L.DATE,0))))&amp;":"&amp;(ADDRESS(ROW(OK48),$I$11+OK$11+(MATCH(OJ$11,L.DATE,0))-1))),L.ABS.NP,
INDIRECT((ADDRESS(ROW(OK48)+1,$I$11+(MATCH(OJ$11,L.DATE,0))))&amp;":"&amp;(ADDRESS(ROW(OK48)+1,$I$11+OK$11+(MATCH(OJ$11,L.DATE,0))-1)))))</f>
        <v/>
      </c>
    </row>
    <row r="50" spans="1:404" ht="12" customHeight="1" x14ac:dyDescent="0.3">
      <c r="A50" s="394">
        <v>11</v>
      </c>
      <c r="B50" s="381" t="s">
        <v>503</v>
      </c>
      <c r="C50" s="53">
        <v>1</v>
      </c>
      <c r="D50" s="53" t="s">
        <v>18</v>
      </c>
      <c r="E50" s="53" t="s">
        <v>484</v>
      </c>
      <c r="F50" s="53" t="s">
        <v>13</v>
      </c>
      <c r="G50" s="104" t="s">
        <v>490</v>
      </c>
      <c r="H50" s="108">
        <v>2</v>
      </c>
      <c r="I50" s="28"/>
      <c r="J50" s="482"/>
      <c r="K50" s="487"/>
      <c r="L50" s="486"/>
      <c r="M50" s="482"/>
      <c r="N50" s="482"/>
      <c r="O50" s="482"/>
      <c r="P50" s="482"/>
      <c r="Q50" s="482"/>
      <c r="R50" s="482"/>
      <c r="S50" s="482"/>
      <c r="T50" s="482"/>
      <c r="U50" s="482"/>
      <c r="V50" s="482"/>
      <c r="W50" s="482"/>
      <c r="X50" s="482"/>
      <c r="Y50" s="482"/>
      <c r="Z50" s="482"/>
      <c r="AA50" s="482"/>
      <c r="AB50" s="482"/>
      <c r="AC50" s="482"/>
      <c r="AD50" s="482"/>
      <c r="AE50" s="482"/>
      <c r="AF50" s="482"/>
      <c r="AG50" s="482"/>
      <c r="AH50" s="482"/>
      <c r="AI50" s="482"/>
      <c r="AJ50" s="482"/>
      <c r="AK50" s="482"/>
      <c r="AL50" s="482"/>
      <c r="AM50" s="482"/>
      <c r="AN50" s="482"/>
      <c r="AO50" s="482"/>
      <c r="AP50" s="482"/>
      <c r="AQ50" s="482"/>
      <c r="AR50" s="482"/>
      <c r="AS50" s="482"/>
      <c r="AT50" s="482"/>
      <c r="AU50" s="482"/>
      <c r="AV50" s="482"/>
      <c r="AW50" s="482"/>
      <c r="AX50" s="482"/>
      <c r="AY50" s="482"/>
      <c r="AZ50" s="482"/>
      <c r="BA50" s="482"/>
      <c r="BB50" s="482"/>
      <c r="BC50" s="482"/>
      <c r="BD50" s="482"/>
      <c r="BE50" s="482"/>
      <c r="BF50" s="482"/>
      <c r="BG50" s="482"/>
      <c r="BH50" s="482"/>
      <c r="BI50" s="482"/>
      <c r="BJ50" s="482"/>
      <c r="BK50" s="482"/>
      <c r="BL50" s="482"/>
      <c r="BM50" s="482"/>
      <c r="BN50" s="482"/>
      <c r="BO50" s="482"/>
      <c r="BP50" s="482"/>
      <c r="BQ50" s="482"/>
      <c r="BR50" s="482"/>
      <c r="BS50" s="482"/>
      <c r="BT50" s="482"/>
      <c r="BU50" s="482"/>
      <c r="BV50" s="482"/>
      <c r="BW50" s="482"/>
      <c r="BX50" s="482"/>
      <c r="BY50" s="482"/>
      <c r="BZ50" s="482"/>
      <c r="CA50" s="482"/>
      <c r="CB50" s="482"/>
      <c r="CC50" s="482"/>
      <c r="CD50" s="482"/>
      <c r="CE50" s="482"/>
      <c r="CF50" s="482"/>
      <c r="CG50" s="482"/>
      <c r="CH50" s="482"/>
      <c r="CI50" s="482"/>
      <c r="CJ50" s="484" t="s">
        <v>27</v>
      </c>
      <c r="CK50" s="484" t="s">
        <v>27</v>
      </c>
      <c r="CL50" s="484" t="s">
        <v>27</v>
      </c>
      <c r="CM50" s="484" t="s">
        <v>27</v>
      </c>
      <c r="CN50" s="484" t="s">
        <v>27</v>
      </c>
      <c r="CO50" s="482"/>
      <c r="CP50" s="482"/>
      <c r="CQ50" s="484" t="s">
        <v>27</v>
      </c>
      <c r="CR50" s="484" t="s">
        <v>27</v>
      </c>
      <c r="CS50" s="484" t="s">
        <v>27</v>
      </c>
      <c r="CT50" s="484" t="s">
        <v>27</v>
      </c>
      <c r="CU50" s="484" t="s">
        <v>27</v>
      </c>
      <c r="CV50" s="482"/>
      <c r="CW50" s="482"/>
      <c r="CX50" s="482"/>
      <c r="CY50" s="482"/>
      <c r="CZ50" s="482"/>
      <c r="DA50" s="482"/>
      <c r="DB50" s="482"/>
      <c r="DC50" s="482"/>
      <c r="DD50" s="482"/>
      <c r="DE50" s="482"/>
      <c r="DF50" s="482"/>
      <c r="DG50" s="482"/>
      <c r="DH50" s="482"/>
      <c r="DI50" s="482"/>
      <c r="DJ50" s="482"/>
      <c r="DK50" s="482"/>
      <c r="DL50" s="482"/>
      <c r="DM50" s="482"/>
      <c r="DN50" s="482"/>
      <c r="DO50" s="482"/>
      <c r="DP50" s="482"/>
      <c r="DQ50" s="482"/>
      <c r="DR50" s="482"/>
      <c r="DS50" s="482"/>
      <c r="DT50" s="482"/>
      <c r="DU50" s="482"/>
      <c r="DV50" s="482"/>
      <c r="DW50" s="482"/>
      <c r="DX50" s="482"/>
      <c r="DY50" s="482"/>
      <c r="DZ50" s="482"/>
      <c r="EA50" s="482"/>
      <c r="EB50" s="482"/>
      <c r="EC50" s="482"/>
      <c r="ED50" s="482"/>
      <c r="EE50" s="482"/>
      <c r="EF50" s="482"/>
      <c r="EG50" s="482"/>
      <c r="EH50" s="482"/>
      <c r="EI50" s="482"/>
      <c r="EJ50" s="482"/>
      <c r="EK50" s="482"/>
      <c r="EL50" s="482"/>
      <c r="EM50" s="482"/>
      <c r="EN50" s="482"/>
      <c r="EO50" s="482"/>
      <c r="EP50" s="482"/>
      <c r="EQ50" s="482"/>
      <c r="ER50" s="482"/>
      <c r="ES50" s="482"/>
      <c r="ET50" s="482"/>
      <c r="EU50" s="482"/>
      <c r="EV50" s="482"/>
      <c r="EW50" s="482"/>
      <c r="EX50" s="482"/>
      <c r="EY50" s="482"/>
      <c r="EZ50" s="482"/>
      <c r="FA50" s="482"/>
      <c r="FB50" s="482"/>
      <c r="FC50" s="482"/>
      <c r="FD50" s="482"/>
      <c r="FE50" s="482"/>
      <c r="FF50" s="482"/>
      <c r="FG50" s="482"/>
      <c r="FH50" s="482"/>
      <c r="FI50" s="482"/>
      <c r="FJ50" s="482"/>
      <c r="FK50" s="482"/>
      <c r="FL50" s="482"/>
      <c r="FM50" s="482"/>
      <c r="FN50" s="482"/>
      <c r="FO50" s="482"/>
      <c r="FP50" s="482"/>
      <c r="FQ50" s="482"/>
      <c r="FR50" s="482"/>
      <c r="FS50" s="482"/>
      <c r="FT50" s="482"/>
      <c r="FU50" s="482"/>
      <c r="FV50" s="482"/>
      <c r="FW50" s="482"/>
      <c r="FX50" s="482"/>
      <c r="FY50" s="482"/>
      <c r="FZ50" s="482"/>
      <c r="GA50" s="482"/>
      <c r="GB50" s="482"/>
      <c r="GC50" s="482"/>
      <c r="GD50" s="482"/>
      <c r="GE50" s="482"/>
      <c r="GF50" s="482"/>
      <c r="GG50" s="482"/>
      <c r="GH50" s="482"/>
      <c r="GI50" s="482"/>
      <c r="GJ50" s="482"/>
      <c r="GK50" s="482"/>
      <c r="GL50" s="482"/>
      <c r="GM50" s="482"/>
      <c r="GN50" s="482"/>
      <c r="GO50" s="482"/>
      <c r="GP50" s="482"/>
      <c r="GQ50" s="482"/>
      <c r="GR50" s="482"/>
      <c r="GS50" s="482"/>
      <c r="GT50" s="482"/>
      <c r="GU50" s="482"/>
      <c r="GV50" s="482"/>
      <c r="GW50" s="482"/>
      <c r="GX50" s="482"/>
      <c r="GY50" s="482"/>
      <c r="GZ50" s="482"/>
      <c r="HA50" s="482"/>
      <c r="HB50" s="482"/>
      <c r="HC50" s="482"/>
      <c r="HD50" s="482"/>
      <c r="HE50" s="482"/>
      <c r="HF50" s="482"/>
      <c r="HG50" s="482"/>
      <c r="HH50" s="482"/>
      <c r="HI50" s="482"/>
      <c r="HJ50" s="482"/>
      <c r="HK50" s="482"/>
      <c r="HL50" s="482"/>
      <c r="HM50" s="482"/>
      <c r="HN50" s="482"/>
      <c r="HO50" s="482"/>
      <c r="HP50" s="482"/>
      <c r="HQ50" s="482"/>
      <c r="HR50" s="482"/>
      <c r="HS50" s="482"/>
      <c r="HT50" s="482"/>
      <c r="HU50" s="482"/>
      <c r="HV50" s="482"/>
      <c r="HW50" s="482"/>
      <c r="HX50" s="482"/>
      <c r="HY50" s="482"/>
      <c r="HZ50" s="482"/>
      <c r="IA50" s="482"/>
      <c r="IB50" s="482"/>
      <c r="IC50" s="482"/>
      <c r="ID50" s="482"/>
      <c r="IE50" s="482"/>
      <c r="IF50" s="482"/>
      <c r="IG50" s="482"/>
      <c r="IH50" s="482"/>
      <c r="II50" s="482"/>
      <c r="IJ50" s="482"/>
      <c r="IK50" s="482"/>
      <c r="IL50" s="482"/>
      <c r="IM50" s="482"/>
      <c r="IN50" s="482"/>
      <c r="IO50" s="482"/>
      <c r="IP50" s="482"/>
      <c r="IQ50" s="482"/>
      <c r="IR50" s="482"/>
      <c r="IS50" s="482"/>
      <c r="IT50" s="482"/>
      <c r="IU50" s="482"/>
      <c r="IV50" s="482"/>
      <c r="IW50" s="482"/>
      <c r="IX50" s="482"/>
      <c r="IY50" s="482"/>
      <c r="IZ50" s="482"/>
      <c r="JA50" s="482"/>
      <c r="JB50" s="482"/>
      <c r="JC50" s="482"/>
      <c r="JD50" s="482"/>
      <c r="JE50" s="482"/>
      <c r="JF50" s="482"/>
      <c r="JG50" s="482"/>
      <c r="JH50" s="482"/>
      <c r="JI50" s="482"/>
      <c r="JJ50" s="482"/>
      <c r="JK50" s="482"/>
      <c r="JL50" s="482"/>
      <c r="JM50" s="482"/>
      <c r="JN50" s="482"/>
      <c r="JO50" s="482"/>
      <c r="JP50" s="482"/>
      <c r="JQ50" s="482"/>
      <c r="JR50" s="482"/>
      <c r="JS50" s="482"/>
      <c r="JT50" s="482"/>
      <c r="JU50" s="482"/>
      <c r="JV50" s="482"/>
      <c r="JW50" s="482"/>
      <c r="JX50" s="482"/>
      <c r="JY50" s="482"/>
      <c r="JZ50" s="482"/>
      <c r="KA50" s="482"/>
      <c r="KB50" s="482"/>
      <c r="KC50" s="482"/>
      <c r="KD50" s="482"/>
      <c r="KE50" s="482"/>
      <c r="KF50" s="482"/>
      <c r="KG50" s="482"/>
      <c r="KH50" s="482"/>
      <c r="KI50" s="482"/>
      <c r="KJ50" s="482"/>
      <c r="KK50" s="482"/>
      <c r="KL50" s="482"/>
      <c r="KM50" s="482"/>
      <c r="KN50" s="482"/>
      <c r="KO50" s="482"/>
      <c r="KP50" s="482"/>
      <c r="KQ50" s="482"/>
      <c r="KR50" s="482"/>
      <c r="KS50" s="482"/>
      <c r="KT50" s="482"/>
      <c r="KU50" s="482"/>
      <c r="KV50" s="482"/>
      <c r="KW50" s="482"/>
      <c r="KX50" s="482"/>
      <c r="KY50" s="482"/>
      <c r="KZ50" s="482"/>
      <c r="LA50" s="482"/>
      <c r="LB50" s="482"/>
      <c r="LC50" s="482"/>
      <c r="LD50" s="482"/>
      <c r="LE50" s="482"/>
      <c r="LF50" s="482"/>
      <c r="LG50" s="482"/>
      <c r="LH50" s="482"/>
      <c r="LI50" s="482"/>
      <c r="LJ50" s="482"/>
      <c r="LK50" s="482"/>
      <c r="LL50" s="482"/>
      <c r="LM50" s="482"/>
      <c r="LN50" s="482"/>
      <c r="LO50" s="482"/>
      <c r="LP50" s="482"/>
      <c r="LQ50" s="482"/>
      <c r="LR50" s="482"/>
      <c r="LS50" s="482"/>
      <c r="LT50" s="482"/>
      <c r="LU50" s="482"/>
      <c r="LV50" s="482"/>
      <c r="LW50" s="482"/>
      <c r="LX50" s="482"/>
      <c r="LY50" s="482"/>
      <c r="LZ50" s="482"/>
      <c r="MA50" s="482"/>
      <c r="MB50" s="482"/>
      <c r="MC50" s="482"/>
      <c r="MD50" s="482"/>
      <c r="ME50" s="482"/>
      <c r="MF50" s="482"/>
      <c r="MG50" s="482"/>
      <c r="MH50" s="482"/>
      <c r="MI50" s="482"/>
      <c r="MJ50" s="482"/>
      <c r="MK50" s="482"/>
      <c r="ML50" s="482"/>
      <c r="MM50" s="482"/>
      <c r="MN50" s="482"/>
      <c r="MO50" s="482"/>
      <c r="MP50" s="482"/>
      <c r="MQ50" s="482"/>
      <c r="MR50" s="482"/>
      <c r="MS50" s="482"/>
      <c r="MT50" s="482"/>
      <c r="MU50" s="482"/>
      <c r="MV50" s="482"/>
      <c r="MW50" s="482"/>
      <c r="MX50" s="482"/>
      <c r="MY50" s="482"/>
      <c r="MZ50" s="482"/>
      <c r="NA50" s="482"/>
      <c r="NB50" s="482"/>
      <c r="NC50" s="482"/>
      <c r="ND50" s="482"/>
      <c r="NE50" s="482"/>
      <c r="NF50" s="482"/>
      <c r="NG50" s="482"/>
      <c r="NH50" s="482"/>
      <c r="NI50" s="482"/>
      <c r="NJ50" s="483"/>
      <c r="NK50" s="34"/>
      <c r="NM50" s="159">
        <f>A50</f>
        <v>11</v>
      </c>
      <c r="NN50" s="373">
        <f ca="1">COUNTIF(INDIRECT((ADDRESS(ROW(NO51),$I$11+(MATCH(NN$11,L.DATE,0))))&amp;":"&amp;(ADDRESS(ROW(NO51),$I$11+NO$11+(MATCH(NN$11,L.DATE,0))-1))),"&gt;=0")-NO50</f>
        <v>0</v>
      </c>
      <c r="NO50" s="374">
        <f ca="1">SUM(INDIRECT((ADDRESS(ROW(NO51),$I$11+(MATCH(NN$11,L.DATE,0))))&amp;":"&amp;(ADDRESS(ROW(NO51),$I$11+NO$11+(MATCH(NN$11,L.DATE,0))-1))))</f>
        <v>0</v>
      </c>
      <c r="NP50" s="373">
        <f ca="1">COUNTIF(INDIRECT((ADDRESS(ROW(NQ51),$I$11+(MATCH(NP$11,L.DATE,0))))&amp;":"&amp;(ADDRESS(ROW(NQ51),$I$11+NQ$11+(MATCH(NP$11,L.DATE,0))-1))),"&gt;=0")-NQ50</f>
        <v>0</v>
      </c>
      <c r="NQ50" s="374">
        <f ca="1">SUM(INDIRECT((ADDRESS(ROW(NQ51),$I$11+(MATCH(NP$11,L.DATE,0))))&amp;":"&amp;(ADDRESS(ROW(NQ51),$I$11+NQ$11+(MATCH(NP$11,L.DATE,0))-1))))</f>
        <v>0</v>
      </c>
      <c r="NR50" s="373">
        <f ca="1">COUNTIF(INDIRECT((ADDRESS(ROW(NS51),$I$11+(MATCH(NR$11,L.DATE,0))))&amp;":"&amp;(ADDRESS(ROW(NS51),$I$11+NS$11+(MATCH(NR$11,L.DATE,0))-1))),"&gt;=0")-NS50</f>
        <v>10</v>
      </c>
      <c r="NS50" s="374">
        <f ca="1">SUM(INDIRECT((ADDRESS(ROW(NS51),$I$11+(MATCH(NR$11,L.DATE,0))))&amp;":"&amp;(ADDRESS(ROW(NS51),$I$11+NS$11+(MATCH(NR$11,L.DATE,0))-1))))</f>
        <v>0</v>
      </c>
      <c r="NT50" s="373">
        <f ca="1">COUNTIF(INDIRECT((ADDRESS(ROW(NU51),$I$11+(MATCH(NT$11,L.DATE,0))))&amp;":"&amp;(ADDRESS(ROW(NU51),$I$11+NU$11+(MATCH(NT$11,L.DATE,0))-1))),"&gt;=0")-NU50</f>
        <v>0</v>
      </c>
      <c r="NU50" s="374">
        <f ca="1">SUM(INDIRECT((ADDRESS(ROW(NU51),$I$11+(MATCH(NT$11,L.DATE,0))))&amp;":"&amp;(ADDRESS(ROW(NU51),$I$11+NU$11+(MATCH(NT$11,L.DATE,0))-1))))</f>
        <v>0</v>
      </c>
      <c r="NV50" s="373">
        <f ca="1">COUNTIF(INDIRECT((ADDRESS(ROW(NW51),$I$11+(MATCH(NV$11,L.DATE,0))))&amp;":"&amp;(ADDRESS(ROW(NW51),$I$11+NW$11+(MATCH(NV$11,L.DATE,0))-1))),"&gt;=0")-NW50</f>
        <v>0</v>
      </c>
      <c r="NW50" s="374">
        <f ca="1">SUM(INDIRECT((ADDRESS(ROW(NW51),$I$11+(MATCH(NV$11,L.DATE,0))))&amp;":"&amp;(ADDRESS(ROW(NW51),$I$11+NW$11+(MATCH(NV$11,L.DATE,0))-1))))</f>
        <v>0</v>
      </c>
      <c r="NX50" s="373">
        <f ca="1">COUNTIF(INDIRECT((ADDRESS(ROW(NY51),$I$11+(MATCH(NX$11,L.DATE,0))))&amp;":"&amp;(ADDRESS(ROW(NY51),$I$11+NY$11+(MATCH(NX$11,L.DATE,0))-1))),"&gt;=0")-NY50</f>
        <v>0</v>
      </c>
      <c r="NY50" s="374">
        <f ca="1">SUM(INDIRECT((ADDRESS(ROW(NY51),$I$11+(MATCH(NX$11,L.DATE,0))))&amp;":"&amp;(ADDRESS(ROW(NY51),$I$11+NY$11+(MATCH(NX$11,L.DATE,0))-1))))</f>
        <v>0</v>
      </c>
      <c r="NZ50" s="373">
        <f ca="1">COUNTIF(INDIRECT((ADDRESS(ROW(OA51),$I$11+(MATCH(NZ$11,L.DATE,0))))&amp;":"&amp;(ADDRESS(ROW(OA51),$I$11+OA$11+(MATCH(NZ$11,L.DATE,0))-1))),"&gt;=0")-OA50</f>
        <v>0</v>
      </c>
      <c r="OA50" s="374">
        <f ca="1">SUM(INDIRECT((ADDRESS(ROW(OA51),$I$11+(MATCH(NZ$11,L.DATE,0))))&amp;":"&amp;(ADDRESS(ROW(OA51),$I$11+OA$11+(MATCH(NZ$11,L.DATE,0))-1))))</f>
        <v>0</v>
      </c>
      <c r="OB50" s="373">
        <f ca="1">COUNTIF(INDIRECT((ADDRESS(ROW(OC51),$I$11+(MATCH(OB$11,L.DATE,0))))&amp;":"&amp;(ADDRESS(ROW(OC51),$I$11+OC$11+(MATCH(OB$11,L.DATE,0))-1))),"&gt;=0")-OC50</f>
        <v>0</v>
      </c>
      <c r="OC50" s="374">
        <f ca="1">SUM(INDIRECT((ADDRESS(ROW(OC51),$I$11+(MATCH(OB$11,L.DATE,0))))&amp;":"&amp;(ADDRESS(ROW(OC51),$I$11+OC$11+(MATCH(OB$11,L.DATE,0))-1))))</f>
        <v>0</v>
      </c>
      <c r="OD50" s="373">
        <f ca="1">COUNTIF(INDIRECT((ADDRESS(ROW(OE51),$I$11+(MATCH(OD$11,L.DATE,0))))&amp;":"&amp;(ADDRESS(ROW(OE51),$I$11+OE$11+(MATCH(OD$11,L.DATE,0))-1))),"&gt;=0")-OE50</f>
        <v>0</v>
      </c>
      <c r="OE50" s="374">
        <f ca="1">SUM(INDIRECT((ADDRESS(ROW(OE51),$I$11+(MATCH(OD$11,L.DATE,0))))&amp;":"&amp;(ADDRESS(ROW(OE51),$I$11+OE$11+(MATCH(OD$11,L.DATE,0))-1))))</f>
        <v>0</v>
      </c>
      <c r="OF50" s="373">
        <f ca="1">COUNTIF(INDIRECT((ADDRESS(ROW(OG51),$I$11+(MATCH(OF$11,L.DATE,0))))&amp;":"&amp;(ADDRESS(ROW(OG51),$I$11+OG$11+(MATCH(OF$11,L.DATE,0))-1))),"&gt;=0")-OG50</f>
        <v>0</v>
      </c>
      <c r="OG50" s="374">
        <f ca="1">SUM(INDIRECT((ADDRESS(ROW(OG51),$I$11+(MATCH(OF$11,L.DATE,0))))&amp;":"&amp;(ADDRESS(ROW(OG51),$I$11+OG$11+(MATCH(OF$11,L.DATE,0))-1))))</f>
        <v>0</v>
      </c>
      <c r="OH50" s="373">
        <f ca="1">COUNTIF(INDIRECT((ADDRESS(ROW(OI51),$I$11+(MATCH(OH$11,L.DATE,0))))&amp;":"&amp;(ADDRESS(ROW(OI51),$I$11+OI$11+(MATCH(OH$11,L.DATE,0))-1))),"&gt;=0")-OI50</f>
        <v>0</v>
      </c>
      <c r="OI50" s="374">
        <f ca="1">SUM(INDIRECT((ADDRESS(ROW(OI51),$I$11+(MATCH(OH$11,L.DATE,0))))&amp;":"&amp;(ADDRESS(ROW(OI51),$I$11+OI$11+(MATCH(OH$11,L.DATE,0))-1))))</f>
        <v>0</v>
      </c>
      <c r="OJ50" s="373">
        <f ca="1">COUNTIF(INDIRECT((ADDRESS(ROW(OK51),$I$11+(MATCH(OJ$11,L.DATE,0))))&amp;":"&amp;(ADDRESS(ROW(OK51),$I$11+OK$11+(MATCH(OJ$11,L.DATE,0))-1))),"&gt;=0")-OK50</f>
        <v>0</v>
      </c>
      <c r="OK50" s="375">
        <f ca="1">SUM(INDIRECT((ADDRESS(ROW(OK51),$I$11+(MATCH(OJ$11,L.DATE,0))))&amp;":"&amp;(ADDRESS(ROW(OK51),$I$11+OK$11+(MATCH(OJ$11,L.DATE,0))-1))))</f>
        <v>0</v>
      </c>
      <c r="OM50" s="39">
        <f ca="1">NN50+NP50+NR50+NT50+NV50+NX50+NZ50+OB50+OD50+OF50+OJ50+OH50</f>
        <v>10</v>
      </c>
      <c r="ON50" s="40">
        <f ca="1">NO50+NQ50+NS50+NU50+NW50+NY50+OA50+OC50+OE50+OG50+OK50+OI50</f>
        <v>0</v>
      </c>
    </row>
    <row r="51" spans="1:404" x14ac:dyDescent="0.3">
      <c r="A51" s="33"/>
      <c r="B51" s="16" t="str">
        <f t="shared" ref="B51:H51" si="41">B50</f>
        <v>IM.PM</v>
      </c>
      <c r="C51" s="16">
        <f t="shared" si="41"/>
        <v>1</v>
      </c>
      <c r="D51" s="16" t="str">
        <f t="shared" si="41"/>
        <v>I2S</v>
      </c>
      <c r="E51" s="16" t="str">
        <f t="shared" si="41"/>
        <v>ITG</v>
      </c>
      <c r="F51" s="16" t="str">
        <f t="shared" si="41"/>
        <v>SL</v>
      </c>
      <c r="G51" s="105" t="str">
        <f t="shared" si="41"/>
        <v>T2C</v>
      </c>
      <c r="H51" s="109">
        <f t="shared" si="41"/>
        <v>2</v>
      </c>
      <c r="I51" s="28"/>
      <c r="J51" s="482"/>
      <c r="K51" s="485"/>
      <c r="L51" s="482"/>
      <c r="M51" s="482"/>
      <c r="N51" s="482"/>
      <c r="O51" s="482"/>
      <c r="P51" s="482"/>
      <c r="Q51" s="482"/>
      <c r="R51" s="482"/>
      <c r="S51" s="482"/>
      <c r="T51" s="482"/>
      <c r="U51" s="482"/>
      <c r="V51" s="482"/>
      <c r="W51" s="482"/>
      <c r="X51" s="482"/>
      <c r="Y51" s="482"/>
      <c r="Z51" s="482"/>
      <c r="AA51" s="482"/>
      <c r="AB51" s="482"/>
      <c r="AC51" s="482"/>
      <c r="AD51" s="482"/>
      <c r="AE51" s="482"/>
      <c r="AF51" s="482"/>
      <c r="AG51" s="482"/>
      <c r="AH51" s="482"/>
      <c r="AI51" s="482"/>
      <c r="AJ51" s="482"/>
      <c r="AK51" s="482"/>
      <c r="AL51" s="482"/>
      <c r="AM51" s="482"/>
      <c r="AN51" s="482"/>
      <c r="AO51" s="482"/>
      <c r="AP51" s="482"/>
      <c r="AQ51" s="482"/>
      <c r="AR51" s="482"/>
      <c r="AS51" s="482"/>
      <c r="AT51" s="482"/>
      <c r="AU51" s="482"/>
      <c r="AV51" s="482"/>
      <c r="AW51" s="482"/>
      <c r="AX51" s="482"/>
      <c r="AY51" s="482"/>
      <c r="AZ51" s="482"/>
      <c r="BA51" s="482"/>
      <c r="BB51" s="482"/>
      <c r="BC51" s="482"/>
      <c r="BD51" s="482"/>
      <c r="BE51" s="482"/>
      <c r="BF51" s="482"/>
      <c r="BG51" s="482"/>
      <c r="BH51" s="482"/>
      <c r="BI51" s="482"/>
      <c r="BJ51" s="482"/>
      <c r="BK51" s="482"/>
      <c r="BL51" s="482"/>
      <c r="BM51" s="482"/>
      <c r="BN51" s="482"/>
      <c r="BO51" s="482"/>
      <c r="BP51" s="482"/>
      <c r="BQ51" s="482"/>
      <c r="BR51" s="482"/>
      <c r="BS51" s="482"/>
      <c r="BT51" s="482"/>
      <c r="BU51" s="482"/>
      <c r="BV51" s="482"/>
      <c r="BW51" s="482"/>
      <c r="BX51" s="482"/>
      <c r="BY51" s="482"/>
      <c r="BZ51" s="482"/>
      <c r="CA51" s="482"/>
      <c r="CB51" s="482"/>
      <c r="CC51" s="482"/>
      <c r="CD51" s="482"/>
      <c r="CE51" s="482"/>
      <c r="CF51" s="482"/>
      <c r="CG51" s="482"/>
      <c r="CH51" s="482"/>
      <c r="CI51" s="482"/>
      <c r="CJ51" s="485">
        <v>0</v>
      </c>
      <c r="CK51" s="485">
        <v>0</v>
      </c>
      <c r="CL51" s="485">
        <v>0</v>
      </c>
      <c r="CM51" s="485">
        <v>0</v>
      </c>
      <c r="CN51" s="485">
        <v>0</v>
      </c>
      <c r="CO51" s="482"/>
      <c r="CP51" s="482"/>
      <c r="CQ51" s="485">
        <v>0</v>
      </c>
      <c r="CR51" s="485">
        <v>0</v>
      </c>
      <c r="CS51" s="485">
        <v>0</v>
      </c>
      <c r="CT51" s="485">
        <v>0</v>
      </c>
      <c r="CU51" s="485">
        <v>0</v>
      </c>
      <c r="CV51" s="482"/>
      <c r="CW51" s="482"/>
      <c r="CX51" s="482"/>
      <c r="CY51" s="482"/>
      <c r="CZ51" s="482"/>
      <c r="DA51" s="482"/>
      <c r="DB51" s="482"/>
      <c r="DC51" s="482"/>
      <c r="DD51" s="482"/>
      <c r="DE51" s="482"/>
      <c r="DF51" s="482"/>
      <c r="DG51" s="482"/>
      <c r="DH51" s="482"/>
      <c r="DI51" s="482"/>
      <c r="DJ51" s="482"/>
      <c r="DK51" s="482"/>
      <c r="DL51" s="482"/>
      <c r="DM51" s="482"/>
      <c r="DN51" s="482"/>
      <c r="DO51" s="482"/>
      <c r="DP51" s="482"/>
      <c r="DQ51" s="482"/>
      <c r="DR51" s="482"/>
      <c r="DS51" s="482"/>
      <c r="DT51" s="482"/>
      <c r="DU51" s="482"/>
      <c r="DV51" s="482"/>
      <c r="DW51" s="482"/>
      <c r="DX51" s="482"/>
      <c r="DY51" s="482"/>
      <c r="DZ51" s="482"/>
      <c r="EA51" s="482"/>
      <c r="EB51" s="482"/>
      <c r="EC51" s="482"/>
      <c r="ED51" s="482"/>
      <c r="EE51" s="482"/>
      <c r="EF51" s="482"/>
      <c r="EG51" s="482"/>
      <c r="EH51" s="482"/>
      <c r="EI51" s="482"/>
      <c r="EJ51" s="482"/>
      <c r="EK51" s="482"/>
      <c r="EL51" s="482"/>
      <c r="EM51" s="482"/>
      <c r="EN51" s="482"/>
      <c r="EO51" s="482"/>
      <c r="EP51" s="482"/>
      <c r="EQ51" s="482"/>
      <c r="ER51" s="482"/>
      <c r="ES51" s="482"/>
      <c r="ET51" s="482"/>
      <c r="EU51" s="482"/>
      <c r="EV51" s="482"/>
      <c r="EW51" s="482"/>
      <c r="EX51" s="482"/>
      <c r="EY51" s="482"/>
      <c r="EZ51" s="482"/>
      <c r="FA51" s="482"/>
      <c r="FB51" s="482"/>
      <c r="FC51" s="482"/>
      <c r="FD51" s="482"/>
      <c r="FE51" s="482"/>
      <c r="FF51" s="482"/>
      <c r="FG51" s="482"/>
      <c r="FH51" s="482"/>
      <c r="FI51" s="482"/>
      <c r="FJ51" s="482"/>
      <c r="FK51" s="482"/>
      <c r="FL51" s="482"/>
      <c r="FM51" s="482"/>
      <c r="FN51" s="482"/>
      <c r="FO51" s="482"/>
      <c r="FP51" s="482"/>
      <c r="FQ51" s="482"/>
      <c r="FR51" s="482"/>
      <c r="FS51" s="482"/>
      <c r="FT51" s="482"/>
      <c r="FU51" s="482"/>
      <c r="FV51" s="482"/>
      <c r="FW51" s="482"/>
      <c r="FX51" s="482"/>
      <c r="FY51" s="482"/>
      <c r="FZ51" s="482"/>
      <c r="GA51" s="482"/>
      <c r="GB51" s="482"/>
      <c r="GC51" s="482"/>
      <c r="GD51" s="482"/>
      <c r="GE51" s="482"/>
      <c r="GF51" s="482"/>
      <c r="GG51" s="482"/>
      <c r="GH51" s="482"/>
      <c r="GI51" s="482"/>
      <c r="GJ51" s="482"/>
      <c r="GK51" s="482"/>
      <c r="GL51" s="482"/>
      <c r="GM51" s="482"/>
      <c r="GN51" s="482"/>
      <c r="GO51" s="482"/>
      <c r="GP51" s="482"/>
      <c r="GQ51" s="482"/>
      <c r="GR51" s="482"/>
      <c r="GS51" s="482"/>
      <c r="GT51" s="482"/>
      <c r="GU51" s="482"/>
      <c r="GV51" s="482"/>
      <c r="GW51" s="482"/>
      <c r="GX51" s="482"/>
      <c r="GY51" s="482"/>
      <c r="GZ51" s="482"/>
      <c r="HA51" s="482"/>
      <c r="HB51" s="482"/>
      <c r="HC51" s="482"/>
      <c r="HD51" s="482"/>
      <c r="HE51" s="482"/>
      <c r="HF51" s="482"/>
      <c r="HG51" s="482"/>
      <c r="HH51" s="482"/>
      <c r="HI51" s="482"/>
      <c r="HJ51" s="482"/>
      <c r="HK51" s="482"/>
      <c r="HL51" s="482"/>
      <c r="HM51" s="482"/>
      <c r="HN51" s="482"/>
      <c r="HO51" s="482"/>
      <c r="HP51" s="482"/>
      <c r="HQ51" s="482"/>
      <c r="HR51" s="482"/>
      <c r="HS51" s="482"/>
      <c r="HT51" s="482"/>
      <c r="HU51" s="482"/>
      <c r="HV51" s="482"/>
      <c r="HW51" s="482"/>
      <c r="HX51" s="482"/>
      <c r="HY51" s="482"/>
      <c r="HZ51" s="482"/>
      <c r="IA51" s="482"/>
      <c r="IB51" s="482"/>
      <c r="IC51" s="482"/>
      <c r="ID51" s="482"/>
      <c r="IE51" s="482"/>
      <c r="IF51" s="482"/>
      <c r="IG51" s="482"/>
      <c r="IH51" s="482"/>
      <c r="II51" s="482"/>
      <c r="IJ51" s="482"/>
      <c r="IK51" s="482"/>
      <c r="IL51" s="482"/>
      <c r="IM51" s="482"/>
      <c r="IN51" s="482"/>
      <c r="IO51" s="482"/>
      <c r="IP51" s="482"/>
      <c r="IQ51" s="482"/>
      <c r="IR51" s="482"/>
      <c r="IS51" s="482"/>
      <c r="IT51" s="482"/>
      <c r="IU51" s="482"/>
      <c r="IV51" s="482"/>
      <c r="IW51" s="482"/>
      <c r="IX51" s="482"/>
      <c r="IY51" s="482"/>
      <c r="IZ51" s="482"/>
      <c r="JA51" s="482"/>
      <c r="JB51" s="482"/>
      <c r="JC51" s="482"/>
      <c r="JD51" s="482"/>
      <c r="JE51" s="482"/>
      <c r="JF51" s="482"/>
      <c r="JG51" s="482"/>
      <c r="JH51" s="482"/>
      <c r="JI51" s="482"/>
      <c r="JJ51" s="482"/>
      <c r="JK51" s="482"/>
      <c r="JL51" s="482"/>
      <c r="JM51" s="482"/>
      <c r="JN51" s="482"/>
      <c r="JO51" s="482"/>
      <c r="JP51" s="482"/>
      <c r="JQ51" s="482"/>
      <c r="JR51" s="482"/>
      <c r="JS51" s="482"/>
      <c r="JT51" s="482"/>
      <c r="JU51" s="482"/>
      <c r="JV51" s="482"/>
      <c r="JW51" s="482"/>
      <c r="JX51" s="482"/>
      <c r="JY51" s="482"/>
      <c r="JZ51" s="482"/>
      <c r="KA51" s="482"/>
      <c r="KB51" s="482"/>
      <c r="KC51" s="482"/>
      <c r="KD51" s="482"/>
      <c r="KE51" s="482"/>
      <c r="KF51" s="482"/>
      <c r="KG51" s="482"/>
      <c r="KH51" s="482"/>
      <c r="KI51" s="482"/>
      <c r="KJ51" s="482"/>
      <c r="KK51" s="482"/>
      <c r="KL51" s="482"/>
      <c r="KM51" s="482"/>
      <c r="KN51" s="482"/>
      <c r="KO51" s="482"/>
      <c r="KP51" s="482"/>
      <c r="KQ51" s="482"/>
      <c r="KR51" s="482"/>
      <c r="KS51" s="482"/>
      <c r="KT51" s="482"/>
      <c r="KU51" s="482"/>
      <c r="KV51" s="482"/>
      <c r="KW51" s="482"/>
      <c r="KX51" s="482"/>
      <c r="KY51" s="482"/>
      <c r="KZ51" s="482"/>
      <c r="LA51" s="482"/>
      <c r="LB51" s="482"/>
      <c r="LC51" s="482"/>
      <c r="LD51" s="482"/>
      <c r="LE51" s="482"/>
      <c r="LF51" s="482"/>
      <c r="LG51" s="482"/>
      <c r="LH51" s="482"/>
      <c r="LI51" s="482"/>
      <c r="LJ51" s="482"/>
      <c r="LK51" s="482"/>
      <c r="LL51" s="482"/>
      <c r="LM51" s="482"/>
      <c r="LN51" s="482"/>
      <c r="LO51" s="482"/>
      <c r="LP51" s="482"/>
      <c r="LQ51" s="482"/>
      <c r="LR51" s="482"/>
      <c r="LS51" s="482"/>
      <c r="LT51" s="482"/>
      <c r="LU51" s="482"/>
      <c r="LV51" s="482"/>
      <c r="LW51" s="482"/>
      <c r="LX51" s="482"/>
      <c r="LY51" s="482"/>
      <c r="LZ51" s="482"/>
      <c r="MA51" s="482"/>
      <c r="MB51" s="482"/>
      <c r="MC51" s="482"/>
      <c r="MD51" s="482"/>
      <c r="ME51" s="482"/>
      <c r="MF51" s="482"/>
      <c r="MG51" s="482"/>
      <c r="MH51" s="482"/>
      <c r="MI51" s="482"/>
      <c r="MJ51" s="482"/>
      <c r="MK51" s="482"/>
      <c r="ML51" s="482"/>
      <c r="MM51" s="482"/>
      <c r="MN51" s="482"/>
      <c r="MO51" s="482"/>
      <c r="MP51" s="482"/>
      <c r="MQ51" s="482"/>
      <c r="MR51" s="482"/>
      <c r="MS51" s="482"/>
      <c r="MT51" s="482"/>
      <c r="MU51" s="482"/>
      <c r="MV51" s="482"/>
      <c r="MW51" s="482"/>
      <c r="MX51" s="482"/>
      <c r="MY51" s="482"/>
      <c r="MZ51" s="482"/>
      <c r="NA51" s="482"/>
      <c r="NB51" s="482"/>
      <c r="NC51" s="482"/>
      <c r="ND51" s="482"/>
      <c r="NE51" s="482"/>
      <c r="NF51" s="482"/>
      <c r="NG51" s="482"/>
      <c r="NH51" s="482"/>
      <c r="NI51" s="482"/>
      <c r="NJ51" s="483"/>
      <c r="NK51" s="34"/>
      <c r="NM51" s="379" t="str">
        <f>NM50&amp;".b"</f>
        <v>11.b</v>
      </c>
      <c r="NN51" s="376" t="str" cm="1">
        <f t="array" aca="1" ref="NN51" ca="1">IF(xcomp(INDIRECT((ADDRESS(ROW(NN50),$I$11+(MATCH(NN$11,L.DATE,0))))&amp;":"&amp;(ADDRESS(ROW(NN50),$I$11+NO$11+(MATCH(NN$11,L.DATE,0))-1))),L.ABSP)=0,"",
xsom(INDIRECT((ADDRESS(ROW(NN50),$I$11+(MATCH(NN$11,L.DATE,0))))&amp;":"&amp;(ADDRESS(ROW(NN50),$I$11+NO$11+(MATCH(NN$11,L.DATE,0))-1))),L.ABSP,
INDIRECT((ADDRESS(ROW(NN50)+1,$I$11+(MATCH(NN$11,L.DATE,0))))&amp;":"&amp;(ADDRESS(ROW(NN50)+1,$I$11+NO$11+(MATCH(NN$11,L.DATE,0))-1)))))</f>
        <v/>
      </c>
      <c r="NO51" s="377" t="str" cm="1">
        <f t="array" aca="1" ref="NO51" ca="1">IF(xcomp(INDIRECT((ADDRESS(ROW(NO50),$I$11+(MATCH(NN$11,L.DATE,0))))&amp;":"&amp;(ADDRESS(ROW(NO50),$I$11+NO$11+(MATCH(NN$11,L.DATE,0))-1))),L.ABS.NP)=0,"",
xsom(INDIRECT((ADDRESS(ROW(NO50),$I$11+(MATCH(NN$11,L.DATE,0))))&amp;":"&amp;(ADDRESS(ROW(NO50),$I$11+NO$11+(MATCH(NN$11,L.DATE,0))-1))),L.ABS.NP,
INDIRECT((ADDRESS(ROW(NO50)+1,$I$11+(MATCH(NN$11,L.DATE,0))))&amp;":"&amp;(ADDRESS(ROW(NO50)+1,$I$11+NO$11+(MATCH(NN$11,L.DATE,0))-1)))))</f>
        <v/>
      </c>
      <c r="NP51" s="376" t="str" cm="1">
        <f t="array" aca="1" ref="NP51" ca="1">IF(xcomp(INDIRECT((ADDRESS(ROW(NP50),$I$11+(MATCH(NP$11,L.DATE,0))))&amp;":"&amp;(ADDRESS(ROW(NP50),$I$11+NQ$11+(MATCH(NP$11,L.DATE,0))-1))),L.ABSP)=0,"",
xsom(INDIRECT((ADDRESS(ROW(NP50),$I$11+(MATCH(NP$11,L.DATE,0))))&amp;":"&amp;(ADDRESS(ROW(NP50),$I$11+NQ$11+(MATCH(NP$11,L.DATE,0))-1))),L.ABSP,
INDIRECT((ADDRESS(ROW(NP50)+1,$I$11+(MATCH(NP$11,L.DATE,0))))&amp;":"&amp;(ADDRESS(ROW(NP50)+1,$I$11+NQ$11+(MATCH(NP$11,L.DATE,0))-1)))))</f>
        <v/>
      </c>
      <c r="NQ51" s="377" t="str" cm="1">
        <f t="array" aca="1" ref="NQ51" ca="1">IF(xcomp(INDIRECT((ADDRESS(ROW(NQ50),$I$11+(MATCH(NP$11,L.DATE,0))))&amp;":"&amp;(ADDRESS(ROW(NQ50),$I$11+NQ$11+(MATCH(NP$11,L.DATE,0))-1))),L.ABS.NP)=0,"",
xsom(INDIRECT((ADDRESS(ROW(NQ50),$I$11+(MATCH(NP$11,L.DATE,0))))&amp;":"&amp;(ADDRESS(ROW(NQ50),$I$11+NQ$11+(MATCH(NP$11,L.DATE,0))-1))),L.ABS.NP,
INDIRECT((ADDRESS(ROW(NQ50)+1,$I$11+(MATCH(NP$11,L.DATE,0))))&amp;":"&amp;(ADDRESS(ROW(NQ50)+1,$I$11+NQ$11+(MATCH(NP$11,L.DATE,0))-1)))))</f>
        <v/>
      </c>
      <c r="NR51" s="376" cm="1">
        <f t="array" aca="1" ref="NR51" ca="1">IF(xcomp(INDIRECT((ADDRESS(ROW(NR50),$I$11+(MATCH(NR$11,L.DATE,0))))&amp;":"&amp;(ADDRESS(ROW(NR50),$I$11+NS$11+(MATCH(NR$11,L.DATE,0))-1))),L.ABSP)=0,"",
xsom(INDIRECT((ADDRESS(ROW(NR50),$I$11+(MATCH(NR$11,L.DATE,0))))&amp;":"&amp;(ADDRESS(ROW(NR50),$I$11+NS$11+(MATCH(NR$11,L.DATE,0))-1))),L.ABSP,
INDIRECT((ADDRESS(ROW(NR50)+1,$I$11+(MATCH(NR$11,L.DATE,0))))&amp;":"&amp;(ADDRESS(ROW(NR50)+1,$I$11+NS$11+(MATCH(NR$11,L.DATE,0))-1)))))</f>
        <v>10</v>
      </c>
      <c r="NS51" s="377" t="str" cm="1">
        <f t="array" aca="1" ref="NS51" ca="1">IF(xcomp(INDIRECT((ADDRESS(ROW(NS50),$I$11+(MATCH(NR$11,L.DATE,0))))&amp;":"&amp;(ADDRESS(ROW(NS50),$I$11+NS$11+(MATCH(NR$11,L.DATE,0))-1))),L.ABS.NP)=0,"",
xsom(INDIRECT((ADDRESS(ROW(NS50),$I$11+(MATCH(NR$11,L.DATE,0))))&amp;":"&amp;(ADDRESS(ROW(NS50),$I$11+NS$11+(MATCH(NR$11,L.DATE,0))-1))),L.ABS.NP,
INDIRECT((ADDRESS(ROW(NS50)+1,$I$11+(MATCH(NR$11,L.DATE,0))))&amp;":"&amp;(ADDRESS(ROW(NS50)+1,$I$11+NS$11+(MATCH(NR$11,L.DATE,0))-1)))))</f>
        <v/>
      </c>
      <c r="NT51" s="376" t="str" cm="1">
        <f t="array" aca="1" ref="NT51" ca="1">IF(xcomp(INDIRECT((ADDRESS(ROW(NT50),$I$11+(MATCH(NT$11,L.DATE,0))))&amp;":"&amp;(ADDRESS(ROW(NT50),$I$11+NU$11+(MATCH(NT$11,L.DATE,0))-1))),L.ABSP)=0,"",
xsom(INDIRECT((ADDRESS(ROW(NT50),$I$11+(MATCH(NT$11,L.DATE,0))))&amp;":"&amp;(ADDRESS(ROW(NT50),$I$11+NU$11+(MATCH(NT$11,L.DATE,0))-1))),L.ABSP,
INDIRECT((ADDRESS(ROW(NT50)+1,$I$11+(MATCH(NT$11,L.DATE,0))))&amp;":"&amp;(ADDRESS(ROW(NT50)+1,$I$11+NU$11+(MATCH(NT$11,L.DATE,0))-1)))))</f>
        <v/>
      </c>
      <c r="NU51" s="377" t="str" cm="1">
        <f t="array" aca="1" ref="NU51" ca="1">IF(xcomp(INDIRECT((ADDRESS(ROW(NU50),$I$11+(MATCH(NT$11,L.DATE,0))))&amp;":"&amp;(ADDRESS(ROW(NU50),$I$11+NU$11+(MATCH(NT$11,L.DATE,0))-1))),L.ABS.NP)=0,"",
xsom(INDIRECT((ADDRESS(ROW(NU50),$I$11+(MATCH(NT$11,L.DATE,0))))&amp;":"&amp;(ADDRESS(ROW(NU50),$I$11+NU$11+(MATCH(NT$11,L.DATE,0))-1))),L.ABS.NP,
INDIRECT((ADDRESS(ROW(NU50)+1,$I$11+(MATCH(NT$11,L.DATE,0))))&amp;":"&amp;(ADDRESS(ROW(NU50)+1,$I$11+NU$11+(MATCH(NT$11,L.DATE,0))-1)))))</f>
        <v/>
      </c>
      <c r="NV51" s="376" t="str" cm="1">
        <f t="array" aca="1" ref="NV51" ca="1">IF(xcomp(INDIRECT((ADDRESS(ROW(NV50),$I$11+(MATCH(NV$11,L.DATE,0))))&amp;":"&amp;(ADDRESS(ROW(NV50),$I$11+NW$11+(MATCH(NV$11,L.DATE,0))-1))),L.ABSP)=0,"",
xsom(INDIRECT((ADDRESS(ROW(NV50),$I$11+(MATCH(NV$11,L.DATE,0))))&amp;":"&amp;(ADDRESS(ROW(NV50),$I$11+NW$11+(MATCH(NV$11,L.DATE,0))-1))),L.ABSP,
INDIRECT((ADDRESS(ROW(NV50)+1,$I$11+(MATCH(NV$11,L.DATE,0))))&amp;":"&amp;(ADDRESS(ROW(NV50)+1,$I$11+NW$11+(MATCH(NV$11,L.DATE,0))-1)))))</f>
        <v/>
      </c>
      <c r="NW51" s="377" t="str" cm="1">
        <f t="array" aca="1" ref="NW51" ca="1">IF(xcomp(INDIRECT((ADDRESS(ROW(NW50),$I$11+(MATCH(NV$11,L.DATE,0))))&amp;":"&amp;(ADDRESS(ROW(NW50),$I$11+NW$11+(MATCH(NV$11,L.DATE,0))-1))),L.ABS.NP)=0,"",
xsom(INDIRECT((ADDRESS(ROW(NW50),$I$11+(MATCH(NV$11,L.DATE,0))))&amp;":"&amp;(ADDRESS(ROW(NW50),$I$11+NW$11+(MATCH(NV$11,L.DATE,0))-1))),L.ABS.NP,
INDIRECT((ADDRESS(ROW(NW50)+1,$I$11+(MATCH(NV$11,L.DATE,0))))&amp;":"&amp;(ADDRESS(ROW(NW50)+1,$I$11+NW$11+(MATCH(NV$11,L.DATE,0))-1)))))</f>
        <v/>
      </c>
      <c r="NX51" s="376" t="str" cm="1">
        <f t="array" aca="1" ref="NX51" ca="1">IF(xcomp(INDIRECT((ADDRESS(ROW(NX50),$I$11+(MATCH(NX$11,L.DATE,0))))&amp;":"&amp;(ADDRESS(ROW(NX50),$I$11+NY$11+(MATCH(NX$11,L.DATE,0))-1))),L.ABSP)=0,"",
xsom(INDIRECT((ADDRESS(ROW(NX50),$I$11+(MATCH(NX$11,L.DATE,0))))&amp;":"&amp;(ADDRESS(ROW(NX50),$I$11+NY$11+(MATCH(NX$11,L.DATE,0))-1))),L.ABSP,
INDIRECT((ADDRESS(ROW(NX50)+1,$I$11+(MATCH(NX$11,L.DATE,0))))&amp;":"&amp;(ADDRESS(ROW(NX50)+1,$I$11+NY$11+(MATCH(NX$11,L.DATE,0))-1)))))</f>
        <v/>
      </c>
      <c r="NY51" s="377" t="str" cm="1">
        <f t="array" aca="1" ref="NY51" ca="1">IF(xcomp(INDIRECT((ADDRESS(ROW(NY50),$I$11+(MATCH(NX$11,L.DATE,0))))&amp;":"&amp;(ADDRESS(ROW(NY50),$I$11+NY$11+(MATCH(NX$11,L.DATE,0))-1))),L.ABS.NP)=0,"",
xsom(INDIRECT((ADDRESS(ROW(NY50),$I$11+(MATCH(NX$11,L.DATE,0))))&amp;":"&amp;(ADDRESS(ROW(NY50),$I$11+NY$11+(MATCH(NX$11,L.DATE,0))-1))),L.ABS.NP,
INDIRECT((ADDRESS(ROW(NY50)+1,$I$11+(MATCH(NX$11,L.DATE,0))))&amp;":"&amp;(ADDRESS(ROW(NY50)+1,$I$11+NY$11+(MATCH(NX$11,L.DATE,0))-1)))))</f>
        <v/>
      </c>
      <c r="NZ51" s="376" t="str" cm="1">
        <f t="array" aca="1" ref="NZ51" ca="1">IF(xcomp(INDIRECT((ADDRESS(ROW(NZ50),$I$11+(MATCH(NZ$11,L.DATE,0))))&amp;":"&amp;(ADDRESS(ROW(NZ50),$I$11+OA$11+(MATCH(NZ$11,L.DATE,0))-1))),L.ABSP)=0,"",
xsom(INDIRECT((ADDRESS(ROW(NZ50),$I$11+(MATCH(NZ$11,L.DATE,0))))&amp;":"&amp;(ADDRESS(ROW(NZ50),$I$11+OA$11+(MATCH(NZ$11,L.DATE,0))-1))),L.ABSP,
INDIRECT((ADDRESS(ROW(NZ50)+1,$I$11+(MATCH(NZ$11,L.DATE,0))))&amp;":"&amp;(ADDRESS(ROW(NZ50)+1,$I$11+OA$11+(MATCH(NZ$11,L.DATE,0))-1)))))</f>
        <v/>
      </c>
      <c r="OA51" s="377" t="str" cm="1">
        <f t="array" aca="1" ref="OA51" ca="1">IF(xcomp(INDIRECT((ADDRESS(ROW(OA50),$I$11+(MATCH(NZ$11,L.DATE,0))))&amp;":"&amp;(ADDRESS(ROW(OA50),$I$11+OA$11+(MATCH(NZ$11,L.DATE,0))-1))),L.ABS.NP)=0,"",
xsom(INDIRECT((ADDRESS(ROW(OA50),$I$11+(MATCH(NZ$11,L.DATE,0))))&amp;":"&amp;(ADDRESS(ROW(OA50),$I$11+OA$11+(MATCH(NZ$11,L.DATE,0))-1))),L.ABS.NP,
INDIRECT((ADDRESS(ROW(OA50)+1,$I$11+(MATCH(NZ$11,L.DATE,0))))&amp;":"&amp;(ADDRESS(ROW(OA50)+1,$I$11+OA$11+(MATCH(NZ$11,L.DATE,0))-1)))))</f>
        <v/>
      </c>
      <c r="OB51" s="376" t="str" cm="1">
        <f t="array" aca="1" ref="OB51" ca="1">IF(xcomp(INDIRECT((ADDRESS(ROW(OB50),$I$11+(MATCH(OB$11,L.DATE,0))))&amp;":"&amp;(ADDRESS(ROW(OB50),$I$11+OC$11+(MATCH(OB$11,L.DATE,0))-1))),L.ABSP)=0,"",
xsom(INDIRECT((ADDRESS(ROW(OB50),$I$11+(MATCH(OB$11,L.DATE,0))))&amp;":"&amp;(ADDRESS(ROW(OB50),$I$11+OC$11+(MATCH(OB$11,L.DATE,0))-1))),L.ABSP,
INDIRECT((ADDRESS(ROW(OB50)+1,$I$11+(MATCH(OB$11,L.DATE,0))))&amp;":"&amp;(ADDRESS(ROW(OB50)+1,$I$11+OC$11+(MATCH(OB$11,L.DATE,0))-1)))))</f>
        <v/>
      </c>
      <c r="OC51" s="377" t="str" cm="1">
        <f t="array" aca="1" ref="OC51" ca="1">IF(xcomp(INDIRECT((ADDRESS(ROW(OC50),$I$11+(MATCH(OB$11,L.DATE,0))))&amp;":"&amp;(ADDRESS(ROW(OC50),$I$11+OC$11+(MATCH(OB$11,L.DATE,0))-1))),L.ABS.NP)=0,"",
xsom(INDIRECT((ADDRESS(ROW(OC50),$I$11+(MATCH(OB$11,L.DATE,0))))&amp;":"&amp;(ADDRESS(ROW(OC50),$I$11+OC$11+(MATCH(OB$11,L.DATE,0))-1))),L.ABS.NP,
INDIRECT((ADDRESS(ROW(OC50)+1,$I$11+(MATCH(OB$11,L.DATE,0))))&amp;":"&amp;(ADDRESS(ROW(OC50)+1,$I$11+OC$11+(MATCH(OB$11,L.DATE,0))-1)))))</f>
        <v/>
      </c>
      <c r="OD51" s="376" t="str" cm="1">
        <f t="array" aca="1" ref="OD51" ca="1">IF(xcomp(INDIRECT((ADDRESS(ROW(OD50),$I$11+(MATCH(OD$11,L.DATE,0))))&amp;":"&amp;(ADDRESS(ROW(OD50),$I$11+OE$11+(MATCH(OD$11,L.DATE,0))-1))),L.ABSP)=0,"",
xsom(INDIRECT((ADDRESS(ROW(OD50),$I$11+(MATCH(OD$11,L.DATE,0))))&amp;":"&amp;(ADDRESS(ROW(OD50),$I$11+OE$11+(MATCH(OD$11,L.DATE,0))-1))),L.ABSP,
INDIRECT((ADDRESS(ROW(OD50)+1,$I$11+(MATCH(OD$11,L.DATE,0))))&amp;":"&amp;(ADDRESS(ROW(OD50)+1,$I$11+OE$11+(MATCH(OD$11,L.DATE,0))-1)))))</f>
        <v/>
      </c>
      <c r="OE51" s="377" t="str" cm="1">
        <f t="array" aca="1" ref="OE51" ca="1">IF(xcomp(INDIRECT((ADDRESS(ROW(OE50),$I$11+(MATCH(OD$11,L.DATE,0))))&amp;":"&amp;(ADDRESS(ROW(OE50),$I$11+OE$11+(MATCH(OD$11,L.DATE,0))-1))),L.ABS.NP)=0,"",
xsom(INDIRECT((ADDRESS(ROW(OE50),$I$11+(MATCH(OD$11,L.DATE,0))))&amp;":"&amp;(ADDRESS(ROW(OE50),$I$11+OE$11+(MATCH(OD$11,L.DATE,0))-1))),L.ABS.NP,
INDIRECT((ADDRESS(ROW(OE50)+1,$I$11+(MATCH(OD$11,L.DATE,0))))&amp;":"&amp;(ADDRESS(ROW(OE50)+1,$I$11+OE$11+(MATCH(OD$11,L.DATE,0))-1)))))</f>
        <v/>
      </c>
      <c r="OF51" s="376" t="str" cm="1">
        <f t="array" aca="1" ref="OF51" ca="1">IF(xcomp(INDIRECT((ADDRESS(ROW(OF50),$I$11+(MATCH(OF$11,L.DATE,0))))&amp;":"&amp;(ADDRESS(ROW(OF50),$I$11+OG$11+(MATCH(OF$11,L.DATE,0))-1))),L.ABSP)=0,"",
xsom(INDIRECT((ADDRESS(ROW(OF50),$I$11+(MATCH(OF$11,L.DATE,0))))&amp;":"&amp;(ADDRESS(ROW(OF50),$I$11+OG$11+(MATCH(OF$11,L.DATE,0))-1))),L.ABSP,
INDIRECT((ADDRESS(ROW(OF50)+1,$I$11+(MATCH(OF$11,L.DATE,0))))&amp;":"&amp;(ADDRESS(ROW(OF50)+1,$I$11+OG$11+(MATCH(OF$11,L.DATE,0))-1)))))</f>
        <v/>
      </c>
      <c r="OG51" s="377" t="str" cm="1">
        <f t="array" aca="1" ref="OG51" ca="1">IF(xcomp(INDIRECT((ADDRESS(ROW(OG50),$I$11+(MATCH(OF$11,L.DATE,0))))&amp;":"&amp;(ADDRESS(ROW(OG50),$I$11+OG$11+(MATCH(OF$11,L.DATE,0))-1))),L.ABS.NP)=0,"",
xsom(INDIRECT((ADDRESS(ROW(OG50),$I$11+(MATCH(OF$11,L.DATE,0))))&amp;":"&amp;(ADDRESS(ROW(OG50),$I$11+OG$11+(MATCH(OF$11,L.DATE,0))-1))),L.ABS.NP,
INDIRECT((ADDRESS(ROW(OG50)+1,$I$11+(MATCH(OF$11,L.DATE,0))))&amp;":"&amp;(ADDRESS(ROW(OG50)+1,$I$11+OG$11+(MATCH(OF$11,L.DATE,0))-1)))))</f>
        <v/>
      </c>
      <c r="OH51" s="376" t="str" cm="1">
        <f t="array" aca="1" ref="OH51" ca="1">IF(xcomp(INDIRECT((ADDRESS(ROW(OH50),$I$11+(MATCH(OH$11,L.DATE,0))))&amp;":"&amp;(ADDRESS(ROW(OH50),$I$11+OI$11+(MATCH(OH$11,L.DATE,0))-1))),L.ABSP)=0,"",
xsom(INDIRECT((ADDRESS(ROW(OH50),$I$11+(MATCH(OH$11,L.DATE,0))))&amp;":"&amp;(ADDRESS(ROW(OH50),$I$11+OI$11+(MATCH(OH$11,L.DATE,0))-1))),L.ABSP,
INDIRECT((ADDRESS(ROW(OH50)+1,$I$11+(MATCH(OH$11,L.DATE,0))))&amp;":"&amp;(ADDRESS(ROW(OH50)+1,$I$11+OI$11+(MATCH(OH$11,L.DATE,0))-1)))))</f>
        <v/>
      </c>
      <c r="OI51" s="377" t="str" cm="1">
        <f t="array" aca="1" ref="OI51" ca="1">IF(xcomp(INDIRECT((ADDRESS(ROW(OI50),$I$11+(MATCH(OH$11,L.DATE,0))))&amp;":"&amp;(ADDRESS(ROW(OI50),$I$11+OI$11+(MATCH(OH$11,L.DATE,0))-1))),L.ABS.NP)=0,"",
xsom(INDIRECT((ADDRESS(ROW(OI50),$I$11+(MATCH(OH$11,L.DATE,0))))&amp;":"&amp;(ADDRESS(ROW(OI50),$I$11+OI$11+(MATCH(OH$11,L.DATE,0))-1))),L.ABS.NP,
INDIRECT((ADDRESS(ROW(OI50)+1,$I$11+(MATCH(OH$11,L.DATE,0))))&amp;":"&amp;(ADDRESS(ROW(OI50)+1,$I$11+OI$11+(MATCH(OH$11,L.DATE,0))-1)))))</f>
        <v/>
      </c>
      <c r="OJ51" s="376" t="str" cm="1">
        <f t="array" aca="1" ref="OJ51" ca="1">IF(xcomp(INDIRECT((ADDRESS(ROW(OJ50),$I$11+(MATCH(OJ$11,L.DATE,0))))&amp;":"&amp;(ADDRESS(ROW(OJ50),$I$11+OK$11+(MATCH(OJ$11,L.DATE,0))-1))),L.ABSP)=0,"",
xsom(INDIRECT((ADDRESS(ROW(OJ50),$I$11+(MATCH(OJ$11,L.DATE,0))))&amp;":"&amp;(ADDRESS(ROW(OJ50),$I$11+OK$11+(MATCH(OJ$11,L.DATE,0))-1))),L.ABSP,
INDIRECT((ADDRESS(ROW(OJ50)+1,$I$11+(MATCH(OJ$11,L.DATE,0))))&amp;":"&amp;(ADDRESS(ROW(OJ50)+1,$I$11+OK$11+(MATCH(OJ$11,L.DATE,0))-1)))))</f>
        <v/>
      </c>
      <c r="OK51" s="378" t="str" cm="1">
        <f t="array" aca="1" ref="OK51" ca="1">IF(xcomp(INDIRECT((ADDRESS(ROW(OK50),$I$11+(MATCH(OJ$11,L.DATE,0))))&amp;":"&amp;(ADDRESS(ROW(OK50),$I$11+OK$11+(MATCH(OJ$11,L.DATE,0))-1))),L.ABS.NP)=0,"",
xsom(INDIRECT((ADDRESS(ROW(OK50),$I$11+(MATCH(OJ$11,L.DATE,0))))&amp;":"&amp;(ADDRESS(ROW(OK50),$I$11+OK$11+(MATCH(OJ$11,L.DATE,0))-1))),L.ABS.NP,
INDIRECT((ADDRESS(ROW(OK50)+1,$I$11+(MATCH(OJ$11,L.DATE,0))))&amp;":"&amp;(ADDRESS(ROW(OK50)+1,$I$11+OK$11+(MATCH(OJ$11,L.DATE,0))-1)))))</f>
        <v/>
      </c>
    </row>
    <row r="52" spans="1:404" ht="12" customHeight="1" x14ac:dyDescent="0.3">
      <c r="A52" s="395" t="s">
        <v>38</v>
      </c>
      <c r="B52" s="381"/>
      <c r="C52" s="53"/>
      <c r="D52" s="53"/>
      <c r="E52" s="53"/>
      <c r="F52" s="53"/>
      <c r="G52" s="104"/>
      <c r="H52" s="108">
        <v>2</v>
      </c>
      <c r="I52" s="28"/>
      <c r="J52" s="382"/>
      <c r="K52" s="383"/>
      <c r="L52" s="384"/>
      <c r="M52" s="382"/>
      <c r="N52" s="382"/>
      <c r="O52" s="382"/>
      <c r="P52" s="382"/>
      <c r="Q52" s="382"/>
      <c r="R52" s="382"/>
      <c r="S52" s="382"/>
      <c r="T52" s="382"/>
      <c r="U52" s="382"/>
      <c r="V52" s="382"/>
      <c r="W52" s="382"/>
      <c r="X52" s="382"/>
      <c r="Y52" s="382"/>
      <c r="Z52" s="382"/>
      <c r="AA52" s="382"/>
      <c r="AB52" s="382"/>
      <c r="AC52" s="382"/>
      <c r="AD52" s="382"/>
      <c r="AE52" s="382"/>
      <c r="AF52" s="382"/>
      <c r="AG52" s="382"/>
      <c r="AH52" s="382"/>
      <c r="AI52" s="382"/>
      <c r="AJ52" s="382"/>
      <c r="AK52" s="382"/>
      <c r="AL52" s="382"/>
      <c r="AM52" s="382"/>
      <c r="AN52" s="382"/>
      <c r="AO52" s="382"/>
      <c r="AP52" s="382"/>
      <c r="AQ52" s="382"/>
      <c r="AR52" s="382"/>
      <c r="AS52" s="382"/>
      <c r="AT52" s="382"/>
      <c r="AU52" s="382"/>
      <c r="AV52" s="382"/>
      <c r="AW52" s="382"/>
      <c r="AX52" s="382"/>
      <c r="AY52" s="382"/>
      <c r="AZ52" s="382"/>
      <c r="BA52" s="382"/>
      <c r="BB52" s="382"/>
      <c r="BC52" s="382"/>
      <c r="BD52" s="382"/>
      <c r="BE52" s="382"/>
      <c r="BF52" s="382"/>
      <c r="BG52" s="382"/>
      <c r="BH52" s="382"/>
      <c r="BI52" s="382"/>
      <c r="BJ52" s="382"/>
      <c r="BK52" s="382"/>
      <c r="BL52" s="382"/>
      <c r="BM52" s="382"/>
      <c r="BN52" s="382"/>
      <c r="BO52" s="382"/>
      <c r="BP52" s="382"/>
      <c r="BQ52" s="382"/>
      <c r="BR52" s="382"/>
      <c r="BS52" s="382"/>
      <c r="BT52" s="382"/>
      <c r="BU52" s="382"/>
      <c r="BV52" s="382"/>
      <c r="BW52" s="382"/>
      <c r="BX52" s="382"/>
      <c r="BY52" s="382"/>
      <c r="BZ52" s="382"/>
      <c r="CA52" s="382"/>
      <c r="CB52" s="382"/>
      <c r="CC52" s="382"/>
      <c r="CD52" s="382"/>
      <c r="CE52" s="382"/>
      <c r="CF52" s="382"/>
      <c r="CG52" s="382"/>
      <c r="CH52" s="382"/>
      <c r="CI52" s="382"/>
      <c r="CJ52" s="382"/>
      <c r="CK52" s="382"/>
      <c r="CL52" s="382"/>
      <c r="CM52" s="382"/>
      <c r="CN52" s="382"/>
      <c r="CO52" s="382"/>
      <c r="CP52" s="382"/>
      <c r="CQ52" s="382"/>
      <c r="CR52" s="382"/>
      <c r="CS52" s="382"/>
      <c r="CT52" s="382"/>
      <c r="CU52" s="382"/>
      <c r="CV52" s="382"/>
      <c r="CW52" s="382"/>
      <c r="CX52" s="382"/>
      <c r="CY52" s="382"/>
      <c r="CZ52" s="382"/>
      <c r="DA52" s="382"/>
      <c r="DB52" s="382"/>
      <c r="DC52" s="382"/>
      <c r="DD52" s="382"/>
      <c r="DE52" s="382"/>
      <c r="DF52" s="382"/>
      <c r="DG52" s="382"/>
      <c r="DH52" s="382"/>
      <c r="DI52" s="382"/>
      <c r="DJ52" s="382"/>
      <c r="DK52" s="382"/>
      <c r="DL52" s="382"/>
      <c r="DM52" s="382"/>
      <c r="DN52" s="382"/>
      <c r="DO52" s="382"/>
      <c r="DP52" s="382"/>
      <c r="DQ52" s="382"/>
      <c r="DR52" s="382"/>
      <c r="DS52" s="382"/>
      <c r="DT52" s="382"/>
      <c r="DU52" s="382"/>
      <c r="DV52" s="382"/>
      <c r="DW52" s="382"/>
      <c r="DX52" s="382"/>
      <c r="DY52" s="382"/>
      <c r="DZ52" s="382"/>
      <c r="EA52" s="382"/>
      <c r="EB52" s="382"/>
      <c r="EC52" s="382"/>
      <c r="ED52" s="382"/>
      <c r="EE52" s="382"/>
      <c r="EF52" s="382"/>
      <c r="EG52" s="382"/>
      <c r="EH52" s="382"/>
      <c r="EI52" s="382"/>
      <c r="EJ52" s="382"/>
      <c r="EK52" s="382"/>
      <c r="EL52" s="382"/>
      <c r="EM52" s="382"/>
      <c r="EN52" s="382"/>
      <c r="EO52" s="382"/>
      <c r="EP52" s="382"/>
      <c r="EQ52" s="382"/>
      <c r="ER52" s="382"/>
      <c r="ES52" s="382"/>
      <c r="ET52" s="382"/>
      <c r="EU52" s="382"/>
      <c r="EV52" s="382"/>
      <c r="EW52" s="382"/>
      <c r="EX52" s="382"/>
      <c r="EY52" s="382"/>
      <c r="EZ52" s="382"/>
      <c r="FA52" s="382"/>
      <c r="FB52" s="382"/>
      <c r="FC52" s="382"/>
      <c r="FD52" s="382"/>
      <c r="FE52" s="382"/>
      <c r="FF52" s="382"/>
      <c r="FG52" s="382"/>
      <c r="FH52" s="382"/>
      <c r="FI52" s="382"/>
      <c r="FJ52" s="382"/>
      <c r="FK52" s="382"/>
      <c r="FL52" s="382"/>
      <c r="FM52" s="382"/>
      <c r="FN52" s="382"/>
      <c r="FO52" s="382"/>
      <c r="FP52" s="382"/>
      <c r="FQ52" s="382"/>
      <c r="FR52" s="382"/>
      <c r="FS52" s="382"/>
      <c r="FT52" s="382"/>
      <c r="FU52" s="382"/>
      <c r="FV52" s="382"/>
      <c r="FW52" s="382"/>
      <c r="FX52" s="382"/>
      <c r="FY52" s="382"/>
      <c r="FZ52" s="382"/>
      <c r="GA52" s="382"/>
      <c r="GB52" s="382"/>
      <c r="GC52" s="382"/>
      <c r="GD52" s="382"/>
      <c r="GE52" s="382"/>
      <c r="GF52" s="382"/>
      <c r="GG52" s="382"/>
      <c r="GH52" s="382"/>
      <c r="GI52" s="382"/>
      <c r="GJ52" s="382"/>
      <c r="GK52" s="382"/>
      <c r="GL52" s="382"/>
      <c r="GM52" s="382"/>
      <c r="GN52" s="382"/>
      <c r="GO52" s="382"/>
      <c r="GP52" s="382"/>
      <c r="GQ52" s="382"/>
      <c r="GR52" s="382"/>
      <c r="GS52" s="382"/>
      <c r="GT52" s="382"/>
      <c r="GU52" s="382"/>
      <c r="GV52" s="382"/>
      <c r="GW52" s="382"/>
      <c r="GX52" s="382"/>
      <c r="GY52" s="382"/>
      <c r="GZ52" s="382"/>
      <c r="HA52" s="382"/>
      <c r="HB52" s="382"/>
      <c r="HC52" s="382"/>
      <c r="HD52" s="382"/>
      <c r="HE52" s="382"/>
      <c r="HF52" s="382"/>
      <c r="HG52" s="382"/>
      <c r="HH52" s="382"/>
      <c r="HI52" s="382"/>
      <c r="HJ52" s="382"/>
      <c r="HK52" s="382"/>
      <c r="HL52" s="382"/>
      <c r="HM52" s="382"/>
      <c r="HN52" s="382"/>
      <c r="HO52" s="382"/>
      <c r="HP52" s="382"/>
      <c r="HQ52" s="382"/>
      <c r="HR52" s="382"/>
      <c r="HS52" s="382"/>
      <c r="HT52" s="382"/>
      <c r="HU52" s="382"/>
      <c r="HV52" s="382"/>
      <c r="HW52" s="382"/>
      <c r="HX52" s="382"/>
      <c r="HY52" s="382"/>
      <c r="HZ52" s="382"/>
      <c r="IA52" s="382"/>
      <c r="IB52" s="382"/>
      <c r="IC52" s="382"/>
      <c r="ID52" s="382"/>
      <c r="IE52" s="382"/>
      <c r="IF52" s="382"/>
      <c r="IG52" s="382"/>
      <c r="IH52" s="382"/>
      <c r="II52" s="382"/>
      <c r="IJ52" s="382"/>
      <c r="IK52" s="382"/>
      <c r="IL52" s="382"/>
      <c r="IM52" s="382"/>
      <c r="IN52" s="382"/>
      <c r="IO52" s="382"/>
      <c r="IP52" s="382"/>
      <c r="IQ52" s="382"/>
      <c r="IR52" s="382"/>
      <c r="IS52" s="382"/>
      <c r="IT52" s="382"/>
      <c r="IU52" s="382"/>
      <c r="IV52" s="382"/>
      <c r="IW52" s="382"/>
      <c r="IX52" s="382"/>
      <c r="IY52" s="382"/>
      <c r="IZ52" s="382"/>
      <c r="JA52" s="382"/>
      <c r="JB52" s="382"/>
      <c r="JC52" s="382"/>
      <c r="JD52" s="382"/>
      <c r="JE52" s="382"/>
      <c r="JF52" s="382"/>
      <c r="JG52" s="382"/>
      <c r="JH52" s="382"/>
      <c r="JI52" s="382"/>
      <c r="JJ52" s="382"/>
      <c r="JK52" s="382"/>
      <c r="JL52" s="382"/>
      <c r="JM52" s="382"/>
      <c r="JN52" s="382"/>
      <c r="JO52" s="382"/>
      <c r="JP52" s="382"/>
      <c r="JQ52" s="382"/>
      <c r="JR52" s="382"/>
      <c r="JS52" s="382"/>
      <c r="JT52" s="382"/>
      <c r="JU52" s="382"/>
      <c r="JV52" s="382"/>
      <c r="JW52" s="382"/>
      <c r="JX52" s="382"/>
      <c r="JY52" s="382"/>
      <c r="JZ52" s="382"/>
      <c r="KA52" s="382"/>
      <c r="KB52" s="382"/>
      <c r="KC52" s="382"/>
      <c r="KD52" s="382"/>
      <c r="KE52" s="382"/>
      <c r="KF52" s="382"/>
      <c r="KG52" s="382"/>
      <c r="KH52" s="382"/>
      <c r="KI52" s="382"/>
      <c r="KJ52" s="382"/>
      <c r="KK52" s="382"/>
      <c r="KL52" s="382"/>
      <c r="KM52" s="382"/>
      <c r="KN52" s="382"/>
      <c r="KO52" s="382"/>
      <c r="KP52" s="382"/>
      <c r="KQ52" s="382"/>
      <c r="KR52" s="382"/>
      <c r="KS52" s="382"/>
      <c r="KT52" s="382"/>
      <c r="KU52" s="382"/>
      <c r="KV52" s="382"/>
      <c r="KW52" s="382"/>
      <c r="KX52" s="382"/>
      <c r="KY52" s="382"/>
      <c r="KZ52" s="382"/>
      <c r="LA52" s="382"/>
      <c r="LB52" s="382"/>
      <c r="LC52" s="382"/>
      <c r="LD52" s="382"/>
      <c r="LE52" s="382"/>
      <c r="LF52" s="382"/>
      <c r="LG52" s="382"/>
      <c r="LH52" s="382"/>
      <c r="LI52" s="382"/>
      <c r="LJ52" s="382"/>
      <c r="LK52" s="382"/>
      <c r="LL52" s="382"/>
      <c r="LM52" s="382"/>
      <c r="LN52" s="382"/>
      <c r="LO52" s="382"/>
      <c r="LP52" s="382"/>
      <c r="LQ52" s="382"/>
      <c r="LR52" s="382"/>
      <c r="LS52" s="382"/>
      <c r="LT52" s="382"/>
      <c r="LU52" s="382"/>
      <c r="LV52" s="382"/>
      <c r="LW52" s="382"/>
      <c r="LX52" s="382"/>
      <c r="LY52" s="382"/>
      <c r="LZ52" s="382"/>
      <c r="MA52" s="382"/>
      <c r="MB52" s="382"/>
      <c r="MC52" s="382"/>
      <c r="MD52" s="382"/>
      <c r="ME52" s="382"/>
      <c r="MF52" s="382"/>
      <c r="MG52" s="382"/>
      <c r="MH52" s="382"/>
      <c r="MI52" s="382"/>
      <c r="MJ52" s="382"/>
      <c r="MK52" s="382"/>
      <c r="ML52" s="382"/>
      <c r="MM52" s="382"/>
      <c r="MN52" s="382"/>
      <c r="MO52" s="382"/>
      <c r="MP52" s="382"/>
      <c r="MQ52" s="382"/>
      <c r="MR52" s="382"/>
      <c r="MS52" s="382"/>
      <c r="MT52" s="382"/>
      <c r="MU52" s="382"/>
      <c r="MV52" s="382"/>
      <c r="MW52" s="382"/>
      <c r="MX52" s="382"/>
      <c r="MY52" s="382"/>
      <c r="MZ52" s="382"/>
      <c r="NA52" s="382"/>
      <c r="NB52" s="382"/>
      <c r="NC52" s="382"/>
      <c r="ND52" s="382"/>
      <c r="NE52" s="382"/>
      <c r="NF52" s="382"/>
      <c r="NG52" s="382"/>
      <c r="NH52" s="382"/>
      <c r="NI52" s="382"/>
      <c r="NJ52" s="388"/>
      <c r="NK52" s="34"/>
      <c r="NM52" s="159" t="str">
        <f>A52</f>
        <v>/!\  NE PAS SAISIR ICI  /!\</v>
      </c>
      <c r="NN52" s="373">
        <f ca="1">COUNTIF(INDIRECT((ADDRESS(ROW(NO53),$I$11+(MATCH(NN$11,L.DATE,0))))&amp;":"&amp;(ADDRESS(ROW(NO53),$I$11+NO$11+(MATCH(NN$11,L.DATE,0))-1))),"&gt;=0")-NO52</f>
        <v>0</v>
      </c>
      <c r="NO52" s="374">
        <f ca="1">SUM(INDIRECT((ADDRESS(ROW(NO53),$I$11+(MATCH(NN$11,L.DATE,0))))&amp;":"&amp;(ADDRESS(ROW(NO53),$I$11+NO$11+(MATCH(NN$11,L.DATE,0))-1))))</f>
        <v>0</v>
      </c>
      <c r="NP52" s="373">
        <f ca="1">COUNTIF(INDIRECT((ADDRESS(ROW(NQ53),$I$11+(MATCH(NP$11,L.DATE,0))))&amp;":"&amp;(ADDRESS(ROW(NQ53),$I$11+NQ$11+(MATCH(NP$11,L.DATE,0))-1))),"&gt;=0")-NQ52</f>
        <v>0</v>
      </c>
      <c r="NQ52" s="374">
        <f ca="1">SUM(INDIRECT((ADDRESS(ROW(NQ53),$I$11+(MATCH(NP$11,L.DATE,0))))&amp;":"&amp;(ADDRESS(ROW(NQ53),$I$11+NQ$11+(MATCH(NP$11,L.DATE,0))-1))))</f>
        <v>0</v>
      </c>
      <c r="NR52" s="373">
        <f ca="1">COUNTIF(INDIRECT((ADDRESS(ROW(NS53),$I$11+(MATCH(NR$11,L.DATE,0))))&amp;":"&amp;(ADDRESS(ROW(NS53),$I$11+NS$11+(MATCH(NR$11,L.DATE,0))-1))),"&gt;=0")-NS52</f>
        <v>0</v>
      </c>
      <c r="NS52" s="374">
        <f ca="1">SUM(INDIRECT((ADDRESS(ROW(NS53),$I$11+(MATCH(NR$11,L.DATE,0))))&amp;":"&amp;(ADDRESS(ROW(NS53),$I$11+NS$11+(MATCH(NR$11,L.DATE,0))-1))))</f>
        <v>0</v>
      </c>
      <c r="NT52" s="373">
        <f ca="1">COUNTIF(INDIRECT((ADDRESS(ROW(NU53),$I$11+(MATCH(NT$11,L.DATE,0))))&amp;":"&amp;(ADDRESS(ROW(NU53),$I$11+NU$11+(MATCH(NT$11,L.DATE,0))-1))),"&gt;=0")-NU52</f>
        <v>0</v>
      </c>
      <c r="NU52" s="374">
        <f ca="1">SUM(INDIRECT((ADDRESS(ROW(NU53),$I$11+(MATCH(NT$11,L.DATE,0))))&amp;":"&amp;(ADDRESS(ROW(NU53),$I$11+NU$11+(MATCH(NT$11,L.DATE,0))-1))))</f>
        <v>0</v>
      </c>
      <c r="NV52" s="373">
        <f ca="1">COUNTIF(INDIRECT((ADDRESS(ROW(NW53),$I$11+(MATCH(NV$11,L.DATE,0))))&amp;":"&amp;(ADDRESS(ROW(NW53),$I$11+NW$11+(MATCH(NV$11,L.DATE,0))-1))),"&gt;=0")-NW52</f>
        <v>0</v>
      </c>
      <c r="NW52" s="374">
        <f ca="1">SUM(INDIRECT((ADDRESS(ROW(NW53),$I$11+(MATCH(NV$11,L.DATE,0))))&amp;":"&amp;(ADDRESS(ROW(NW53),$I$11+NW$11+(MATCH(NV$11,L.DATE,0))-1))))</f>
        <v>0</v>
      </c>
      <c r="NX52" s="373">
        <f ca="1">COUNTIF(INDIRECT((ADDRESS(ROW(NY53),$I$11+(MATCH(NX$11,L.DATE,0))))&amp;":"&amp;(ADDRESS(ROW(NY53),$I$11+NY$11+(MATCH(NX$11,L.DATE,0))-1))),"&gt;=0")-NY52</f>
        <v>0</v>
      </c>
      <c r="NY52" s="374">
        <f ca="1">SUM(INDIRECT((ADDRESS(ROW(NY53),$I$11+(MATCH(NX$11,L.DATE,0))))&amp;":"&amp;(ADDRESS(ROW(NY53),$I$11+NY$11+(MATCH(NX$11,L.DATE,0))-1))))</f>
        <v>0</v>
      </c>
      <c r="NZ52" s="373">
        <f ca="1">COUNTIF(INDIRECT((ADDRESS(ROW(OA53),$I$11+(MATCH(NZ$11,L.DATE,0))))&amp;":"&amp;(ADDRESS(ROW(OA53),$I$11+OA$11+(MATCH(NZ$11,L.DATE,0))-1))),"&gt;=0")-OA52</f>
        <v>0</v>
      </c>
      <c r="OA52" s="374">
        <f ca="1">SUM(INDIRECT((ADDRESS(ROW(OA53),$I$11+(MATCH(NZ$11,L.DATE,0))))&amp;":"&amp;(ADDRESS(ROW(OA53),$I$11+OA$11+(MATCH(NZ$11,L.DATE,0))-1))))</f>
        <v>0</v>
      </c>
      <c r="OB52" s="373">
        <f ca="1">COUNTIF(INDIRECT((ADDRESS(ROW(OC53),$I$11+(MATCH(OB$11,L.DATE,0))))&amp;":"&amp;(ADDRESS(ROW(OC53),$I$11+OC$11+(MATCH(OB$11,L.DATE,0))-1))),"&gt;=0")-OC52</f>
        <v>0</v>
      </c>
      <c r="OC52" s="374">
        <f ca="1">SUM(INDIRECT((ADDRESS(ROW(OC53),$I$11+(MATCH(OB$11,L.DATE,0))))&amp;":"&amp;(ADDRESS(ROW(OC53),$I$11+OC$11+(MATCH(OB$11,L.DATE,0))-1))))</f>
        <v>0</v>
      </c>
      <c r="OD52" s="373">
        <f ca="1">COUNTIF(INDIRECT((ADDRESS(ROW(OE53),$I$11+(MATCH(OD$11,L.DATE,0))))&amp;":"&amp;(ADDRESS(ROW(OE53),$I$11+OE$11+(MATCH(OD$11,L.DATE,0))-1))),"&gt;=0")-OE52</f>
        <v>0</v>
      </c>
      <c r="OE52" s="374">
        <f ca="1">SUM(INDIRECT((ADDRESS(ROW(OE53),$I$11+(MATCH(OD$11,L.DATE,0))))&amp;":"&amp;(ADDRESS(ROW(OE53),$I$11+OE$11+(MATCH(OD$11,L.DATE,0))-1))))</f>
        <v>0</v>
      </c>
      <c r="OF52" s="373">
        <f ca="1">COUNTIF(INDIRECT((ADDRESS(ROW(OG53),$I$11+(MATCH(OF$11,L.DATE,0))))&amp;":"&amp;(ADDRESS(ROW(OG53),$I$11+OG$11+(MATCH(OF$11,L.DATE,0))-1))),"&gt;=0")-OG52</f>
        <v>0</v>
      </c>
      <c r="OG52" s="374">
        <f ca="1">SUM(INDIRECT((ADDRESS(ROW(OG53),$I$11+(MATCH(OF$11,L.DATE,0))))&amp;":"&amp;(ADDRESS(ROW(OG53),$I$11+OG$11+(MATCH(OF$11,L.DATE,0))-1))))</f>
        <v>0</v>
      </c>
      <c r="OH52" s="373">
        <f ca="1">COUNTIF(INDIRECT((ADDRESS(ROW(OI53),$I$11+(MATCH(OH$11,L.DATE,0))))&amp;":"&amp;(ADDRESS(ROW(OI53),$I$11+OI$11+(MATCH(OH$11,L.DATE,0))-1))),"&gt;=0")-OI52</f>
        <v>0</v>
      </c>
      <c r="OI52" s="374">
        <f ca="1">SUM(INDIRECT((ADDRESS(ROW(OI53),$I$11+(MATCH(OH$11,L.DATE,0))))&amp;":"&amp;(ADDRESS(ROW(OI53),$I$11+OI$11+(MATCH(OH$11,L.DATE,0))-1))))</f>
        <v>0</v>
      </c>
      <c r="OJ52" s="373">
        <f ca="1">COUNTIF(INDIRECT((ADDRESS(ROW(OK53),$I$11+(MATCH(OJ$11,L.DATE,0))))&amp;":"&amp;(ADDRESS(ROW(OK53),$I$11+OK$11+(MATCH(OJ$11,L.DATE,0))-1))),"&gt;=0")-OK52</f>
        <v>0</v>
      </c>
      <c r="OK52" s="375">
        <f ca="1">SUM(INDIRECT((ADDRESS(ROW(OK53),$I$11+(MATCH(OJ$11,L.DATE,0))))&amp;":"&amp;(ADDRESS(ROW(OK53),$I$11+OK$11+(MATCH(OJ$11,L.DATE,0))-1))))</f>
        <v>0</v>
      </c>
      <c r="OM52" s="39">
        <f ca="1">NN52+NP52+NR52+NT52+NV52+NX52+NZ52+OB52+OD52+OF52+OJ52+OH52</f>
        <v>0</v>
      </c>
      <c r="ON52" s="40">
        <f ca="1">NO52+NQ52+NS52+NU52+NW52+NY52+OA52+OC52+OE52+OG52+OK52+OI52</f>
        <v>0</v>
      </c>
    </row>
    <row r="53" spans="1:404" x14ac:dyDescent="0.3">
      <c r="A53" s="33"/>
      <c r="B53" s="16">
        <f t="shared" ref="B53:H53" si="42">B52</f>
        <v>0</v>
      </c>
      <c r="C53" s="16">
        <f t="shared" si="42"/>
        <v>0</v>
      </c>
      <c r="D53" s="16">
        <f t="shared" si="42"/>
        <v>0</v>
      </c>
      <c r="E53" s="16">
        <f t="shared" si="42"/>
        <v>0</v>
      </c>
      <c r="F53" s="16">
        <f t="shared" si="42"/>
        <v>0</v>
      </c>
      <c r="G53" s="105">
        <f t="shared" si="42"/>
        <v>0</v>
      </c>
      <c r="H53" s="109">
        <f t="shared" si="42"/>
        <v>2</v>
      </c>
      <c r="I53" s="28"/>
      <c r="J53" s="382"/>
      <c r="K53" s="387"/>
      <c r="L53" s="382"/>
      <c r="M53" s="382"/>
      <c r="N53" s="382"/>
      <c r="O53" s="382"/>
      <c r="P53" s="382"/>
      <c r="Q53" s="382"/>
      <c r="R53" s="382"/>
      <c r="S53" s="382"/>
      <c r="T53" s="382"/>
      <c r="U53" s="382"/>
      <c r="V53" s="382"/>
      <c r="W53" s="382"/>
      <c r="X53" s="382"/>
      <c r="Y53" s="382"/>
      <c r="Z53" s="382"/>
      <c r="AA53" s="382"/>
      <c r="AB53" s="382"/>
      <c r="AC53" s="382"/>
      <c r="AD53" s="382"/>
      <c r="AE53" s="382"/>
      <c r="AF53" s="382"/>
      <c r="AG53" s="382"/>
      <c r="AH53" s="382"/>
      <c r="AI53" s="382"/>
      <c r="AJ53" s="382"/>
      <c r="AK53" s="382"/>
      <c r="AL53" s="382"/>
      <c r="AM53" s="382"/>
      <c r="AN53" s="382"/>
      <c r="AO53" s="382"/>
      <c r="AP53" s="382"/>
      <c r="AQ53" s="382"/>
      <c r="AR53" s="382"/>
      <c r="AS53" s="382"/>
      <c r="AT53" s="382"/>
      <c r="AU53" s="382"/>
      <c r="AV53" s="382"/>
      <c r="AW53" s="382"/>
      <c r="AX53" s="382"/>
      <c r="AY53" s="382"/>
      <c r="AZ53" s="382"/>
      <c r="BA53" s="382"/>
      <c r="BB53" s="382"/>
      <c r="BC53" s="382"/>
      <c r="BD53" s="382"/>
      <c r="BE53" s="382"/>
      <c r="BF53" s="382"/>
      <c r="BG53" s="382"/>
      <c r="BH53" s="382"/>
      <c r="BI53" s="382"/>
      <c r="BJ53" s="382"/>
      <c r="BK53" s="382"/>
      <c r="BL53" s="382"/>
      <c r="BM53" s="382"/>
      <c r="BN53" s="382"/>
      <c r="BO53" s="382"/>
      <c r="BP53" s="382"/>
      <c r="BQ53" s="382"/>
      <c r="BR53" s="382"/>
      <c r="BS53" s="382"/>
      <c r="BT53" s="382"/>
      <c r="BU53" s="382"/>
      <c r="BV53" s="382"/>
      <c r="BW53" s="382"/>
      <c r="BX53" s="382"/>
      <c r="BY53" s="382"/>
      <c r="BZ53" s="382"/>
      <c r="CA53" s="382"/>
      <c r="CB53" s="382"/>
      <c r="CC53" s="382"/>
      <c r="CD53" s="382"/>
      <c r="CE53" s="382"/>
      <c r="CF53" s="382"/>
      <c r="CG53" s="382"/>
      <c r="CH53" s="382"/>
      <c r="CI53" s="382"/>
      <c r="CJ53" s="382"/>
      <c r="CK53" s="382"/>
      <c r="CL53" s="382"/>
      <c r="CM53" s="382"/>
      <c r="CN53" s="382"/>
      <c r="CO53" s="382"/>
      <c r="CP53" s="382"/>
      <c r="CQ53" s="382"/>
      <c r="CR53" s="382"/>
      <c r="CS53" s="382"/>
      <c r="CT53" s="382"/>
      <c r="CU53" s="382"/>
      <c r="CV53" s="382"/>
      <c r="CW53" s="382"/>
      <c r="CX53" s="382"/>
      <c r="CY53" s="382"/>
      <c r="CZ53" s="382"/>
      <c r="DA53" s="382"/>
      <c r="DB53" s="382"/>
      <c r="DC53" s="382"/>
      <c r="DD53" s="382"/>
      <c r="DE53" s="382"/>
      <c r="DF53" s="382"/>
      <c r="DG53" s="382"/>
      <c r="DH53" s="382"/>
      <c r="DI53" s="382"/>
      <c r="DJ53" s="382"/>
      <c r="DK53" s="382"/>
      <c r="DL53" s="382"/>
      <c r="DM53" s="382"/>
      <c r="DN53" s="382"/>
      <c r="DO53" s="382"/>
      <c r="DP53" s="382"/>
      <c r="DQ53" s="382"/>
      <c r="DR53" s="382"/>
      <c r="DS53" s="382"/>
      <c r="DT53" s="382"/>
      <c r="DU53" s="382"/>
      <c r="DV53" s="382"/>
      <c r="DW53" s="382"/>
      <c r="DX53" s="382"/>
      <c r="DY53" s="382"/>
      <c r="DZ53" s="382"/>
      <c r="EA53" s="382"/>
      <c r="EB53" s="382"/>
      <c r="EC53" s="382"/>
      <c r="ED53" s="382"/>
      <c r="EE53" s="382"/>
      <c r="EF53" s="382"/>
      <c r="EG53" s="382"/>
      <c r="EH53" s="382"/>
      <c r="EI53" s="382"/>
      <c r="EJ53" s="382"/>
      <c r="EK53" s="382"/>
      <c r="EL53" s="382"/>
      <c r="EM53" s="382"/>
      <c r="EN53" s="382"/>
      <c r="EO53" s="382"/>
      <c r="EP53" s="382"/>
      <c r="EQ53" s="382"/>
      <c r="ER53" s="382"/>
      <c r="ES53" s="382"/>
      <c r="ET53" s="382"/>
      <c r="EU53" s="382"/>
      <c r="EV53" s="382"/>
      <c r="EW53" s="382"/>
      <c r="EX53" s="382"/>
      <c r="EY53" s="382"/>
      <c r="EZ53" s="382"/>
      <c r="FA53" s="382"/>
      <c r="FB53" s="382"/>
      <c r="FC53" s="382"/>
      <c r="FD53" s="382"/>
      <c r="FE53" s="382"/>
      <c r="FF53" s="382"/>
      <c r="FG53" s="382"/>
      <c r="FH53" s="382"/>
      <c r="FI53" s="382"/>
      <c r="FJ53" s="382"/>
      <c r="FK53" s="382"/>
      <c r="FL53" s="382"/>
      <c r="FM53" s="382"/>
      <c r="FN53" s="382"/>
      <c r="FO53" s="382"/>
      <c r="FP53" s="382"/>
      <c r="FQ53" s="382"/>
      <c r="FR53" s="382"/>
      <c r="FS53" s="382"/>
      <c r="FT53" s="382"/>
      <c r="FU53" s="382"/>
      <c r="FV53" s="382"/>
      <c r="FW53" s="382"/>
      <c r="FX53" s="382"/>
      <c r="FY53" s="382"/>
      <c r="FZ53" s="382"/>
      <c r="GA53" s="382"/>
      <c r="GB53" s="382"/>
      <c r="GC53" s="382"/>
      <c r="GD53" s="382"/>
      <c r="GE53" s="382"/>
      <c r="GF53" s="382"/>
      <c r="GG53" s="382"/>
      <c r="GH53" s="382"/>
      <c r="GI53" s="382"/>
      <c r="GJ53" s="382"/>
      <c r="GK53" s="382"/>
      <c r="GL53" s="382"/>
      <c r="GM53" s="382"/>
      <c r="GN53" s="382"/>
      <c r="GO53" s="382"/>
      <c r="GP53" s="382"/>
      <c r="GQ53" s="382"/>
      <c r="GR53" s="382"/>
      <c r="GS53" s="382"/>
      <c r="GT53" s="382"/>
      <c r="GU53" s="382"/>
      <c r="GV53" s="382"/>
      <c r="GW53" s="382"/>
      <c r="GX53" s="382"/>
      <c r="GY53" s="382"/>
      <c r="GZ53" s="382"/>
      <c r="HA53" s="382"/>
      <c r="HB53" s="382"/>
      <c r="HC53" s="382"/>
      <c r="HD53" s="382"/>
      <c r="HE53" s="382"/>
      <c r="HF53" s="382"/>
      <c r="HG53" s="382"/>
      <c r="HH53" s="382"/>
      <c r="HI53" s="382"/>
      <c r="HJ53" s="382"/>
      <c r="HK53" s="382"/>
      <c r="HL53" s="382"/>
      <c r="HM53" s="382"/>
      <c r="HN53" s="382"/>
      <c r="HO53" s="382"/>
      <c r="HP53" s="382"/>
      <c r="HQ53" s="382"/>
      <c r="HR53" s="382"/>
      <c r="HS53" s="382"/>
      <c r="HT53" s="382"/>
      <c r="HU53" s="382"/>
      <c r="HV53" s="382"/>
      <c r="HW53" s="382"/>
      <c r="HX53" s="382"/>
      <c r="HY53" s="382"/>
      <c r="HZ53" s="382"/>
      <c r="IA53" s="382"/>
      <c r="IB53" s="382"/>
      <c r="IC53" s="382"/>
      <c r="ID53" s="382"/>
      <c r="IE53" s="382"/>
      <c r="IF53" s="382"/>
      <c r="IG53" s="382"/>
      <c r="IH53" s="382"/>
      <c r="II53" s="382"/>
      <c r="IJ53" s="382"/>
      <c r="IK53" s="382"/>
      <c r="IL53" s="382"/>
      <c r="IM53" s="382"/>
      <c r="IN53" s="382"/>
      <c r="IO53" s="382"/>
      <c r="IP53" s="382"/>
      <c r="IQ53" s="382"/>
      <c r="IR53" s="382"/>
      <c r="IS53" s="382"/>
      <c r="IT53" s="382"/>
      <c r="IU53" s="382"/>
      <c r="IV53" s="382"/>
      <c r="IW53" s="382"/>
      <c r="IX53" s="382"/>
      <c r="IY53" s="382"/>
      <c r="IZ53" s="382"/>
      <c r="JA53" s="382"/>
      <c r="JB53" s="382"/>
      <c r="JC53" s="382"/>
      <c r="JD53" s="382"/>
      <c r="JE53" s="382"/>
      <c r="JF53" s="382"/>
      <c r="JG53" s="382"/>
      <c r="JH53" s="382"/>
      <c r="JI53" s="382"/>
      <c r="JJ53" s="382"/>
      <c r="JK53" s="382"/>
      <c r="JL53" s="382"/>
      <c r="JM53" s="382"/>
      <c r="JN53" s="382"/>
      <c r="JO53" s="382"/>
      <c r="JP53" s="382"/>
      <c r="JQ53" s="382"/>
      <c r="JR53" s="382"/>
      <c r="JS53" s="382"/>
      <c r="JT53" s="382"/>
      <c r="JU53" s="382"/>
      <c r="JV53" s="382"/>
      <c r="JW53" s="382"/>
      <c r="JX53" s="382"/>
      <c r="JY53" s="382"/>
      <c r="JZ53" s="382"/>
      <c r="KA53" s="382"/>
      <c r="KB53" s="382"/>
      <c r="KC53" s="382"/>
      <c r="KD53" s="382"/>
      <c r="KE53" s="382"/>
      <c r="KF53" s="382"/>
      <c r="KG53" s="382"/>
      <c r="KH53" s="382"/>
      <c r="KI53" s="382"/>
      <c r="KJ53" s="382"/>
      <c r="KK53" s="382"/>
      <c r="KL53" s="382"/>
      <c r="KM53" s="382"/>
      <c r="KN53" s="382"/>
      <c r="KO53" s="382"/>
      <c r="KP53" s="382"/>
      <c r="KQ53" s="382"/>
      <c r="KR53" s="382"/>
      <c r="KS53" s="382"/>
      <c r="KT53" s="382"/>
      <c r="KU53" s="382"/>
      <c r="KV53" s="382"/>
      <c r="KW53" s="382"/>
      <c r="KX53" s="382"/>
      <c r="KY53" s="382"/>
      <c r="KZ53" s="382"/>
      <c r="LA53" s="382"/>
      <c r="LB53" s="382"/>
      <c r="LC53" s="382"/>
      <c r="LD53" s="382"/>
      <c r="LE53" s="382"/>
      <c r="LF53" s="382"/>
      <c r="LG53" s="382"/>
      <c r="LH53" s="382"/>
      <c r="LI53" s="382"/>
      <c r="LJ53" s="382"/>
      <c r="LK53" s="382"/>
      <c r="LL53" s="382"/>
      <c r="LM53" s="382"/>
      <c r="LN53" s="382"/>
      <c r="LO53" s="382"/>
      <c r="LP53" s="382"/>
      <c r="LQ53" s="382"/>
      <c r="LR53" s="382"/>
      <c r="LS53" s="382"/>
      <c r="LT53" s="382"/>
      <c r="LU53" s="382"/>
      <c r="LV53" s="382"/>
      <c r="LW53" s="382"/>
      <c r="LX53" s="382"/>
      <c r="LY53" s="382"/>
      <c r="LZ53" s="382"/>
      <c r="MA53" s="382"/>
      <c r="MB53" s="382"/>
      <c r="MC53" s="382"/>
      <c r="MD53" s="382"/>
      <c r="ME53" s="382"/>
      <c r="MF53" s="382"/>
      <c r="MG53" s="382"/>
      <c r="MH53" s="382"/>
      <c r="MI53" s="382"/>
      <c r="MJ53" s="382"/>
      <c r="MK53" s="382"/>
      <c r="ML53" s="382"/>
      <c r="MM53" s="382"/>
      <c r="MN53" s="382"/>
      <c r="MO53" s="382"/>
      <c r="MP53" s="382"/>
      <c r="MQ53" s="382"/>
      <c r="MR53" s="382"/>
      <c r="MS53" s="382"/>
      <c r="MT53" s="382"/>
      <c r="MU53" s="382"/>
      <c r="MV53" s="382"/>
      <c r="MW53" s="382"/>
      <c r="MX53" s="382"/>
      <c r="MY53" s="382"/>
      <c r="MZ53" s="382"/>
      <c r="NA53" s="382"/>
      <c r="NB53" s="382"/>
      <c r="NC53" s="382"/>
      <c r="ND53" s="382"/>
      <c r="NE53" s="382"/>
      <c r="NF53" s="382"/>
      <c r="NG53" s="382"/>
      <c r="NH53" s="382"/>
      <c r="NI53" s="382"/>
      <c r="NJ53" s="388"/>
      <c r="NK53" s="34"/>
      <c r="NM53" s="379" t="str">
        <f>NM52&amp;".b"</f>
        <v>/!\  NE PAS SAISIR ICI  /!\.b</v>
      </c>
      <c r="NN53" s="376" t="str" cm="1">
        <f t="array" aca="1" ref="NN53" ca="1">IF(xcomp(INDIRECT((ADDRESS(ROW(NN52),$I$11+(MATCH(NN$11,L.DATE,0))))&amp;":"&amp;(ADDRESS(ROW(NN52),$I$11+NO$11+(MATCH(NN$11,L.DATE,0))-1))),L.ABSP)=0,"",
xsom(INDIRECT((ADDRESS(ROW(NN52),$I$11+(MATCH(NN$11,L.DATE,0))))&amp;":"&amp;(ADDRESS(ROW(NN52),$I$11+NO$11+(MATCH(NN$11,L.DATE,0))-1))),L.ABSP,
INDIRECT((ADDRESS(ROW(NN52)+1,$I$11+(MATCH(NN$11,L.DATE,0))))&amp;":"&amp;(ADDRESS(ROW(NN52)+1,$I$11+NO$11+(MATCH(NN$11,L.DATE,0))-1)))))</f>
        <v/>
      </c>
      <c r="NO53" s="377" t="str" cm="1">
        <f t="array" aca="1" ref="NO53" ca="1">IF(xcomp(INDIRECT((ADDRESS(ROW(NO52),$I$11+(MATCH(NN$11,L.DATE,0))))&amp;":"&amp;(ADDRESS(ROW(NO52),$I$11+NO$11+(MATCH(NN$11,L.DATE,0))-1))),L.ABS.NP)=0,"",
xsom(INDIRECT((ADDRESS(ROW(NO52),$I$11+(MATCH(NN$11,L.DATE,0))))&amp;":"&amp;(ADDRESS(ROW(NO52),$I$11+NO$11+(MATCH(NN$11,L.DATE,0))-1))),L.ABS.NP,
INDIRECT((ADDRESS(ROW(NO52)+1,$I$11+(MATCH(NN$11,L.DATE,0))))&amp;":"&amp;(ADDRESS(ROW(NO52)+1,$I$11+NO$11+(MATCH(NN$11,L.DATE,0))-1)))))</f>
        <v/>
      </c>
      <c r="NP53" s="376" t="str" cm="1">
        <f t="array" aca="1" ref="NP53" ca="1">IF(xcomp(INDIRECT((ADDRESS(ROW(NP52),$I$11+(MATCH(NP$11,L.DATE,0))))&amp;":"&amp;(ADDRESS(ROW(NP52),$I$11+NQ$11+(MATCH(NP$11,L.DATE,0))-1))),L.ABSP)=0,"",
xsom(INDIRECT((ADDRESS(ROW(NP52),$I$11+(MATCH(NP$11,L.DATE,0))))&amp;":"&amp;(ADDRESS(ROW(NP52),$I$11+NQ$11+(MATCH(NP$11,L.DATE,0))-1))),L.ABSP,
INDIRECT((ADDRESS(ROW(NP52)+1,$I$11+(MATCH(NP$11,L.DATE,0))))&amp;":"&amp;(ADDRESS(ROW(NP52)+1,$I$11+NQ$11+(MATCH(NP$11,L.DATE,0))-1)))))</f>
        <v/>
      </c>
      <c r="NQ53" s="377" t="str" cm="1">
        <f t="array" aca="1" ref="NQ53" ca="1">IF(xcomp(INDIRECT((ADDRESS(ROW(NQ52),$I$11+(MATCH(NP$11,L.DATE,0))))&amp;":"&amp;(ADDRESS(ROW(NQ52),$I$11+NQ$11+(MATCH(NP$11,L.DATE,0))-1))),L.ABS.NP)=0,"",
xsom(INDIRECT((ADDRESS(ROW(NQ52),$I$11+(MATCH(NP$11,L.DATE,0))))&amp;":"&amp;(ADDRESS(ROW(NQ52),$I$11+NQ$11+(MATCH(NP$11,L.DATE,0))-1))),L.ABS.NP,
INDIRECT((ADDRESS(ROW(NQ52)+1,$I$11+(MATCH(NP$11,L.DATE,0))))&amp;":"&amp;(ADDRESS(ROW(NQ52)+1,$I$11+NQ$11+(MATCH(NP$11,L.DATE,0))-1)))))</f>
        <v/>
      </c>
      <c r="NR53" s="376" t="str" cm="1">
        <f t="array" aca="1" ref="NR53" ca="1">IF(xcomp(INDIRECT((ADDRESS(ROW(NR52),$I$11+(MATCH(NR$11,L.DATE,0))))&amp;":"&amp;(ADDRESS(ROW(NR52),$I$11+NS$11+(MATCH(NR$11,L.DATE,0))-1))),L.ABSP)=0,"",
xsom(INDIRECT((ADDRESS(ROW(NR52),$I$11+(MATCH(NR$11,L.DATE,0))))&amp;":"&amp;(ADDRESS(ROW(NR52),$I$11+NS$11+(MATCH(NR$11,L.DATE,0))-1))),L.ABSP,
INDIRECT((ADDRESS(ROW(NR52)+1,$I$11+(MATCH(NR$11,L.DATE,0))))&amp;":"&amp;(ADDRESS(ROW(NR52)+1,$I$11+NS$11+(MATCH(NR$11,L.DATE,0))-1)))))</f>
        <v/>
      </c>
      <c r="NS53" s="377" t="str" cm="1">
        <f t="array" aca="1" ref="NS53" ca="1">IF(xcomp(INDIRECT((ADDRESS(ROW(NS52),$I$11+(MATCH(NR$11,L.DATE,0))))&amp;":"&amp;(ADDRESS(ROW(NS52),$I$11+NS$11+(MATCH(NR$11,L.DATE,0))-1))),L.ABS.NP)=0,"",
xsom(INDIRECT((ADDRESS(ROW(NS52),$I$11+(MATCH(NR$11,L.DATE,0))))&amp;":"&amp;(ADDRESS(ROW(NS52),$I$11+NS$11+(MATCH(NR$11,L.DATE,0))-1))),L.ABS.NP,
INDIRECT((ADDRESS(ROW(NS52)+1,$I$11+(MATCH(NR$11,L.DATE,0))))&amp;":"&amp;(ADDRESS(ROW(NS52)+1,$I$11+NS$11+(MATCH(NR$11,L.DATE,0))-1)))))</f>
        <v/>
      </c>
      <c r="NT53" s="376" t="str" cm="1">
        <f t="array" aca="1" ref="NT53" ca="1">IF(xcomp(INDIRECT((ADDRESS(ROW(NT52),$I$11+(MATCH(NT$11,L.DATE,0))))&amp;":"&amp;(ADDRESS(ROW(NT52),$I$11+NU$11+(MATCH(NT$11,L.DATE,0))-1))),L.ABSP)=0,"",
xsom(INDIRECT((ADDRESS(ROW(NT52),$I$11+(MATCH(NT$11,L.DATE,0))))&amp;":"&amp;(ADDRESS(ROW(NT52),$I$11+NU$11+(MATCH(NT$11,L.DATE,0))-1))),L.ABSP,
INDIRECT((ADDRESS(ROW(NT52)+1,$I$11+(MATCH(NT$11,L.DATE,0))))&amp;":"&amp;(ADDRESS(ROW(NT52)+1,$I$11+NU$11+(MATCH(NT$11,L.DATE,0))-1)))))</f>
        <v/>
      </c>
      <c r="NU53" s="377" t="str" cm="1">
        <f t="array" aca="1" ref="NU53" ca="1">IF(xcomp(INDIRECT((ADDRESS(ROW(NU52),$I$11+(MATCH(NT$11,L.DATE,0))))&amp;":"&amp;(ADDRESS(ROW(NU52),$I$11+NU$11+(MATCH(NT$11,L.DATE,0))-1))),L.ABS.NP)=0,"",
xsom(INDIRECT((ADDRESS(ROW(NU52),$I$11+(MATCH(NT$11,L.DATE,0))))&amp;":"&amp;(ADDRESS(ROW(NU52),$I$11+NU$11+(MATCH(NT$11,L.DATE,0))-1))),L.ABS.NP,
INDIRECT((ADDRESS(ROW(NU52)+1,$I$11+(MATCH(NT$11,L.DATE,0))))&amp;":"&amp;(ADDRESS(ROW(NU52)+1,$I$11+NU$11+(MATCH(NT$11,L.DATE,0))-1)))))</f>
        <v/>
      </c>
      <c r="NV53" s="376" t="str" cm="1">
        <f t="array" aca="1" ref="NV53" ca="1">IF(xcomp(INDIRECT((ADDRESS(ROW(NV52),$I$11+(MATCH(NV$11,L.DATE,0))))&amp;":"&amp;(ADDRESS(ROW(NV52),$I$11+NW$11+(MATCH(NV$11,L.DATE,0))-1))),L.ABSP)=0,"",
xsom(INDIRECT((ADDRESS(ROW(NV52),$I$11+(MATCH(NV$11,L.DATE,0))))&amp;":"&amp;(ADDRESS(ROW(NV52),$I$11+NW$11+(MATCH(NV$11,L.DATE,0))-1))),L.ABSP,
INDIRECT((ADDRESS(ROW(NV52)+1,$I$11+(MATCH(NV$11,L.DATE,0))))&amp;":"&amp;(ADDRESS(ROW(NV52)+1,$I$11+NW$11+(MATCH(NV$11,L.DATE,0))-1)))))</f>
        <v/>
      </c>
      <c r="NW53" s="377" t="str" cm="1">
        <f t="array" aca="1" ref="NW53" ca="1">IF(xcomp(INDIRECT((ADDRESS(ROW(NW52),$I$11+(MATCH(NV$11,L.DATE,0))))&amp;":"&amp;(ADDRESS(ROW(NW52),$I$11+NW$11+(MATCH(NV$11,L.DATE,0))-1))),L.ABS.NP)=0,"",
xsom(INDIRECT((ADDRESS(ROW(NW52),$I$11+(MATCH(NV$11,L.DATE,0))))&amp;":"&amp;(ADDRESS(ROW(NW52),$I$11+NW$11+(MATCH(NV$11,L.DATE,0))-1))),L.ABS.NP,
INDIRECT((ADDRESS(ROW(NW52)+1,$I$11+(MATCH(NV$11,L.DATE,0))))&amp;":"&amp;(ADDRESS(ROW(NW52)+1,$I$11+NW$11+(MATCH(NV$11,L.DATE,0))-1)))))</f>
        <v/>
      </c>
      <c r="NX53" s="376" t="str" cm="1">
        <f t="array" aca="1" ref="NX53" ca="1">IF(xcomp(INDIRECT((ADDRESS(ROW(NX52),$I$11+(MATCH(NX$11,L.DATE,0))))&amp;":"&amp;(ADDRESS(ROW(NX52),$I$11+NY$11+(MATCH(NX$11,L.DATE,0))-1))),L.ABSP)=0,"",
xsom(INDIRECT((ADDRESS(ROW(NX52),$I$11+(MATCH(NX$11,L.DATE,0))))&amp;":"&amp;(ADDRESS(ROW(NX52),$I$11+NY$11+(MATCH(NX$11,L.DATE,0))-1))),L.ABSP,
INDIRECT((ADDRESS(ROW(NX52)+1,$I$11+(MATCH(NX$11,L.DATE,0))))&amp;":"&amp;(ADDRESS(ROW(NX52)+1,$I$11+NY$11+(MATCH(NX$11,L.DATE,0))-1)))))</f>
        <v/>
      </c>
      <c r="NY53" s="377" t="str" cm="1">
        <f t="array" aca="1" ref="NY53" ca="1">IF(xcomp(INDIRECT((ADDRESS(ROW(NY52),$I$11+(MATCH(NX$11,L.DATE,0))))&amp;":"&amp;(ADDRESS(ROW(NY52),$I$11+NY$11+(MATCH(NX$11,L.DATE,0))-1))),L.ABS.NP)=0,"",
xsom(INDIRECT((ADDRESS(ROW(NY52),$I$11+(MATCH(NX$11,L.DATE,0))))&amp;":"&amp;(ADDRESS(ROW(NY52),$I$11+NY$11+(MATCH(NX$11,L.DATE,0))-1))),L.ABS.NP,
INDIRECT((ADDRESS(ROW(NY52)+1,$I$11+(MATCH(NX$11,L.DATE,0))))&amp;":"&amp;(ADDRESS(ROW(NY52)+1,$I$11+NY$11+(MATCH(NX$11,L.DATE,0))-1)))))</f>
        <v/>
      </c>
      <c r="NZ53" s="376" t="str" cm="1">
        <f t="array" aca="1" ref="NZ53" ca="1">IF(xcomp(INDIRECT((ADDRESS(ROW(NZ52),$I$11+(MATCH(NZ$11,L.DATE,0))))&amp;":"&amp;(ADDRESS(ROW(NZ52),$I$11+OA$11+(MATCH(NZ$11,L.DATE,0))-1))),L.ABSP)=0,"",
xsom(INDIRECT((ADDRESS(ROW(NZ52),$I$11+(MATCH(NZ$11,L.DATE,0))))&amp;":"&amp;(ADDRESS(ROW(NZ52),$I$11+OA$11+(MATCH(NZ$11,L.DATE,0))-1))),L.ABSP,
INDIRECT((ADDRESS(ROW(NZ52)+1,$I$11+(MATCH(NZ$11,L.DATE,0))))&amp;":"&amp;(ADDRESS(ROW(NZ52)+1,$I$11+OA$11+(MATCH(NZ$11,L.DATE,0))-1)))))</f>
        <v/>
      </c>
      <c r="OA53" s="377" t="str" cm="1">
        <f t="array" aca="1" ref="OA53" ca="1">IF(xcomp(INDIRECT((ADDRESS(ROW(OA52),$I$11+(MATCH(NZ$11,L.DATE,0))))&amp;":"&amp;(ADDRESS(ROW(OA52),$I$11+OA$11+(MATCH(NZ$11,L.DATE,0))-1))),L.ABS.NP)=0,"",
xsom(INDIRECT((ADDRESS(ROW(OA52),$I$11+(MATCH(NZ$11,L.DATE,0))))&amp;":"&amp;(ADDRESS(ROW(OA52),$I$11+OA$11+(MATCH(NZ$11,L.DATE,0))-1))),L.ABS.NP,
INDIRECT((ADDRESS(ROW(OA52)+1,$I$11+(MATCH(NZ$11,L.DATE,0))))&amp;":"&amp;(ADDRESS(ROW(OA52)+1,$I$11+OA$11+(MATCH(NZ$11,L.DATE,0))-1)))))</f>
        <v/>
      </c>
      <c r="OB53" s="376" t="str" cm="1">
        <f t="array" aca="1" ref="OB53" ca="1">IF(xcomp(INDIRECT((ADDRESS(ROW(OB52),$I$11+(MATCH(OB$11,L.DATE,0))))&amp;":"&amp;(ADDRESS(ROW(OB52),$I$11+OC$11+(MATCH(OB$11,L.DATE,0))-1))),L.ABSP)=0,"",
xsom(INDIRECT((ADDRESS(ROW(OB52),$I$11+(MATCH(OB$11,L.DATE,0))))&amp;":"&amp;(ADDRESS(ROW(OB52),$I$11+OC$11+(MATCH(OB$11,L.DATE,0))-1))),L.ABSP,
INDIRECT((ADDRESS(ROW(OB52)+1,$I$11+(MATCH(OB$11,L.DATE,0))))&amp;":"&amp;(ADDRESS(ROW(OB52)+1,$I$11+OC$11+(MATCH(OB$11,L.DATE,0))-1)))))</f>
        <v/>
      </c>
      <c r="OC53" s="377" t="str" cm="1">
        <f t="array" aca="1" ref="OC53" ca="1">IF(xcomp(INDIRECT((ADDRESS(ROW(OC52),$I$11+(MATCH(OB$11,L.DATE,0))))&amp;":"&amp;(ADDRESS(ROW(OC52),$I$11+OC$11+(MATCH(OB$11,L.DATE,0))-1))),L.ABS.NP)=0,"",
xsom(INDIRECT((ADDRESS(ROW(OC52),$I$11+(MATCH(OB$11,L.DATE,0))))&amp;":"&amp;(ADDRESS(ROW(OC52),$I$11+OC$11+(MATCH(OB$11,L.DATE,0))-1))),L.ABS.NP,
INDIRECT((ADDRESS(ROW(OC52)+1,$I$11+(MATCH(OB$11,L.DATE,0))))&amp;":"&amp;(ADDRESS(ROW(OC52)+1,$I$11+OC$11+(MATCH(OB$11,L.DATE,0))-1)))))</f>
        <v/>
      </c>
      <c r="OD53" s="376" t="str" cm="1">
        <f t="array" aca="1" ref="OD53" ca="1">IF(xcomp(INDIRECT((ADDRESS(ROW(OD52),$I$11+(MATCH(OD$11,L.DATE,0))))&amp;":"&amp;(ADDRESS(ROW(OD52),$I$11+OE$11+(MATCH(OD$11,L.DATE,0))-1))),L.ABSP)=0,"",
xsom(INDIRECT((ADDRESS(ROW(OD52),$I$11+(MATCH(OD$11,L.DATE,0))))&amp;":"&amp;(ADDRESS(ROW(OD52),$I$11+OE$11+(MATCH(OD$11,L.DATE,0))-1))),L.ABSP,
INDIRECT((ADDRESS(ROW(OD52)+1,$I$11+(MATCH(OD$11,L.DATE,0))))&amp;":"&amp;(ADDRESS(ROW(OD52)+1,$I$11+OE$11+(MATCH(OD$11,L.DATE,0))-1)))))</f>
        <v/>
      </c>
      <c r="OE53" s="377" t="str" cm="1">
        <f t="array" aca="1" ref="OE53" ca="1">IF(xcomp(INDIRECT((ADDRESS(ROW(OE52),$I$11+(MATCH(OD$11,L.DATE,0))))&amp;":"&amp;(ADDRESS(ROW(OE52),$I$11+OE$11+(MATCH(OD$11,L.DATE,0))-1))),L.ABS.NP)=0,"",
xsom(INDIRECT((ADDRESS(ROW(OE52),$I$11+(MATCH(OD$11,L.DATE,0))))&amp;":"&amp;(ADDRESS(ROW(OE52),$I$11+OE$11+(MATCH(OD$11,L.DATE,0))-1))),L.ABS.NP,
INDIRECT((ADDRESS(ROW(OE52)+1,$I$11+(MATCH(OD$11,L.DATE,0))))&amp;":"&amp;(ADDRESS(ROW(OE52)+1,$I$11+OE$11+(MATCH(OD$11,L.DATE,0))-1)))))</f>
        <v/>
      </c>
      <c r="OF53" s="376" t="str" cm="1">
        <f t="array" aca="1" ref="OF53" ca="1">IF(xcomp(INDIRECT((ADDRESS(ROW(OF52),$I$11+(MATCH(OF$11,L.DATE,0))))&amp;":"&amp;(ADDRESS(ROW(OF52),$I$11+OG$11+(MATCH(OF$11,L.DATE,0))-1))),L.ABSP)=0,"",
xsom(INDIRECT((ADDRESS(ROW(OF52),$I$11+(MATCH(OF$11,L.DATE,0))))&amp;":"&amp;(ADDRESS(ROW(OF52),$I$11+OG$11+(MATCH(OF$11,L.DATE,0))-1))),L.ABSP,
INDIRECT((ADDRESS(ROW(OF52)+1,$I$11+(MATCH(OF$11,L.DATE,0))))&amp;":"&amp;(ADDRESS(ROW(OF52)+1,$I$11+OG$11+(MATCH(OF$11,L.DATE,0))-1)))))</f>
        <v/>
      </c>
      <c r="OG53" s="377" t="str" cm="1">
        <f t="array" aca="1" ref="OG53" ca="1">IF(xcomp(INDIRECT((ADDRESS(ROW(OG52),$I$11+(MATCH(OF$11,L.DATE,0))))&amp;":"&amp;(ADDRESS(ROW(OG52),$I$11+OG$11+(MATCH(OF$11,L.DATE,0))-1))),L.ABS.NP)=0,"",
xsom(INDIRECT((ADDRESS(ROW(OG52),$I$11+(MATCH(OF$11,L.DATE,0))))&amp;":"&amp;(ADDRESS(ROW(OG52),$I$11+OG$11+(MATCH(OF$11,L.DATE,0))-1))),L.ABS.NP,
INDIRECT((ADDRESS(ROW(OG52)+1,$I$11+(MATCH(OF$11,L.DATE,0))))&amp;":"&amp;(ADDRESS(ROW(OG52)+1,$I$11+OG$11+(MATCH(OF$11,L.DATE,0))-1)))))</f>
        <v/>
      </c>
      <c r="OH53" s="376" t="str" cm="1">
        <f t="array" aca="1" ref="OH53" ca="1">IF(xcomp(INDIRECT((ADDRESS(ROW(OH52),$I$11+(MATCH(OH$11,L.DATE,0))))&amp;":"&amp;(ADDRESS(ROW(OH52),$I$11+OI$11+(MATCH(OH$11,L.DATE,0))-1))),L.ABSP)=0,"",
xsom(INDIRECT((ADDRESS(ROW(OH52),$I$11+(MATCH(OH$11,L.DATE,0))))&amp;":"&amp;(ADDRESS(ROW(OH52),$I$11+OI$11+(MATCH(OH$11,L.DATE,0))-1))),L.ABSP,
INDIRECT((ADDRESS(ROW(OH52)+1,$I$11+(MATCH(OH$11,L.DATE,0))))&amp;":"&amp;(ADDRESS(ROW(OH52)+1,$I$11+OI$11+(MATCH(OH$11,L.DATE,0))-1)))))</f>
        <v/>
      </c>
      <c r="OI53" s="377" t="str" cm="1">
        <f t="array" aca="1" ref="OI53" ca="1">IF(xcomp(INDIRECT((ADDRESS(ROW(OI52),$I$11+(MATCH(OH$11,L.DATE,0))))&amp;":"&amp;(ADDRESS(ROW(OI52),$I$11+OI$11+(MATCH(OH$11,L.DATE,0))-1))),L.ABS.NP)=0,"",
xsom(INDIRECT((ADDRESS(ROW(OI52),$I$11+(MATCH(OH$11,L.DATE,0))))&amp;":"&amp;(ADDRESS(ROW(OI52),$I$11+OI$11+(MATCH(OH$11,L.DATE,0))-1))),L.ABS.NP,
INDIRECT((ADDRESS(ROW(OI52)+1,$I$11+(MATCH(OH$11,L.DATE,0))))&amp;":"&amp;(ADDRESS(ROW(OI52)+1,$I$11+OI$11+(MATCH(OH$11,L.DATE,0))-1)))))</f>
        <v/>
      </c>
      <c r="OJ53" s="376" t="str" cm="1">
        <f t="array" aca="1" ref="OJ53" ca="1">IF(xcomp(INDIRECT((ADDRESS(ROW(OJ52),$I$11+(MATCH(OJ$11,L.DATE,0))))&amp;":"&amp;(ADDRESS(ROW(OJ52),$I$11+OK$11+(MATCH(OJ$11,L.DATE,0))-1))),L.ABSP)=0,"",
xsom(INDIRECT((ADDRESS(ROW(OJ52),$I$11+(MATCH(OJ$11,L.DATE,0))))&amp;":"&amp;(ADDRESS(ROW(OJ52),$I$11+OK$11+(MATCH(OJ$11,L.DATE,0))-1))),L.ABSP,
INDIRECT((ADDRESS(ROW(OJ52)+1,$I$11+(MATCH(OJ$11,L.DATE,0))))&amp;":"&amp;(ADDRESS(ROW(OJ52)+1,$I$11+OK$11+(MATCH(OJ$11,L.DATE,0))-1)))))</f>
        <v/>
      </c>
      <c r="OK53" s="378" t="str" cm="1">
        <f t="array" aca="1" ref="OK53" ca="1">IF(xcomp(INDIRECT((ADDRESS(ROW(OK52),$I$11+(MATCH(OJ$11,L.DATE,0))))&amp;":"&amp;(ADDRESS(ROW(OK52),$I$11+OK$11+(MATCH(OJ$11,L.DATE,0))-1))),L.ABS.NP)=0,"",
xsom(INDIRECT((ADDRESS(ROW(OK52),$I$11+(MATCH(OJ$11,L.DATE,0))))&amp;":"&amp;(ADDRESS(ROW(OK52),$I$11+OK$11+(MATCH(OJ$11,L.DATE,0))-1))),L.ABS.NP,
INDIRECT((ADDRESS(ROW(OK52)+1,$I$11+(MATCH(OJ$11,L.DATE,0))))&amp;":"&amp;(ADDRESS(ROW(OK52)+1,$I$11+OK$11+(MATCH(OJ$11,L.DATE,0))-1)))))</f>
        <v/>
      </c>
    </row>
    <row r="54" spans="1:404" ht="14" customHeight="1" x14ac:dyDescent="0.3">
      <c r="A54" s="99" t="s">
        <v>16</v>
      </c>
      <c r="B54" s="99" t="s">
        <v>16</v>
      </c>
      <c r="C54" s="99"/>
      <c r="D54" s="99"/>
      <c r="E54" s="99"/>
      <c r="F54" s="99"/>
      <c r="G54" s="99"/>
      <c r="H54" s="99"/>
      <c r="I54" s="28"/>
      <c r="J54" s="158" t="str">
        <f t="shared" ref="J54:BU54" si="43">IF(WEEKDAY(J$11,2)=1,"Sem "&amp;TEXT(_xlfn.ISOWEEKNUM(J$11),"0#"),"")</f>
        <v/>
      </c>
      <c r="K54" s="158" t="str">
        <f t="shared" si="43"/>
        <v>Sem 01</v>
      </c>
      <c r="L54" s="158" t="str">
        <f t="shared" si="43"/>
        <v/>
      </c>
      <c r="M54" s="158" t="str">
        <f t="shared" si="43"/>
        <v/>
      </c>
      <c r="N54" s="158" t="str">
        <f t="shared" si="43"/>
        <v/>
      </c>
      <c r="O54" s="158" t="str">
        <f t="shared" si="43"/>
        <v/>
      </c>
      <c r="P54" s="158" t="str">
        <f t="shared" si="43"/>
        <v/>
      </c>
      <c r="Q54" s="158" t="str">
        <f t="shared" si="43"/>
        <v/>
      </c>
      <c r="R54" s="158" t="str">
        <f t="shared" si="43"/>
        <v>Sem 02</v>
      </c>
      <c r="S54" s="158" t="str">
        <f t="shared" si="43"/>
        <v/>
      </c>
      <c r="T54" s="158" t="str">
        <f t="shared" si="43"/>
        <v/>
      </c>
      <c r="U54" s="158" t="str">
        <f t="shared" si="43"/>
        <v/>
      </c>
      <c r="V54" s="158" t="str">
        <f t="shared" si="43"/>
        <v/>
      </c>
      <c r="W54" s="158" t="str">
        <f t="shared" si="43"/>
        <v/>
      </c>
      <c r="X54" s="158" t="str">
        <f t="shared" si="43"/>
        <v/>
      </c>
      <c r="Y54" s="158" t="str">
        <f t="shared" si="43"/>
        <v>Sem 03</v>
      </c>
      <c r="Z54" s="158" t="str">
        <f t="shared" si="43"/>
        <v/>
      </c>
      <c r="AA54" s="158" t="str">
        <f t="shared" si="43"/>
        <v/>
      </c>
      <c r="AB54" s="158" t="str">
        <f t="shared" si="43"/>
        <v/>
      </c>
      <c r="AC54" s="158" t="str">
        <f t="shared" si="43"/>
        <v/>
      </c>
      <c r="AD54" s="158" t="str">
        <f t="shared" si="43"/>
        <v/>
      </c>
      <c r="AE54" s="158" t="str">
        <f t="shared" si="43"/>
        <v/>
      </c>
      <c r="AF54" s="158" t="str">
        <f t="shared" si="43"/>
        <v>Sem 04</v>
      </c>
      <c r="AG54" s="158" t="str">
        <f t="shared" si="43"/>
        <v/>
      </c>
      <c r="AH54" s="158" t="str">
        <f t="shared" si="43"/>
        <v/>
      </c>
      <c r="AI54" s="158" t="str">
        <f t="shared" si="43"/>
        <v/>
      </c>
      <c r="AJ54" s="158" t="str">
        <f t="shared" si="43"/>
        <v/>
      </c>
      <c r="AK54" s="158" t="str">
        <f t="shared" si="43"/>
        <v/>
      </c>
      <c r="AL54" s="158" t="str">
        <f t="shared" si="43"/>
        <v/>
      </c>
      <c r="AM54" s="158" t="str">
        <f t="shared" si="43"/>
        <v>Sem 05</v>
      </c>
      <c r="AN54" s="158" t="str">
        <f t="shared" si="43"/>
        <v/>
      </c>
      <c r="AO54" s="158" t="str">
        <f t="shared" si="43"/>
        <v/>
      </c>
      <c r="AP54" s="158" t="str">
        <f t="shared" si="43"/>
        <v/>
      </c>
      <c r="AQ54" s="158" t="str">
        <f t="shared" si="43"/>
        <v/>
      </c>
      <c r="AR54" s="158" t="str">
        <f t="shared" si="43"/>
        <v/>
      </c>
      <c r="AS54" s="158" t="str">
        <f t="shared" si="43"/>
        <v/>
      </c>
      <c r="AT54" s="158" t="str">
        <f t="shared" si="43"/>
        <v>Sem 06</v>
      </c>
      <c r="AU54" s="158" t="str">
        <f t="shared" si="43"/>
        <v/>
      </c>
      <c r="AV54" s="158" t="str">
        <f t="shared" si="43"/>
        <v/>
      </c>
      <c r="AW54" s="158" t="str">
        <f t="shared" si="43"/>
        <v/>
      </c>
      <c r="AX54" s="158" t="str">
        <f t="shared" si="43"/>
        <v/>
      </c>
      <c r="AY54" s="158" t="str">
        <f t="shared" si="43"/>
        <v/>
      </c>
      <c r="AZ54" s="158" t="str">
        <f t="shared" si="43"/>
        <v/>
      </c>
      <c r="BA54" s="158" t="str">
        <f t="shared" si="43"/>
        <v>Sem 07</v>
      </c>
      <c r="BB54" s="158" t="str">
        <f t="shared" si="43"/>
        <v/>
      </c>
      <c r="BC54" s="158" t="str">
        <f t="shared" si="43"/>
        <v/>
      </c>
      <c r="BD54" s="158" t="str">
        <f t="shared" si="43"/>
        <v/>
      </c>
      <c r="BE54" s="158" t="str">
        <f t="shared" si="43"/>
        <v/>
      </c>
      <c r="BF54" s="158" t="str">
        <f t="shared" si="43"/>
        <v/>
      </c>
      <c r="BG54" s="158" t="str">
        <f t="shared" si="43"/>
        <v/>
      </c>
      <c r="BH54" s="158" t="str">
        <f t="shared" si="43"/>
        <v>Sem 08</v>
      </c>
      <c r="BI54" s="158" t="str">
        <f t="shared" si="43"/>
        <v/>
      </c>
      <c r="BJ54" s="158" t="str">
        <f t="shared" si="43"/>
        <v/>
      </c>
      <c r="BK54" s="158" t="str">
        <f t="shared" si="43"/>
        <v/>
      </c>
      <c r="BL54" s="158" t="str">
        <f t="shared" si="43"/>
        <v/>
      </c>
      <c r="BM54" s="158" t="str">
        <f t="shared" si="43"/>
        <v/>
      </c>
      <c r="BN54" s="158" t="str">
        <f t="shared" si="43"/>
        <v/>
      </c>
      <c r="BO54" s="158" t="str">
        <f t="shared" si="43"/>
        <v>Sem 09</v>
      </c>
      <c r="BP54" s="158" t="str">
        <f t="shared" si="43"/>
        <v/>
      </c>
      <c r="BQ54" s="158" t="str">
        <f t="shared" si="43"/>
        <v/>
      </c>
      <c r="BR54" s="158" t="str">
        <f t="shared" si="43"/>
        <v/>
      </c>
      <c r="BS54" s="158" t="str">
        <f t="shared" si="43"/>
        <v/>
      </c>
      <c r="BT54" s="158" t="str">
        <f t="shared" si="43"/>
        <v/>
      </c>
      <c r="BU54" s="158" t="str">
        <f t="shared" si="43"/>
        <v/>
      </c>
      <c r="BV54" s="158" t="str">
        <f t="shared" ref="BV54:EG54" si="44">IF(WEEKDAY(BV$11,2)=1,"Sem "&amp;TEXT(_xlfn.ISOWEEKNUM(BV$11),"0#"),"")</f>
        <v>Sem 10</v>
      </c>
      <c r="BW54" s="158" t="str">
        <f t="shared" si="44"/>
        <v/>
      </c>
      <c r="BX54" s="158" t="str">
        <f t="shared" si="44"/>
        <v/>
      </c>
      <c r="BY54" s="158" t="str">
        <f t="shared" si="44"/>
        <v/>
      </c>
      <c r="BZ54" s="158" t="str">
        <f t="shared" si="44"/>
        <v/>
      </c>
      <c r="CA54" s="158" t="str">
        <f t="shared" si="44"/>
        <v/>
      </c>
      <c r="CB54" s="158" t="str">
        <f t="shared" si="44"/>
        <v/>
      </c>
      <c r="CC54" s="158" t="str">
        <f t="shared" si="44"/>
        <v>Sem 11</v>
      </c>
      <c r="CD54" s="158" t="str">
        <f t="shared" si="44"/>
        <v/>
      </c>
      <c r="CE54" s="158" t="str">
        <f t="shared" si="44"/>
        <v/>
      </c>
      <c r="CF54" s="158" t="str">
        <f t="shared" si="44"/>
        <v/>
      </c>
      <c r="CG54" s="158" t="str">
        <f t="shared" si="44"/>
        <v/>
      </c>
      <c r="CH54" s="158" t="str">
        <f t="shared" si="44"/>
        <v/>
      </c>
      <c r="CI54" s="158" t="str">
        <f t="shared" si="44"/>
        <v/>
      </c>
      <c r="CJ54" s="158" t="str">
        <f t="shared" si="44"/>
        <v>Sem 12</v>
      </c>
      <c r="CK54" s="158" t="str">
        <f t="shared" si="44"/>
        <v/>
      </c>
      <c r="CL54" s="158" t="str">
        <f t="shared" si="44"/>
        <v/>
      </c>
      <c r="CM54" s="158" t="str">
        <f t="shared" si="44"/>
        <v/>
      </c>
      <c r="CN54" s="158" t="str">
        <f t="shared" si="44"/>
        <v/>
      </c>
      <c r="CO54" s="158" t="str">
        <f t="shared" si="44"/>
        <v/>
      </c>
      <c r="CP54" s="158" t="str">
        <f t="shared" si="44"/>
        <v/>
      </c>
      <c r="CQ54" s="158" t="str">
        <f t="shared" si="44"/>
        <v>Sem 13</v>
      </c>
      <c r="CR54" s="158" t="str">
        <f t="shared" si="44"/>
        <v/>
      </c>
      <c r="CS54" s="158" t="str">
        <f t="shared" si="44"/>
        <v/>
      </c>
      <c r="CT54" s="158" t="str">
        <f t="shared" si="44"/>
        <v/>
      </c>
      <c r="CU54" s="158" t="str">
        <f t="shared" si="44"/>
        <v/>
      </c>
      <c r="CV54" s="158" t="str">
        <f t="shared" si="44"/>
        <v/>
      </c>
      <c r="CW54" s="158" t="str">
        <f t="shared" si="44"/>
        <v/>
      </c>
      <c r="CX54" s="158" t="str">
        <f t="shared" si="44"/>
        <v>Sem 14</v>
      </c>
      <c r="CY54" s="158" t="str">
        <f t="shared" si="44"/>
        <v/>
      </c>
      <c r="CZ54" s="158" t="str">
        <f t="shared" si="44"/>
        <v/>
      </c>
      <c r="DA54" s="158" t="str">
        <f t="shared" si="44"/>
        <v/>
      </c>
      <c r="DB54" s="158" t="str">
        <f t="shared" si="44"/>
        <v/>
      </c>
      <c r="DC54" s="158" t="str">
        <f t="shared" si="44"/>
        <v/>
      </c>
      <c r="DD54" s="158" t="str">
        <f t="shared" si="44"/>
        <v/>
      </c>
      <c r="DE54" s="158" t="str">
        <f t="shared" si="44"/>
        <v>Sem 15</v>
      </c>
      <c r="DF54" s="158" t="str">
        <f t="shared" si="44"/>
        <v/>
      </c>
      <c r="DG54" s="158" t="str">
        <f t="shared" si="44"/>
        <v/>
      </c>
      <c r="DH54" s="158" t="str">
        <f t="shared" si="44"/>
        <v/>
      </c>
      <c r="DI54" s="158" t="str">
        <f t="shared" si="44"/>
        <v/>
      </c>
      <c r="DJ54" s="158" t="str">
        <f t="shared" si="44"/>
        <v/>
      </c>
      <c r="DK54" s="158" t="str">
        <f t="shared" si="44"/>
        <v/>
      </c>
      <c r="DL54" s="158" t="str">
        <f t="shared" si="44"/>
        <v>Sem 16</v>
      </c>
      <c r="DM54" s="158" t="str">
        <f t="shared" si="44"/>
        <v/>
      </c>
      <c r="DN54" s="158" t="str">
        <f t="shared" si="44"/>
        <v/>
      </c>
      <c r="DO54" s="158" t="str">
        <f t="shared" si="44"/>
        <v/>
      </c>
      <c r="DP54" s="158" t="str">
        <f t="shared" si="44"/>
        <v/>
      </c>
      <c r="DQ54" s="158" t="str">
        <f t="shared" si="44"/>
        <v/>
      </c>
      <c r="DR54" s="158" t="str">
        <f t="shared" si="44"/>
        <v/>
      </c>
      <c r="DS54" s="158" t="str">
        <f t="shared" si="44"/>
        <v>Sem 17</v>
      </c>
      <c r="DT54" s="158" t="str">
        <f t="shared" si="44"/>
        <v/>
      </c>
      <c r="DU54" s="158" t="str">
        <f t="shared" si="44"/>
        <v/>
      </c>
      <c r="DV54" s="158" t="str">
        <f t="shared" si="44"/>
        <v/>
      </c>
      <c r="DW54" s="158" t="str">
        <f t="shared" si="44"/>
        <v/>
      </c>
      <c r="DX54" s="158" t="str">
        <f t="shared" si="44"/>
        <v/>
      </c>
      <c r="DY54" s="158" t="str">
        <f t="shared" si="44"/>
        <v/>
      </c>
      <c r="DZ54" s="158" t="str">
        <f t="shared" si="44"/>
        <v>Sem 18</v>
      </c>
      <c r="EA54" s="158" t="str">
        <f t="shared" si="44"/>
        <v/>
      </c>
      <c r="EB54" s="158" t="str">
        <f t="shared" si="44"/>
        <v/>
      </c>
      <c r="EC54" s="158" t="str">
        <f t="shared" si="44"/>
        <v/>
      </c>
      <c r="ED54" s="158" t="str">
        <f t="shared" si="44"/>
        <v/>
      </c>
      <c r="EE54" s="158" t="str">
        <f t="shared" si="44"/>
        <v/>
      </c>
      <c r="EF54" s="158" t="str">
        <f t="shared" si="44"/>
        <v/>
      </c>
      <c r="EG54" s="158" t="str">
        <f t="shared" si="44"/>
        <v>Sem 19</v>
      </c>
      <c r="EH54" s="158" t="str">
        <f t="shared" ref="EH54:GS54" si="45">IF(WEEKDAY(EH$11,2)=1,"Sem "&amp;TEXT(_xlfn.ISOWEEKNUM(EH$11),"0#"),"")</f>
        <v/>
      </c>
      <c r="EI54" s="158" t="str">
        <f t="shared" si="45"/>
        <v/>
      </c>
      <c r="EJ54" s="158" t="str">
        <f t="shared" si="45"/>
        <v/>
      </c>
      <c r="EK54" s="158" t="str">
        <f t="shared" si="45"/>
        <v/>
      </c>
      <c r="EL54" s="158" t="str">
        <f t="shared" si="45"/>
        <v/>
      </c>
      <c r="EM54" s="158" t="str">
        <f t="shared" si="45"/>
        <v/>
      </c>
      <c r="EN54" s="158" t="str">
        <f t="shared" si="45"/>
        <v>Sem 20</v>
      </c>
      <c r="EO54" s="158" t="str">
        <f t="shared" si="45"/>
        <v/>
      </c>
      <c r="EP54" s="158" t="str">
        <f t="shared" si="45"/>
        <v/>
      </c>
      <c r="EQ54" s="158" t="str">
        <f t="shared" si="45"/>
        <v/>
      </c>
      <c r="ER54" s="158" t="str">
        <f t="shared" si="45"/>
        <v/>
      </c>
      <c r="ES54" s="158" t="str">
        <f t="shared" si="45"/>
        <v/>
      </c>
      <c r="ET54" s="158" t="str">
        <f t="shared" si="45"/>
        <v/>
      </c>
      <c r="EU54" s="158" t="str">
        <f t="shared" si="45"/>
        <v>Sem 21</v>
      </c>
      <c r="EV54" s="158" t="str">
        <f t="shared" si="45"/>
        <v/>
      </c>
      <c r="EW54" s="158" t="str">
        <f t="shared" si="45"/>
        <v/>
      </c>
      <c r="EX54" s="158" t="str">
        <f t="shared" si="45"/>
        <v/>
      </c>
      <c r="EY54" s="158" t="str">
        <f t="shared" si="45"/>
        <v/>
      </c>
      <c r="EZ54" s="158" t="str">
        <f t="shared" si="45"/>
        <v/>
      </c>
      <c r="FA54" s="158" t="str">
        <f t="shared" si="45"/>
        <v/>
      </c>
      <c r="FB54" s="158" t="str">
        <f t="shared" si="45"/>
        <v>Sem 22</v>
      </c>
      <c r="FC54" s="158" t="str">
        <f t="shared" si="45"/>
        <v/>
      </c>
      <c r="FD54" s="158" t="str">
        <f t="shared" si="45"/>
        <v/>
      </c>
      <c r="FE54" s="158" t="str">
        <f t="shared" si="45"/>
        <v/>
      </c>
      <c r="FF54" s="158" t="str">
        <f t="shared" si="45"/>
        <v/>
      </c>
      <c r="FG54" s="158" t="str">
        <f t="shared" si="45"/>
        <v/>
      </c>
      <c r="FH54" s="158" t="str">
        <f t="shared" si="45"/>
        <v/>
      </c>
      <c r="FI54" s="158" t="str">
        <f t="shared" si="45"/>
        <v>Sem 23</v>
      </c>
      <c r="FJ54" s="158" t="str">
        <f t="shared" si="45"/>
        <v/>
      </c>
      <c r="FK54" s="158" t="str">
        <f t="shared" si="45"/>
        <v/>
      </c>
      <c r="FL54" s="158" t="str">
        <f t="shared" si="45"/>
        <v/>
      </c>
      <c r="FM54" s="158" t="str">
        <f t="shared" si="45"/>
        <v/>
      </c>
      <c r="FN54" s="158" t="str">
        <f t="shared" si="45"/>
        <v/>
      </c>
      <c r="FO54" s="158" t="str">
        <f t="shared" si="45"/>
        <v/>
      </c>
      <c r="FP54" s="158" t="str">
        <f t="shared" si="45"/>
        <v>Sem 24</v>
      </c>
      <c r="FQ54" s="158" t="str">
        <f t="shared" si="45"/>
        <v/>
      </c>
      <c r="FR54" s="158" t="str">
        <f t="shared" si="45"/>
        <v/>
      </c>
      <c r="FS54" s="158" t="str">
        <f t="shared" si="45"/>
        <v/>
      </c>
      <c r="FT54" s="158" t="str">
        <f t="shared" si="45"/>
        <v/>
      </c>
      <c r="FU54" s="158" t="str">
        <f t="shared" si="45"/>
        <v/>
      </c>
      <c r="FV54" s="158" t="str">
        <f t="shared" si="45"/>
        <v/>
      </c>
      <c r="FW54" s="158" t="str">
        <f t="shared" si="45"/>
        <v>Sem 25</v>
      </c>
      <c r="FX54" s="158" t="str">
        <f t="shared" si="45"/>
        <v/>
      </c>
      <c r="FY54" s="158" t="str">
        <f t="shared" si="45"/>
        <v/>
      </c>
      <c r="FZ54" s="158" t="str">
        <f t="shared" si="45"/>
        <v/>
      </c>
      <c r="GA54" s="158" t="str">
        <f t="shared" si="45"/>
        <v/>
      </c>
      <c r="GB54" s="158" t="str">
        <f t="shared" si="45"/>
        <v/>
      </c>
      <c r="GC54" s="158" t="str">
        <f t="shared" si="45"/>
        <v/>
      </c>
      <c r="GD54" s="158" t="str">
        <f t="shared" si="45"/>
        <v>Sem 26</v>
      </c>
      <c r="GE54" s="158" t="str">
        <f t="shared" si="45"/>
        <v/>
      </c>
      <c r="GF54" s="158" t="str">
        <f t="shared" si="45"/>
        <v/>
      </c>
      <c r="GG54" s="158" t="str">
        <f t="shared" si="45"/>
        <v/>
      </c>
      <c r="GH54" s="158" t="str">
        <f t="shared" si="45"/>
        <v/>
      </c>
      <c r="GI54" s="158" t="str">
        <f t="shared" si="45"/>
        <v/>
      </c>
      <c r="GJ54" s="158" t="str">
        <f t="shared" si="45"/>
        <v/>
      </c>
      <c r="GK54" s="158" t="str">
        <f t="shared" si="45"/>
        <v>Sem 27</v>
      </c>
      <c r="GL54" s="158" t="str">
        <f t="shared" si="45"/>
        <v/>
      </c>
      <c r="GM54" s="158" t="str">
        <f t="shared" si="45"/>
        <v/>
      </c>
      <c r="GN54" s="158" t="str">
        <f t="shared" si="45"/>
        <v/>
      </c>
      <c r="GO54" s="158" t="str">
        <f t="shared" si="45"/>
        <v/>
      </c>
      <c r="GP54" s="158" t="str">
        <f t="shared" si="45"/>
        <v/>
      </c>
      <c r="GQ54" s="158" t="str">
        <f t="shared" si="45"/>
        <v/>
      </c>
      <c r="GR54" s="158" t="str">
        <f t="shared" si="45"/>
        <v>Sem 28</v>
      </c>
      <c r="GS54" s="158" t="str">
        <f t="shared" si="45"/>
        <v/>
      </c>
      <c r="GT54" s="158" t="str">
        <f t="shared" ref="GT54:JE54" si="46">IF(WEEKDAY(GT$11,2)=1,"Sem "&amp;TEXT(_xlfn.ISOWEEKNUM(GT$11),"0#"),"")</f>
        <v/>
      </c>
      <c r="GU54" s="158" t="str">
        <f t="shared" si="46"/>
        <v/>
      </c>
      <c r="GV54" s="158" t="str">
        <f t="shared" si="46"/>
        <v/>
      </c>
      <c r="GW54" s="158" t="str">
        <f t="shared" si="46"/>
        <v/>
      </c>
      <c r="GX54" s="158" t="str">
        <f t="shared" si="46"/>
        <v/>
      </c>
      <c r="GY54" s="158" t="str">
        <f t="shared" si="46"/>
        <v>Sem 29</v>
      </c>
      <c r="GZ54" s="158" t="str">
        <f t="shared" si="46"/>
        <v/>
      </c>
      <c r="HA54" s="158" t="str">
        <f t="shared" si="46"/>
        <v/>
      </c>
      <c r="HB54" s="158" t="str">
        <f t="shared" si="46"/>
        <v/>
      </c>
      <c r="HC54" s="158" t="str">
        <f t="shared" si="46"/>
        <v/>
      </c>
      <c r="HD54" s="158" t="str">
        <f t="shared" si="46"/>
        <v/>
      </c>
      <c r="HE54" s="158" t="str">
        <f t="shared" si="46"/>
        <v/>
      </c>
      <c r="HF54" s="158" t="str">
        <f t="shared" si="46"/>
        <v>Sem 30</v>
      </c>
      <c r="HG54" s="158" t="str">
        <f t="shared" si="46"/>
        <v/>
      </c>
      <c r="HH54" s="158" t="str">
        <f t="shared" si="46"/>
        <v/>
      </c>
      <c r="HI54" s="158" t="str">
        <f t="shared" si="46"/>
        <v/>
      </c>
      <c r="HJ54" s="158" t="str">
        <f t="shared" si="46"/>
        <v/>
      </c>
      <c r="HK54" s="158" t="str">
        <f t="shared" si="46"/>
        <v/>
      </c>
      <c r="HL54" s="158" t="str">
        <f t="shared" si="46"/>
        <v/>
      </c>
      <c r="HM54" s="158" t="str">
        <f t="shared" si="46"/>
        <v>Sem 31</v>
      </c>
      <c r="HN54" s="158" t="str">
        <f t="shared" si="46"/>
        <v/>
      </c>
      <c r="HO54" s="158" t="str">
        <f t="shared" si="46"/>
        <v/>
      </c>
      <c r="HP54" s="158" t="str">
        <f t="shared" si="46"/>
        <v/>
      </c>
      <c r="HQ54" s="158" t="str">
        <f t="shared" si="46"/>
        <v/>
      </c>
      <c r="HR54" s="158" t="str">
        <f t="shared" si="46"/>
        <v/>
      </c>
      <c r="HS54" s="158" t="str">
        <f t="shared" si="46"/>
        <v/>
      </c>
      <c r="HT54" s="158" t="str">
        <f t="shared" si="46"/>
        <v>Sem 32</v>
      </c>
      <c r="HU54" s="158" t="str">
        <f t="shared" si="46"/>
        <v/>
      </c>
      <c r="HV54" s="158" t="str">
        <f t="shared" si="46"/>
        <v/>
      </c>
      <c r="HW54" s="158" t="str">
        <f t="shared" si="46"/>
        <v/>
      </c>
      <c r="HX54" s="158" t="str">
        <f t="shared" si="46"/>
        <v/>
      </c>
      <c r="HY54" s="158" t="str">
        <f t="shared" si="46"/>
        <v/>
      </c>
      <c r="HZ54" s="158" t="str">
        <f t="shared" si="46"/>
        <v/>
      </c>
      <c r="IA54" s="158" t="str">
        <f t="shared" si="46"/>
        <v>Sem 33</v>
      </c>
      <c r="IB54" s="158" t="str">
        <f t="shared" si="46"/>
        <v/>
      </c>
      <c r="IC54" s="158" t="str">
        <f t="shared" si="46"/>
        <v/>
      </c>
      <c r="ID54" s="158" t="str">
        <f t="shared" si="46"/>
        <v/>
      </c>
      <c r="IE54" s="158" t="str">
        <f t="shared" si="46"/>
        <v/>
      </c>
      <c r="IF54" s="158" t="str">
        <f t="shared" si="46"/>
        <v/>
      </c>
      <c r="IG54" s="158" t="str">
        <f t="shared" si="46"/>
        <v/>
      </c>
      <c r="IH54" s="158" t="str">
        <f t="shared" si="46"/>
        <v>Sem 34</v>
      </c>
      <c r="II54" s="158" t="str">
        <f t="shared" si="46"/>
        <v/>
      </c>
      <c r="IJ54" s="158" t="str">
        <f t="shared" si="46"/>
        <v/>
      </c>
      <c r="IK54" s="158" t="str">
        <f t="shared" si="46"/>
        <v/>
      </c>
      <c r="IL54" s="158" t="str">
        <f t="shared" si="46"/>
        <v/>
      </c>
      <c r="IM54" s="158" t="str">
        <f t="shared" si="46"/>
        <v/>
      </c>
      <c r="IN54" s="158" t="str">
        <f t="shared" si="46"/>
        <v/>
      </c>
      <c r="IO54" s="158" t="str">
        <f t="shared" si="46"/>
        <v>Sem 35</v>
      </c>
      <c r="IP54" s="158" t="str">
        <f t="shared" si="46"/>
        <v/>
      </c>
      <c r="IQ54" s="158" t="str">
        <f t="shared" si="46"/>
        <v/>
      </c>
      <c r="IR54" s="158" t="str">
        <f t="shared" si="46"/>
        <v/>
      </c>
      <c r="IS54" s="158" t="str">
        <f t="shared" si="46"/>
        <v/>
      </c>
      <c r="IT54" s="158" t="str">
        <f t="shared" si="46"/>
        <v/>
      </c>
      <c r="IU54" s="158" t="str">
        <f t="shared" si="46"/>
        <v/>
      </c>
      <c r="IV54" s="158" t="str">
        <f t="shared" si="46"/>
        <v>Sem 36</v>
      </c>
      <c r="IW54" s="158" t="str">
        <f t="shared" si="46"/>
        <v/>
      </c>
      <c r="IX54" s="158" t="str">
        <f t="shared" si="46"/>
        <v/>
      </c>
      <c r="IY54" s="158" t="str">
        <f t="shared" si="46"/>
        <v/>
      </c>
      <c r="IZ54" s="158" t="str">
        <f t="shared" si="46"/>
        <v/>
      </c>
      <c r="JA54" s="158" t="str">
        <f t="shared" si="46"/>
        <v/>
      </c>
      <c r="JB54" s="158" t="str">
        <f t="shared" si="46"/>
        <v/>
      </c>
      <c r="JC54" s="158" t="str">
        <f t="shared" si="46"/>
        <v>Sem 37</v>
      </c>
      <c r="JD54" s="158" t="str">
        <f t="shared" si="46"/>
        <v/>
      </c>
      <c r="JE54" s="158" t="str">
        <f t="shared" si="46"/>
        <v/>
      </c>
      <c r="JF54" s="158" t="str">
        <f t="shared" ref="JF54:LQ54" si="47">IF(WEEKDAY(JF$11,2)=1,"Sem "&amp;TEXT(_xlfn.ISOWEEKNUM(JF$11),"0#"),"")</f>
        <v/>
      </c>
      <c r="JG54" s="158" t="str">
        <f t="shared" si="47"/>
        <v/>
      </c>
      <c r="JH54" s="158" t="str">
        <f t="shared" si="47"/>
        <v/>
      </c>
      <c r="JI54" s="158" t="str">
        <f t="shared" si="47"/>
        <v/>
      </c>
      <c r="JJ54" s="158" t="str">
        <f t="shared" si="47"/>
        <v>Sem 38</v>
      </c>
      <c r="JK54" s="158" t="str">
        <f t="shared" si="47"/>
        <v/>
      </c>
      <c r="JL54" s="158" t="str">
        <f t="shared" si="47"/>
        <v/>
      </c>
      <c r="JM54" s="158" t="str">
        <f t="shared" si="47"/>
        <v/>
      </c>
      <c r="JN54" s="158" t="str">
        <f t="shared" si="47"/>
        <v/>
      </c>
      <c r="JO54" s="158" t="str">
        <f t="shared" si="47"/>
        <v/>
      </c>
      <c r="JP54" s="158" t="str">
        <f t="shared" si="47"/>
        <v/>
      </c>
      <c r="JQ54" s="158" t="str">
        <f t="shared" si="47"/>
        <v>Sem 39</v>
      </c>
      <c r="JR54" s="158" t="str">
        <f t="shared" si="47"/>
        <v/>
      </c>
      <c r="JS54" s="158" t="str">
        <f t="shared" si="47"/>
        <v/>
      </c>
      <c r="JT54" s="158" t="str">
        <f t="shared" si="47"/>
        <v/>
      </c>
      <c r="JU54" s="158" t="str">
        <f t="shared" si="47"/>
        <v/>
      </c>
      <c r="JV54" s="158" t="str">
        <f t="shared" si="47"/>
        <v/>
      </c>
      <c r="JW54" s="158" t="str">
        <f t="shared" si="47"/>
        <v/>
      </c>
      <c r="JX54" s="158" t="str">
        <f t="shared" si="47"/>
        <v>Sem 40</v>
      </c>
      <c r="JY54" s="158" t="str">
        <f t="shared" si="47"/>
        <v/>
      </c>
      <c r="JZ54" s="158" t="str">
        <f t="shared" si="47"/>
        <v/>
      </c>
      <c r="KA54" s="158" t="str">
        <f t="shared" si="47"/>
        <v/>
      </c>
      <c r="KB54" s="158" t="str">
        <f t="shared" si="47"/>
        <v/>
      </c>
      <c r="KC54" s="158" t="str">
        <f t="shared" si="47"/>
        <v/>
      </c>
      <c r="KD54" s="158" t="str">
        <f t="shared" si="47"/>
        <v/>
      </c>
      <c r="KE54" s="158" t="str">
        <f t="shared" si="47"/>
        <v>Sem 41</v>
      </c>
      <c r="KF54" s="158" t="str">
        <f t="shared" si="47"/>
        <v/>
      </c>
      <c r="KG54" s="158" t="str">
        <f t="shared" si="47"/>
        <v/>
      </c>
      <c r="KH54" s="158" t="str">
        <f t="shared" si="47"/>
        <v/>
      </c>
      <c r="KI54" s="158" t="str">
        <f t="shared" si="47"/>
        <v/>
      </c>
      <c r="KJ54" s="158" t="str">
        <f t="shared" si="47"/>
        <v/>
      </c>
      <c r="KK54" s="158" t="str">
        <f t="shared" si="47"/>
        <v/>
      </c>
      <c r="KL54" s="158" t="str">
        <f t="shared" si="47"/>
        <v>Sem 42</v>
      </c>
      <c r="KM54" s="158" t="str">
        <f t="shared" si="47"/>
        <v/>
      </c>
      <c r="KN54" s="158" t="str">
        <f t="shared" si="47"/>
        <v/>
      </c>
      <c r="KO54" s="158" t="str">
        <f t="shared" si="47"/>
        <v/>
      </c>
      <c r="KP54" s="158" t="str">
        <f t="shared" si="47"/>
        <v/>
      </c>
      <c r="KQ54" s="158" t="str">
        <f t="shared" si="47"/>
        <v/>
      </c>
      <c r="KR54" s="158" t="str">
        <f t="shared" si="47"/>
        <v/>
      </c>
      <c r="KS54" s="158" t="str">
        <f t="shared" si="47"/>
        <v>Sem 43</v>
      </c>
      <c r="KT54" s="158" t="str">
        <f t="shared" si="47"/>
        <v/>
      </c>
      <c r="KU54" s="158" t="str">
        <f t="shared" si="47"/>
        <v/>
      </c>
      <c r="KV54" s="158" t="str">
        <f t="shared" si="47"/>
        <v/>
      </c>
      <c r="KW54" s="158" t="str">
        <f t="shared" si="47"/>
        <v/>
      </c>
      <c r="KX54" s="158" t="str">
        <f t="shared" si="47"/>
        <v/>
      </c>
      <c r="KY54" s="158" t="str">
        <f t="shared" si="47"/>
        <v/>
      </c>
      <c r="KZ54" s="158" t="str">
        <f t="shared" si="47"/>
        <v>Sem 44</v>
      </c>
      <c r="LA54" s="158" t="str">
        <f t="shared" si="47"/>
        <v/>
      </c>
      <c r="LB54" s="158" t="str">
        <f t="shared" si="47"/>
        <v/>
      </c>
      <c r="LC54" s="158" t="str">
        <f t="shared" si="47"/>
        <v/>
      </c>
      <c r="LD54" s="158" t="str">
        <f t="shared" si="47"/>
        <v/>
      </c>
      <c r="LE54" s="158" t="str">
        <f t="shared" si="47"/>
        <v/>
      </c>
      <c r="LF54" s="158" t="str">
        <f t="shared" si="47"/>
        <v/>
      </c>
      <c r="LG54" s="158" t="str">
        <f t="shared" si="47"/>
        <v>Sem 45</v>
      </c>
      <c r="LH54" s="158" t="str">
        <f t="shared" si="47"/>
        <v/>
      </c>
      <c r="LI54" s="158" t="str">
        <f t="shared" si="47"/>
        <v/>
      </c>
      <c r="LJ54" s="158" t="str">
        <f t="shared" si="47"/>
        <v/>
      </c>
      <c r="LK54" s="158" t="str">
        <f t="shared" si="47"/>
        <v/>
      </c>
      <c r="LL54" s="158" t="str">
        <f t="shared" si="47"/>
        <v/>
      </c>
      <c r="LM54" s="158" t="str">
        <f t="shared" si="47"/>
        <v/>
      </c>
      <c r="LN54" s="158" t="str">
        <f t="shared" si="47"/>
        <v>Sem 46</v>
      </c>
      <c r="LO54" s="158" t="str">
        <f t="shared" si="47"/>
        <v/>
      </c>
      <c r="LP54" s="158" t="str">
        <f t="shared" si="47"/>
        <v/>
      </c>
      <c r="LQ54" s="158" t="str">
        <f t="shared" si="47"/>
        <v/>
      </c>
      <c r="LR54" s="158" t="str">
        <f t="shared" ref="LR54:NJ54" si="48">IF(WEEKDAY(LR$11,2)=1,"Sem "&amp;TEXT(_xlfn.ISOWEEKNUM(LR$11),"0#"),"")</f>
        <v/>
      </c>
      <c r="LS54" s="158" t="str">
        <f t="shared" si="48"/>
        <v/>
      </c>
      <c r="LT54" s="158" t="str">
        <f t="shared" si="48"/>
        <v/>
      </c>
      <c r="LU54" s="158" t="str">
        <f t="shared" si="48"/>
        <v>Sem 47</v>
      </c>
      <c r="LV54" s="158" t="str">
        <f t="shared" si="48"/>
        <v/>
      </c>
      <c r="LW54" s="158" t="str">
        <f t="shared" si="48"/>
        <v/>
      </c>
      <c r="LX54" s="158" t="str">
        <f t="shared" si="48"/>
        <v/>
      </c>
      <c r="LY54" s="158" t="str">
        <f t="shared" si="48"/>
        <v/>
      </c>
      <c r="LZ54" s="158" t="str">
        <f t="shared" si="48"/>
        <v/>
      </c>
      <c r="MA54" s="158" t="str">
        <f t="shared" si="48"/>
        <v/>
      </c>
      <c r="MB54" s="158" t="str">
        <f t="shared" si="48"/>
        <v>Sem 48</v>
      </c>
      <c r="MC54" s="158" t="str">
        <f t="shared" si="48"/>
        <v/>
      </c>
      <c r="MD54" s="158" t="str">
        <f t="shared" si="48"/>
        <v/>
      </c>
      <c r="ME54" s="158" t="str">
        <f t="shared" si="48"/>
        <v/>
      </c>
      <c r="MF54" s="158" t="str">
        <f t="shared" si="48"/>
        <v/>
      </c>
      <c r="MG54" s="158" t="str">
        <f t="shared" si="48"/>
        <v/>
      </c>
      <c r="MH54" s="158" t="str">
        <f t="shared" si="48"/>
        <v/>
      </c>
      <c r="MI54" s="158" t="str">
        <f t="shared" si="48"/>
        <v>Sem 49</v>
      </c>
      <c r="MJ54" s="158" t="str">
        <f t="shared" si="48"/>
        <v/>
      </c>
      <c r="MK54" s="158" t="str">
        <f t="shared" si="48"/>
        <v/>
      </c>
      <c r="ML54" s="158" t="str">
        <f t="shared" si="48"/>
        <v/>
      </c>
      <c r="MM54" s="158" t="str">
        <f t="shared" si="48"/>
        <v/>
      </c>
      <c r="MN54" s="158" t="str">
        <f t="shared" si="48"/>
        <v/>
      </c>
      <c r="MO54" s="158" t="str">
        <f t="shared" si="48"/>
        <v/>
      </c>
      <c r="MP54" s="158" t="str">
        <f t="shared" si="48"/>
        <v>Sem 50</v>
      </c>
      <c r="MQ54" s="158" t="str">
        <f t="shared" si="48"/>
        <v/>
      </c>
      <c r="MR54" s="158" t="str">
        <f t="shared" si="48"/>
        <v/>
      </c>
      <c r="MS54" s="158" t="str">
        <f t="shared" si="48"/>
        <v/>
      </c>
      <c r="MT54" s="158" t="str">
        <f t="shared" si="48"/>
        <v/>
      </c>
      <c r="MU54" s="158" t="str">
        <f t="shared" si="48"/>
        <v/>
      </c>
      <c r="MV54" s="158" t="str">
        <f t="shared" si="48"/>
        <v/>
      </c>
      <c r="MW54" s="158" t="str">
        <f t="shared" si="48"/>
        <v>Sem 51</v>
      </c>
      <c r="MX54" s="158" t="str">
        <f t="shared" si="48"/>
        <v/>
      </c>
      <c r="MY54" s="158" t="str">
        <f t="shared" si="48"/>
        <v/>
      </c>
      <c r="MZ54" s="158" t="str">
        <f t="shared" si="48"/>
        <v/>
      </c>
      <c r="NA54" s="158" t="str">
        <f t="shared" si="48"/>
        <v/>
      </c>
      <c r="NB54" s="158" t="str">
        <f t="shared" si="48"/>
        <v/>
      </c>
      <c r="NC54" s="158" t="str">
        <f t="shared" si="48"/>
        <v/>
      </c>
      <c r="ND54" s="158" t="str">
        <f t="shared" si="48"/>
        <v>Sem 52</v>
      </c>
      <c r="NE54" s="158" t="str">
        <f t="shared" si="48"/>
        <v/>
      </c>
      <c r="NF54" s="158" t="str">
        <f t="shared" si="48"/>
        <v/>
      </c>
      <c r="NG54" s="158" t="str">
        <f t="shared" si="48"/>
        <v/>
      </c>
      <c r="NH54" s="158" t="str">
        <f t="shared" si="48"/>
        <v/>
      </c>
      <c r="NI54" s="158" t="str">
        <f t="shared" si="48"/>
        <v/>
      </c>
      <c r="NJ54" s="158" t="str">
        <f t="shared" si="48"/>
        <v/>
      </c>
      <c r="NK54" s="32"/>
      <c r="NN54" s="1"/>
      <c r="NO54" s="1"/>
      <c r="NP54" s="1"/>
      <c r="NQ54" s="1"/>
      <c r="NR54" s="1"/>
      <c r="NS54" s="1"/>
      <c r="NT54" s="1"/>
      <c r="NU54" s="1"/>
      <c r="NV54" s="1"/>
      <c r="NW54" s="1"/>
      <c r="NX54" s="1"/>
      <c r="NY54" s="1"/>
      <c r="NZ54" s="1"/>
      <c r="OA54" s="1"/>
      <c r="OB54" s="1"/>
      <c r="OC54" s="1"/>
      <c r="OD54" s="1"/>
      <c r="OE54" s="1"/>
      <c r="OF54" s="1"/>
      <c r="OG54" s="1"/>
      <c r="OH54" s="1"/>
      <c r="OI54" s="1"/>
      <c r="OJ54" s="1"/>
      <c r="OK54" s="1"/>
    </row>
    <row r="55" spans="1:404" x14ac:dyDescent="0.3">
      <c r="A55" s="477"/>
      <c r="B55" s="477"/>
      <c r="C55" s="477"/>
      <c r="D55" s="477"/>
      <c r="E55" s="477"/>
      <c r="F55" s="477"/>
      <c r="G55" s="478"/>
      <c r="H55" s="478" t="s">
        <v>39</v>
      </c>
      <c r="I55" s="28"/>
      <c r="J55" s="114" t="str" cm="1">
        <f t="array" ref="J55">IF(xcomp(J$12:J$53,L.ABS)+xcomp(J$12:J$53,L.EQUIPE)=0,"",xcomp(J$12:J$53,L.ABS)+xcomp(J$12:J$53,L.EQUIPE))</f>
        <v/>
      </c>
      <c r="K55" s="114" t="str" cm="1">
        <f t="array" ref="K55">IF(xcomp(K$12:K$53,L.ABS)+xcomp(K$12:K$53,L.EQUIPE)=0,"",xcomp(K$12:K$53,L.ABS)+xcomp(K$12:K$53,L.EQUIPE))</f>
        <v/>
      </c>
      <c r="L55" s="114" t="str" cm="1">
        <f t="array" ref="L55">IF(xcomp(L$12:L$53,L.ABS)+xcomp(L$12:L$53,L.EQUIPE)=0,"",xcomp(L$12:L$53,L.ABS)+xcomp(L$12:L$53,L.EQUIPE))</f>
        <v/>
      </c>
      <c r="M55" s="114" t="str" cm="1">
        <f t="array" ref="M55">IF(xcomp(M$12:M$53,L.ABS)+xcomp(M$12:M$53,L.EQUIPE)=0,"",xcomp(M$12:M$53,L.ABS)+xcomp(M$12:M$53,L.EQUIPE))</f>
        <v/>
      </c>
      <c r="N55" s="114" t="str" cm="1">
        <f t="array" ref="N55">IF(xcomp(N$12:N$53,L.ABS)+xcomp(N$12:N$53,L.EQUIPE)=0,"",xcomp(N$12:N$53,L.ABS)+xcomp(N$12:N$53,L.EQUIPE))</f>
        <v/>
      </c>
      <c r="O55" s="114" t="str" cm="1">
        <f t="array" ref="O55">IF(xcomp(O$12:O$53,L.ABS)+xcomp(O$12:O$53,L.EQUIPE)=0,"",xcomp(O$12:O$53,L.ABS)+xcomp(O$12:O$53,L.EQUIPE))</f>
        <v/>
      </c>
      <c r="P55" s="114" t="str" cm="1">
        <f t="array" ref="P55">IF(xcomp(P$12:P$53,L.ABS)+xcomp(P$12:P$53,L.EQUIPE)=0,"",xcomp(P$12:P$53,L.ABS)+xcomp(P$12:P$53,L.EQUIPE))</f>
        <v/>
      </c>
      <c r="Q55" s="114" t="str" cm="1">
        <f t="array" ref="Q55">IF(xcomp(Q$12:Q$53,L.ABS)+xcomp(Q$12:Q$53,L.EQUIPE)=0,"",xcomp(Q$12:Q$53,L.ABS)+xcomp(Q$12:Q$53,L.EQUIPE))</f>
        <v/>
      </c>
      <c r="R55" s="114" cm="1">
        <f t="array" ref="R55">IF(xcomp(R12:R53,L.ABS)+xcomp(R12:R53,L.EQUIPE)=0,"",xcomp(R12:R53,L.ABS)+xcomp(R12:R53,L.EQUIPE))</f>
        <v>8</v>
      </c>
      <c r="S55" s="114" cm="1">
        <f t="array" ref="S55">IF(xcomp(S12:S53,L.ABS)+xcomp(S12:S53,L.EQUIPE)=0,"",xcomp(S12:S53,L.ABS)+xcomp(S12:S53,L.EQUIPE))</f>
        <v>8</v>
      </c>
      <c r="T55" s="114" cm="1">
        <f t="array" ref="T55">IF(xcomp(T12:T53,L.ABS)+xcomp(T12:T53,L.EQUIPE)=0,"",xcomp(T12:T53,L.ABS)+xcomp(T12:T53,L.EQUIPE))</f>
        <v>8</v>
      </c>
      <c r="U55" s="114" cm="1">
        <f t="array" ref="U55">IF(xcomp(U12:U53,L.ABS)+xcomp(U12:U53,L.EQUIPE)=0,"",xcomp(U12:U53,L.ABS)+xcomp(U12:U53,L.EQUIPE))</f>
        <v>8</v>
      </c>
      <c r="V55" s="114" cm="1">
        <f t="array" ref="V55">IF(xcomp(V12:V53,L.ABS)+xcomp(V12:V53,L.EQUIPE)=0,"",xcomp(V12:V53,L.ABS)+xcomp(V12:V53,L.EQUIPE))</f>
        <v>8</v>
      </c>
      <c r="W55" s="114" t="str" cm="1">
        <f t="array" ref="W55">IF(xcomp(W12:W53,L.ABS)+xcomp(W12:W53,L.EQUIPE)=0,"",xcomp(W12:W53,L.ABS)+xcomp(W12:W53,L.EQUIPE))</f>
        <v/>
      </c>
      <c r="X55" s="114" t="str" cm="1">
        <f t="array" ref="X55">IF(xcomp(X12:X53,L.ABS)+xcomp(X12:X53,L.EQUIPE)=0,"",xcomp(X12:X53,L.ABS)+xcomp(X12:X53,L.EQUIPE))</f>
        <v/>
      </c>
      <c r="Y55" s="114" cm="1">
        <f t="array" ref="Y55">IF(xcomp(Y12:Y53,L.ABS)+xcomp(Y12:Y53,L.EQUIPE)=0,"",xcomp(Y12:Y53,L.ABS)+xcomp(Y12:Y53,L.EQUIPE))</f>
        <v>8</v>
      </c>
      <c r="Z55" s="114" cm="1">
        <f t="array" ref="Z55">IF(xcomp(Z12:Z53,L.ABS)+xcomp(Z12:Z53,L.EQUIPE)=0,"",xcomp(Z12:Z53,L.ABS)+xcomp(Z12:Z53,L.EQUIPE))</f>
        <v>8</v>
      </c>
      <c r="AA55" s="114" cm="1">
        <f t="array" ref="AA55">IF(xcomp(AA12:AA53,L.ABS)+xcomp(AA12:AA53,L.EQUIPE)=0,"",xcomp(AA12:AA53,L.ABS)+xcomp(AA12:AA53,L.EQUIPE))</f>
        <v>8</v>
      </c>
      <c r="AB55" s="114" cm="1">
        <f t="array" ref="AB55">IF(xcomp(AB12:AB53,L.ABS)+xcomp(AB12:AB53,L.EQUIPE)=0,"",xcomp(AB12:AB53,L.ABS)+xcomp(AB12:AB53,L.EQUIPE))</f>
        <v>8</v>
      </c>
      <c r="AC55" s="114" cm="1">
        <f t="array" ref="AC55">IF(xcomp(AC12:AC53,L.ABS)+xcomp(AC12:AC53,L.EQUIPE)=0,"",xcomp(AC12:AC53,L.ABS)+xcomp(AC12:AC53,L.EQUIPE))</f>
        <v>8</v>
      </c>
      <c r="AD55" s="114" t="str" cm="1">
        <f t="array" ref="AD55">IF(xcomp(AD12:AD53,L.ABS)+xcomp(AD12:AD53,L.EQUIPE)=0,"",xcomp(AD12:AD53,L.ABS)+xcomp(AD12:AD53,L.EQUIPE))</f>
        <v/>
      </c>
      <c r="AE55" s="114" t="str" cm="1">
        <f t="array" ref="AE55">IF(xcomp(AE12:AE53,L.ABS)+xcomp(AE12:AE53,L.EQUIPE)=0,"",xcomp(AE12:AE53,L.ABS)+xcomp(AE12:AE53,L.EQUIPE))</f>
        <v/>
      </c>
      <c r="AF55" s="114" cm="1">
        <f t="array" ref="AF55">IF(xcomp(AF12:AF53,L.ABS)+xcomp(AF12:AF53,L.EQUIPE)=0,"",xcomp(AF12:AF53,L.ABS)+xcomp(AF12:AF53,L.EQUIPE))</f>
        <v>8</v>
      </c>
      <c r="AG55" s="114" cm="1">
        <f t="array" ref="AG55">IF(xcomp(AG12:AG53,L.ABS)+xcomp(AG12:AG53,L.EQUIPE)=0,"",xcomp(AG12:AG53,L.ABS)+xcomp(AG12:AG53,L.EQUIPE))</f>
        <v>8</v>
      </c>
      <c r="AH55" s="114" cm="1">
        <f t="array" ref="AH55">IF(xcomp(AH12:AH53,L.ABS)+xcomp(AH12:AH53,L.EQUIPE)=0,"",xcomp(AH12:AH53,L.ABS)+xcomp(AH12:AH53,L.EQUIPE))</f>
        <v>8</v>
      </c>
      <c r="AI55" s="114" cm="1">
        <f t="array" ref="AI55">IF(xcomp(AI12:AI53,L.ABS)+xcomp(AI12:AI53,L.EQUIPE)=0,"",xcomp(AI12:AI53,L.ABS)+xcomp(AI12:AI53,L.EQUIPE))</f>
        <v>8</v>
      </c>
      <c r="AJ55" s="114" cm="1">
        <f t="array" ref="AJ55">IF(xcomp(AJ12:AJ53,L.ABS)+xcomp(AJ12:AJ53,L.EQUIPE)=0,"",xcomp(AJ12:AJ53,L.ABS)+xcomp(AJ12:AJ53,L.EQUIPE))</f>
        <v>8</v>
      </c>
      <c r="AK55" s="114" t="str" cm="1">
        <f t="array" ref="AK55">IF(xcomp(AK12:AK53,L.ABS)+xcomp(AK12:AK53,L.EQUIPE)=0,"",xcomp(AK12:AK53,L.ABS)+xcomp(AK12:AK53,L.EQUIPE))</f>
        <v/>
      </c>
      <c r="AL55" s="114" t="str" cm="1">
        <f t="array" ref="AL55">IF(xcomp(AL12:AL53,L.ABS)+xcomp(AL12:AL53,L.EQUIPE)=0,"",xcomp(AL12:AL53,L.ABS)+xcomp(AL12:AL53,L.EQUIPE))</f>
        <v/>
      </c>
      <c r="AM55" s="114" cm="1">
        <f t="array" ref="AM55">IF(xcomp(AM12:AM53,L.ABS)+xcomp(AM12:AM53,L.EQUIPE)=0,"",xcomp(AM12:AM53,L.ABS)+xcomp(AM12:AM53,L.EQUIPE))</f>
        <v>8</v>
      </c>
      <c r="AN55" s="114" cm="1">
        <f t="array" ref="AN55">IF(xcomp(AN12:AN53,L.ABS)+xcomp(AN12:AN53,L.EQUIPE)=0,"",xcomp(AN12:AN53,L.ABS)+xcomp(AN12:AN53,L.EQUIPE))</f>
        <v>8</v>
      </c>
      <c r="AO55" s="114" cm="1">
        <f t="array" ref="AO55">IF(xcomp(AO12:AO53,L.ABS)+xcomp(AO12:AO53,L.EQUIPE)=0,"",xcomp(AO12:AO53,L.ABS)+xcomp(AO12:AO53,L.EQUIPE))</f>
        <v>8</v>
      </c>
      <c r="AP55" s="114" cm="1">
        <f t="array" ref="AP55">IF(xcomp(AP12:AP53,L.ABS)+xcomp(AP12:AP53,L.EQUIPE)=0,"",xcomp(AP12:AP53,L.ABS)+xcomp(AP12:AP53,L.EQUIPE))</f>
        <v>8</v>
      </c>
      <c r="AQ55" s="114" cm="1">
        <f t="array" ref="AQ55">IF(xcomp(AQ12:AQ53,L.ABS)+xcomp(AQ12:AQ53,L.EQUIPE)=0,"",xcomp(AQ12:AQ53,L.ABS)+xcomp(AQ12:AQ53,L.EQUIPE))</f>
        <v>8</v>
      </c>
      <c r="AR55" s="114" t="str" cm="1">
        <f t="array" ref="AR55">IF(xcomp(AR12:AR53,L.ABS)+xcomp(AR12:AR53,L.EQUIPE)=0,"",xcomp(AR12:AR53,L.ABS)+xcomp(AR12:AR53,L.EQUIPE))</f>
        <v/>
      </c>
      <c r="AS55" s="114" t="str" cm="1">
        <f t="array" ref="AS55">IF(xcomp(AS12:AS53,L.ABS)+xcomp(AS12:AS53,L.EQUIPE)=0,"",xcomp(AS12:AS53,L.ABS)+xcomp(AS12:AS53,L.EQUIPE))</f>
        <v/>
      </c>
      <c r="AT55" s="114" cm="1">
        <f t="array" ref="AT55">IF(xcomp(AT12:AT53,L.ABS)+xcomp(AT12:AT53,L.EQUIPE)=0,"",xcomp(AT12:AT53,L.ABS)+xcomp(AT12:AT53,L.EQUIPE))</f>
        <v>9</v>
      </c>
      <c r="AU55" s="114" cm="1">
        <f t="array" ref="AU55">IF(xcomp(AU12:AU53,L.ABS)+xcomp(AU12:AU53,L.EQUIPE)=0,"",xcomp(AU12:AU53,L.ABS)+xcomp(AU12:AU53,L.EQUIPE))</f>
        <v>9</v>
      </c>
      <c r="AV55" s="114" cm="1">
        <f t="array" ref="AV55">IF(xcomp(AV12:AV53,L.ABS)+xcomp(AV12:AV53,L.EQUIPE)=0,"",xcomp(AV12:AV53,L.ABS)+xcomp(AV12:AV53,L.EQUIPE))</f>
        <v>9</v>
      </c>
      <c r="AW55" s="114" cm="1">
        <f t="array" ref="AW55">IF(xcomp(AW12:AW53,L.ABS)+xcomp(AW12:AW53,L.EQUIPE)=0,"",xcomp(AW12:AW53,L.ABS)+xcomp(AW12:AW53,L.EQUIPE))</f>
        <v>9</v>
      </c>
      <c r="AX55" s="114" cm="1">
        <f t="array" ref="AX55">IF(xcomp(AX12:AX53,L.ABS)+xcomp(AX12:AX53,L.EQUIPE)=0,"",xcomp(AX12:AX53,L.ABS)+xcomp(AX12:AX53,L.EQUIPE))</f>
        <v>9</v>
      </c>
      <c r="AY55" s="114" t="str" cm="1">
        <f t="array" ref="AY55">IF(xcomp(AY12:AY53,L.ABS)+xcomp(AY12:AY53,L.EQUIPE)=0,"",xcomp(AY12:AY53,L.ABS)+xcomp(AY12:AY53,L.EQUIPE))</f>
        <v/>
      </c>
      <c r="AZ55" s="114" t="str" cm="1">
        <f t="array" ref="AZ55">IF(xcomp(AZ12:AZ53,L.ABS)+xcomp(AZ12:AZ53,L.EQUIPE)=0,"",xcomp(AZ12:AZ53,L.ABS)+xcomp(AZ12:AZ53,L.EQUIPE))</f>
        <v/>
      </c>
      <c r="BA55" s="114" cm="1">
        <f t="array" ref="BA55">IF(xcomp(BA12:BA53,L.ABS)+xcomp(BA12:BA53,L.EQUIPE)=0,"",xcomp(BA12:BA53,L.ABS)+xcomp(BA12:BA53,L.EQUIPE))</f>
        <v>9</v>
      </c>
      <c r="BB55" s="114" cm="1">
        <f t="array" ref="BB55">IF(xcomp(BB12:BB53,L.ABS)+xcomp(BB12:BB53,L.EQUIPE)=0,"",xcomp(BB12:BB53,L.ABS)+xcomp(BB12:BB53,L.EQUIPE))</f>
        <v>9</v>
      </c>
      <c r="BC55" s="114" cm="1">
        <f t="array" ref="BC55">IF(xcomp(BC12:BC53,L.ABS)+xcomp(BC12:BC53,L.EQUIPE)=0,"",xcomp(BC12:BC53,L.ABS)+xcomp(BC12:BC53,L.EQUIPE))</f>
        <v>9</v>
      </c>
      <c r="BD55" s="114" cm="1">
        <f t="array" ref="BD55">IF(xcomp(BD12:BD53,L.ABS)+xcomp(BD12:BD53,L.EQUIPE)=0,"",xcomp(BD12:BD53,L.ABS)+xcomp(BD12:BD53,L.EQUIPE))</f>
        <v>9</v>
      </c>
      <c r="BE55" s="114" cm="1">
        <f t="array" ref="BE55">IF(xcomp(BE12:BE53,L.ABS)+xcomp(BE12:BE53,L.EQUIPE)=0,"",xcomp(BE12:BE53,L.ABS)+xcomp(BE12:BE53,L.EQUIPE))</f>
        <v>9</v>
      </c>
      <c r="BF55" s="114" t="str" cm="1">
        <f t="array" ref="BF55">IF(xcomp(BF12:BF53,L.ABS)+xcomp(BF12:BF53,L.EQUIPE)=0,"",xcomp(BF12:BF53,L.ABS)+xcomp(BF12:BF53,L.EQUIPE))</f>
        <v/>
      </c>
      <c r="BG55" s="114" t="str" cm="1">
        <f t="array" ref="BG55">IF(xcomp(BG12:BG53,L.ABS)+xcomp(BG12:BG53,L.EQUIPE)=0,"",xcomp(BG12:BG53,L.ABS)+xcomp(BG12:BG53,L.EQUIPE))</f>
        <v/>
      </c>
      <c r="BH55" s="114" cm="1">
        <f t="array" ref="BH55">IF(xcomp(BH12:BH53,L.ABS)+xcomp(BH12:BH53,L.EQUIPE)=0,"",xcomp(BH12:BH53,L.ABS)+xcomp(BH12:BH53,L.EQUIPE))</f>
        <v>9</v>
      </c>
      <c r="BI55" s="114" cm="1">
        <f t="array" ref="BI55">IF(xcomp(BI12:BI53,L.ABS)+xcomp(BI12:BI53,L.EQUIPE)=0,"",xcomp(BI12:BI53,L.ABS)+xcomp(BI12:BI53,L.EQUIPE))</f>
        <v>9</v>
      </c>
      <c r="BJ55" s="114" cm="1">
        <f t="array" ref="BJ55">IF(xcomp(BJ12:BJ53,L.ABS)+xcomp(BJ12:BJ53,L.EQUIPE)=0,"",xcomp(BJ12:BJ53,L.ABS)+xcomp(BJ12:BJ53,L.EQUIPE))</f>
        <v>9</v>
      </c>
      <c r="BK55" s="114" cm="1">
        <f t="array" ref="BK55">IF(xcomp(BK12:BK53,L.ABS)+xcomp(BK12:BK53,L.EQUIPE)=0,"",xcomp(BK12:BK53,L.ABS)+xcomp(BK12:BK53,L.EQUIPE))</f>
        <v>9</v>
      </c>
      <c r="BL55" s="114" cm="1">
        <f t="array" ref="BL55">IF(xcomp(BL12:BL53,L.ABS)+xcomp(BL12:BL53,L.EQUIPE)=0,"",xcomp(BL12:BL53,L.ABS)+xcomp(BL12:BL53,L.EQUIPE))</f>
        <v>9</v>
      </c>
      <c r="BM55" s="114" t="str" cm="1">
        <f t="array" ref="BM55">IF(xcomp(BM12:BM53,L.ABS)+xcomp(BM12:BM53,L.EQUIPE)=0,"",xcomp(BM12:BM53,L.ABS)+xcomp(BM12:BM53,L.EQUIPE))</f>
        <v/>
      </c>
      <c r="BN55" s="114" t="str" cm="1">
        <f t="array" ref="BN55">IF(xcomp(BN12:BN53,L.ABS)+xcomp(BN12:BN53,L.EQUIPE)=0,"",xcomp(BN12:BN53,L.ABS)+xcomp(BN12:BN53,L.EQUIPE))</f>
        <v/>
      </c>
      <c r="BO55" s="114" cm="1">
        <f t="array" ref="BO55">IF(xcomp(BO12:BO53,L.ABS)+xcomp(BO12:BO53,L.EQUIPE)=0,"",xcomp(BO12:BO53,L.ABS)+xcomp(BO12:BO53,L.EQUIPE))</f>
        <v>13</v>
      </c>
      <c r="BP55" s="114" cm="1">
        <f t="array" ref="BP55">IF(xcomp(BP12:BP53,L.ABS)+xcomp(BP12:BP53,L.EQUIPE)=0,"",xcomp(BP12:BP53,L.ABS)+xcomp(BP12:BP53,L.EQUIPE))</f>
        <v>13</v>
      </c>
      <c r="BQ55" s="114" cm="1">
        <f t="array" ref="BQ55">IF(xcomp(BQ12:BQ53,L.ABS)+xcomp(BQ12:BQ53,L.EQUIPE)=0,"",xcomp(BQ12:BQ53,L.ABS)+xcomp(BQ12:BQ53,L.EQUIPE))</f>
        <v>13</v>
      </c>
      <c r="BR55" s="114" cm="1">
        <f t="array" ref="BR55">IF(xcomp(BR12:BR53,L.ABS)+xcomp(BR12:BR53,L.EQUIPE)=0,"",xcomp(BR12:BR53,L.ABS)+xcomp(BR12:BR53,L.EQUIPE))</f>
        <v>13</v>
      </c>
      <c r="BS55" s="114" cm="1">
        <f t="array" ref="BS55">IF(xcomp(BS12:BS53,L.ABS)+xcomp(BS12:BS53,L.EQUIPE)=0,"",xcomp(BS12:BS53,L.ABS)+xcomp(BS12:BS53,L.EQUIPE))</f>
        <v>13</v>
      </c>
      <c r="BT55" s="114" t="str" cm="1">
        <f t="array" ref="BT55">IF(xcomp(BT12:BT53,L.ABS)+xcomp(BT12:BT53,L.EQUIPE)=0,"",xcomp(BT12:BT53,L.ABS)+xcomp(BT12:BT53,L.EQUIPE))</f>
        <v/>
      </c>
      <c r="BU55" s="114" t="str" cm="1">
        <f t="array" ref="BU55">IF(xcomp(BU12:BU53,L.ABS)+xcomp(BU12:BU53,L.EQUIPE)=0,"",xcomp(BU12:BU53,L.ABS)+xcomp(BU12:BU53,L.EQUIPE))</f>
        <v/>
      </c>
      <c r="BV55" s="114" cm="1">
        <f t="array" ref="BV55">IF(xcomp(BV12:BV53,L.ABS)+xcomp(BV12:BV53,L.EQUIPE)=0,"",xcomp(BV12:BV53,L.ABS)+xcomp(BV12:BV53,L.EQUIPE))</f>
        <v>13</v>
      </c>
      <c r="BW55" s="114" cm="1">
        <f t="array" ref="BW55">IF(xcomp(BW12:BW53,L.ABS)+xcomp(BW12:BW53,L.EQUIPE)=0,"",xcomp(BW12:BW53,L.ABS)+xcomp(BW12:BW53,L.EQUIPE))</f>
        <v>13</v>
      </c>
      <c r="BX55" s="114" cm="1">
        <f t="array" ref="BX55">IF(xcomp(BX12:BX53,L.ABS)+xcomp(BX12:BX53,L.EQUIPE)=0,"",xcomp(BX12:BX53,L.ABS)+xcomp(BX12:BX53,L.EQUIPE))</f>
        <v>13</v>
      </c>
      <c r="BY55" s="114" cm="1">
        <f t="array" ref="BY55">IF(xcomp(BY12:BY53,L.ABS)+xcomp(BY12:BY53,L.EQUIPE)=0,"",xcomp(BY12:BY53,L.ABS)+xcomp(BY12:BY53,L.EQUIPE))</f>
        <v>13</v>
      </c>
      <c r="BZ55" s="114" cm="1">
        <f t="array" ref="BZ55">IF(xcomp(BZ12:BZ53,L.ABS)+xcomp(BZ12:BZ53,L.EQUIPE)=0,"",xcomp(BZ12:BZ53,L.ABS)+xcomp(BZ12:BZ53,L.EQUIPE))</f>
        <v>13</v>
      </c>
      <c r="CA55" s="114" t="str" cm="1">
        <f t="array" ref="CA55">IF(xcomp(CA12:CA53,L.ABS)+xcomp(CA12:CA53,L.EQUIPE)=0,"",xcomp(CA12:CA53,L.ABS)+xcomp(CA12:CA53,L.EQUIPE))</f>
        <v/>
      </c>
      <c r="CB55" s="114" t="str" cm="1">
        <f t="array" ref="CB55">IF(xcomp(CB12:CB53,L.ABS)+xcomp(CB12:CB53,L.EQUIPE)=0,"",xcomp(CB12:CB53,L.ABS)+xcomp(CB12:CB53,L.EQUIPE))</f>
        <v/>
      </c>
      <c r="CC55" s="114" cm="1">
        <f t="array" ref="CC55">IF(xcomp(CC12:CC53,L.ABS)+xcomp(CC12:CC53,L.EQUIPE)=0,"",xcomp(CC12:CC53,L.ABS)+xcomp(CC12:CC53,L.EQUIPE))</f>
        <v>16</v>
      </c>
      <c r="CD55" s="114" cm="1">
        <f t="array" ref="CD55">IF(xcomp(CD12:CD53,L.ABS)+xcomp(CD12:CD53,L.EQUIPE)=0,"",xcomp(CD12:CD53,L.ABS)+xcomp(CD12:CD53,L.EQUIPE))</f>
        <v>16</v>
      </c>
      <c r="CE55" s="114" cm="1">
        <f t="array" ref="CE55">IF(xcomp(CE12:CE53,L.ABS)+xcomp(CE12:CE53,L.EQUIPE)=0,"",xcomp(CE12:CE53,L.ABS)+xcomp(CE12:CE53,L.EQUIPE))</f>
        <v>16</v>
      </c>
      <c r="CF55" s="114" cm="1">
        <f t="array" ref="CF55">IF(xcomp(CF12:CF53,L.ABS)+xcomp(CF12:CF53,L.EQUIPE)=0,"",xcomp(CF12:CF53,L.ABS)+xcomp(CF12:CF53,L.EQUIPE))</f>
        <v>16</v>
      </c>
      <c r="CG55" s="114" cm="1">
        <f t="array" ref="CG55">IF(xcomp(CG12:CG53,L.ABS)+xcomp(CG12:CG53,L.EQUIPE)=0,"",xcomp(CG12:CG53,L.ABS)+xcomp(CG12:CG53,L.EQUIPE))</f>
        <v>16</v>
      </c>
      <c r="CH55" s="114" t="str" cm="1">
        <f t="array" ref="CH55">IF(xcomp(CH12:CH53,L.ABS)+xcomp(CH12:CH53,L.EQUIPE)=0,"",xcomp(CH12:CH53,L.ABS)+xcomp(CH12:CH53,L.EQUIPE))</f>
        <v/>
      </c>
      <c r="CI55" s="114" t="str" cm="1">
        <f t="array" ref="CI55">IF(xcomp(CI12:CI53,L.ABS)+xcomp(CI12:CI53,L.EQUIPE)=0,"",xcomp(CI12:CI53,L.ABS)+xcomp(CI12:CI53,L.EQUIPE))</f>
        <v/>
      </c>
      <c r="CJ55" s="114" cm="1">
        <f t="array" ref="CJ55">IF(xcomp(CJ12:CJ53,L.ABS)+xcomp(CJ12:CJ53,L.EQUIPE)=0,"",xcomp(CJ12:CJ53,L.ABS)+xcomp(CJ12:CJ53,L.EQUIPE))</f>
        <v>17</v>
      </c>
      <c r="CK55" s="114" cm="1">
        <f t="array" ref="CK55">IF(xcomp(CK12:CK53,L.ABS)+xcomp(CK12:CK53,L.EQUIPE)=0,"",xcomp(CK12:CK53,L.ABS)+xcomp(CK12:CK53,L.EQUIPE))</f>
        <v>17</v>
      </c>
      <c r="CL55" s="114" cm="1">
        <f t="array" ref="CL55">IF(xcomp(CL12:CL53,L.ABS)+xcomp(CL12:CL53,L.EQUIPE)=0,"",xcomp(CL12:CL53,L.ABS)+xcomp(CL12:CL53,L.EQUIPE))</f>
        <v>17</v>
      </c>
      <c r="CM55" s="114" cm="1">
        <f t="array" ref="CM55">IF(xcomp(CM12:CM53,L.ABS)+xcomp(CM12:CM53,L.EQUIPE)=0,"",xcomp(CM12:CM53,L.ABS)+xcomp(CM12:CM53,L.EQUIPE))</f>
        <v>17</v>
      </c>
      <c r="CN55" s="114" cm="1">
        <f t="array" ref="CN55">IF(xcomp(CN12:CN53,L.ABS)+xcomp(CN12:CN53,L.EQUIPE)=0,"",xcomp(CN12:CN53,L.ABS)+xcomp(CN12:CN53,L.EQUIPE))</f>
        <v>17</v>
      </c>
      <c r="CO55" s="114" t="str" cm="1">
        <f t="array" ref="CO55">IF(xcomp(CO12:CO53,L.ABS)+xcomp(CO12:CO53,L.EQUIPE)=0,"",xcomp(CO12:CO53,L.ABS)+xcomp(CO12:CO53,L.EQUIPE))</f>
        <v/>
      </c>
      <c r="CP55" s="114" t="str" cm="1">
        <f t="array" ref="CP55">IF(xcomp(CP12:CP53,L.ABS)+xcomp(CP12:CP53,L.EQUIPE)=0,"",xcomp(CP12:CP53,L.ABS)+xcomp(CP12:CP53,L.EQUIPE))</f>
        <v/>
      </c>
      <c r="CQ55" s="114" cm="1">
        <f t="array" ref="CQ55">IF(xcomp(CQ12:CQ53,L.ABS)+xcomp(CQ12:CQ53,L.EQUIPE)=0,"",xcomp(CQ12:CQ53,L.ABS)+xcomp(CQ12:CQ53,L.EQUIPE))</f>
        <v>19</v>
      </c>
      <c r="CR55" s="114" cm="1">
        <f t="array" ref="CR55">IF(xcomp(CR12:CR53,L.ABS)+xcomp(CR12:CR53,L.EQUIPE)=0,"",xcomp(CR12:CR53,L.ABS)+xcomp(CR12:CR53,L.EQUIPE))</f>
        <v>19</v>
      </c>
      <c r="CS55" s="114" cm="1">
        <f t="array" ref="CS55">IF(xcomp(CS12:CS53,L.ABS)+xcomp(CS12:CS53,L.EQUIPE)=0,"",xcomp(CS12:CS53,L.ABS)+xcomp(CS12:CS53,L.EQUIPE))</f>
        <v>19</v>
      </c>
      <c r="CT55" s="114" cm="1">
        <f t="array" ref="CT55">IF(xcomp(CT12:CT53,L.ABS)+xcomp(CT12:CT53,L.EQUIPE)=0,"",xcomp(CT12:CT53,L.ABS)+xcomp(CT12:CT53,L.EQUIPE))</f>
        <v>19</v>
      </c>
      <c r="CU55" s="114" cm="1">
        <f t="array" ref="CU55">IF(xcomp(CU12:CU53,L.ABS)+xcomp(CU12:CU53,L.EQUIPE)=0,"",xcomp(CU12:CU53,L.ABS)+xcomp(CU12:CU53,L.EQUIPE))</f>
        <v>19</v>
      </c>
      <c r="CV55" s="114" t="str" cm="1">
        <f t="array" ref="CV55">IF(xcomp(CV12:CV53,L.ABS)+xcomp(CV12:CV53,L.EQUIPE)=0,"",xcomp(CV12:CV53,L.ABS)+xcomp(CV12:CV53,L.EQUIPE))</f>
        <v/>
      </c>
      <c r="CW55" s="114" t="str" cm="1">
        <f t="array" ref="CW55">IF(xcomp(CW12:CW53,L.ABS)+xcomp(CW12:CW53,L.EQUIPE)=0,"",xcomp(CW12:CW53,L.ABS)+xcomp(CW12:CW53,L.EQUIPE))</f>
        <v/>
      </c>
      <c r="CX55" s="114" t="str" cm="1">
        <f t="array" ref="CX55">IF(xcomp(CX12:CX53,L.ABS)+xcomp(CX12:CX53,L.EQUIPE)=0,"",xcomp(CX12:CX53,L.ABS)+xcomp(CX12:CX53,L.EQUIPE))</f>
        <v/>
      </c>
      <c r="CY55" s="114" t="str" cm="1">
        <f t="array" ref="CY55">IF(xcomp(CY12:CY53,L.ABS)+xcomp(CY12:CY53,L.EQUIPE)=0,"",xcomp(CY12:CY53,L.ABS)+xcomp(CY12:CY53,L.EQUIPE))</f>
        <v/>
      </c>
      <c r="CZ55" s="114" t="str" cm="1">
        <f t="array" ref="CZ55">IF(xcomp(CZ12:CZ53,L.ABS)+xcomp(CZ12:CZ53,L.EQUIPE)=0,"",xcomp(CZ12:CZ53,L.ABS)+xcomp(CZ12:CZ53,L.EQUIPE))</f>
        <v/>
      </c>
      <c r="DA55" s="114" t="str" cm="1">
        <f t="array" ref="DA55">IF(xcomp(DA12:DA53,L.ABS)+xcomp(DA12:DA53,L.EQUIPE)=0,"",xcomp(DA12:DA53,L.ABS)+xcomp(DA12:DA53,L.EQUIPE))</f>
        <v/>
      </c>
      <c r="DB55" s="114" t="str" cm="1">
        <f t="array" ref="DB55">IF(xcomp(DB12:DB53,L.ABS)+xcomp(DB12:DB53,L.EQUIPE)=0,"",xcomp(DB12:DB53,L.ABS)+xcomp(DB12:DB53,L.EQUIPE))</f>
        <v/>
      </c>
      <c r="DC55" s="114" t="str" cm="1">
        <f t="array" ref="DC55">IF(xcomp(DC12:DC53,L.ABS)+xcomp(DC12:DC53,L.EQUIPE)=0,"",xcomp(DC12:DC53,L.ABS)+xcomp(DC12:DC53,L.EQUIPE))</f>
        <v/>
      </c>
      <c r="DD55" s="114" t="str" cm="1">
        <f t="array" ref="DD55">IF(xcomp(DD12:DD53,L.ABS)+xcomp(DD12:DD53,L.EQUIPE)=0,"",xcomp(DD12:DD53,L.ABS)+xcomp(DD12:DD53,L.EQUIPE))</f>
        <v/>
      </c>
      <c r="DE55" s="114" cm="1">
        <f t="array" ref="DE55">IF(xcomp(DE12:DE53,L.ABS)+xcomp(DE12:DE53,L.EQUIPE)=0,"",xcomp(DE12:DE53,L.ABS)+xcomp(DE12:DE53,L.EQUIPE))</f>
        <v>1</v>
      </c>
      <c r="DF55" s="114" cm="1">
        <f t="array" ref="DF55">IF(xcomp(DF12:DF53,L.ABS)+xcomp(DF12:DF53,L.EQUIPE)=0,"",xcomp(DF12:DF53,L.ABS)+xcomp(DF12:DF53,L.EQUIPE))</f>
        <v>1</v>
      </c>
      <c r="DG55" s="114" cm="1">
        <f t="array" ref="DG55">IF(xcomp(DG12:DG53,L.ABS)+xcomp(DG12:DG53,L.EQUIPE)=0,"",xcomp(DG12:DG53,L.ABS)+xcomp(DG12:DG53,L.EQUIPE))</f>
        <v>1</v>
      </c>
      <c r="DH55" s="114" cm="1">
        <f t="array" ref="DH55">IF(xcomp(DH12:DH53,L.ABS)+xcomp(DH12:DH53,L.EQUIPE)=0,"",xcomp(DH12:DH53,L.ABS)+xcomp(DH12:DH53,L.EQUIPE))</f>
        <v>1</v>
      </c>
      <c r="DI55" s="114" cm="1">
        <f t="array" ref="DI55">IF(xcomp(DI12:DI53,L.ABS)+xcomp(DI12:DI53,L.EQUIPE)=0,"",xcomp(DI12:DI53,L.ABS)+xcomp(DI12:DI53,L.EQUIPE))</f>
        <v>1</v>
      </c>
      <c r="DJ55" s="114" t="str" cm="1">
        <f t="array" ref="DJ55">IF(xcomp(DJ12:DJ53,L.ABS)+xcomp(DJ12:DJ53,L.EQUIPE)=0,"",xcomp(DJ12:DJ53,L.ABS)+xcomp(DJ12:DJ53,L.EQUIPE))</f>
        <v/>
      </c>
      <c r="DK55" s="114" t="str" cm="1">
        <f t="array" ref="DK55">IF(xcomp(DK12:DK53,L.ABS)+xcomp(DK12:DK53,L.EQUIPE)=0,"",xcomp(DK12:DK53,L.ABS)+xcomp(DK12:DK53,L.EQUIPE))</f>
        <v/>
      </c>
      <c r="DL55" s="114" cm="1">
        <f t="array" ref="DL55">IF(xcomp(DL12:DL53,L.ABS)+xcomp(DL12:DL53,L.EQUIPE)=0,"",xcomp(DL12:DL53,L.ABS)+xcomp(DL12:DL53,L.EQUIPE))</f>
        <v>1</v>
      </c>
      <c r="DM55" s="114" cm="1">
        <f t="array" ref="DM55">IF(xcomp(DM12:DM53,L.ABS)+xcomp(DM12:DM53,L.EQUIPE)=0,"",xcomp(DM12:DM53,L.ABS)+xcomp(DM12:DM53,L.EQUIPE))</f>
        <v>1</v>
      </c>
      <c r="DN55" s="114" cm="1">
        <f t="array" ref="DN55">IF(xcomp(DN12:DN53,L.ABS)+xcomp(DN12:DN53,L.EQUIPE)=0,"",xcomp(DN12:DN53,L.ABS)+xcomp(DN12:DN53,L.EQUIPE))</f>
        <v>1</v>
      </c>
      <c r="DO55" s="114" cm="1">
        <f t="array" ref="DO55">IF(xcomp(DO12:DO53,L.ABS)+xcomp(DO12:DO53,L.EQUIPE)=0,"",xcomp(DO12:DO53,L.ABS)+xcomp(DO12:DO53,L.EQUIPE))</f>
        <v>1</v>
      </c>
      <c r="DP55" s="114" cm="1">
        <f t="array" ref="DP55">IF(xcomp(DP12:DP53,L.ABS)+xcomp(DP12:DP53,L.EQUIPE)=0,"",xcomp(DP12:DP53,L.ABS)+xcomp(DP12:DP53,L.EQUIPE))</f>
        <v>1</v>
      </c>
      <c r="DQ55" s="114" t="str" cm="1">
        <f t="array" ref="DQ55">IF(xcomp(DQ12:DQ53,L.ABS)+xcomp(DQ12:DQ53,L.EQUIPE)=0,"",xcomp(DQ12:DQ53,L.ABS)+xcomp(DQ12:DQ53,L.EQUIPE))</f>
        <v/>
      </c>
      <c r="DR55" s="114" t="str" cm="1">
        <f t="array" ref="DR55">IF(xcomp(DR12:DR53,L.ABS)+xcomp(DR12:DR53,L.EQUIPE)=0,"",xcomp(DR12:DR53,L.ABS)+xcomp(DR12:DR53,L.EQUIPE))</f>
        <v/>
      </c>
      <c r="DS55" s="114" t="str" cm="1">
        <f t="array" ref="DS55">IF(xcomp(DS12:DS53,L.ABS)+xcomp(DS12:DS53,L.EQUIPE)=0,"",xcomp(DS12:DS53,L.ABS)+xcomp(DS12:DS53,L.EQUIPE))</f>
        <v/>
      </c>
      <c r="DT55" s="114" t="str" cm="1">
        <f t="array" ref="DT55">IF(xcomp(DT12:DT53,L.ABS)+xcomp(DT12:DT53,L.EQUIPE)=0,"",xcomp(DT12:DT53,L.ABS)+xcomp(DT12:DT53,L.EQUIPE))</f>
        <v/>
      </c>
      <c r="DU55" s="114" t="str" cm="1">
        <f t="array" ref="DU55">IF(xcomp(DU12:DU53,L.ABS)+xcomp(DU12:DU53,L.EQUIPE)=0,"",xcomp(DU12:DU53,L.ABS)+xcomp(DU12:DU53,L.EQUIPE))</f>
        <v/>
      </c>
      <c r="DV55" s="114" t="str" cm="1">
        <f t="array" ref="DV55">IF(xcomp(DV12:DV53,L.ABS)+xcomp(DV12:DV53,L.EQUIPE)=0,"",xcomp(DV12:DV53,L.ABS)+xcomp(DV12:DV53,L.EQUIPE))</f>
        <v/>
      </c>
      <c r="DW55" s="114" t="str" cm="1">
        <f t="array" ref="DW55">IF(xcomp(DW12:DW53,L.ABS)+xcomp(DW12:DW53,L.EQUIPE)=0,"",xcomp(DW12:DW53,L.ABS)+xcomp(DW12:DW53,L.EQUIPE))</f>
        <v/>
      </c>
      <c r="DX55" s="114" t="str" cm="1">
        <f t="array" ref="DX55">IF(xcomp(DX12:DX53,L.ABS)+xcomp(DX12:DX53,L.EQUIPE)=0,"",xcomp(DX12:DX53,L.ABS)+xcomp(DX12:DX53,L.EQUIPE))</f>
        <v/>
      </c>
      <c r="DY55" s="114" t="str" cm="1">
        <f t="array" ref="DY55">IF(xcomp(DY12:DY53,L.ABS)+xcomp(DY12:DY53,L.EQUIPE)=0,"",xcomp(DY12:DY53,L.ABS)+xcomp(DY12:DY53,L.EQUIPE))</f>
        <v/>
      </c>
      <c r="DZ55" s="114" t="str" cm="1">
        <f t="array" ref="DZ55">IF(xcomp(DZ12:DZ53,L.ABS)+xcomp(DZ12:DZ53,L.EQUIPE)=0,"",xcomp(DZ12:DZ53,L.ABS)+xcomp(DZ12:DZ53,L.EQUIPE))</f>
        <v/>
      </c>
      <c r="EA55" s="114" t="str" cm="1">
        <f t="array" ref="EA55">IF(xcomp(EA12:EA53,L.ABS)+xcomp(EA12:EA53,L.EQUIPE)=0,"",xcomp(EA12:EA53,L.ABS)+xcomp(EA12:EA53,L.EQUIPE))</f>
        <v/>
      </c>
      <c r="EB55" s="114" t="str" cm="1">
        <f t="array" ref="EB55">IF(xcomp(EB12:EB53,L.ABS)+xcomp(EB12:EB53,L.EQUIPE)=0,"",xcomp(EB12:EB53,L.ABS)+xcomp(EB12:EB53,L.EQUIPE))</f>
        <v/>
      </c>
      <c r="EC55" s="114" t="str" cm="1">
        <f t="array" ref="EC55">IF(xcomp(EC12:EC53,L.ABS)+xcomp(EC12:EC53,L.EQUIPE)=0,"",xcomp(EC12:EC53,L.ABS)+xcomp(EC12:EC53,L.EQUIPE))</f>
        <v/>
      </c>
      <c r="ED55" s="114" t="str" cm="1">
        <f t="array" ref="ED55">IF(xcomp(ED12:ED53,L.ABS)+xcomp(ED12:ED53,L.EQUIPE)=0,"",xcomp(ED12:ED53,L.ABS)+xcomp(ED12:ED53,L.EQUIPE))</f>
        <v/>
      </c>
      <c r="EE55" s="114" t="str" cm="1">
        <f t="array" ref="EE55">IF(xcomp(EE12:EE53,L.ABS)+xcomp(EE12:EE53,L.EQUIPE)=0,"",xcomp(EE12:EE53,L.ABS)+xcomp(EE12:EE53,L.EQUIPE))</f>
        <v/>
      </c>
      <c r="EF55" s="114" t="str" cm="1">
        <f t="array" ref="EF55">IF(xcomp(EF12:EF53,L.ABS)+xcomp(EF12:EF53,L.EQUIPE)=0,"",xcomp(EF12:EF53,L.ABS)+xcomp(EF12:EF53,L.EQUIPE))</f>
        <v/>
      </c>
      <c r="EG55" s="114" t="str" cm="1">
        <f t="array" ref="EG55">IF(xcomp(EG12:EG53,L.ABS)+xcomp(EG12:EG53,L.EQUIPE)=0,"",xcomp(EG12:EG53,L.ABS)+xcomp(EG12:EG53,L.EQUIPE))</f>
        <v/>
      </c>
      <c r="EH55" s="114" t="str" cm="1">
        <f t="array" ref="EH55">IF(xcomp(EH12:EH53,L.ABS)+xcomp(EH12:EH53,L.EQUIPE)=0,"",xcomp(EH12:EH53,L.ABS)+xcomp(EH12:EH53,L.EQUIPE))</f>
        <v/>
      </c>
      <c r="EI55" s="114" t="str" cm="1">
        <f t="array" ref="EI55">IF(xcomp(EI12:EI53,L.ABS)+xcomp(EI12:EI53,L.EQUIPE)=0,"",xcomp(EI12:EI53,L.ABS)+xcomp(EI12:EI53,L.EQUIPE))</f>
        <v/>
      </c>
      <c r="EJ55" s="114" t="str" cm="1">
        <f t="array" ref="EJ55">IF(xcomp(EJ12:EJ53,L.ABS)+xcomp(EJ12:EJ53,L.EQUIPE)=0,"",xcomp(EJ12:EJ53,L.ABS)+xcomp(EJ12:EJ53,L.EQUIPE))</f>
        <v/>
      </c>
      <c r="EK55" s="114" t="str" cm="1">
        <f t="array" ref="EK55">IF(xcomp(EK12:EK53,L.ABS)+xcomp(EK12:EK53,L.EQUIPE)=0,"",xcomp(EK12:EK53,L.ABS)+xcomp(EK12:EK53,L.EQUIPE))</f>
        <v/>
      </c>
      <c r="EL55" s="114" t="str" cm="1">
        <f t="array" ref="EL55">IF(xcomp(EL12:EL53,L.ABS)+xcomp(EL12:EL53,L.EQUIPE)=0,"",xcomp(EL12:EL53,L.ABS)+xcomp(EL12:EL53,L.EQUIPE))</f>
        <v/>
      </c>
      <c r="EM55" s="114" t="str" cm="1">
        <f t="array" ref="EM55">IF(xcomp(EM12:EM53,L.ABS)+xcomp(EM12:EM53,L.EQUIPE)=0,"",xcomp(EM12:EM53,L.ABS)+xcomp(EM12:EM53,L.EQUIPE))</f>
        <v/>
      </c>
      <c r="EN55" s="114" t="str" cm="1">
        <f t="array" ref="EN55">IF(xcomp(EN12:EN53,L.ABS)+xcomp(EN12:EN53,L.EQUIPE)=0,"",xcomp(EN12:EN53,L.ABS)+xcomp(EN12:EN53,L.EQUIPE))</f>
        <v/>
      </c>
      <c r="EO55" s="114" t="str" cm="1">
        <f t="array" ref="EO55">IF(xcomp(EO12:EO53,L.ABS)+xcomp(EO12:EO53,L.EQUIPE)=0,"",xcomp(EO12:EO53,L.ABS)+xcomp(EO12:EO53,L.EQUIPE))</f>
        <v/>
      </c>
      <c r="EP55" s="114" t="str" cm="1">
        <f t="array" ref="EP55">IF(xcomp(EP12:EP53,L.ABS)+xcomp(EP12:EP53,L.EQUIPE)=0,"",xcomp(EP12:EP53,L.ABS)+xcomp(EP12:EP53,L.EQUIPE))</f>
        <v/>
      </c>
      <c r="EQ55" s="114" t="str" cm="1">
        <f t="array" ref="EQ55">IF(xcomp(EQ12:EQ53,L.ABS)+xcomp(EQ12:EQ53,L.EQUIPE)=0,"",xcomp(EQ12:EQ53,L.ABS)+xcomp(EQ12:EQ53,L.EQUIPE))</f>
        <v/>
      </c>
      <c r="ER55" s="114" t="str" cm="1">
        <f t="array" ref="ER55">IF(xcomp(ER12:ER53,L.ABS)+xcomp(ER12:ER53,L.EQUIPE)=0,"",xcomp(ER12:ER53,L.ABS)+xcomp(ER12:ER53,L.EQUIPE))</f>
        <v/>
      </c>
      <c r="ES55" s="114" t="str" cm="1">
        <f t="array" ref="ES55">IF(xcomp(ES12:ES53,L.ABS)+xcomp(ES12:ES53,L.EQUIPE)=0,"",xcomp(ES12:ES53,L.ABS)+xcomp(ES12:ES53,L.EQUIPE))</f>
        <v/>
      </c>
      <c r="ET55" s="114" t="str" cm="1">
        <f t="array" ref="ET55">IF(xcomp(ET12:ET53,L.ABS)+xcomp(ET12:ET53,L.EQUIPE)=0,"",xcomp(ET12:ET53,L.ABS)+xcomp(ET12:ET53,L.EQUIPE))</f>
        <v/>
      </c>
      <c r="EU55" s="114" t="str" cm="1">
        <f t="array" ref="EU55">IF(xcomp(EU12:EU53,L.ABS)+xcomp(EU12:EU53,L.EQUIPE)=0,"",xcomp(EU12:EU53,L.ABS)+xcomp(EU12:EU53,L.EQUIPE))</f>
        <v/>
      </c>
      <c r="EV55" s="114" t="str" cm="1">
        <f t="array" ref="EV55">IF(xcomp(EV12:EV53,L.ABS)+xcomp(EV12:EV53,L.EQUIPE)=0,"",xcomp(EV12:EV53,L.ABS)+xcomp(EV12:EV53,L.EQUIPE))</f>
        <v/>
      </c>
      <c r="EW55" s="114" t="str" cm="1">
        <f t="array" ref="EW55">IF(xcomp(EW12:EW53,L.ABS)+xcomp(EW12:EW53,L.EQUIPE)=0,"",xcomp(EW12:EW53,L.ABS)+xcomp(EW12:EW53,L.EQUIPE))</f>
        <v/>
      </c>
      <c r="EX55" s="114" t="str" cm="1">
        <f t="array" ref="EX55">IF(xcomp(EX12:EX53,L.ABS)+xcomp(EX12:EX53,L.EQUIPE)=0,"",xcomp(EX12:EX53,L.ABS)+xcomp(EX12:EX53,L.EQUIPE))</f>
        <v/>
      </c>
      <c r="EY55" s="114" t="str" cm="1">
        <f t="array" ref="EY55">IF(xcomp(EY12:EY53,L.ABS)+xcomp(EY12:EY53,L.EQUIPE)=0,"",xcomp(EY12:EY53,L.ABS)+xcomp(EY12:EY53,L.EQUIPE))</f>
        <v/>
      </c>
      <c r="EZ55" s="114" t="str" cm="1">
        <f t="array" ref="EZ55">IF(xcomp(EZ12:EZ53,L.ABS)+xcomp(EZ12:EZ53,L.EQUIPE)=0,"",xcomp(EZ12:EZ53,L.ABS)+xcomp(EZ12:EZ53,L.EQUIPE))</f>
        <v/>
      </c>
      <c r="FA55" s="114" t="str" cm="1">
        <f t="array" ref="FA55">IF(xcomp(FA12:FA53,L.ABS)+xcomp(FA12:FA53,L.EQUIPE)=0,"",xcomp(FA12:FA53,L.ABS)+xcomp(FA12:FA53,L.EQUIPE))</f>
        <v/>
      </c>
      <c r="FB55" s="114" t="str" cm="1">
        <f t="array" ref="FB55">IF(xcomp(FB12:FB53,L.ABS)+xcomp(FB12:FB53,L.EQUIPE)=0,"",xcomp(FB12:FB53,L.ABS)+xcomp(FB12:FB53,L.EQUIPE))</f>
        <v/>
      </c>
      <c r="FC55" s="114" t="str" cm="1">
        <f t="array" ref="FC55">IF(xcomp(FC12:FC53,L.ABS)+xcomp(FC12:FC53,L.EQUIPE)=0,"",xcomp(FC12:FC53,L.ABS)+xcomp(FC12:FC53,L.EQUIPE))</f>
        <v/>
      </c>
      <c r="FD55" s="114" t="str" cm="1">
        <f t="array" ref="FD55">IF(xcomp(FD12:FD53,L.ABS)+xcomp(FD12:FD53,L.EQUIPE)=0,"",xcomp(FD12:FD53,L.ABS)+xcomp(FD12:FD53,L.EQUIPE))</f>
        <v/>
      </c>
      <c r="FE55" s="114" t="str" cm="1">
        <f t="array" ref="FE55">IF(xcomp(FE52:FE53,L.ABS)+xcomp(FE52:FE53,L.EQUIPE)=0,"",xcomp(FE52:FE53,L.ABS)+xcomp(FE52:FE53,L.EQUIPE))</f>
        <v/>
      </c>
      <c r="FF55" s="114" t="str" cm="1">
        <f t="array" ref="FF55">IF(xcomp(FF52:FF53,L.ABS)+xcomp(FF52:FF53,L.EQUIPE)=0,"",xcomp(FF52:FF53,L.ABS)+xcomp(FF52:FF53,L.EQUIPE))</f>
        <v/>
      </c>
      <c r="FG55" s="114" t="str" cm="1">
        <f t="array" ref="FG55">IF(xcomp(FG52:FG53,L.ABS)+xcomp(FG52:FG53,L.EQUIPE)=0,"",xcomp(FG52:FG53,L.ABS)+xcomp(FG52:FG53,L.EQUIPE))</f>
        <v/>
      </c>
      <c r="FH55" s="114" t="str" cm="1">
        <f t="array" ref="FH55">IF(xcomp(FH12:FH53,L.ABS)+xcomp(FH12:FH53,L.EQUIPE)=0,"",xcomp(FH12:FH53,L.ABS)+xcomp(FH12:FH53,L.EQUIPE))</f>
        <v/>
      </c>
      <c r="FI55" s="114" t="str" cm="1">
        <f t="array" ref="FI55">IF(xcomp(FI12:FI53,L.ABS)+xcomp(FI12:FI53,L.EQUIPE)=0,"",xcomp(FI12:FI53,L.ABS)+xcomp(FI12:FI53,L.EQUIPE))</f>
        <v/>
      </c>
      <c r="FJ55" s="114" t="str" cm="1">
        <f t="array" ref="FJ55">IF(xcomp(FJ52:FJ53,L.ABS)+xcomp(FJ52:FJ53,L.EQUIPE)=0,"",xcomp(FJ52:FJ53,L.ABS)+xcomp(FJ52:FJ53,L.EQUIPE))</f>
        <v/>
      </c>
      <c r="FK55" s="114" t="str" cm="1">
        <f t="array" ref="FK55">IF(xcomp(FK52:FK53,L.ABS)+xcomp(FK52:FK53,L.EQUIPE)=0,"",xcomp(FK52:FK53,L.ABS)+xcomp(FK52:FK53,L.EQUIPE))</f>
        <v/>
      </c>
      <c r="FL55" s="114" t="str" cm="1">
        <f t="array" ref="FL55">IF(xcomp(FL52:FL53,L.ABS)+xcomp(FL52:FL53,L.EQUIPE)=0,"",xcomp(FL52:FL53,L.ABS)+xcomp(FL52:FL53,L.EQUIPE))</f>
        <v/>
      </c>
      <c r="FM55" s="114" t="str" cm="1">
        <f t="array" ref="FM55">IF(xcomp(FM52:FM53,L.ABS)+xcomp(FM52:FM53,L.EQUIPE)=0,"",xcomp(FM52:FM53,L.ABS)+xcomp(FM52:FM53,L.EQUIPE))</f>
        <v/>
      </c>
      <c r="FN55" s="114" t="str" cm="1">
        <f t="array" ref="FN55">IF(xcomp(FN52:FN53,L.ABS)+xcomp(FN52:FN53,L.EQUIPE)=0,"",xcomp(FN52:FN53,L.ABS)+xcomp(FN52:FN53,L.EQUIPE))</f>
        <v/>
      </c>
      <c r="FO55" s="114" t="str" cm="1">
        <f t="array" ref="FO55">IF(xcomp(FO12:FO53,L.ABS)+xcomp(FO12:FO53,L.EQUIPE)=0,"",xcomp(FO12:FO53,L.ABS)+xcomp(FO12:FO53,L.EQUIPE))</f>
        <v/>
      </c>
      <c r="FP55" s="114" t="str" cm="1">
        <f t="array" ref="FP55">IF(xcomp(FP12:FP53,L.ABS)+xcomp(FP12:FP53,L.EQUIPE)=0,"",xcomp(FP12:FP53,L.ABS)+xcomp(FP12:FP53,L.EQUIPE))</f>
        <v/>
      </c>
      <c r="FQ55" s="114" t="str" cm="1">
        <f t="array" ref="FQ55">IF(xcomp(FQ52:FQ53,L.ABS)+xcomp(FQ52:FQ53,L.EQUIPE)=0,"",xcomp(FQ52:FQ53,L.ABS)+xcomp(FQ52:FQ53,L.EQUIPE))</f>
        <v/>
      </c>
      <c r="FR55" s="114" t="str" cm="1">
        <f t="array" ref="FR55">IF(xcomp(FR52:FR53,L.ABS)+xcomp(FR52:FR53,L.EQUIPE)=0,"",xcomp(FR52:FR53,L.ABS)+xcomp(FR52:FR53,L.EQUIPE))</f>
        <v/>
      </c>
      <c r="FS55" s="114" t="str" cm="1">
        <f t="array" ref="FS55">IF(xcomp(FS52:FS53,L.ABS)+xcomp(FS52:FS53,L.EQUIPE)=0,"",xcomp(FS52:FS53,L.ABS)+xcomp(FS52:FS53,L.EQUIPE))</f>
        <v/>
      </c>
      <c r="FT55" s="114" t="str" cm="1">
        <f t="array" ref="FT55">IF(xcomp(FT52:FT53,L.ABS)+xcomp(FT52:FT53,L.EQUIPE)=0,"",xcomp(FT52:FT53,L.ABS)+xcomp(FT52:FT53,L.EQUIPE))</f>
        <v/>
      </c>
      <c r="FU55" s="114" t="str" cm="1">
        <f t="array" ref="FU55">IF(xcomp(FU52:FU53,L.ABS)+xcomp(FU52:FU53,L.EQUIPE)=0,"",xcomp(FU52:FU53,L.ABS)+xcomp(FU52:FU53,L.EQUIPE))</f>
        <v/>
      </c>
      <c r="FV55" s="114" t="str" cm="1">
        <f t="array" ref="FV55">IF(xcomp(FV12:FV53,L.ABS)+xcomp(FV12:FV53,L.EQUIPE)=0,"",xcomp(FV12:FV53,L.ABS)+xcomp(FV12:FV53,L.EQUIPE))</f>
        <v/>
      </c>
      <c r="FW55" s="114" t="str" cm="1">
        <f t="array" ref="FW55">IF(xcomp(FW12:FW53,L.ABS)+xcomp(FW12:FW53,L.EQUIPE)=0,"",xcomp(FW12:FW53,L.ABS)+xcomp(FW12:FW53,L.EQUIPE))</f>
        <v/>
      </c>
      <c r="FX55" s="114" t="str" cm="1">
        <f t="array" ref="FX55">IF(xcomp(FX52:FX53,L.ABS)+xcomp(FX52:FX53,L.EQUIPE)=0,"",xcomp(FX52:FX53,L.ABS)+xcomp(FX52:FX53,L.EQUIPE))</f>
        <v/>
      </c>
      <c r="FY55" s="114" t="str" cm="1">
        <f t="array" ref="FY55">IF(xcomp(FY52:FY53,L.ABS)+xcomp(FY52:FY53,L.EQUIPE)=0,"",xcomp(FY52:FY53,L.ABS)+xcomp(FY52:FY53,L.EQUIPE))</f>
        <v/>
      </c>
      <c r="FZ55" s="114" t="str" cm="1">
        <f t="array" ref="FZ55">IF(xcomp(FZ52:FZ53,L.ABS)+xcomp(FZ52:FZ53,L.EQUIPE)=0,"",xcomp(FZ52:FZ53,L.ABS)+xcomp(FZ52:FZ53,L.EQUIPE))</f>
        <v/>
      </c>
      <c r="GA55" s="114" t="str" cm="1">
        <f t="array" ref="GA55">IF(xcomp(GA52:GA53,L.ABS)+xcomp(GA52:GA53,L.EQUIPE)=0,"",xcomp(GA52:GA53,L.ABS)+xcomp(GA52:GA53,L.EQUIPE))</f>
        <v/>
      </c>
      <c r="GB55" s="114" t="str" cm="1">
        <f t="array" ref="GB55">IF(xcomp(GB52:GB53,L.ABS)+xcomp(GB52:GB53,L.EQUIPE)=0,"",xcomp(GB52:GB53,L.ABS)+xcomp(GB52:GB53,L.EQUIPE))</f>
        <v/>
      </c>
      <c r="GC55" s="114" t="str" cm="1">
        <f t="array" ref="GC55">IF(xcomp(GC12:GC53,L.ABS)+xcomp(GC12:GC53,L.EQUIPE)=0,"",xcomp(GC12:GC53,L.ABS)+xcomp(GC12:GC53,L.EQUIPE))</f>
        <v/>
      </c>
      <c r="GD55" s="114" t="str" cm="1">
        <f t="array" ref="GD55">IF(xcomp(GD12:GD53,L.ABS)+xcomp(GD12:GD53,L.EQUIPE)=0,"",xcomp(GD12:GD53,L.ABS)+xcomp(GD12:GD53,L.EQUIPE))</f>
        <v/>
      </c>
      <c r="GE55" s="114" t="str" cm="1">
        <f t="array" ref="GE55">IF(xcomp(GE52:GE53,L.ABS)+xcomp(GE52:GE53,L.EQUIPE)=0,"",xcomp(GE52:GE53,L.ABS)+xcomp(GE52:GE53,L.EQUIPE))</f>
        <v/>
      </c>
      <c r="GF55" s="114" t="str" cm="1">
        <f t="array" ref="GF55">IF(xcomp(GF52:GF53,L.ABS)+xcomp(GF52:GF53,L.EQUIPE)=0,"",xcomp(GF52:GF53,L.ABS)+xcomp(GF52:GF53,L.EQUIPE))</f>
        <v/>
      </c>
      <c r="GG55" s="114" t="str" cm="1">
        <f t="array" ref="GG55">IF(xcomp(GG52:GG53,L.ABS)+xcomp(GG52:GG53,L.EQUIPE)=0,"",xcomp(GG52:GG53,L.ABS)+xcomp(GG52:GG53,L.EQUIPE))</f>
        <v/>
      </c>
      <c r="GH55" s="114" t="str" cm="1">
        <f t="array" ref="GH55">IF(xcomp(GH52:GH53,L.ABS)+xcomp(GH52:GH53,L.EQUIPE)=0,"",xcomp(GH52:GH53,L.ABS)+xcomp(GH52:GH53,L.EQUIPE))</f>
        <v/>
      </c>
      <c r="GI55" s="114" t="str" cm="1">
        <f t="array" ref="GI55">IF(xcomp(GI52:GI53,L.ABS)+xcomp(GI52:GI53,L.EQUIPE)=0,"",xcomp(GI52:GI53,L.ABS)+xcomp(GI52:GI53,L.EQUIPE))</f>
        <v/>
      </c>
      <c r="GJ55" s="114" t="str" cm="1">
        <f t="array" ref="GJ55">IF(xcomp(GJ12:GJ53,L.ABS)+xcomp(GJ12:GJ53,L.EQUIPE)=0,"",xcomp(GJ12:GJ53,L.ABS)+xcomp(GJ12:GJ53,L.EQUIPE))</f>
        <v/>
      </c>
      <c r="GK55" s="114" t="str" cm="1">
        <f t="array" ref="GK55">IF(xcomp(GK12:GK53,L.ABS)+xcomp(GK12:GK53,L.EQUIPE)=0,"",xcomp(GK12:GK53,L.ABS)+xcomp(GK12:GK53,L.EQUIPE))</f>
        <v/>
      </c>
      <c r="GL55" s="114" t="str" cm="1">
        <f t="array" ref="GL55">IF(xcomp(GL52:GL53,L.ABS)+xcomp(GL52:GL53,L.EQUIPE)=0,"",xcomp(GL52:GL53,L.ABS)+xcomp(GL52:GL53,L.EQUIPE))</f>
        <v/>
      </c>
      <c r="GM55" s="114" t="str" cm="1">
        <f t="array" ref="GM55">IF(xcomp(GM52:GM53,L.ABS)+xcomp(GM52:GM53,L.EQUIPE)=0,"",xcomp(GM52:GM53,L.ABS)+xcomp(GM52:GM53,L.EQUIPE))</f>
        <v/>
      </c>
      <c r="GN55" s="114" t="str" cm="1">
        <f t="array" ref="GN55">IF(xcomp(GN52:GN53,L.ABS)+xcomp(GN52:GN53,L.EQUIPE)=0,"",xcomp(GN52:GN53,L.ABS)+xcomp(GN52:GN53,L.EQUIPE))</f>
        <v/>
      </c>
      <c r="GO55" s="114" t="str" cm="1">
        <f t="array" ref="GO55">IF(xcomp(GO52:GO53,L.ABS)+xcomp(GO52:GO53,L.EQUIPE)=0,"",xcomp(GO52:GO53,L.ABS)+xcomp(GO52:GO53,L.EQUIPE))</f>
        <v/>
      </c>
      <c r="GP55" s="114" t="str" cm="1">
        <f t="array" ref="GP55">IF(xcomp(GP52:GP53,L.ABS)+xcomp(GP52:GP53,L.EQUIPE)=0,"",xcomp(GP52:GP53,L.ABS)+xcomp(GP52:GP53,L.EQUIPE))</f>
        <v/>
      </c>
      <c r="GQ55" s="114" t="str" cm="1">
        <f t="array" ref="GQ55">IF(xcomp(GQ12:GQ53,L.ABS)+xcomp(GQ12:GQ53,L.EQUIPE)=0,"",xcomp(GQ12:GQ53,L.ABS)+xcomp(GQ12:GQ53,L.EQUIPE))</f>
        <v/>
      </c>
      <c r="GR55" s="114" t="str" cm="1">
        <f t="array" ref="GR55">IF(xcomp(GR12:GR53,L.ABS)+xcomp(GR12:GR53,L.EQUIPE)=0,"",xcomp(GR12:GR53,L.ABS)+xcomp(GR12:GR53,L.EQUIPE))</f>
        <v/>
      </c>
      <c r="GS55" s="114" t="str" cm="1">
        <f t="array" ref="GS55">IF(xcomp(GS52:GS53,L.ABS)+xcomp(GS52:GS53,L.EQUIPE)=0,"",xcomp(GS52:GS53,L.ABS)+xcomp(GS52:GS53,L.EQUIPE))</f>
        <v/>
      </c>
      <c r="GT55" s="114" t="str" cm="1">
        <f t="array" ref="GT55">IF(xcomp(GT52:GT53,L.ABS)+xcomp(GT52:GT53,L.EQUIPE)=0,"",xcomp(GT52:GT53,L.ABS)+xcomp(GT52:GT53,L.EQUIPE))</f>
        <v/>
      </c>
      <c r="GU55" s="114" t="str" cm="1">
        <f t="array" ref="GU55">IF(xcomp(GU52:GU53,L.ABS)+xcomp(GU52:GU53,L.EQUIPE)=0,"",xcomp(GU52:GU53,L.ABS)+xcomp(GU52:GU53,L.EQUIPE))</f>
        <v/>
      </c>
      <c r="GV55" s="114" t="str" cm="1">
        <f t="array" ref="GV55">IF(xcomp(GV12:GV53,L.ABS)+xcomp(GV12:GV53,L.EQUIPE)=0,"",xcomp(GV12:GV53,L.ABS)+xcomp(GV12:GV53,L.EQUIPE))</f>
        <v/>
      </c>
      <c r="GW55" s="114" t="str" cm="1">
        <f t="array" ref="GW55">IF(xcomp(GW52:GW53,L.ABS)+xcomp(GW52:GW53,L.EQUIPE)=0,"",xcomp(GW52:GW53,L.ABS)+xcomp(GW52:GW53,L.EQUIPE))</f>
        <v/>
      </c>
      <c r="GX55" s="114" t="str" cm="1">
        <f t="array" ref="GX55">IF(xcomp(GX12:GX53,L.ABS)+xcomp(GX12:GX53,L.EQUIPE)=0,"",xcomp(GX12:GX53,L.ABS)+xcomp(GX12:GX53,L.EQUIPE))</f>
        <v/>
      </c>
      <c r="GY55" s="114" t="str" cm="1">
        <f t="array" ref="GY55">IF(xcomp(GY12:GY53,L.ABS)+xcomp(GY12:GY53,L.EQUIPE)=0,"",xcomp(GY12:GY53,L.ABS)+xcomp(GY12:GY53,L.EQUIPE))</f>
        <v/>
      </c>
      <c r="GZ55" s="114" t="str" cm="1">
        <f t="array" ref="GZ55">IF(xcomp(GZ52:GZ53,L.ABS)+xcomp(GZ52:GZ53,L.EQUIPE)=0,"",xcomp(GZ52:GZ53,L.ABS)+xcomp(GZ52:GZ53,L.EQUIPE))</f>
        <v/>
      </c>
      <c r="HA55" s="114" t="str" cm="1">
        <f t="array" ref="HA55">IF(xcomp(HA52:HA53,L.ABS)+xcomp(HA52:HA53,L.EQUIPE)=0,"",xcomp(HA52:HA53,L.ABS)+xcomp(HA52:HA53,L.EQUIPE))</f>
        <v/>
      </c>
      <c r="HB55" s="114" t="str" cm="1">
        <f t="array" ref="HB55">IF(xcomp(HB52:HB53,L.ABS)+xcomp(HB52:HB53,L.EQUIPE)=0,"",xcomp(HB52:HB53,L.ABS)+xcomp(HB52:HB53,L.EQUIPE))</f>
        <v/>
      </c>
      <c r="HC55" s="114" t="str" cm="1">
        <f t="array" ref="HC55">IF(xcomp(HC52:HC53,L.ABS)+xcomp(HC52:HC53,L.EQUIPE)=0,"",xcomp(HC52:HC53,L.ABS)+xcomp(HC52:HC53,L.EQUIPE))</f>
        <v/>
      </c>
      <c r="HD55" s="114" t="str" cm="1">
        <f t="array" ref="HD55">IF(xcomp(HD52:HD53,L.ABS)+xcomp(HD52:HD53,L.EQUIPE)=0,"",xcomp(HD52:HD53,L.ABS)+xcomp(HD52:HD53,L.EQUIPE))</f>
        <v/>
      </c>
      <c r="HE55" s="114" t="str" cm="1">
        <f t="array" ref="HE55">IF(xcomp(HE12:HE53,L.ABS)+xcomp(HE12:HE53,L.EQUIPE)=0,"",xcomp(HE12:HE53,L.ABS)+xcomp(HE12:HE53,L.EQUIPE))</f>
        <v/>
      </c>
      <c r="HF55" s="114" t="str" cm="1">
        <f t="array" ref="HF55">IF(xcomp(HF12:HF53,L.ABS)+xcomp(HF12:HF53,L.EQUIPE)=0,"",xcomp(HF12:HF53,L.ABS)+xcomp(HF12:HF53,L.EQUIPE))</f>
        <v/>
      </c>
      <c r="HG55" s="114" t="str" cm="1">
        <f t="array" ref="HG55">IF(xcomp(HG52:HG53,L.ABS)+xcomp(HG52:HG53,L.EQUIPE)=0,"",xcomp(HG52:HG53,L.ABS)+xcomp(HG52:HG53,L.EQUIPE))</f>
        <v/>
      </c>
      <c r="HH55" s="114" t="str" cm="1">
        <f t="array" ref="HH55">IF(xcomp(HH52:HH53,L.ABS)+xcomp(HH52:HH53,L.EQUIPE)=0,"",xcomp(HH52:HH53,L.ABS)+xcomp(HH52:HH53,L.EQUIPE))</f>
        <v/>
      </c>
      <c r="HI55" s="114" t="str" cm="1">
        <f t="array" ref="HI55">IF(xcomp(HI52:HI53,L.ABS)+xcomp(HI52:HI53,L.EQUIPE)=0,"",xcomp(HI52:HI53,L.ABS)+xcomp(HI52:HI53,L.EQUIPE))</f>
        <v/>
      </c>
      <c r="HJ55" s="114" t="str" cm="1">
        <f t="array" ref="HJ55">IF(xcomp(HJ52:HJ53,L.ABS)+xcomp(HJ52:HJ53,L.EQUIPE)=0,"",xcomp(HJ52:HJ53,L.ABS)+xcomp(HJ52:HJ53,L.EQUIPE))</f>
        <v/>
      </c>
      <c r="HK55" s="114" t="str" cm="1">
        <f t="array" ref="HK55">IF(xcomp(HK52:HK53,L.ABS)+xcomp(HK52:HK53,L.EQUIPE)=0,"",xcomp(HK52:HK53,L.ABS)+xcomp(HK52:HK53,L.EQUIPE))</f>
        <v/>
      </c>
      <c r="HL55" s="114" t="str" cm="1">
        <f t="array" ref="HL55">IF(xcomp(HL12:HL53,L.ABS)+xcomp(HL12:HL53,L.EQUIPE)=0,"",xcomp(HL12:HL53,L.ABS)+xcomp(HL12:HL53,L.EQUIPE))</f>
        <v/>
      </c>
      <c r="HM55" s="114" t="str" cm="1">
        <f t="array" ref="HM55">IF(xcomp(HM12:HM53,L.ABS)+xcomp(HM12:HM53,L.EQUIPE)=0,"",xcomp(HM12:HM53,L.ABS)+xcomp(HM12:HM53,L.EQUIPE))</f>
        <v/>
      </c>
      <c r="HN55" s="114" t="str" cm="1">
        <f t="array" ref="HN55">IF(xcomp(HN52:HN53,L.ABS)+xcomp(HN52:HN53,L.EQUIPE)=0,"",xcomp(HN52:HN53,L.ABS)+xcomp(HN52:HN53,L.EQUIPE))</f>
        <v/>
      </c>
      <c r="HO55" s="114" t="str" cm="1">
        <f t="array" ref="HO55">IF(xcomp(HO52:HO53,L.ABS)+xcomp(HO52:HO53,L.EQUIPE)=0,"",xcomp(HO52:HO53,L.ABS)+xcomp(HO52:HO53,L.EQUIPE))</f>
        <v/>
      </c>
      <c r="HP55" s="114" t="str" cm="1">
        <f t="array" ref="HP55">IF(xcomp(HP52:HP53,L.ABS)+xcomp(HP52:HP53,L.EQUIPE)=0,"",xcomp(HP52:HP53,L.ABS)+xcomp(HP52:HP53,L.EQUIPE))</f>
        <v/>
      </c>
      <c r="HQ55" s="114" t="str" cm="1">
        <f t="array" ref="HQ55">IF(xcomp(HQ52:HQ53,L.ABS)+xcomp(HQ52:HQ53,L.EQUIPE)=0,"",xcomp(HQ52:HQ53,L.ABS)+xcomp(HQ52:HQ53,L.EQUIPE))</f>
        <v/>
      </c>
      <c r="HR55" s="114" t="str" cm="1">
        <f t="array" ref="HR55">IF(xcomp(HR52:HR53,L.ABS)+xcomp(HR52:HR53,L.EQUIPE)=0,"",xcomp(HR52:HR53,L.ABS)+xcomp(HR52:HR53,L.EQUIPE))</f>
        <v/>
      </c>
      <c r="HS55" s="114" t="str" cm="1">
        <f t="array" ref="HS55">IF(xcomp(HS12:HS53,L.ABS)+xcomp(HS12:HS53,L.EQUIPE)=0,"",xcomp(HS12:HS53,L.ABS)+xcomp(HS12:HS53,L.EQUIPE))</f>
        <v/>
      </c>
      <c r="HT55" s="114" cm="1">
        <f t="array" ref="HT55">IF(xcomp(HT12:HT53,L.ABS)+xcomp(HT12:HT53,L.EQUIPE)=0,"",xcomp(HT12:HT53,L.ABS)+xcomp(HT12:HT53,L.EQUIPE))</f>
        <v>1</v>
      </c>
      <c r="HU55" s="114" t="str" cm="1">
        <f t="array" ref="HU55">IF(xcomp(HU52:HU53,L.ABS)+xcomp(HU52:HU53,L.EQUIPE)=0,"",xcomp(HU52:HU53,L.ABS)+xcomp(HU52:HU53,L.EQUIPE))</f>
        <v/>
      </c>
      <c r="HV55" s="114" t="str" cm="1">
        <f t="array" ref="HV55">IF(xcomp(HV52:HV53,L.ABS)+xcomp(HV52:HV53,L.EQUIPE)=0,"",xcomp(HV52:HV53,L.ABS)+xcomp(HV52:HV53,L.EQUIPE))</f>
        <v/>
      </c>
      <c r="HW55" s="114" t="str" cm="1">
        <f t="array" ref="HW55">IF(xcomp(HW52:HW53,L.ABS)+xcomp(HW52:HW53,L.EQUIPE)=0,"",xcomp(HW52:HW53,L.ABS)+xcomp(HW52:HW53,L.EQUIPE))</f>
        <v/>
      </c>
      <c r="HX55" s="114" t="str" cm="1">
        <f t="array" ref="HX55">IF(xcomp(HX52:HX53,L.ABS)+xcomp(HX52:HX53,L.EQUIPE)=0,"",xcomp(HX52:HX53,L.ABS)+xcomp(HX52:HX53,L.EQUIPE))</f>
        <v/>
      </c>
      <c r="HY55" s="114" t="str" cm="1">
        <f t="array" ref="HY55">IF(xcomp(HY52:HY53,L.ABS)+xcomp(HY52:HY53,L.EQUIPE)=0,"",xcomp(HY52:HY53,L.ABS)+xcomp(HY52:HY53,L.EQUIPE))</f>
        <v/>
      </c>
      <c r="HZ55" s="114" t="str" cm="1">
        <f t="array" ref="HZ55">IF(xcomp(HZ12:HZ53,L.ABS)+xcomp(HZ12:HZ53,L.EQUIPE)=0,"",xcomp(HZ12:HZ53,L.ABS)+xcomp(HZ12:HZ53,L.EQUIPE))</f>
        <v/>
      </c>
      <c r="IA55" s="114" t="str" cm="1">
        <f t="array" ref="IA55">IF(xcomp(IA12:IA53,L.ABS)+xcomp(IA12:IA53,L.EQUIPE)=0,"",xcomp(IA12:IA53,L.ABS)+xcomp(IA12:IA53,L.EQUIPE))</f>
        <v/>
      </c>
      <c r="IB55" s="114" t="str" cm="1">
        <f t="array" ref="IB55">IF(xcomp(IB12:IB53,L.ABS)+xcomp(IB12:IB53,L.EQUIPE)=0,"",xcomp(IB12:IB53,L.ABS)+xcomp(IB12:IB53,L.EQUIPE))</f>
        <v/>
      </c>
      <c r="IC55" s="114" t="str" cm="1">
        <f t="array" ref="IC55">IF(xcomp(IC52:IC53,L.ABS)+xcomp(IC52:IC53,L.EQUIPE)=0,"",xcomp(IC52:IC53,L.ABS)+xcomp(IC52:IC53,L.EQUIPE))</f>
        <v/>
      </c>
      <c r="ID55" s="114" t="str" cm="1">
        <f t="array" ref="ID55">IF(xcomp(ID52:ID53,L.ABS)+xcomp(ID52:ID53,L.EQUIPE)=0,"",xcomp(ID52:ID53,L.ABS)+xcomp(ID52:ID53,L.EQUIPE))</f>
        <v/>
      </c>
      <c r="IE55" s="114" t="str" cm="1">
        <f t="array" ref="IE55">IF(xcomp(IE52:IE53,L.ABS)+xcomp(IE52:IE53,L.EQUIPE)=0,"",xcomp(IE52:IE53,L.ABS)+xcomp(IE52:IE53,L.EQUIPE))</f>
        <v/>
      </c>
      <c r="IF55" s="114" t="str" cm="1">
        <f t="array" ref="IF55">IF(xcomp(IF52:IF53,L.ABS)+xcomp(IF52:IF53,L.EQUIPE)=0,"",xcomp(IF52:IF53,L.ABS)+xcomp(IF52:IF53,L.EQUIPE))</f>
        <v/>
      </c>
      <c r="IG55" s="114" t="str" cm="1">
        <f t="array" ref="IG55">IF(xcomp(IG12:IG53,L.ABS)+xcomp(IG12:IG53,L.EQUIPE)=0,"",xcomp(IG12:IG53,L.ABS)+xcomp(IG12:IG53,L.EQUIPE))</f>
        <v/>
      </c>
      <c r="IH55" s="114" t="str" cm="1">
        <f t="array" ref="IH55">IF(xcomp(IH12:IH53,L.ABS)+xcomp(IH12:IH53,L.EQUIPE)=0,"",xcomp(IH12:IH53,L.ABS)+xcomp(IH12:IH53,L.EQUIPE))</f>
        <v/>
      </c>
      <c r="II55" s="114" t="str" cm="1">
        <f t="array" ref="II55">IF(xcomp(II52:II53,L.ABS)+xcomp(II52:II53,L.EQUIPE)=0,"",xcomp(II52:II53,L.ABS)+xcomp(II52:II53,L.EQUIPE))</f>
        <v/>
      </c>
      <c r="IJ55" s="114" t="str" cm="1">
        <f t="array" ref="IJ55">IF(xcomp(IJ52:IJ53,L.ABS)+xcomp(IJ52:IJ53,L.EQUIPE)=0,"",xcomp(IJ52:IJ53,L.ABS)+xcomp(IJ52:IJ53,L.EQUIPE))</f>
        <v/>
      </c>
      <c r="IK55" s="114" t="str" cm="1">
        <f t="array" ref="IK55">IF(xcomp(IK52:IK53,L.ABS)+xcomp(IK52:IK53,L.EQUIPE)=0,"",xcomp(IK52:IK53,L.ABS)+xcomp(IK52:IK53,L.EQUIPE))</f>
        <v/>
      </c>
      <c r="IL55" s="114" t="str" cm="1">
        <f t="array" ref="IL55">IF(xcomp(IL52:IL53,L.ABS)+xcomp(IL52:IL53,L.EQUIPE)=0,"",xcomp(IL52:IL53,L.ABS)+xcomp(IL52:IL53,L.EQUIPE))</f>
        <v/>
      </c>
      <c r="IM55" s="114" t="str" cm="1">
        <f t="array" ref="IM55">IF(xcomp(IM52:IM53,L.ABS)+xcomp(IM52:IM53,L.EQUIPE)=0,"",xcomp(IM52:IM53,L.ABS)+xcomp(IM52:IM53,L.EQUIPE))</f>
        <v/>
      </c>
      <c r="IN55" s="114" t="str" cm="1">
        <f t="array" ref="IN55">IF(xcomp(IN12:IN53,L.ABS)+xcomp(IN12:IN53,L.EQUIPE)=0,"",xcomp(IN12:IN53,L.ABS)+xcomp(IN12:IN53,L.EQUIPE))</f>
        <v/>
      </c>
      <c r="IO55" s="114" t="str" cm="1">
        <f t="array" ref="IO55">IF(xcomp(IO12:IO53,L.ABS)+xcomp(IO12:IO53,L.EQUIPE)=0,"",xcomp(IO12:IO53,L.ABS)+xcomp(IO12:IO53,L.EQUIPE))</f>
        <v/>
      </c>
      <c r="IP55" s="114" t="str" cm="1">
        <f t="array" ref="IP55">IF(xcomp(IP52:IP53,L.ABS)+xcomp(IP52:IP53,L.EQUIPE)=0,"",xcomp(IP52:IP53,L.ABS)+xcomp(IP52:IP53,L.EQUIPE))</f>
        <v/>
      </c>
      <c r="IQ55" s="114" t="str" cm="1">
        <f t="array" ref="IQ55">IF(xcomp(IQ52:IQ53,L.ABS)+xcomp(IQ52:IQ53,L.EQUIPE)=0,"",xcomp(IQ52:IQ53,L.ABS)+xcomp(IQ52:IQ53,L.EQUIPE))</f>
        <v/>
      </c>
      <c r="IR55" s="114" t="str" cm="1">
        <f t="array" ref="IR55">IF(xcomp(IR52:IR53,L.ABS)+xcomp(IR52:IR53,L.EQUIPE)=0,"",xcomp(IR52:IR53,L.ABS)+xcomp(IR52:IR53,L.EQUIPE))</f>
        <v/>
      </c>
      <c r="IS55" s="114" t="str" cm="1">
        <f t="array" ref="IS55">IF(xcomp(IS52:IS53,L.ABS)+xcomp(IS52:IS53,L.EQUIPE)=0,"",xcomp(IS52:IS53,L.ABS)+xcomp(IS52:IS53,L.EQUIPE))</f>
        <v/>
      </c>
      <c r="IT55" s="114" t="str" cm="1">
        <f t="array" ref="IT55">IF(xcomp(IT52:IT53,L.ABS)+xcomp(IT52:IT53,L.EQUIPE)=0,"",xcomp(IT52:IT53,L.ABS)+xcomp(IT52:IT53,L.EQUIPE))</f>
        <v/>
      </c>
      <c r="IU55" s="114" t="str" cm="1">
        <f t="array" ref="IU55">IF(xcomp(IU12:IU53,L.ABS)+xcomp(IU12:IU53,L.EQUIPE)=0,"",xcomp(IU12:IU53,L.ABS)+xcomp(IU12:IU53,L.EQUIPE))</f>
        <v/>
      </c>
      <c r="IV55" s="114" t="str" cm="1">
        <f t="array" ref="IV55">IF(xcomp(IV12:IV53,L.ABS)+xcomp(IV12:IV53,L.EQUIPE)=0,"",xcomp(IV12:IV53,L.ABS)+xcomp(IV12:IV53,L.EQUIPE))</f>
        <v/>
      </c>
      <c r="IW55" s="114" t="str" cm="1">
        <f t="array" ref="IW55">IF(xcomp(IW52:IW53,L.ABS)+xcomp(IW52:IW53,L.EQUIPE)=0,"",xcomp(IW52:IW53,L.ABS)+xcomp(IW52:IW53,L.EQUIPE))</f>
        <v/>
      </c>
      <c r="IX55" s="114" t="str" cm="1">
        <f t="array" ref="IX55">IF(xcomp(IX52:IX53,L.ABS)+xcomp(IX52:IX53,L.EQUIPE)=0,"",xcomp(IX52:IX53,L.ABS)+xcomp(IX52:IX53,L.EQUIPE))</f>
        <v/>
      </c>
      <c r="IY55" s="114" t="str" cm="1">
        <f t="array" ref="IY55">IF(xcomp(IY52:IY53,L.ABS)+xcomp(IY52:IY53,L.EQUIPE)=0,"",xcomp(IY52:IY53,L.ABS)+xcomp(IY52:IY53,L.EQUIPE))</f>
        <v/>
      </c>
      <c r="IZ55" s="114" t="str" cm="1">
        <f t="array" ref="IZ55">IF(xcomp(IZ52:IZ53,L.ABS)+xcomp(IZ52:IZ53,L.EQUIPE)=0,"",xcomp(IZ52:IZ53,L.ABS)+xcomp(IZ52:IZ53,L.EQUIPE))</f>
        <v/>
      </c>
      <c r="JA55" s="114" t="str" cm="1">
        <f t="array" ref="JA55">IF(xcomp(JA52:JA53,L.ABS)+xcomp(JA52:JA53,L.EQUIPE)=0,"",xcomp(JA52:JA53,L.ABS)+xcomp(JA52:JA53,L.EQUIPE))</f>
        <v/>
      </c>
      <c r="JB55" s="114" t="str" cm="1">
        <f t="array" ref="JB55">IF(xcomp(JB12:JB53,L.ABS)+xcomp(JB12:JB53,L.EQUIPE)=0,"",xcomp(JB12:JB53,L.ABS)+xcomp(JB12:JB53,L.EQUIPE))</f>
        <v/>
      </c>
      <c r="JC55" s="114" t="str" cm="1">
        <f t="array" ref="JC55">IF(xcomp(JC12:JC53,L.ABS)+xcomp(JC12:JC53,L.EQUIPE)=0,"",xcomp(JC12:JC53,L.ABS)+xcomp(JC12:JC53,L.EQUIPE))</f>
        <v/>
      </c>
      <c r="JD55" s="114" t="str" cm="1">
        <f t="array" ref="JD55">IF(xcomp(JD12:JD53,L.ABS)+xcomp(JD12:JD53,L.EQUIPE)=0,"",xcomp(JD12:JD53,L.ABS)+xcomp(JD12:JD53,L.EQUIPE))</f>
        <v/>
      </c>
      <c r="JE55" s="114" t="str" cm="1">
        <f t="array" ref="JE55">IF(xcomp(JE12:JE53,L.ABS)+xcomp(JE12:JE53,L.EQUIPE)=0,"",xcomp(JE12:JE53,L.ABS)+xcomp(JE12:JE53,L.EQUIPE))</f>
        <v/>
      </c>
      <c r="JF55" s="114" t="str" cm="1">
        <f t="array" ref="JF55">IF(xcomp(JF12:JF53,L.ABS)+xcomp(JF12:JF53,L.EQUIPE)=0,"",xcomp(JF12:JF53,L.ABS)+xcomp(JF12:JF53,L.EQUIPE))</f>
        <v/>
      </c>
      <c r="JG55" s="114" t="str" cm="1">
        <f t="array" ref="JG55">IF(xcomp(JG12:JG53,L.ABS)+xcomp(JG12:JG53,L.EQUIPE)=0,"",xcomp(JG12:JG53,L.ABS)+xcomp(JG12:JG53,L.EQUIPE))</f>
        <v/>
      </c>
      <c r="JH55" s="114" t="str" cm="1">
        <f t="array" ref="JH55">IF(xcomp(JH12:JH53,L.ABS)+xcomp(JH12:JH53,L.EQUIPE)=0,"",xcomp(JH12:JH53,L.ABS)+xcomp(JH12:JH53,L.EQUIPE))</f>
        <v/>
      </c>
      <c r="JI55" s="114" t="str" cm="1">
        <f t="array" ref="JI55">IF(xcomp(JI12:JI53,L.ABS)+xcomp(JI12:JI53,L.EQUIPE)=0,"",xcomp(JI12:JI53,L.ABS)+xcomp(JI12:JI53,L.EQUIPE))</f>
        <v/>
      </c>
      <c r="JJ55" s="114" t="str" cm="1">
        <f t="array" ref="JJ55">IF(xcomp(JJ12:JJ53,L.ABS)+xcomp(JJ12:JJ53,L.EQUIPE)=0,"",xcomp(JJ12:JJ53,L.ABS)+xcomp(JJ12:JJ53,L.EQUIPE))</f>
        <v/>
      </c>
      <c r="JK55" s="114" t="str" cm="1">
        <f t="array" ref="JK55">IF(xcomp(JK12:JK53,L.ABS)+xcomp(JK12:JK53,L.EQUIPE)=0,"",xcomp(JK12:JK53,L.ABS)+xcomp(JK12:JK53,L.EQUIPE))</f>
        <v/>
      </c>
      <c r="JL55" s="114" t="str" cm="1">
        <f t="array" ref="JL55">IF(xcomp(JL12:JL53,L.ABS)+xcomp(JL12:JL53,L.EQUIPE)=0,"",xcomp(JL12:JL53,L.ABS)+xcomp(JL12:JL53,L.EQUIPE))</f>
        <v/>
      </c>
      <c r="JM55" s="114" t="str" cm="1">
        <f t="array" ref="JM55">IF(xcomp(JM12:JM53,L.ABS)+xcomp(JM12:JM53,L.EQUIPE)=0,"",xcomp(JM12:JM53,L.ABS)+xcomp(JM12:JM53,L.EQUIPE))</f>
        <v/>
      </c>
      <c r="JN55" s="114" t="str" cm="1">
        <f t="array" ref="JN55">IF(xcomp(JN12:JN53,L.ABS)+xcomp(JN12:JN53,L.EQUIPE)=0,"",xcomp(JN12:JN53,L.ABS)+xcomp(JN12:JN53,L.EQUIPE))</f>
        <v/>
      </c>
      <c r="JO55" s="114" t="str" cm="1">
        <f t="array" ref="JO55">IF(xcomp(JO12:JO53,L.ABS)+xcomp(JO12:JO53,L.EQUIPE)=0,"",xcomp(JO12:JO53,L.ABS)+xcomp(JO12:JO53,L.EQUIPE))</f>
        <v/>
      </c>
      <c r="JP55" s="114" t="str" cm="1">
        <f t="array" ref="JP55">IF(xcomp(JP12:JP53,L.ABS)+xcomp(JP12:JP53,L.EQUIPE)=0,"",xcomp(JP12:JP53,L.ABS)+xcomp(JP12:JP53,L.EQUIPE))</f>
        <v/>
      </c>
      <c r="JQ55" s="114" t="str" cm="1">
        <f t="array" ref="JQ55">IF(xcomp(JQ12:JQ53,L.ABS)+xcomp(JQ12:JQ53,L.EQUIPE)=0,"",xcomp(JQ12:JQ53,L.ABS)+xcomp(JQ12:JQ53,L.EQUIPE))</f>
        <v/>
      </c>
      <c r="JR55" s="114" t="str" cm="1">
        <f t="array" ref="JR55">IF(xcomp(JR12:JR53,L.ABS)+xcomp(JR12:JR53,L.EQUIPE)=0,"",xcomp(JR12:JR53,L.ABS)+xcomp(JR12:JR53,L.EQUIPE))</f>
        <v/>
      </c>
      <c r="JS55" s="114" t="str" cm="1">
        <f t="array" ref="JS55">IF(xcomp(JS12:JS53,L.ABS)+xcomp(JS12:JS53,L.EQUIPE)=0,"",xcomp(JS12:JS53,L.ABS)+xcomp(JS12:JS53,L.EQUIPE))</f>
        <v/>
      </c>
      <c r="JT55" s="114" t="str" cm="1">
        <f t="array" ref="JT55">IF(xcomp(JT12:JT53,L.ABS)+xcomp(JT12:JT53,L.EQUIPE)=0,"",xcomp(JT12:JT53,L.ABS)+xcomp(JT12:JT53,L.EQUIPE))</f>
        <v/>
      </c>
      <c r="JU55" s="114" t="str" cm="1">
        <f t="array" ref="JU55">IF(xcomp(JU12:JU53,L.ABS)+xcomp(JU12:JU53,L.EQUIPE)=0,"",xcomp(JU12:JU53,L.ABS)+xcomp(JU12:JU53,L.EQUIPE))</f>
        <v/>
      </c>
      <c r="JV55" s="114" t="str" cm="1">
        <f t="array" ref="JV55">IF(xcomp(JV12:JV53,L.ABS)+xcomp(JV12:JV53,L.EQUIPE)=0,"",xcomp(JV12:JV53,L.ABS)+xcomp(JV12:JV53,L.EQUIPE))</f>
        <v/>
      </c>
      <c r="JW55" s="114" t="str" cm="1">
        <f t="array" ref="JW55">IF(xcomp(JW12:JW53,L.ABS)+xcomp(JW12:JW53,L.EQUIPE)=0,"",xcomp(JW12:JW53,L.ABS)+xcomp(JW12:JW53,L.EQUIPE))</f>
        <v/>
      </c>
      <c r="JX55" s="114" t="str" cm="1">
        <f t="array" ref="JX55">IF(xcomp(JX12:JX53,L.ABS)+xcomp(JX12:JX53,L.EQUIPE)=0,"",xcomp(JX12:JX53,L.ABS)+xcomp(JX12:JX53,L.EQUIPE))</f>
        <v/>
      </c>
      <c r="JY55" s="114" t="str" cm="1">
        <f t="array" ref="JY55">IF(xcomp(JY12:JY53,L.ABS)+xcomp(JY12:JY53,L.EQUIPE)=0,"",xcomp(JY12:JY53,L.ABS)+xcomp(JY12:JY53,L.EQUIPE))</f>
        <v/>
      </c>
      <c r="JZ55" s="114" t="str" cm="1">
        <f t="array" ref="JZ55">IF(xcomp(JZ12:JZ53,L.ABS)+xcomp(JZ12:JZ53,L.EQUIPE)=0,"",xcomp(JZ12:JZ53,L.ABS)+xcomp(JZ12:JZ53,L.EQUIPE))</f>
        <v/>
      </c>
      <c r="KA55" s="114" t="str" cm="1">
        <f t="array" ref="KA55">IF(xcomp(KA12:KA53,L.ABS)+xcomp(KA12:KA53,L.EQUIPE)=0,"",xcomp(KA12:KA53,L.ABS)+xcomp(KA12:KA53,L.EQUIPE))</f>
        <v/>
      </c>
      <c r="KB55" s="114" t="str" cm="1">
        <f t="array" ref="KB55">IF(xcomp(KB12:KB53,L.ABS)+xcomp(KB12:KB53,L.EQUIPE)=0,"",xcomp(KB12:KB53,L.ABS)+xcomp(KB12:KB53,L.EQUIPE))</f>
        <v/>
      </c>
      <c r="KC55" s="114" t="str" cm="1">
        <f t="array" ref="KC55">IF(xcomp(KC12:KC53,L.ABS)+xcomp(KC12:KC53,L.EQUIPE)=0,"",xcomp(KC12:KC53,L.ABS)+xcomp(KC12:KC53,L.EQUIPE))</f>
        <v/>
      </c>
      <c r="KD55" s="114" t="str" cm="1">
        <f t="array" ref="KD55">IF(xcomp(KD12:KD53,L.ABS)+xcomp(KD12:KD53,L.EQUIPE)=0,"",xcomp(KD12:KD53,L.ABS)+xcomp(KD12:KD53,L.EQUIPE))</f>
        <v/>
      </c>
      <c r="KE55" s="114" t="str" cm="1">
        <f t="array" ref="KE55">IF(xcomp(KE12:KE53,L.ABS)+xcomp(KE12:KE53,L.EQUIPE)=0,"",xcomp(KE12:KE53,L.ABS)+xcomp(KE12:KE53,L.EQUIPE))</f>
        <v/>
      </c>
      <c r="KF55" s="114" t="str" cm="1">
        <f t="array" ref="KF55">IF(xcomp(KF12:KF53,L.ABS)+xcomp(KF12:KF53,L.EQUIPE)=0,"",xcomp(KF12:KF53,L.ABS)+xcomp(KF12:KF53,L.EQUIPE))</f>
        <v/>
      </c>
      <c r="KG55" s="114" t="str" cm="1">
        <f t="array" ref="KG55">IF(xcomp(KG12:KG53,L.ABS)+xcomp(KG12:KG53,L.EQUIPE)=0,"",xcomp(KG12:KG53,L.ABS)+xcomp(KG12:KG53,L.EQUIPE))</f>
        <v/>
      </c>
      <c r="KH55" s="114" t="str" cm="1">
        <f t="array" ref="KH55">IF(xcomp(KH12:KH53,L.ABS)+xcomp(KH12:KH53,L.EQUIPE)=0,"",xcomp(KH12:KH53,L.ABS)+xcomp(KH12:KH53,L.EQUIPE))</f>
        <v/>
      </c>
      <c r="KI55" s="114" t="str" cm="1">
        <f t="array" ref="KI55">IF(xcomp(KI12:KI53,L.ABS)+xcomp(KI12:KI53,L.EQUIPE)=0,"",xcomp(KI12:KI53,L.ABS)+xcomp(KI12:KI53,L.EQUIPE))</f>
        <v/>
      </c>
      <c r="KJ55" s="114" t="str" cm="1">
        <f t="array" ref="KJ55">IF(xcomp(KJ12:KJ53,L.ABS)+xcomp(KJ12:KJ53,L.EQUIPE)=0,"",xcomp(KJ12:KJ53,L.ABS)+xcomp(KJ12:KJ53,L.EQUIPE))</f>
        <v/>
      </c>
      <c r="KK55" s="114" t="str" cm="1">
        <f t="array" ref="KK55">IF(xcomp(KK12:KK53,L.ABS)+xcomp(KK12:KK53,L.EQUIPE)=0,"",xcomp(KK12:KK53,L.ABS)+xcomp(KK12:KK53,L.EQUIPE))</f>
        <v/>
      </c>
      <c r="KL55" s="114" t="str" cm="1">
        <f t="array" ref="KL55">IF(xcomp(KL12:KL53,L.ABS)+xcomp(KL12:KL53,L.EQUIPE)=0,"",xcomp(KL12:KL53,L.ABS)+xcomp(KL12:KL53,L.EQUIPE))</f>
        <v/>
      </c>
      <c r="KM55" s="114" t="str" cm="1">
        <f t="array" ref="KM55">IF(xcomp(KM12:KM53,L.ABS)+xcomp(KM12:KM53,L.EQUIPE)=0,"",xcomp(KM12:KM53,L.ABS)+xcomp(KM12:KM53,L.EQUIPE))</f>
        <v/>
      </c>
      <c r="KN55" s="114" t="str" cm="1">
        <f t="array" ref="KN55">IF(xcomp(KN12:KN53,L.ABS)+xcomp(KN12:KN53,L.EQUIPE)=0,"",xcomp(KN12:KN53,L.ABS)+xcomp(KN12:KN53,L.EQUIPE))</f>
        <v/>
      </c>
      <c r="KO55" s="114" t="str" cm="1">
        <f t="array" ref="KO55">IF(xcomp(KO12:KO53,L.ABS)+xcomp(KO12:KO53,L.EQUIPE)=0,"",xcomp(KO12:KO53,L.ABS)+xcomp(KO12:KO53,L.EQUIPE))</f>
        <v/>
      </c>
      <c r="KP55" s="114" t="str" cm="1">
        <f t="array" ref="KP55">IF(xcomp(KP12:KP53,L.ABS)+xcomp(KP12:KP53,L.EQUIPE)=0,"",xcomp(KP12:KP53,L.ABS)+xcomp(KP12:KP53,L.EQUIPE))</f>
        <v/>
      </c>
      <c r="KQ55" s="114" t="str" cm="1">
        <f t="array" ref="KQ55">IF(xcomp(KQ12:KQ53,L.ABS)+xcomp(KQ12:KQ53,L.EQUIPE)=0,"",xcomp(KQ12:KQ53,L.ABS)+xcomp(KQ12:KQ53,L.EQUIPE))</f>
        <v/>
      </c>
      <c r="KR55" s="114" t="str" cm="1">
        <f t="array" ref="KR55">IF(xcomp(KR12:KR53,L.ABS)+xcomp(KR12:KR53,L.EQUIPE)=0,"",xcomp(KR12:KR53,L.ABS)+xcomp(KR12:KR53,L.EQUIPE))</f>
        <v/>
      </c>
      <c r="KS55" s="114" t="str" cm="1">
        <f t="array" ref="KS55">IF(xcomp(KS12:KS53,L.ABS)+xcomp(KS12:KS53,L.EQUIPE)=0,"",xcomp(KS12:KS53,L.ABS)+xcomp(KS12:KS53,L.EQUIPE))</f>
        <v/>
      </c>
      <c r="KT55" s="114" t="str" cm="1">
        <f t="array" ref="KT55">IF(xcomp(KT12:KT53,L.ABS)+xcomp(KT12:KT53,L.EQUIPE)=0,"",xcomp(KT12:KT53,L.ABS)+xcomp(KT12:KT53,L.EQUIPE))</f>
        <v/>
      </c>
      <c r="KU55" s="114" t="str" cm="1">
        <f t="array" ref="KU55">IF(xcomp(KU12:KU53,L.ABS)+xcomp(KU12:KU53,L.EQUIPE)=0,"",xcomp(KU12:KU53,L.ABS)+xcomp(KU12:KU53,L.EQUIPE))</f>
        <v/>
      </c>
      <c r="KV55" s="114" t="str" cm="1">
        <f t="array" ref="KV55">IF(xcomp(KV12:KV53,L.ABS)+xcomp(KV12:KV53,L.EQUIPE)=0,"",xcomp(KV12:KV53,L.ABS)+xcomp(KV12:KV53,L.EQUIPE))</f>
        <v/>
      </c>
      <c r="KW55" s="114" t="str" cm="1">
        <f t="array" ref="KW55">IF(xcomp(KW12:KW53,L.ABS)+xcomp(KW12:KW53,L.EQUIPE)=0,"",xcomp(KW12:KW53,L.ABS)+xcomp(KW12:KW53,L.EQUIPE))</f>
        <v/>
      </c>
      <c r="KX55" s="114" t="str" cm="1">
        <f t="array" ref="KX55">IF(xcomp(KX12:KX53,L.ABS)+xcomp(KX12:KX53,L.EQUIPE)=0,"",xcomp(KX12:KX53,L.ABS)+xcomp(KX12:KX53,L.EQUIPE))</f>
        <v/>
      </c>
      <c r="KY55" s="114" t="str" cm="1">
        <f t="array" ref="KY55">IF(xcomp(KY12:KY53,L.ABS)+xcomp(KY12:KY53,L.EQUIPE)=0,"",xcomp(KY12:KY53,L.ABS)+xcomp(KY12:KY53,L.EQUIPE))</f>
        <v/>
      </c>
      <c r="KZ55" s="114" t="str" cm="1">
        <f t="array" ref="KZ55">IF(xcomp(KZ12:KZ53,L.ABS)+xcomp(KZ12:KZ53,L.EQUIPE)=0,"",xcomp(KZ12:KZ53,L.ABS)+xcomp(KZ12:KZ53,L.EQUIPE))</f>
        <v/>
      </c>
      <c r="LA55" s="114" t="str" cm="1">
        <f t="array" ref="LA55">IF(xcomp(LA12:LA53,L.ABS)+xcomp(LA12:LA53,L.EQUIPE)=0,"",xcomp(LA12:LA53,L.ABS)+xcomp(LA12:LA53,L.EQUIPE))</f>
        <v/>
      </c>
      <c r="LB55" s="114" t="str" cm="1">
        <f t="array" ref="LB55">IF(xcomp(LB12:LB53,L.ABS)+xcomp(LB12:LB53,L.EQUIPE)=0,"",xcomp(LB12:LB53,L.ABS)+xcomp(LB12:LB53,L.EQUIPE))</f>
        <v/>
      </c>
      <c r="LC55" s="114" t="str" cm="1">
        <f t="array" ref="LC55">IF(xcomp(LC12:LC53,L.ABS)+xcomp(LC12:LC53,L.EQUIPE)=0,"",xcomp(LC12:LC53,L.ABS)+xcomp(LC12:LC53,L.EQUIPE))</f>
        <v/>
      </c>
      <c r="LD55" s="114" t="str" cm="1">
        <f t="array" ref="LD55">IF(xcomp(LD12:LD53,L.ABS)+xcomp(LD12:LD53,L.EQUIPE)=0,"",xcomp(LD12:LD53,L.ABS)+xcomp(LD12:LD53,L.EQUIPE))</f>
        <v/>
      </c>
      <c r="LE55" s="114" t="str" cm="1">
        <f t="array" ref="LE55">IF(xcomp(LE12:LE53,L.ABS)+xcomp(LE12:LE53,L.EQUIPE)=0,"",xcomp(LE12:LE53,L.ABS)+xcomp(LE12:LE53,L.EQUIPE))</f>
        <v/>
      </c>
      <c r="LF55" s="114" t="str" cm="1">
        <f t="array" ref="LF55">IF(xcomp(LF12:LF53,L.ABS)+xcomp(LF12:LF53,L.EQUIPE)=0,"",xcomp(LF12:LF53,L.ABS)+xcomp(LF12:LF53,L.EQUIPE))</f>
        <v/>
      </c>
      <c r="LG55" s="114" t="str" cm="1">
        <f t="array" ref="LG55">IF(xcomp(LG12:LG53,L.ABS)+xcomp(LG12:LG53,L.EQUIPE)=0,"",xcomp(LG12:LG53,L.ABS)+xcomp(LG12:LG53,L.EQUIPE))</f>
        <v/>
      </c>
      <c r="LH55" s="114" t="str" cm="1">
        <f t="array" ref="LH55">IF(xcomp(LH12:LH53,L.ABS)+xcomp(LH12:LH53,L.EQUIPE)=0,"",xcomp(LH12:LH53,L.ABS)+xcomp(LH12:LH53,L.EQUIPE))</f>
        <v/>
      </c>
      <c r="LI55" s="114" t="str" cm="1">
        <f t="array" ref="LI55">IF(xcomp(LI12:LI53,L.ABS)+xcomp(LI12:LI53,L.EQUIPE)=0,"",xcomp(LI12:LI53,L.ABS)+xcomp(LI12:LI53,L.EQUIPE))</f>
        <v/>
      </c>
      <c r="LJ55" s="114" t="str" cm="1">
        <f t="array" ref="LJ55">IF(xcomp(LJ12:LJ53,L.ABS)+xcomp(LJ12:LJ53,L.EQUIPE)=0,"",xcomp(LJ12:LJ53,L.ABS)+xcomp(LJ12:LJ53,L.EQUIPE))</f>
        <v/>
      </c>
      <c r="LK55" s="114" t="str" cm="1">
        <f t="array" ref="LK55">IF(xcomp(LK12:LK53,L.ABS)+xcomp(LK12:LK53,L.EQUIPE)=0,"",xcomp(LK12:LK53,L.ABS)+xcomp(LK12:LK53,L.EQUIPE))</f>
        <v/>
      </c>
      <c r="LL55" s="114" t="str" cm="1">
        <f t="array" ref="LL55">IF(xcomp(LL12:LL53,L.ABS)+xcomp(LL12:LL53,L.EQUIPE)=0,"",xcomp(LL12:LL53,L.ABS)+xcomp(LL12:LL53,L.EQUIPE))</f>
        <v/>
      </c>
      <c r="LM55" s="114" t="str" cm="1">
        <f t="array" ref="LM55">IF(xcomp(LM12:LM53,L.ABS)+xcomp(LM12:LM53,L.EQUIPE)=0,"",xcomp(LM12:LM53,L.ABS)+xcomp(LM12:LM53,L.EQUIPE))</f>
        <v/>
      </c>
      <c r="LN55" s="114" t="str" cm="1">
        <f t="array" ref="LN55">IF(xcomp(LN12:LN53,L.ABS)+xcomp(LN12:LN53,L.EQUIPE)=0,"",xcomp(LN12:LN53,L.ABS)+xcomp(LN12:LN53,L.EQUIPE))</f>
        <v/>
      </c>
      <c r="LO55" s="114" t="str" cm="1">
        <f t="array" ref="LO55">IF(xcomp(LO12:LO53,L.ABS)+xcomp(LO12:LO53,L.EQUIPE)=0,"",xcomp(LO12:LO53,L.ABS)+xcomp(LO12:LO53,L.EQUIPE))</f>
        <v/>
      </c>
      <c r="LP55" s="114" t="str" cm="1">
        <f t="array" ref="LP55">IF(xcomp(LP12:LP53,L.ABS)+xcomp(LP12:LP53,L.EQUIPE)=0,"",xcomp(LP12:LP53,L.ABS)+xcomp(LP12:LP53,L.EQUIPE))</f>
        <v/>
      </c>
      <c r="LQ55" s="114" t="str" cm="1">
        <f t="array" ref="LQ55">IF(xcomp(LQ12:LQ53,L.ABS)+xcomp(LQ12:LQ53,L.EQUIPE)=0,"",xcomp(LQ12:LQ53,L.ABS)+xcomp(LQ12:LQ53,L.EQUIPE))</f>
        <v/>
      </c>
      <c r="LR55" s="114" t="str" cm="1">
        <f t="array" ref="LR55">IF(xcomp(LR12:LR53,L.ABS)+xcomp(LR12:LR53,L.EQUIPE)=0,"",xcomp(LR12:LR53,L.ABS)+xcomp(LR12:LR53,L.EQUIPE))</f>
        <v/>
      </c>
      <c r="LS55" s="114" t="str" cm="1">
        <f t="array" ref="LS55">IF(xcomp(LS12:LS53,L.ABS)+xcomp(LS12:LS53,L.EQUIPE)=0,"",xcomp(LS12:LS53,L.ABS)+xcomp(LS12:LS53,L.EQUIPE))</f>
        <v/>
      </c>
      <c r="LT55" s="114" t="str" cm="1">
        <f t="array" ref="LT55">IF(xcomp(LT12:LT53,L.ABS)+xcomp(LT12:LT53,L.EQUIPE)=0,"",xcomp(LT12:LT53,L.ABS)+xcomp(LT12:LT53,L.EQUIPE))</f>
        <v/>
      </c>
      <c r="LU55" s="114" t="str" cm="1">
        <f t="array" ref="LU55">IF(xcomp(LU12:LU53,L.ABS)+xcomp(LU12:LU53,L.EQUIPE)=0,"",xcomp(LU12:LU53,L.ABS)+xcomp(LU12:LU53,L.EQUIPE))</f>
        <v/>
      </c>
      <c r="LV55" s="114" t="str" cm="1">
        <f t="array" ref="LV55">IF(xcomp(LV12:LV53,L.ABS)+xcomp(LV12:LV53,L.EQUIPE)=0,"",xcomp(LV12:LV53,L.ABS)+xcomp(LV12:LV53,L.EQUIPE))</f>
        <v/>
      </c>
      <c r="LW55" s="114" t="str" cm="1">
        <f t="array" ref="LW55">IF(xcomp(LW12:LW53,L.ABS)+xcomp(LW12:LW53,L.EQUIPE)=0,"",xcomp(LW12:LW53,L.ABS)+xcomp(LW12:LW53,L.EQUIPE))</f>
        <v/>
      </c>
      <c r="LX55" s="114" t="str" cm="1">
        <f t="array" ref="LX55">IF(xcomp(LX12:LX53,L.ABS)+xcomp(LX12:LX53,L.EQUIPE)=0,"",xcomp(LX12:LX53,L.ABS)+xcomp(LX12:LX53,L.EQUIPE))</f>
        <v/>
      </c>
      <c r="LY55" s="114" t="str" cm="1">
        <f t="array" ref="LY55">IF(xcomp(LY12:LY53,L.ABS)+xcomp(LY12:LY53,L.EQUIPE)=0,"",xcomp(LY12:LY53,L.ABS)+xcomp(LY12:LY53,L.EQUIPE))</f>
        <v/>
      </c>
      <c r="LZ55" s="114" t="str" cm="1">
        <f t="array" ref="LZ55">IF(xcomp(LZ12:LZ53,L.ABS)+xcomp(LZ12:LZ53,L.EQUIPE)=0,"",xcomp(LZ12:LZ53,L.ABS)+xcomp(LZ12:LZ53,L.EQUIPE))</f>
        <v/>
      </c>
      <c r="MA55" s="114" t="str" cm="1">
        <f t="array" ref="MA55">IF(xcomp(MA12:MA53,L.ABS)+xcomp(MA12:MA53,L.EQUIPE)=0,"",xcomp(MA12:MA53,L.ABS)+xcomp(MA12:MA53,L.EQUIPE))</f>
        <v/>
      </c>
      <c r="MB55" s="114" t="str" cm="1">
        <f t="array" ref="MB55">IF(xcomp(MB12:MB53,L.ABS)+xcomp(MB12:MB53,L.EQUIPE)=0,"",xcomp(MB12:MB53,L.ABS)+xcomp(MB12:MB53,L.EQUIPE))</f>
        <v/>
      </c>
      <c r="MC55" s="114" t="str" cm="1">
        <f t="array" ref="MC55">IF(xcomp(MC12:MC53,L.ABS)+xcomp(MC12:MC53,L.EQUIPE)=0,"",xcomp(MC12:MC53,L.ABS)+xcomp(MC12:MC53,L.EQUIPE))</f>
        <v/>
      </c>
      <c r="MD55" s="114" t="str" cm="1">
        <f t="array" ref="MD55">IF(xcomp(MD12:MD53,L.ABS)+xcomp(MD12:MD53,L.EQUIPE)=0,"",xcomp(MD12:MD53,L.ABS)+xcomp(MD12:MD53,L.EQUIPE))</f>
        <v/>
      </c>
      <c r="ME55" s="114" t="str" cm="1">
        <f t="array" ref="ME55">IF(xcomp(ME12:ME53,L.ABS)+xcomp(ME12:ME53,L.EQUIPE)=0,"",xcomp(ME12:ME53,L.ABS)+xcomp(ME12:ME53,L.EQUIPE))</f>
        <v/>
      </c>
      <c r="MF55" s="114" t="str" cm="1">
        <f t="array" ref="MF55">IF(xcomp(MF12:MF53,L.ABS)+xcomp(MF12:MF53,L.EQUIPE)=0,"",xcomp(MF12:MF53,L.ABS)+xcomp(MF12:MF53,L.EQUIPE))</f>
        <v/>
      </c>
      <c r="MG55" s="114" t="str" cm="1">
        <f t="array" ref="MG55">IF(xcomp(MG12:MG53,L.ABS)+xcomp(MG12:MG53,L.EQUIPE)=0,"",xcomp(MG12:MG53,L.ABS)+xcomp(MG12:MG53,L.EQUIPE))</f>
        <v/>
      </c>
      <c r="MH55" s="114" t="str" cm="1">
        <f t="array" ref="MH55">IF(xcomp(MH12:MH53,L.ABS)+xcomp(MH12:MH53,L.EQUIPE)=0,"",xcomp(MH12:MH53,L.ABS)+xcomp(MH12:MH53,L.EQUIPE))</f>
        <v/>
      </c>
      <c r="MI55" s="114" t="str" cm="1">
        <f t="array" ref="MI55">IF(xcomp(MI12:MI53,L.ABS)+xcomp(MI12:MI53,L.EQUIPE)=0,"",xcomp(MI12:MI53,L.ABS)+xcomp(MI12:MI53,L.EQUIPE))</f>
        <v/>
      </c>
      <c r="MJ55" s="114" t="str" cm="1">
        <f t="array" ref="MJ55">IF(xcomp(MJ12:MJ53,L.ABS)+xcomp(MJ12:MJ53,L.EQUIPE)=0,"",xcomp(MJ12:MJ53,L.ABS)+xcomp(MJ12:MJ53,L.EQUIPE))</f>
        <v/>
      </c>
      <c r="MK55" s="114" t="str" cm="1">
        <f t="array" ref="MK55">IF(xcomp(MK12:MK53,L.ABS)+xcomp(MK12:MK53,L.EQUIPE)=0,"",xcomp(MK12:MK53,L.ABS)+xcomp(MK12:MK53,L.EQUIPE))</f>
        <v/>
      </c>
      <c r="ML55" s="114" t="str" cm="1">
        <f t="array" ref="ML55">IF(xcomp(ML12:ML53,L.ABS)+xcomp(ML12:ML53,L.EQUIPE)=0,"",xcomp(ML12:ML53,L.ABS)+xcomp(ML12:ML53,L.EQUIPE))</f>
        <v/>
      </c>
      <c r="MM55" s="114" t="str" cm="1">
        <f t="array" ref="MM55">IF(xcomp(MM12:MM53,L.ABS)+xcomp(MM12:MM53,L.EQUIPE)=0,"",xcomp(MM12:MM53,L.ABS)+xcomp(MM12:MM53,L.EQUIPE))</f>
        <v/>
      </c>
      <c r="MN55" s="114" t="str" cm="1">
        <f t="array" ref="MN55">IF(xcomp(MN12:MN53,L.ABS)+xcomp(MN12:MN53,L.EQUIPE)=0,"",xcomp(MN12:MN53,L.ABS)+xcomp(MN12:MN53,L.EQUIPE))</f>
        <v/>
      </c>
      <c r="MO55" s="114" t="str" cm="1">
        <f t="array" ref="MO55">IF(xcomp(MO12:MO53,L.ABS)+xcomp(MO12:MO53,L.EQUIPE)=0,"",xcomp(MO12:MO53,L.ABS)+xcomp(MO12:MO53,L.EQUIPE))</f>
        <v/>
      </c>
      <c r="MP55" s="114" t="str" cm="1">
        <f t="array" ref="MP55">IF(xcomp(MP12:MP53,L.ABS)+xcomp(MP12:MP53,L.EQUIPE)=0,"",xcomp(MP12:MP53,L.ABS)+xcomp(MP12:MP53,L.EQUIPE))</f>
        <v/>
      </c>
      <c r="MQ55" s="114" t="str" cm="1">
        <f t="array" ref="MQ55">IF(xcomp(MQ12:MQ53,L.ABS)+xcomp(MQ12:MQ53,L.EQUIPE)=0,"",xcomp(MQ12:MQ53,L.ABS)+xcomp(MQ12:MQ53,L.EQUIPE))</f>
        <v/>
      </c>
      <c r="MR55" s="114" t="str" cm="1">
        <f t="array" ref="MR55">IF(xcomp(MR12:MR53,L.ABS)+xcomp(MR12:MR53,L.EQUIPE)=0,"",xcomp(MR12:MR53,L.ABS)+xcomp(MR12:MR53,L.EQUIPE))</f>
        <v/>
      </c>
      <c r="MS55" s="114" t="str" cm="1">
        <f t="array" ref="MS55">IF(xcomp(MS12:MS53,L.ABS)+xcomp(MS12:MS53,L.EQUIPE)=0,"",xcomp(MS12:MS53,L.ABS)+xcomp(MS12:MS53,L.EQUIPE))</f>
        <v/>
      </c>
      <c r="MT55" s="114" t="str" cm="1">
        <f t="array" ref="MT55">IF(xcomp(MT12:MT53,L.ABS)+xcomp(MT12:MT53,L.EQUIPE)=0,"",xcomp(MT12:MT53,L.ABS)+xcomp(MT12:MT53,L.EQUIPE))</f>
        <v/>
      </c>
      <c r="MU55" s="114" t="str" cm="1">
        <f t="array" ref="MU55">IF(xcomp(MU12:MU53,L.ABS)+xcomp(MU12:MU53,L.EQUIPE)=0,"",xcomp(MU12:MU53,L.ABS)+xcomp(MU12:MU53,L.EQUIPE))</f>
        <v/>
      </c>
      <c r="MV55" s="114" t="str" cm="1">
        <f t="array" ref="MV55">IF(xcomp(MV12:MV53,L.ABS)+xcomp(MV12:MV53,L.EQUIPE)=0,"",xcomp(MV12:MV53,L.ABS)+xcomp(MV12:MV53,L.EQUIPE))</f>
        <v/>
      </c>
      <c r="MW55" s="114" t="str" cm="1">
        <f t="array" ref="MW55">IF(xcomp(MW12:MW53,L.ABS)+xcomp(MW12:MW53,L.EQUIPE)=0,"",xcomp(MW12:MW53,L.ABS)+xcomp(MW12:MW53,L.EQUIPE))</f>
        <v/>
      </c>
      <c r="MX55" s="114" t="str" cm="1">
        <f t="array" ref="MX55">IF(xcomp(MX12:MX53,L.ABS)+xcomp(MX12:MX53,L.EQUIPE)=0,"",xcomp(MX12:MX53,L.ABS)+xcomp(MX12:MX53,L.EQUIPE))</f>
        <v/>
      </c>
      <c r="MY55" s="114" t="str" cm="1">
        <f t="array" ref="MY55">IF(xcomp(MY12:MY53,L.ABS)+xcomp(MY12:MY53,L.EQUIPE)=0,"",xcomp(MY12:MY53,L.ABS)+xcomp(MY12:MY53,L.EQUIPE))</f>
        <v/>
      </c>
      <c r="MZ55" s="114" t="str" cm="1">
        <f t="array" ref="MZ55">IF(xcomp(MZ12:MZ53,L.ABS)+xcomp(MZ12:MZ53,L.EQUIPE)=0,"",xcomp(MZ12:MZ53,L.ABS)+xcomp(MZ12:MZ53,L.EQUIPE))</f>
        <v/>
      </c>
      <c r="NA55" s="114" t="str" cm="1">
        <f t="array" ref="NA55">IF(xcomp(NA12:NA53,L.ABS)+xcomp(NA12:NA53,L.EQUIPE)=0,"",xcomp(NA12:NA53,L.ABS)+xcomp(NA12:NA53,L.EQUIPE))</f>
        <v/>
      </c>
      <c r="NB55" s="114" t="str" cm="1">
        <f t="array" ref="NB55">IF(xcomp(NB12:NB53,L.ABS)+xcomp(NB12:NB53,L.EQUIPE)=0,"",xcomp(NB12:NB53,L.ABS)+xcomp(NB12:NB53,L.EQUIPE))</f>
        <v/>
      </c>
      <c r="NC55" s="114" t="str" cm="1">
        <f t="array" ref="NC55">IF(xcomp(NC12:NC53,L.ABS)+xcomp(NC12:NC53,L.EQUIPE)=0,"",xcomp(NC12:NC53,L.ABS)+xcomp(NC12:NC53,L.EQUIPE))</f>
        <v/>
      </c>
      <c r="ND55" s="114" t="str" cm="1">
        <f t="array" ref="ND55">IF(xcomp(ND12:ND53,L.ABS)+xcomp(ND12:ND53,L.EQUIPE)=0,"",xcomp(ND12:ND53,L.ABS)+xcomp(ND12:ND53,L.EQUIPE))</f>
        <v/>
      </c>
      <c r="NE55" s="114" t="str" cm="1">
        <f t="array" ref="NE55">IF(xcomp(NE12:NE53,L.ABS)+xcomp(NE12:NE53,L.EQUIPE)=0,"",xcomp(NE12:NE53,L.ABS)+xcomp(NE12:NE53,L.EQUIPE))</f>
        <v/>
      </c>
      <c r="NF55" s="114" t="str" cm="1">
        <f t="array" ref="NF55">IF(xcomp(NF12:NF53,L.ABS)+xcomp(NF12:NF53,L.EQUIPE)=0,"",xcomp(NF12:NF53,L.ABS)+xcomp(NF12:NF53,L.EQUIPE))</f>
        <v/>
      </c>
      <c r="NG55" s="114" t="str" cm="1">
        <f t="array" ref="NG55">IF(xcomp(NG12:NG53,L.ABS)+xcomp(NG12:NG53,L.EQUIPE)=0,"",xcomp(NG12:NG53,L.ABS)+xcomp(NG12:NG53,L.EQUIPE))</f>
        <v/>
      </c>
      <c r="NH55" s="114" t="str" cm="1">
        <f t="array" ref="NH55">IF(xcomp(NH12:NH53,L.ABS)+xcomp(NH12:NH53,L.EQUIPE)=0,"",xcomp(NH12:NH53,L.ABS)+xcomp(NH12:NH53,L.EQUIPE))</f>
        <v/>
      </c>
      <c r="NI55" s="114" t="str" cm="1">
        <f t="array" ref="NI55">IF(xcomp(NI12:NI53,L.ABS)+xcomp(NI12:NI53,L.EQUIPE)=0,"",xcomp(NI12:NI53,L.ABS)+xcomp(NI12:NI53,L.EQUIPE))</f>
        <v/>
      </c>
      <c r="NJ55" s="114" t="str" cm="1">
        <f t="array" ref="NJ55">IF(xcomp(NJ12:NJ53,L.ABS)+xcomp(NJ12:NJ53,L.EQUIPE)=0,"",xcomp(NJ12:NJ53,L.ABS)+xcomp(NJ12:NJ53,L.EQUIPE))</f>
        <v/>
      </c>
      <c r="NN55" s="1"/>
      <c r="NO55" s="1"/>
      <c r="NP55" s="1"/>
      <c r="NQ55" s="1"/>
      <c r="NR55" s="1"/>
      <c r="NS55" s="1"/>
      <c r="NT55" s="1"/>
      <c r="NU55" s="1"/>
      <c r="NV55" s="1"/>
      <c r="NW55" s="1"/>
      <c r="NX55" s="1"/>
      <c r="NY55" s="1"/>
      <c r="NZ55" s="1"/>
      <c r="OA55" s="1"/>
      <c r="OB55" s="1"/>
      <c r="OC55" s="1"/>
      <c r="OD55" s="1"/>
      <c r="OE55" s="1"/>
      <c r="OF55" s="1"/>
      <c r="OG55" s="1"/>
      <c r="OH55" s="1"/>
      <c r="OI55" s="1"/>
      <c r="OJ55" s="1"/>
      <c r="OK55" s="1"/>
    </row>
    <row r="56" spans="1:404" x14ac:dyDescent="0.3">
      <c r="A56" s="477"/>
      <c r="B56" s="477"/>
      <c r="C56" s="477"/>
      <c r="D56" s="477"/>
      <c r="E56" s="477"/>
      <c r="F56" s="477"/>
      <c r="G56" s="478"/>
      <c r="H56" s="478" t="s">
        <v>40</v>
      </c>
      <c r="I56" s="28"/>
      <c r="J56" s="19" t="str">
        <f>IF(J$55="","",J$55-J$57)</f>
        <v/>
      </c>
      <c r="K56" s="19" t="str">
        <f>IF(K$55="","",K$55-K$57)</f>
        <v/>
      </c>
      <c r="L56" s="19" t="str">
        <f t="shared" ref="L56:Q56" si="49">IF(L$55="","",L$55-L$57)</f>
        <v/>
      </c>
      <c r="M56" s="19" t="str">
        <f t="shared" si="49"/>
        <v/>
      </c>
      <c r="N56" s="19" t="str">
        <f t="shared" si="49"/>
        <v/>
      </c>
      <c r="O56" s="19" t="str">
        <f t="shared" si="49"/>
        <v/>
      </c>
      <c r="P56" s="19" t="str">
        <f t="shared" si="49"/>
        <v/>
      </c>
      <c r="Q56" s="19" t="str">
        <f t="shared" si="49"/>
        <v/>
      </c>
      <c r="R56" s="19">
        <f t="shared" ref="R56:CC56" si="50">IF(R55="","",R55-R57)</f>
        <v>0</v>
      </c>
      <c r="S56" s="19">
        <f t="shared" si="50"/>
        <v>0</v>
      </c>
      <c r="T56" s="19">
        <f t="shared" si="50"/>
        <v>0</v>
      </c>
      <c r="U56" s="19">
        <f t="shared" si="50"/>
        <v>0</v>
      </c>
      <c r="V56" s="19">
        <f t="shared" si="50"/>
        <v>0</v>
      </c>
      <c r="W56" s="19" t="str">
        <f t="shared" si="50"/>
        <v/>
      </c>
      <c r="X56" s="19" t="str">
        <f t="shared" si="50"/>
        <v/>
      </c>
      <c r="Y56" s="19">
        <f t="shared" si="50"/>
        <v>0</v>
      </c>
      <c r="Z56" s="19">
        <f t="shared" si="50"/>
        <v>0</v>
      </c>
      <c r="AA56" s="19">
        <f t="shared" si="50"/>
        <v>0</v>
      </c>
      <c r="AB56" s="19">
        <f t="shared" si="50"/>
        <v>0</v>
      </c>
      <c r="AC56" s="19">
        <f t="shared" si="50"/>
        <v>0</v>
      </c>
      <c r="AD56" s="19" t="str">
        <f t="shared" si="50"/>
        <v/>
      </c>
      <c r="AE56" s="19" t="str">
        <f t="shared" si="50"/>
        <v/>
      </c>
      <c r="AF56" s="19">
        <f t="shared" si="50"/>
        <v>0</v>
      </c>
      <c r="AG56" s="19">
        <f t="shared" si="50"/>
        <v>0</v>
      </c>
      <c r="AH56" s="19">
        <f t="shared" si="50"/>
        <v>0</v>
      </c>
      <c r="AI56" s="19">
        <f t="shared" si="50"/>
        <v>0</v>
      </c>
      <c r="AJ56" s="19">
        <f t="shared" si="50"/>
        <v>0</v>
      </c>
      <c r="AK56" s="19" t="str">
        <f t="shared" si="50"/>
        <v/>
      </c>
      <c r="AL56" s="19" t="str">
        <f t="shared" si="50"/>
        <v/>
      </c>
      <c r="AM56" s="19">
        <f t="shared" si="50"/>
        <v>0</v>
      </c>
      <c r="AN56" s="19">
        <f t="shared" si="50"/>
        <v>0</v>
      </c>
      <c r="AO56" s="19">
        <f t="shared" si="50"/>
        <v>0</v>
      </c>
      <c r="AP56" s="19">
        <f t="shared" si="50"/>
        <v>0</v>
      </c>
      <c r="AQ56" s="19">
        <f t="shared" si="50"/>
        <v>0</v>
      </c>
      <c r="AR56" s="19" t="str">
        <f t="shared" si="50"/>
        <v/>
      </c>
      <c r="AS56" s="19" t="str">
        <f t="shared" si="50"/>
        <v/>
      </c>
      <c r="AT56" s="19">
        <f t="shared" si="50"/>
        <v>0</v>
      </c>
      <c r="AU56" s="19">
        <f t="shared" si="50"/>
        <v>0</v>
      </c>
      <c r="AV56" s="19">
        <f t="shared" si="50"/>
        <v>0</v>
      </c>
      <c r="AW56" s="19">
        <f t="shared" si="50"/>
        <v>0</v>
      </c>
      <c r="AX56" s="19">
        <f t="shared" si="50"/>
        <v>0</v>
      </c>
      <c r="AY56" s="19" t="str">
        <f t="shared" si="50"/>
        <v/>
      </c>
      <c r="AZ56" s="19" t="str">
        <f t="shared" si="50"/>
        <v/>
      </c>
      <c r="BA56" s="19">
        <f t="shared" si="50"/>
        <v>0</v>
      </c>
      <c r="BB56" s="19">
        <f t="shared" si="50"/>
        <v>0</v>
      </c>
      <c r="BC56" s="19">
        <f t="shared" si="50"/>
        <v>0</v>
      </c>
      <c r="BD56" s="19">
        <f t="shared" si="50"/>
        <v>0</v>
      </c>
      <c r="BE56" s="19">
        <f t="shared" si="50"/>
        <v>0</v>
      </c>
      <c r="BF56" s="19" t="str">
        <f t="shared" si="50"/>
        <v/>
      </c>
      <c r="BG56" s="19" t="str">
        <f t="shared" si="50"/>
        <v/>
      </c>
      <c r="BH56" s="19">
        <f t="shared" si="50"/>
        <v>0</v>
      </c>
      <c r="BI56" s="19">
        <f t="shared" si="50"/>
        <v>0</v>
      </c>
      <c r="BJ56" s="19">
        <f t="shared" si="50"/>
        <v>0</v>
      </c>
      <c r="BK56" s="19">
        <f t="shared" si="50"/>
        <v>0</v>
      </c>
      <c r="BL56" s="19">
        <f t="shared" si="50"/>
        <v>0</v>
      </c>
      <c r="BM56" s="19" t="str">
        <f t="shared" si="50"/>
        <v/>
      </c>
      <c r="BN56" s="19" t="str">
        <f t="shared" si="50"/>
        <v/>
      </c>
      <c r="BO56" s="19">
        <f t="shared" si="50"/>
        <v>0</v>
      </c>
      <c r="BP56" s="19">
        <f t="shared" si="50"/>
        <v>0</v>
      </c>
      <c r="BQ56" s="19">
        <f t="shared" si="50"/>
        <v>0</v>
      </c>
      <c r="BR56" s="19">
        <f t="shared" si="50"/>
        <v>0</v>
      </c>
      <c r="BS56" s="19">
        <f t="shared" si="50"/>
        <v>0</v>
      </c>
      <c r="BT56" s="19" t="str">
        <f t="shared" si="50"/>
        <v/>
      </c>
      <c r="BU56" s="19" t="str">
        <f t="shared" si="50"/>
        <v/>
      </c>
      <c r="BV56" s="19">
        <f t="shared" si="50"/>
        <v>0</v>
      </c>
      <c r="BW56" s="19">
        <f t="shared" si="50"/>
        <v>0</v>
      </c>
      <c r="BX56" s="19">
        <f t="shared" si="50"/>
        <v>0</v>
      </c>
      <c r="BY56" s="19">
        <f t="shared" si="50"/>
        <v>0</v>
      </c>
      <c r="BZ56" s="19">
        <f t="shared" si="50"/>
        <v>0</v>
      </c>
      <c r="CA56" s="19" t="str">
        <f t="shared" si="50"/>
        <v/>
      </c>
      <c r="CB56" s="19" t="str">
        <f t="shared" si="50"/>
        <v/>
      </c>
      <c r="CC56" s="19">
        <f t="shared" si="50"/>
        <v>0</v>
      </c>
      <c r="CD56" s="19">
        <f t="shared" ref="CD56:EO56" si="51">IF(CD55="","",CD55-CD57)</f>
        <v>0</v>
      </c>
      <c r="CE56" s="19">
        <f t="shared" si="51"/>
        <v>0</v>
      </c>
      <c r="CF56" s="19">
        <f t="shared" si="51"/>
        <v>0</v>
      </c>
      <c r="CG56" s="19">
        <f t="shared" si="51"/>
        <v>0</v>
      </c>
      <c r="CH56" s="19" t="str">
        <f t="shared" si="51"/>
        <v/>
      </c>
      <c r="CI56" s="19" t="str">
        <f t="shared" si="51"/>
        <v/>
      </c>
      <c r="CJ56" s="19">
        <f t="shared" si="51"/>
        <v>0</v>
      </c>
      <c r="CK56" s="19">
        <f t="shared" si="51"/>
        <v>0</v>
      </c>
      <c r="CL56" s="19">
        <f t="shared" si="51"/>
        <v>0</v>
      </c>
      <c r="CM56" s="19">
        <f t="shared" si="51"/>
        <v>0</v>
      </c>
      <c r="CN56" s="19">
        <f t="shared" si="51"/>
        <v>0</v>
      </c>
      <c r="CO56" s="19" t="str">
        <f t="shared" si="51"/>
        <v/>
      </c>
      <c r="CP56" s="19" t="str">
        <f t="shared" si="51"/>
        <v/>
      </c>
      <c r="CQ56" s="19">
        <f t="shared" si="51"/>
        <v>0</v>
      </c>
      <c r="CR56" s="19">
        <f t="shared" si="51"/>
        <v>0</v>
      </c>
      <c r="CS56" s="19">
        <f t="shared" si="51"/>
        <v>0</v>
      </c>
      <c r="CT56" s="19">
        <f t="shared" si="51"/>
        <v>0</v>
      </c>
      <c r="CU56" s="19">
        <f t="shared" si="51"/>
        <v>0</v>
      </c>
      <c r="CV56" s="19" t="str">
        <f t="shared" si="51"/>
        <v/>
      </c>
      <c r="CW56" s="19" t="str">
        <f t="shared" si="51"/>
        <v/>
      </c>
      <c r="CX56" s="19" t="str">
        <f t="shared" si="51"/>
        <v/>
      </c>
      <c r="CY56" s="19" t="str">
        <f t="shared" si="51"/>
        <v/>
      </c>
      <c r="CZ56" s="19" t="str">
        <f t="shared" si="51"/>
        <v/>
      </c>
      <c r="DA56" s="19" t="str">
        <f t="shared" si="51"/>
        <v/>
      </c>
      <c r="DB56" s="19" t="str">
        <f t="shared" si="51"/>
        <v/>
      </c>
      <c r="DC56" s="19" t="str">
        <f t="shared" si="51"/>
        <v/>
      </c>
      <c r="DD56" s="19" t="str">
        <f t="shared" si="51"/>
        <v/>
      </c>
      <c r="DE56" s="19">
        <f t="shared" si="51"/>
        <v>0</v>
      </c>
      <c r="DF56" s="19">
        <f t="shared" si="51"/>
        <v>0</v>
      </c>
      <c r="DG56" s="19">
        <f t="shared" si="51"/>
        <v>0</v>
      </c>
      <c r="DH56" s="19">
        <f t="shared" si="51"/>
        <v>0</v>
      </c>
      <c r="DI56" s="19">
        <f t="shared" si="51"/>
        <v>0</v>
      </c>
      <c r="DJ56" s="19" t="str">
        <f t="shared" si="51"/>
        <v/>
      </c>
      <c r="DK56" s="19" t="str">
        <f t="shared" si="51"/>
        <v/>
      </c>
      <c r="DL56" s="19">
        <f t="shared" si="51"/>
        <v>0</v>
      </c>
      <c r="DM56" s="19">
        <f t="shared" si="51"/>
        <v>0</v>
      </c>
      <c r="DN56" s="19">
        <f t="shared" si="51"/>
        <v>0</v>
      </c>
      <c r="DO56" s="19">
        <f t="shared" si="51"/>
        <v>0</v>
      </c>
      <c r="DP56" s="19">
        <f t="shared" si="51"/>
        <v>0</v>
      </c>
      <c r="DQ56" s="19" t="str">
        <f t="shared" si="51"/>
        <v/>
      </c>
      <c r="DR56" s="19" t="str">
        <f t="shared" si="51"/>
        <v/>
      </c>
      <c r="DS56" s="19" t="str">
        <f t="shared" si="51"/>
        <v/>
      </c>
      <c r="DT56" s="19" t="str">
        <f t="shared" si="51"/>
        <v/>
      </c>
      <c r="DU56" s="19" t="str">
        <f t="shared" si="51"/>
        <v/>
      </c>
      <c r="DV56" s="19" t="str">
        <f t="shared" si="51"/>
        <v/>
      </c>
      <c r="DW56" s="19" t="str">
        <f t="shared" si="51"/>
        <v/>
      </c>
      <c r="DX56" s="19" t="str">
        <f t="shared" si="51"/>
        <v/>
      </c>
      <c r="DY56" s="19" t="str">
        <f t="shared" si="51"/>
        <v/>
      </c>
      <c r="DZ56" s="19" t="str">
        <f t="shared" si="51"/>
        <v/>
      </c>
      <c r="EA56" s="19" t="str">
        <f t="shared" si="51"/>
        <v/>
      </c>
      <c r="EB56" s="19" t="str">
        <f t="shared" si="51"/>
        <v/>
      </c>
      <c r="EC56" s="19" t="str">
        <f t="shared" si="51"/>
        <v/>
      </c>
      <c r="ED56" s="19" t="str">
        <f t="shared" si="51"/>
        <v/>
      </c>
      <c r="EE56" s="19" t="str">
        <f t="shared" si="51"/>
        <v/>
      </c>
      <c r="EF56" s="19" t="str">
        <f t="shared" si="51"/>
        <v/>
      </c>
      <c r="EG56" s="19" t="str">
        <f t="shared" si="51"/>
        <v/>
      </c>
      <c r="EH56" s="19" t="str">
        <f t="shared" si="51"/>
        <v/>
      </c>
      <c r="EI56" s="19" t="str">
        <f t="shared" si="51"/>
        <v/>
      </c>
      <c r="EJ56" s="19" t="str">
        <f t="shared" si="51"/>
        <v/>
      </c>
      <c r="EK56" s="19" t="str">
        <f t="shared" si="51"/>
        <v/>
      </c>
      <c r="EL56" s="19" t="str">
        <f t="shared" si="51"/>
        <v/>
      </c>
      <c r="EM56" s="19" t="str">
        <f t="shared" si="51"/>
        <v/>
      </c>
      <c r="EN56" s="19" t="str">
        <f t="shared" si="51"/>
        <v/>
      </c>
      <c r="EO56" s="19" t="str">
        <f t="shared" si="51"/>
        <v/>
      </c>
      <c r="EP56" s="19" t="str">
        <f t="shared" ref="EP56:HA56" si="52">IF(EP55="","",EP55-EP57)</f>
        <v/>
      </c>
      <c r="EQ56" s="19" t="str">
        <f t="shared" si="52"/>
        <v/>
      </c>
      <c r="ER56" s="19" t="str">
        <f t="shared" si="52"/>
        <v/>
      </c>
      <c r="ES56" s="19" t="str">
        <f t="shared" si="52"/>
        <v/>
      </c>
      <c r="ET56" s="19" t="str">
        <f t="shared" si="52"/>
        <v/>
      </c>
      <c r="EU56" s="19" t="str">
        <f t="shared" si="52"/>
        <v/>
      </c>
      <c r="EV56" s="19" t="str">
        <f t="shared" si="52"/>
        <v/>
      </c>
      <c r="EW56" s="19" t="str">
        <f t="shared" si="52"/>
        <v/>
      </c>
      <c r="EX56" s="19" t="str">
        <f t="shared" si="52"/>
        <v/>
      </c>
      <c r="EY56" s="19" t="str">
        <f t="shared" si="52"/>
        <v/>
      </c>
      <c r="EZ56" s="19" t="str">
        <f t="shared" si="52"/>
        <v/>
      </c>
      <c r="FA56" s="19" t="str">
        <f t="shared" si="52"/>
        <v/>
      </c>
      <c r="FB56" s="19" t="str">
        <f t="shared" si="52"/>
        <v/>
      </c>
      <c r="FC56" s="19" t="str">
        <f t="shared" si="52"/>
        <v/>
      </c>
      <c r="FD56" s="19" t="str">
        <f t="shared" si="52"/>
        <v/>
      </c>
      <c r="FE56" s="19" t="str">
        <f t="shared" si="52"/>
        <v/>
      </c>
      <c r="FF56" s="19" t="str">
        <f t="shared" si="52"/>
        <v/>
      </c>
      <c r="FG56" s="19" t="str">
        <f t="shared" si="52"/>
        <v/>
      </c>
      <c r="FH56" s="19" t="str">
        <f t="shared" si="52"/>
        <v/>
      </c>
      <c r="FI56" s="19" t="str">
        <f t="shared" si="52"/>
        <v/>
      </c>
      <c r="FJ56" s="19" t="str">
        <f t="shared" si="52"/>
        <v/>
      </c>
      <c r="FK56" s="19" t="str">
        <f t="shared" si="52"/>
        <v/>
      </c>
      <c r="FL56" s="19" t="str">
        <f t="shared" si="52"/>
        <v/>
      </c>
      <c r="FM56" s="19" t="str">
        <f t="shared" si="52"/>
        <v/>
      </c>
      <c r="FN56" s="19" t="str">
        <f t="shared" si="52"/>
        <v/>
      </c>
      <c r="FO56" s="19" t="str">
        <f t="shared" si="52"/>
        <v/>
      </c>
      <c r="FP56" s="19" t="str">
        <f t="shared" si="52"/>
        <v/>
      </c>
      <c r="FQ56" s="19" t="str">
        <f t="shared" si="52"/>
        <v/>
      </c>
      <c r="FR56" s="19" t="str">
        <f t="shared" si="52"/>
        <v/>
      </c>
      <c r="FS56" s="19" t="str">
        <f t="shared" si="52"/>
        <v/>
      </c>
      <c r="FT56" s="19" t="str">
        <f t="shared" si="52"/>
        <v/>
      </c>
      <c r="FU56" s="19" t="str">
        <f t="shared" si="52"/>
        <v/>
      </c>
      <c r="FV56" s="19" t="str">
        <f t="shared" si="52"/>
        <v/>
      </c>
      <c r="FW56" s="19" t="str">
        <f t="shared" si="52"/>
        <v/>
      </c>
      <c r="FX56" s="19" t="str">
        <f t="shared" si="52"/>
        <v/>
      </c>
      <c r="FY56" s="19" t="str">
        <f t="shared" si="52"/>
        <v/>
      </c>
      <c r="FZ56" s="19" t="str">
        <f t="shared" si="52"/>
        <v/>
      </c>
      <c r="GA56" s="19" t="str">
        <f t="shared" si="52"/>
        <v/>
      </c>
      <c r="GB56" s="19" t="str">
        <f t="shared" si="52"/>
        <v/>
      </c>
      <c r="GC56" s="19" t="str">
        <f t="shared" si="52"/>
        <v/>
      </c>
      <c r="GD56" s="19" t="str">
        <f t="shared" si="52"/>
        <v/>
      </c>
      <c r="GE56" s="19" t="str">
        <f t="shared" si="52"/>
        <v/>
      </c>
      <c r="GF56" s="19" t="str">
        <f t="shared" si="52"/>
        <v/>
      </c>
      <c r="GG56" s="19" t="str">
        <f t="shared" si="52"/>
        <v/>
      </c>
      <c r="GH56" s="19" t="str">
        <f t="shared" si="52"/>
        <v/>
      </c>
      <c r="GI56" s="19" t="str">
        <f t="shared" si="52"/>
        <v/>
      </c>
      <c r="GJ56" s="19" t="str">
        <f t="shared" si="52"/>
        <v/>
      </c>
      <c r="GK56" s="19" t="str">
        <f t="shared" si="52"/>
        <v/>
      </c>
      <c r="GL56" s="19" t="str">
        <f t="shared" si="52"/>
        <v/>
      </c>
      <c r="GM56" s="19" t="str">
        <f t="shared" si="52"/>
        <v/>
      </c>
      <c r="GN56" s="19" t="str">
        <f t="shared" si="52"/>
        <v/>
      </c>
      <c r="GO56" s="19" t="str">
        <f t="shared" si="52"/>
        <v/>
      </c>
      <c r="GP56" s="19" t="str">
        <f t="shared" si="52"/>
        <v/>
      </c>
      <c r="GQ56" s="19" t="str">
        <f t="shared" si="52"/>
        <v/>
      </c>
      <c r="GR56" s="19" t="str">
        <f t="shared" si="52"/>
        <v/>
      </c>
      <c r="GS56" s="19" t="str">
        <f t="shared" si="52"/>
        <v/>
      </c>
      <c r="GT56" s="19" t="str">
        <f t="shared" si="52"/>
        <v/>
      </c>
      <c r="GU56" s="19" t="str">
        <f t="shared" si="52"/>
        <v/>
      </c>
      <c r="GV56" s="19" t="str">
        <f t="shared" si="52"/>
        <v/>
      </c>
      <c r="GW56" s="19" t="str">
        <f t="shared" si="52"/>
        <v/>
      </c>
      <c r="GX56" s="19" t="str">
        <f t="shared" si="52"/>
        <v/>
      </c>
      <c r="GY56" s="19" t="str">
        <f t="shared" si="52"/>
        <v/>
      </c>
      <c r="GZ56" s="19" t="str">
        <f t="shared" si="52"/>
        <v/>
      </c>
      <c r="HA56" s="19" t="str">
        <f t="shared" si="52"/>
        <v/>
      </c>
      <c r="HB56" s="19" t="str">
        <f t="shared" ref="HB56:JM56" si="53">IF(HB55="","",HB55-HB57)</f>
        <v/>
      </c>
      <c r="HC56" s="19" t="str">
        <f t="shared" si="53"/>
        <v/>
      </c>
      <c r="HD56" s="19" t="str">
        <f t="shared" si="53"/>
        <v/>
      </c>
      <c r="HE56" s="19" t="str">
        <f t="shared" si="53"/>
        <v/>
      </c>
      <c r="HF56" s="19" t="str">
        <f t="shared" si="53"/>
        <v/>
      </c>
      <c r="HG56" s="19" t="str">
        <f t="shared" si="53"/>
        <v/>
      </c>
      <c r="HH56" s="19" t="str">
        <f t="shared" si="53"/>
        <v/>
      </c>
      <c r="HI56" s="19" t="str">
        <f t="shared" si="53"/>
        <v/>
      </c>
      <c r="HJ56" s="19" t="str">
        <f t="shared" si="53"/>
        <v/>
      </c>
      <c r="HK56" s="19" t="str">
        <f t="shared" si="53"/>
        <v/>
      </c>
      <c r="HL56" s="19" t="str">
        <f t="shared" si="53"/>
        <v/>
      </c>
      <c r="HM56" s="19" t="str">
        <f t="shared" si="53"/>
        <v/>
      </c>
      <c r="HN56" s="19" t="str">
        <f t="shared" si="53"/>
        <v/>
      </c>
      <c r="HO56" s="19" t="str">
        <f t="shared" si="53"/>
        <v/>
      </c>
      <c r="HP56" s="19" t="str">
        <f t="shared" si="53"/>
        <v/>
      </c>
      <c r="HQ56" s="19" t="str">
        <f t="shared" si="53"/>
        <v/>
      </c>
      <c r="HR56" s="19" t="str">
        <f t="shared" si="53"/>
        <v/>
      </c>
      <c r="HS56" s="19" t="str">
        <f t="shared" si="53"/>
        <v/>
      </c>
      <c r="HT56" s="19">
        <f t="shared" si="53"/>
        <v>0</v>
      </c>
      <c r="HU56" s="19" t="str">
        <f t="shared" si="53"/>
        <v/>
      </c>
      <c r="HV56" s="19" t="str">
        <f t="shared" si="53"/>
        <v/>
      </c>
      <c r="HW56" s="19" t="str">
        <f t="shared" si="53"/>
        <v/>
      </c>
      <c r="HX56" s="19" t="str">
        <f t="shared" si="53"/>
        <v/>
      </c>
      <c r="HY56" s="19" t="str">
        <f t="shared" si="53"/>
        <v/>
      </c>
      <c r="HZ56" s="19" t="str">
        <f t="shared" si="53"/>
        <v/>
      </c>
      <c r="IA56" s="19" t="str">
        <f t="shared" si="53"/>
        <v/>
      </c>
      <c r="IB56" s="19" t="str">
        <f t="shared" si="53"/>
        <v/>
      </c>
      <c r="IC56" s="19" t="str">
        <f t="shared" si="53"/>
        <v/>
      </c>
      <c r="ID56" s="19" t="str">
        <f t="shared" si="53"/>
        <v/>
      </c>
      <c r="IE56" s="19" t="str">
        <f t="shared" si="53"/>
        <v/>
      </c>
      <c r="IF56" s="19" t="str">
        <f t="shared" si="53"/>
        <v/>
      </c>
      <c r="IG56" s="19" t="str">
        <f t="shared" si="53"/>
        <v/>
      </c>
      <c r="IH56" s="19" t="str">
        <f t="shared" si="53"/>
        <v/>
      </c>
      <c r="II56" s="19" t="str">
        <f t="shared" si="53"/>
        <v/>
      </c>
      <c r="IJ56" s="19" t="str">
        <f t="shared" si="53"/>
        <v/>
      </c>
      <c r="IK56" s="19" t="str">
        <f t="shared" si="53"/>
        <v/>
      </c>
      <c r="IL56" s="19" t="str">
        <f t="shared" si="53"/>
        <v/>
      </c>
      <c r="IM56" s="19" t="str">
        <f t="shared" si="53"/>
        <v/>
      </c>
      <c r="IN56" s="19" t="str">
        <f t="shared" si="53"/>
        <v/>
      </c>
      <c r="IO56" s="19" t="str">
        <f t="shared" si="53"/>
        <v/>
      </c>
      <c r="IP56" s="19" t="str">
        <f t="shared" si="53"/>
        <v/>
      </c>
      <c r="IQ56" s="19" t="str">
        <f t="shared" si="53"/>
        <v/>
      </c>
      <c r="IR56" s="19" t="str">
        <f t="shared" si="53"/>
        <v/>
      </c>
      <c r="IS56" s="19" t="str">
        <f t="shared" si="53"/>
        <v/>
      </c>
      <c r="IT56" s="19" t="str">
        <f t="shared" si="53"/>
        <v/>
      </c>
      <c r="IU56" s="19" t="str">
        <f t="shared" si="53"/>
        <v/>
      </c>
      <c r="IV56" s="19" t="str">
        <f t="shared" si="53"/>
        <v/>
      </c>
      <c r="IW56" s="19" t="str">
        <f t="shared" si="53"/>
        <v/>
      </c>
      <c r="IX56" s="19" t="str">
        <f t="shared" si="53"/>
        <v/>
      </c>
      <c r="IY56" s="19" t="str">
        <f t="shared" si="53"/>
        <v/>
      </c>
      <c r="IZ56" s="19" t="str">
        <f t="shared" si="53"/>
        <v/>
      </c>
      <c r="JA56" s="19" t="str">
        <f t="shared" si="53"/>
        <v/>
      </c>
      <c r="JB56" s="19" t="str">
        <f t="shared" si="53"/>
        <v/>
      </c>
      <c r="JC56" s="19" t="str">
        <f t="shared" si="53"/>
        <v/>
      </c>
      <c r="JD56" s="19" t="str">
        <f t="shared" si="53"/>
        <v/>
      </c>
      <c r="JE56" s="19" t="str">
        <f t="shared" si="53"/>
        <v/>
      </c>
      <c r="JF56" s="19" t="str">
        <f t="shared" si="53"/>
        <v/>
      </c>
      <c r="JG56" s="19" t="str">
        <f t="shared" si="53"/>
        <v/>
      </c>
      <c r="JH56" s="19" t="str">
        <f t="shared" si="53"/>
        <v/>
      </c>
      <c r="JI56" s="19" t="str">
        <f t="shared" si="53"/>
        <v/>
      </c>
      <c r="JJ56" s="19" t="str">
        <f t="shared" si="53"/>
        <v/>
      </c>
      <c r="JK56" s="19" t="str">
        <f t="shared" si="53"/>
        <v/>
      </c>
      <c r="JL56" s="19" t="str">
        <f t="shared" si="53"/>
        <v/>
      </c>
      <c r="JM56" s="19" t="str">
        <f t="shared" si="53"/>
        <v/>
      </c>
      <c r="JN56" s="19" t="str">
        <f t="shared" ref="JN56:LY56" si="54">IF(JN55="","",JN55-JN57)</f>
        <v/>
      </c>
      <c r="JO56" s="19" t="str">
        <f t="shared" si="54"/>
        <v/>
      </c>
      <c r="JP56" s="19" t="str">
        <f t="shared" si="54"/>
        <v/>
      </c>
      <c r="JQ56" s="19" t="str">
        <f t="shared" si="54"/>
        <v/>
      </c>
      <c r="JR56" s="19" t="str">
        <f t="shared" si="54"/>
        <v/>
      </c>
      <c r="JS56" s="19" t="str">
        <f t="shared" si="54"/>
        <v/>
      </c>
      <c r="JT56" s="19" t="str">
        <f t="shared" si="54"/>
        <v/>
      </c>
      <c r="JU56" s="19" t="str">
        <f t="shared" si="54"/>
        <v/>
      </c>
      <c r="JV56" s="19" t="str">
        <f t="shared" si="54"/>
        <v/>
      </c>
      <c r="JW56" s="19" t="str">
        <f t="shared" si="54"/>
        <v/>
      </c>
      <c r="JX56" s="19" t="str">
        <f t="shared" si="54"/>
        <v/>
      </c>
      <c r="JY56" s="19" t="str">
        <f t="shared" si="54"/>
        <v/>
      </c>
      <c r="JZ56" s="19" t="str">
        <f t="shared" si="54"/>
        <v/>
      </c>
      <c r="KA56" s="19" t="str">
        <f t="shared" si="54"/>
        <v/>
      </c>
      <c r="KB56" s="19" t="str">
        <f t="shared" si="54"/>
        <v/>
      </c>
      <c r="KC56" s="19" t="str">
        <f t="shared" si="54"/>
        <v/>
      </c>
      <c r="KD56" s="19" t="str">
        <f t="shared" si="54"/>
        <v/>
      </c>
      <c r="KE56" s="19" t="str">
        <f t="shared" si="54"/>
        <v/>
      </c>
      <c r="KF56" s="19" t="str">
        <f t="shared" si="54"/>
        <v/>
      </c>
      <c r="KG56" s="19" t="str">
        <f t="shared" si="54"/>
        <v/>
      </c>
      <c r="KH56" s="19" t="str">
        <f t="shared" si="54"/>
        <v/>
      </c>
      <c r="KI56" s="19" t="str">
        <f t="shared" si="54"/>
        <v/>
      </c>
      <c r="KJ56" s="19" t="str">
        <f t="shared" si="54"/>
        <v/>
      </c>
      <c r="KK56" s="19" t="str">
        <f t="shared" si="54"/>
        <v/>
      </c>
      <c r="KL56" s="19" t="str">
        <f t="shared" si="54"/>
        <v/>
      </c>
      <c r="KM56" s="19" t="str">
        <f t="shared" si="54"/>
        <v/>
      </c>
      <c r="KN56" s="19" t="str">
        <f t="shared" si="54"/>
        <v/>
      </c>
      <c r="KO56" s="19" t="str">
        <f t="shared" si="54"/>
        <v/>
      </c>
      <c r="KP56" s="19" t="str">
        <f t="shared" si="54"/>
        <v/>
      </c>
      <c r="KQ56" s="19" t="str">
        <f t="shared" si="54"/>
        <v/>
      </c>
      <c r="KR56" s="19" t="str">
        <f t="shared" si="54"/>
        <v/>
      </c>
      <c r="KS56" s="19" t="str">
        <f t="shared" si="54"/>
        <v/>
      </c>
      <c r="KT56" s="19" t="str">
        <f t="shared" si="54"/>
        <v/>
      </c>
      <c r="KU56" s="19" t="str">
        <f t="shared" si="54"/>
        <v/>
      </c>
      <c r="KV56" s="19" t="str">
        <f t="shared" si="54"/>
        <v/>
      </c>
      <c r="KW56" s="19" t="str">
        <f t="shared" si="54"/>
        <v/>
      </c>
      <c r="KX56" s="19" t="str">
        <f t="shared" si="54"/>
        <v/>
      </c>
      <c r="KY56" s="19" t="str">
        <f t="shared" si="54"/>
        <v/>
      </c>
      <c r="KZ56" s="19" t="str">
        <f t="shared" si="54"/>
        <v/>
      </c>
      <c r="LA56" s="19" t="str">
        <f t="shared" si="54"/>
        <v/>
      </c>
      <c r="LB56" s="19" t="str">
        <f t="shared" si="54"/>
        <v/>
      </c>
      <c r="LC56" s="19" t="str">
        <f t="shared" si="54"/>
        <v/>
      </c>
      <c r="LD56" s="19" t="str">
        <f t="shared" si="54"/>
        <v/>
      </c>
      <c r="LE56" s="19" t="str">
        <f t="shared" si="54"/>
        <v/>
      </c>
      <c r="LF56" s="19" t="str">
        <f t="shared" si="54"/>
        <v/>
      </c>
      <c r="LG56" s="19" t="str">
        <f t="shared" si="54"/>
        <v/>
      </c>
      <c r="LH56" s="19" t="str">
        <f t="shared" si="54"/>
        <v/>
      </c>
      <c r="LI56" s="19" t="str">
        <f t="shared" si="54"/>
        <v/>
      </c>
      <c r="LJ56" s="19" t="str">
        <f t="shared" si="54"/>
        <v/>
      </c>
      <c r="LK56" s="19" t="str">
        <f t="shared" si="54"/>
        <v/>
      </c>
      <c r="LL56" s="19" t="str">
        <f t="shared" si="54"/>
        <v/>
      </c>
      <c r="LM56" s="19" t="str">
        <f t="shared" si="54"/>
        <v/>
      </c>
      <c r="LN56" s="19" t="str">
        <f t="shared" si="54"/>
        <v/>
      </c>
      <c r="LO56" s="19" t="str">
        <f t="shared" si="54"/>
        <v/>
      </c>
      <c r="LP56" s="19" t="str">
        <f t="shared" si="54"/>
        <v/>
      </c>
      <c r="LQ56" s="19" t="str">
        <f t="shared" si="54"/>
        <v/>
      </c>
      <c r="LR56" s="19" t="str">
        <f t="shared" si="54"/>
        <v/>
      </c>
      <c r="LS56" s="19" t="str">
        <f t="shared" si="54"/>
        <v/>
      </c>
      <c r="LT56" s="19" t="str">
        <f t="shared" si="54"/>
        <v/>
      </c>
      <c r="LU56" s="19" t="str">
        <f t="shared" si="54"/>
        <v/>
      </c>
      <c r="LV56" s="19" t="str">
        <f t="shared" si="54"/>
        <v/>
      </c>
      <c r="LW56" s="19" t="str">
        <f t="shared" si="54"/>
        <v/>
      </c>
      <c r="LX56" s="19" t="str">
        <f t="shared" si="54"/>
        <v/>
      </c>
      <c r="LY56" s="19" t="str">
        <f t="shared" si="54"/>
        <v/>
      </c>
      <c r="LZ56" s="19" t="str">
        <f t="shared" ref="LZ56:NJ56" si="55">IF(LZ55="","",LZ55-LZ57)</f>
        <v/>
      </c>
      <c r="MA56" s="19" t="str">
        <f t="shared" si="55"/>
        <v/>
      </c>
      <c r="MB56" s="19" t="str">
        <f t="shared" si="55"/>
        <v/>
      </c>
      <c r="MC56" s="19" t="str">
        <f t="shared" si="55"/>
        <v/>
      </c>
      <c r="MD56" s="19" t="str">
        <f t="shared" si="55"/>
        <v/>
      </c>
      <c r="ME56" s="19" t="str">
        <f t="shared" si="55"/>
        <v/>
      </c>
      <c r="MF56" s="19" t="str">
        <f t="shared" si="55"/>
        <v/>
      </c>
      <c r="MG56" s="19" t="str">
        <f t="shared" si="55"/>
        <v/>
      </c>
      <c r="MH56" s="19" t="str">
        <f t="shared" si="55"/>
        <v/>
      </c>
      <c r="MI56" s="19" t="str">
        <f t="shared" si="55"/>
        <v/>
      </c>
      <c r="MJ56" s="19" t="str">
        <f t="shared" si="55"/>
        <v/>
      </c>
      <c r="MK56" s="19" t="str">
        <f t="shared" si="55"/>
        <v/>
      </c>
      <c r="ML56" s="19" t="str">
        <f t="shared" si="55"/>
        <v/>
      </c>
      <c r="MM56" s="19" t="str">
        <f t="shared" si="55"/>
        <v/>
      </c>
      <c r="MN56" s="19" t="str">
        <f t="shared" si="55"/>
        <v/>
      </c>
      <c r="MO56" s="19" t="str">
        <f t="shared" si="55"/>
        <v/>
      </c>
      <c r="MP56" s="19" t="str">
        <f t="shared" si="55"/>
        <v/>
      </c>
      <c r="MQ56" s="19" t="str">
        <f t="shared" si="55"/>
        <v/>
      </c>
      <c r="MR56" s="19" t="str">
        <f t="shared" si="55"/>
        <v/>
      </c>
      <c r="MS56" s="19" t="str">
        <f t="shared" si="55"/>
        <v/>
      </c>
      <c r="MT56" s="19" t="str">
        <f t="shared" si="55"/>
        <v/>
      </c>
      <c r="MU56" s="19" t="str">
        <f t="shared" si="55"/>
        <v/>
      </c>
      <c r="MV56" s="19" t="str">
        <f t="shared" si="55"/>
        <v/>
      </c>
      <c r="MW56" s="19" t="str">
        <f t="shared" si="55"/>
        <v/>
      </c>
      <c r="MX56" s="19" t="str">
        <f t="shared" si="55"/>
        <v/>
      </c>
      <c r="MY56" s="19" t="str">
        <f t="shared" si="55"/>
        <v/>
      </c>
      <c r="MZ56" s="19" t="str">
        <f t="shared" si="55"/>
        <v/>
      </c>
      <c r="NA56" s="19" t="str">
        <f t="shared" si="55"/>
        <v/>
      </c>
      <c r="NB56" s="19" t="str">
        <f t="shared" si="55"/>
        <v/>
      </c>
      <c r="NC56" s="19" t="str">
        <f t="shared" si="55"/>
        <v/>
      </c>
      <c r="ND56" s="19" t="str">
        <f t="shared" si="55"/>
        <v/>
      </c>
      <c r="NE56" s="19" t="str">
        <f t="shared" si="55"/>
        <v/>
      </c>
      <c r="NF56" s="19" t="str">
        <f t="shared" si="55"/>
        <v/>
      </c>
      <c r="NG56" s="19" t="str">
        <f t="shared" si="55"/>
        <v/>
      </c>
      <c r="NH56" s="19" t="str">
        <f t="shared" si="55"/>
        <v/>
      </c>
      <c r="NI56" s="19" t="str">
        <f t="shared" si="55"/>
        <v/>
      </c>
      <c r="NJ56" s="19" t="str">
        <f t="shared" si="55"/>
        <v/>
      </c>
      <c r="NN56" s="1"/>
      <c r="NO56" s="1"/>
      <c r="NP56" s="1"/>
      <c r="NQ56" s="1"/>
      <c r="NR56" s="1"/>
      <c r="NS56" s="1"/>
      <c r="NT56" s="1"/>
      <c r="NU56" s="1"/>
      <c r="NV56" s="1"/>
      <c r="NW56" s="1"/>
      <c r="NX56" s="1"/>
      <c r="NY56" s="1"/>
      <c r="NZ56" s="1"/>
      <c r="OA56" s="1"/>
      <c r="OB56" s="1"/>
      <c r="OC56" s="1"/>
      <c r="OD56" s="1"/>
      <c r="OE56" s="1"/>
      <c r="OF56" s="1"/>
      <c r="OG56" s="1"/>
      <c r="OH56" s="1"/>
      <c r="OI56" s="1"/>
      <c r="OJ56" s="1"/>
      <c r="OK56" s="1"/>
    </row>
    <row r="57" spans="1:404" x14ac:dyDescent="0.3">
      <c r="A57" s="477"/>
      <c r="B57" s="477"/>
      <c r="C57" s="477"/>
      <c r="D57" s="477"/>
      <c r="E57" s="477"/>
      <c r="F57" s="477"/>
      <c r="G57" s="478"/>
      <c r="H57" s="478" t="s">
        <v>41</v>
      </c>
      <c r="I57" s="28"/>
      <c r="J57" s="18" t="str" cm="1">
        <f t="array" ref="J57">IF(J$55="","",xcomp(J$12:J$53,L.ABS))</f>
        <v/>
      </c>
      <c r="K57" s="18" t="str" cm="1">
        <f t="array" ref="K57">IF(K$55="","",xcomp(K$12:K$53,L.ABS))</f>
        <v/>
      </c>
      <c r="L57" s="18" t="str" cm="1">
        <f t="array" ref="L57">IF(L$55="","",xcomp(L$12:L$53,L.ABS))</f>
        <v/>
      </c>
      <c r="M57" s="18" t="str" cm="1">
        <f t="array" ref="M57">IF(M$55="","",xcomp(M$12:M$53,L.ABS))</f>
        <v/>
      </c>
      <c r="N57" s="18" t="str" cm="1">
        <f t="array" ref="N57">IF(N$55="","",xcomp(N$12:N$53,L.ABS))</f>
        <v/>
      </c>
      <c r="O57" s="18" t="str" cm="1">
        <f t="array" ref="O57">IF(O$55="","",xcomp(O$12:O$53,L.ABS))</f>
        <v/>
      </c>
      <c r="P57" s="18" t="str" cm="1">
        <f t="array" ref="P57">IF(P$55="","",xcomp(P$12:P$53,L.ABS))</f>
        <v/>
      </c>
      <c r="Q57" s="18" t="str" cm="1">
        <f t="array" ref="Q57">IF(Q$55="","",xcomp(Q$12:Q$53,L.ABS))</f>
        <v/>
      </c>
      <c r="R57" s="18" cm="1">
        <f t="array" ref="R57">IF(R55="","",xcomp(R12:R53,L.ABS))</f>
        <v>8</v>
      </c>
      <c r="S57" s="18" cm="1">
        <f t="array" ref="S57">IF(S55="","",xcomp(S12:S53,L.ABS))</f>
        <v>8</v>
      </c>
      <c r="T57" s="18" cm="1">
        <f t="array" ref="T57">IF(T55="","",xcomp(T12:T53,L.ABS))</f>
        <v>8</v>
      </c>
      <c r="U57" s="18" cm="1">
        <f t="array" ref="U57">IF(U55="","",xcomp(U12:U53,L.ABS))</f>
        <v>8</v>
      </c>
      <c r="V57" s="18" cm="1">
        <f t="array" ref="V57">IF(V55="","",xcomp(V12:V53,L.ABS))</f>
        <v>8</v>
      </c>
      <c r="W57" s="18" t="str" cm="1">
        <f t="array" ref="W57">IF(W55="","",xcomp(W12:W53,L.ABS))</f>
        <v/>
      </c>
      <c r="X57" s="18" t="str" cm="1">
        <f t="array" ref="X57">IF(X55="","",xcomp(X12:X53,L.ABS))</f>
        <v/>
      </c>
      <c r="Y57" s="18" cm="1">
        <f t="array" ref="Y57">IF(Y55="","",xcomp(Y12:Y53,L.ABS))</f>
        <v>8</v>
      </c>
      <c r="Z57" s="18" cm="1">
        <f t="array" ref="Z57">IF(Z55="","",xcomp(Z12:Z53,L.ABS))</f>
        <v>8</v>
      </c>
      <c r="AA57" s="18" cm="1">
        <f t="array" ref="AA57">IF(AA55="","",xcomp(AA12:AA53,L.ABS))</f>
        <v>8</v>
      </c>
      <c r="AB57" s="18" cm="1">
        <f t="array" ref="AB57">IF(AB55="","",xcomp(AB12:AB53,L.ABS))</f>
        <v>8</v>
      </c>
      <c r="AC57" s="18" cm="1">
        <f t="array" ref="AC57">IF(AC55="","",xcomp(AC12:AC53,L.ABS))</f>
        <v>8</v>
      </c>
      <c r="AD57" s="18" t="str" cm="1">
        <f t="array" ref="AD57">IF(AD55="","",xcomp(AD12:AD53,L.ABS))</f>
        <v/>
      </c>
      <c r="AE57" s="18" t="str" cm="1">
        <f t="array" ref="AE57">IF(AE55="","",xcomp(AE12:AE53,L.ABS))</f>
        <v/>
      </c>
      <c r="AF57" s="18" cm="1">
        <f t="array" ref="AF57">IF(AF55="","",xcomp(AF12:AF53,L.ABS))</f>
        <v>8</v>
      </c>
      <c r="AG57" s="18" cm="1">
        <f t="array" ref="AG57">IF(AG55="","",xcomp(AG12:AG53,L.ABS))</f>
        <v>8</v>
      </c>
      <c r="AH57" s="18" cm="1">
        <f t="array" ref="AH57">IF(AH55="","",xcomp(AH12:AH53,L.ABS))</f>
        <v>8</v>
      </c>
      <c r="AI57" s="18" cm="1">
        <f t="array" ref="AI57">IF(AI55="","",xcomp(AI12:AI53,L.ABS))</f>
        <v>8</v>
      </c>
      <c r="AJ57" s="18" cm="1">
        <f t="array" ref="AJ57">IF(AJ55="","",xcomp(AJ12:AJ53,L.ABS))</f>
        <v>8</v>
      </c>
      <c r="AK57" s="18" t="str" cm="1">
        <f t="array" ref="AK57">IF(AK55="","",xcomp(AK12:AK53,L.ABS))</f>
        <v/>
      </c>
      <c r="AL57" s="18" t="str" cm="1">
        <f t="array" ref="AL57">IF(AL55="","",xcomp(AL12:AL53,L.ABS))</f>
        <v/>
      </c>
      <c r="AM57" s="18" cm="1">
        <f t="array" ref="AM57">IF(AM55="","",xcomp(AM12:AM53,L.ABS))</f>
        <v>8</v>
      </c>
      <c r="AN57" s="18" cm="1">
        <f t="array" ref="AN57">IF(AN55="","",xcomp(AN12:AN53,L.ABS))</f>
        <v>8</v>
      </c>
      <c r="AO57" s="18" cm="1">
        <f t="array" ref="AO57">IF(AO55="","",xcomp(AO12:AO53,L.ABS))</f>
        <v>8</v>
      </c>
      <c r="AP57" s="18" cm="1">
        <f t="array" ref="AP57">IF(AP55="","",xcomp(AP12:AP53,L.ABS))</f>
        <v>8</v>
      </c>
      <c r="AQ57" s="18" cm="1">
        <f t="array" ref="AQ57">IF(AQ55="","",xcomp(AQ12:AQ53,L.ABS))</f>
        <v>8</v>
      </c>
      <c r="AR57" s="18" t="str" cm="1">
        <f t="array" ref="AR57">IF(AR55="","",xcomp(AR12:AR53,L.ABS))</f>
        <v/>
      </c>
      <c r="AS57" s="18" t="str" cm="1">
        <f t="array" ref="AS57">IF(AS55="","",xcomp(AS12:AS53,L.ABS))</f>
        <v/>
      </c>
      <c r="AT57" s="18" cm="1">
        <f t="array" ref="AT57">IF(AT55="","",xcomp(AT12:AT53,L.ABS))</f>
        <v>9</v>
      </c>
      <c r="AU57" s="18" cm="1">
        <f t="array" ref="AU57">IF(AU55="","",xcomp(AU12:AU53,L.ABS))</f>
        <v>9</v>
      </c>
      <c r="AV57" s="18" cm="1">
        <f t="array" ref="AV57">IF(AV55="","",xcomp(AV12:AV53,L.ABS))</f>
        <v>9</v>
      </c>
      <c r="AW57" s="18" cm="1">
        <f t="array" ref="AW57">IF(AW55="","",xcomp(AW12:AW53,L.ABS))</f>
        <v>9</v>
      </c>
      <c r="AX57" s="18" cm="1">
        <f t="array" ref="AX57">IF(AX55="","",xcomp(AX12:AX53,L.ABS))</f>
        <v>9</v>
      </c>
      <c r="AY57" s="18" t="str" cm="1">
        <f t="array" ref="AY57">IF(AY55="","",xcomp(AY12:AY53,L.ABS))</f>
        <v/>
      </c>
      <c r="AZ57" s="18" t="str" cm="1">
        <f t="array" ref="AZ57">IF(AZ55="","",xcomp(AZ12:AZ53,L.ABS))</f>
        <v/>
      </c>
      <c r="BA57" s="18" cm="1">
        <f t="array" ref="BA57">IF(BA55="","",xcomp(BA12:BA53,L.ABS))</f>
        <v>9</v>
      </c>
      <c r="BB57" s="18" cm="1">
        <f t="array" ref="BB57">IF(BB55="","",xcomp(BB12:BB53,L.ABS))</f>
        <v>9</v>
      </c>
      <c r="BC57" s="18" cm="1">
        <f t="array" ref="BC57">IF(BC55="","",xcomp(BC12:BC53,L.ABS))</f>
        <v>9</v>
      </c>
      <c r="BD57" s="18" cm="1">
        <f t="array" ref="BD57">IF(BD55="","",xcomp(BD12:BD53,L.ABS))</f>
        <v>9</v>
      </c>
      <c r="BE57" s="18" cm="1">
        <f t="array" ref="BE57">IF(BE55="","",xcomp(BE12:BE53,L.ABS))</f>
        <v>9</v>
      </c>
      <c r="BF57" s="18" t="str" cm="1">
        <f t="array" ref="BF57">IF(BF55="","",xcomp(BF12:BF53,L.ABS))</f>
        <v/>
      </c>
      <c r="BG57" s="18" t="str" cm="1">
        <f t="array" ref="BG57">IF(BG55="","",xcomp(BG12:BG53,L.ABS))</f>
        <v/>
      </c>
      <c r="BH57" s="18" cm="1">
        <f t="array" ref="BH57">IF(BH55="","",xcomp(BH12:BH53,L.ABS))</f>
        <v>9</v>
      </c>
      <c r="BI57" s="18" cm="1">
        <f t="array" ref="BI57">IF(BI55="","",xcomp(BI12:BI53,L.ABS))</f>
        <v>9</v>
      </c>
      <c r="BJ57" s="18" cm="1">
        <f t="array" ref="BJ57">IF(BJ55="","",xcomp(BJ12:BJ53,L.ABS))</f>
        <v>9</v>
      </c>
      <c r="BK57" s="18" cm="1">
        <f t="array" ref="BK57">IF(BK55="","",xcomp(BK12:BK53,L.ABS))</f>
        <v>9</v>
      </c>
      <c r="BL57" s="18" cm="1">
        <f t="array" ref="BL57">IF(BL55="","",xcomp(BL12:BL53,L.ABS))</f>
        <v>9</v>
      </c>
      <c r="BM57" s="18" t="str" cm="1">
        <f t="array" ref="BM57">IF(BM55="","",xcomp(BM12:BM53,L.ABS))</f>
        <v/>
      </c>
      <c r="BN57" s="18" t="str" cm="1">
        <f t="array" ref="BN57">IF(BN55="","",xcomp(BN12:BN53,L.ABS))</f>
        <v/>
      </c>
      <c r="BO57" s="18" cm="1">
        <f t="array" ref="BO57">IF(BO55="","",xcomp(BO12:BO53,L.ABS))</f>
        <v>13</v>
      </c>
      <c r="BP57" s="18" cm="1">
        <f t="array" ref="BP57">IF(BP55="","",xcomp(BP12:BP53,L.ABS))</f>
        <v>13</v>
      </c>
      <c r="BQ57" s="18" cm="1">
        <f t="array" ref="BQ57">IF(BQ55="","",xcomp(BQ12:BQ53,L.ABS))</f>
        <v>13</v>
      </c>
      <c r="BR57" s="18" cm="1">
        <f t="array" ref="BR57">IF(BR55="","",xcomp(BR12:BR53,L.ABS))</f>
        <v>13</v>
      </c>
      <c r="BS57" s="18" cm="1">
        <f t="array" ref="BS57">IF(BS55="","",xcomp(BS12:BS53,L.ABS))</f>
        <v>13</v>
      </c>
      <c r="BT57" s="18" t="str" cm="1">
        <f t="array" ref="BT57">IF(BT55="","",xcomp(BT12:BT53,L.ABS))</f>
        <v/>
      </c>
      <c r="BU57" s="18" t="str" cm="1">
        <f t="array" ref="BU57">IF(BU55="","",xcomp(BU12:BU53,L.ABS))</f>
        <v/>
      </c>
      <c r="BV57" s="18" cm="1">
        <f t="array" ref="BV57">IF(BV55="","",xcomp(BV12:BV53,L.ABS))</f>
        <v>13</v>
      </c>
      <c r="BW57" s="18" cm="1">
        <f t="array" ref="BW57">IF(BW55="","",xcomp(BW12:BW53,L.ABS))</f>
        <v>13</v>
      </c>
      <c r="BX57" s="18" cm="1">
        <f t="array" ref="BX57">IF(BX55="","",xcomp(BX12:BX53,L.ABS))</f>
        <v>13</v>
      </c>
      <c r="BY57" s="18" cm="1">
        <f t="array" ref="BY57">IF(BY55="","",xcomp(BY12:BY53,L.ABS))</f>
        <v>13</v>
      </c>
      <c r="BZ57" s="18" cm="1">
        <f t="array" ref="BZ57">IF(BZ55="","",xcomp(BZ12:BZ53,L.ABS))</f>
        <v>13</v>
      </c>
      <c r="CA57" s="18" t="str" cm="1">
        <f t="array" ref="CA57">IF(CA55="","",xcomp(CA12:CA53,L.ABS))</f>
        <v/>
      </c>
      <c r="CB57" s="18" t="str" cm="1">
        <f t="array" ref="CB57">IF(CB55="","",xcomp(CB12:CB53,L.ABS))</f>
        <v/>
      </c>
      <c r="CC57" s="18" cm="1">
        <f t="array" ref="CC57">IF(CC55="","",xcomp(CC12:CC53,L.ABS))</f>
        <v>16</v>
      </c>
      <c r="CD57" s="18" cm="1">
        <f t="array" ref="CD57">IF(CD55="","",xcomp(CD12:CD53,L.ABS))</f>
        <v>16</v>
      </c>
      <c r="CE57" s="18" cm="1">
        <f t="array" ref="CE57">IF(CE55="","",xcomp(CE12:CE53,L.ABS))</f>
        <v>16</v>
      </c>
      <c r="CF57" s="18" cm="1">
        <f t="array" ref="CF57">IF(CF55="","",xcomp(CF12:CF53,L.ABS))</f>
        <v>16</v>
      </c>
      <c r="CG57" s="18" cm="1">
        <f t="array" ref="CG57">IF(CG55="","",xcomp(CG12:CG53,L.ABS))</f>
        <v>16</v>
      </c>
      <c r="CH57" s="18" t="str" cm="1">
        <f t="array" ref="CH57">IF(CH55="","",xcomp(CH12:CH53,L.ABS))</f>
        <v/>
      </c>
      <c r="CI57" s="18" t="str" cm="1">
        <f t="array" ref="CI57">IF(CI55="","",xcomp(CI12:CI53,L.ABS))</f>
        <v/>
      </c>
      <c r="CJ57" s="18" cm="1">
        <f t="array" ref="CJ57">IF(CJ55="","",xcomp(CJ12:CJ53,L.ABS))</f>
        <v>17</v>
      </c>
      <c r="CK57" s="18" cm="1">
        <f t="array" ref="CK57">IF(CK55="","",xcomp(CK12:CK53,L.ABS))</f>
        <v>17</v>
      </c>
      <c r="CL57" s="18" cm="1">
        <f t="array" ref="CL57">IF(CL55="","",xcomp(CL12:CL53,L.ABS))</f>
        <v>17</v>
      </c>
      <c r="CM57" s="18" cm="1">
        <f t="array" ref="CM57">IF(CM55="","",xcomp(CM12:CM53,L.ABS))</f>
        <v>17</v>
      </c>
      <c r="CN57" s="18" cm="1">
        <f t="array" ref="CN57">IF(CN55="","",xcomp(CN12:CN53,L.ABS))</f>
        <v>17</v>
      </c>
      <c r="CO57" s="18" t="str" cm="1">
        <f t="array" ref="CO57">IF(CO55="","",xcomp(CO12:CO53,L.ABS))</f>
        <v/>
      </c>
      <c r="CP57" s="18" t="str" cm="1">
        <f t="array" ref="CP57">IF(CP55="","",xcomp(CP12:CP53,L.ABS))</f>
        <v/>
      </c>
      <c r="CQ57" s="18" cm="1">
        <f t="array" ref="CQ57">IF(CQ55="","",xcomp(CQ12:CQ53,L.ABS))</f>
        <v>19</v>
      </c>
      <c r="CR57" s="18" cm="1">
        <f t="array" ref="CR57">IF(CR55="","",xcomp(CR12:CR53,L.ABS))</f>
        <v>19</v>
      </c>
      <c r="CS57" s="18" cm="1">
        <f t="array" ref="CS57">IF(CS55="","",xcomp(CS12:CS53,L.ABS))</f>
        <v>19</v>
      </c>
      <c r="CT57" s="18" cm="1">
        <f t="array" ref="CT57">IF(CT55="","",xcomp(CT12:CT53,L.ABS))</f>
        <v>19</v>
      </c>
      <c r="CU57" s="18" cm="1">
        <f t="array" ref="CU57">IF(CU55="","",xcomp(CU12:CU53,L.ABS))</f>
        <v>19</v>
      </c>
      <c r="CV57" s="18" t="str" cm="1">
        <f t="array" ref="CV57">IF(CV55="","",xcomp(CV12:CV53,L.ABS))</f>
        <v/>
      </c>
      <c r="CW57" s="18" t="str" cm="1">
        <f t="array" ref="CW57">IF(CW55="","",xcomp(CW12:CW53,L.ABS))</f>
        <v/>
      </c>
      <c r="CX57" s="18" t="str" cm="1">
        <f t="array" ref="CX57">IF(CX55="","",xcomp(CX12:CX53,L.ABS))</f>
        <v/>
      </c>
      <c r="CY57" s="18" t="str" cm="1">
        <f t="array" ref="CY57">IF(CY55="","",xcomp(CY12:CY53,L.ABS))</f>
        <v/>
      </c>
      <c r="CZ57" s="18" t="str" cm="1">
        <f t="array" ref="CZ57">IF(CZ55="","",xcomp(CZ12:CZ53,L.ABS))</f>
        <v/>
      </c>
      <c r="DA57" s="18" t="str" cm="1">
        <f t="array" ref="DA57">IF(DA55="","",xcomp(DA12:DA53,L.ABS))</f>
        <v/>
      </c>
      <c r="DB57" s="18" t="str" cm="1">
        <f t="array" ref="DB57">IF(DB55="","",xcomp(DB12:DB53,L.ABS))</f>
        <v/>
      </c>
      <c r="DC57" s="18" t="str" cm="1">
        <f t="array" ref="DC57">IF(DC55="","",xcomp(DC12:DC53,L.ABS))</f>
        <v/>
      </c>
      <c r="DD57" s="18" t="str" cm="1">
        <f t="array" ref="DD57">IF(DD55="","",xcomp(DD12:DD53,L.ABS))</f>
        <v/>
      </c>
      <c r="DE57" s="18" cm="1">
        <f t="array" ref="DE57">IF(DE55="","",xcomp(DE12:DE53,L.ABS))</f>
        <v>1</v>
      </c>
      <c r="DF57" s="18" cm="1">
        <f t="array" ref="DF57">IF(DF55="","",xcomp(DF12:DF53,L.ABS))</f>
        <v>1</v>
      </c>
      <c r="DG57" s="18" cm="1">
        <f t="array" ref="DG57">IF(DG55="","",xcomp(DG12:DG53,L.ABS))</f>
        <v>1</v>
      </c>
      <c r="DH57" s="18" cm="1">
        <f t="array" ref="DH57">IF(DH55="","",xcomp(DH12:DH53,L.ABS))</f>
        <v>1</v>
      </c>
      <c r="DI57" s="18" cm="1">
        <f t="array" ref="DI57">IF(DI55="","",xcomp(DI12:DI53,L.ABS))</f>
        <v>1</v>
      </c>
      <c r="DJ57" s="18" t="str" cm="1">
        <f t="array" ref="DJ57">IF(DJ55="","",xcomp(DJ12:DJ53,L.ABS))</f>
        <v/>
      </c>
      <c r="DK57" s="18" t="str" cm="1">
        <f t="array" ref="DK57">IF(DK55="","",xcomp(DK12:DK53,L.ABS))</f>
        <v/>
      </c>
      <c r="DL57" s="18" cm="1">
        <f t="array" ref="DL57">IF(DL55="","",xcomp(DL12:DL53,L.ABS))</f>
        <v>1</v>
      </c>
      <c r="DM57" s="18" cm="1">
        <f t="array" ref="DM57">IF(DM55="","",xcomp(DM12:DM53,L.ABS))</f>
        <v>1</v>
      </c>
      <c r="DN57" s="18" cm="1">
        <f t="array" ref="DN57">IF(DN55="","",xcomp(DN12:DN53,L.ABS))</f>
        <v>1</v>
      </c>
      <c r="DO57" s="18" cm="1">
        <f t="array" ref="DO57">IF(DO55="","",xcomp(DO12:DO53,L.ABS))</f>
        <v>1</v>
      </c>
      <c r="DP57" s="18" cm="1">
        <f t="array" ref="DP57">IF(DP55="","",xcomp(DP12:DP53,L.ABS))</f>
        <v>1</v>
      </c>
      <c r="DQ57" s="18" t="str" cm="1">
        <f t="array" ref="DQ57">IF(DQ55="","",xcomp(DQ12:DQ53,L.ABS))</f>
        <v/>
      </c>
      <c r="DR57" s="18" t="str" cm="1">
        <f t="array" ref="DR57">IF(DR55="","",xcomp(DR12:DR53,L.ABS))</f>
        <v/>
      </c>
      <c r="DS57" s="18" t="str" cm="1">
        <f t="array" ref="DS57">IF(DS55="","",xcomp(DS12:DS53,L.ABS))</f>
        <v/>
      </c>
      <c r="DT57" s="18" t="str" cm="1">
        <f t="array" ref="DT57">IF(DT55="","",xcomp(DT12:DT53,L.ABS))</f>
        <v/>
      </c>
      <c r="DU57" s="18" t="str" cm="1">
        <f t="array" ref="DU57">IF(DU55="","",xcomp(DU12:DU53,L.ABS))</f>
        <v/>
      </c>
      <c r="DV57" s="18" t="str" cm="1">
        <f t="array" ref="DV57">IF(DV55="","",xcomp(DV12:DV53,L.ABS))</f>
        <v/>
      </c>
      <c r="DW57" s="18" t="str" cm="1">
        <f t="array" ref="DW57">IF(DW55="","",xcomp(DW12:DW53,L.ABS))</f>
        <v/>
      </c>
      <c r="DX57" s="18" t="str" cm="1">
        <f t="array" ref="DX57">IF(DX55="","",xcomp(DX12:DX53,L.ABS))</f>
        <v/>
      </c>
      <c r="DY57" s="18" t="str" cm="1">
        <f t="array" ref="DY57">IF(DY55="","",xcomp(DY12:DY53,L.ABS))</f>
        <v/>
      </c>
      <c r="DZ57" s="18" t="str" cm="1">
        <f t="array" ref="DZ57">IF(DZ55="","",xcomp(DZ12:DZ53,L.ABS))</f>
        <v/>
      </c>
      <c r="EA57" s="18" t="str" cm="1">
        <f t="array" ref="EA57">IF(EA55="","",xcomp(EA12:EA53,L.ABS))</f>
        <v/>
      </c>
      <c r="EB57" s="18" t="str" cm="1">
        <f t="array" ref="EB57">IF(EB55="","",xcomp(EB12:EB53,L.ABS))</f>
        <v/>
      </c>
      <c r="EC57" s="18" t="str" cm="1">
        <f t="array" ref="EC57">IF(EC55="","",xcomp(EC12:EC53,L.ABS))</f>
        <v/>
      </c>
      <c r="ED57" s="18" t="str" cm="1">
        <f t="array" ref="ED57">IF(ED55="","",xcomp(ED12:ED53,L.ABS))</f>
        <v/>
      </c>
      <c r="EE57" s="18" t="str" cm="1">
        <f t="array" ref="EE57">IF(EE55="","",xcomp(EE12:EE53,L.ABS))</f>
        <v/>
      </c>
      <c r="EF57" s="18" t="str" cm="1">
        <f t="array" ref="EF57">IF(EF55="","",xcomp(EF12:EF53,L.ABS))</f>
        <v/>
      </c>
      <c r="EG57" s="18" t="str" cm="1">
        <f t="array" ref="EG57">IF(EG55="","",xcomp(EG12:EG53,L.ABS))</f>
        <v/>
      </c>
      <c r="EH57" s="18" t="str" cm="1">
        <f t="array" ref="EH57">IF(EH55="","",xcomp(EH12:EH53,L.ABS))</f>
        <v/>
      </c>
      <c r="EI57" s="18" t="str" cm="1">
        <f t="array" ref="EI57">IF(EI55="","",xcomp(EI12:EI53,L.ABS))</f>
        <v/>
      </c>
      <c r="EJ57" s="18" t="str" cm="1">
        <f t="array" ref="EJ57">IF(EJ55="","",xcomp(EJ12:EJ53,L.ABS))</f>
        <v/>
      </c>
      <c r="EK57" s="18" t="str" cm="1">
        <f t="array" ref="EK57">IF(EK55="","",xcomp(EK12:EK53,L.ABS))</f>
        <v/>
      </c>
      <c r="EL57" s="18" t="str" cm="1">
        <f t="array" ref="EL57">IF(EL55="","",xcomp(EL12:EL53,L.ABS))</f>
        <v/>
      </c>
      <c r="EM57" s="18" t="str" cm="1">
        <f t="array" ref="EM57">IF(EM55="","",xcomp(EM12:EM53,L.ABS))</f>
        <v/>
      </c>
      <c r="EN57" s="18" t="str" cm="1">
        <f t="array" ref="EN57">IF(EN55="","",xcomp(EN12:EN53,L.ABS))</f>
        <v/>
      </c>
      <c r="EO57" s="18" t="str" cm="1">
        <f t="array" ref="EO57">IF(EO55="","",xcomp(EO12:EO53,L.ABS))</f>
        <v/>
      </c>
      <c r="EP57" s="18" t="str" cm="1">
        <f t="array" ref="EP57">IF(EP55="","",xcomp(EP12:EP53,L.ABS))</f>
        <v/>
      </c>
      <c r="EQ57" s="18" t="str" cm="1">
        <f t="array" ref="EQ57">IF(EQ55="","",xcomp(EQ12:EQ53,L.ABS))</f>
        <v/>
      </c>
      <c r="ER57" s="18" t="str" cm="1">
        <f t="array" ref="ER57">IF(ER55="","",xcomp(ER12:ER53,L.ABS))</f>
        <v/>
      </c>
      <c r="ES57" s="18" t="str" cm="1">
        <f t="array" ref="ES57">IF(ES55="","",xcomp(ES12:ES53,L.ABS))</f>
        <v/>
      </c>
      <c r="ET57" s="18" t="str" cm="1">
        <f t="array" ref="ET57">IF(ET55="","",xcomp(ET12:ET53,L.ABS))</f>
        <v/>
      </c>
      <c r="EU57" s="18" t="str" cm="1">
        <f t="array" ref="EU57">IF(EU55="","",xcomp(EU12:EU53,L.ABS))</f>
        <v/>
      </c>
      <c r="EV57" s="18" t="str" cm="1">
        <f t="array" ref="EV57">IF(EV55="","",xcomp(EV12:EV53,L.ABS))</f>
        <v/>
      </c>
      <c r="EW57" s="18" t="str" cm="1">
        <f t="array" ref="EW57">IF(EW55="","",xcomp(EW12:EW53,L.ABS))</f>
        <v/>
      </c>
      <c r="EX57" s="18" t="str" cm="1">
        <f t="array" ref="EX57">IF(EX55="","",xcomp(EX12:EX53,L.ABS))</f>
        <v/>
      </c>
      <c r="EY57" s="18" t="str" cm="1">
        <f t="array" ref="EY57">IF(EY55="","",xcomp(EY12:EY53,L.ABS))</f>
        <v/>
      </c>
      <c r="EZ57" s="18" t="str" cm="1">
        <f t="array" ref="EZ57">IF(EZ55="","",xcomp(EZ12:EZ53,L.ABS))</f>
        <v/>
      </c>
      <c r="FA57" s="18" t="str" cm="1">
        <f t="array" ref="FA57">IF(FA55="","",xcomp(FA12:FA53,L.ABS))</f>
        <v/>
      </c>
      <c r="FB57" s="18" t="str" cm="1">
        <f t="array" ref="FB57">IF(FB55="","",xcomp(FB12:FB53,L.ABS))</f>
        <v/>
      </c>
      <c r="FC57" s="18" t="str" cm="1">
        <f t="array" ref="FC57">IF(FC55="","",xcomp(FC12:FC53,L.ABS))</f>
        <v/>
      </c>
      <c r="FD57" s="18" t="str" cm="1">
        <f t="array" ref="FD57">IF(FD55="","",xcomp(FD12:FD53,L.ABS))</f>
        <v/>
      </c>
      <c r="FE57" s="18" t="str" cm="1">
        <f t="array" ref="FE57">IF(FE55="","",xcomp(FE12:FE53,L.ABS))</f>
        <v/>
      </c>
      <c r="FF57" s="18" t="str" cm="1">
        <f t="array" ref="FF57">IF(FF55="","",xcomp(FF12:FF53,L.ABS))</f>
        <v/>
      </c>
      <c r="FG57" s="18" t="str" cm="1">
        <f t="array" ref="FG57">IF(FG55="","",xcomp(FG12:FG53,L.ABS))</f>
        <v/>
      </c>
      <c r="FH57" s="18" t="str" cm="1">
        <f t="array" ref="FH57">IF(FH55="","",xcomp(FH12:FH53,L.ABS))</f>
        <v/>
      </c>
      <c r="FI57" s="18" t="str" cm="1">
        <f t="array" ref="FI57">IF(FI55="","",xcomp(FI12:FI53,L.ABS))</f>
        <v/>
      </c>
      <c r="FJ57" s="18" t="str" cm="1">
        <f t="array" ref="FJ57">IF(FJ55="","",xcomp(FJ12:FJ53,L.ABS))</f>
        <v/>
      </c>
      <c r="FK57" s="18" t="str" cm="1">
        <f t="array" ref="FK57">IF(FK55="","",xcomp(FK12:FK53,L.ABS))</f>
        <v/>
      </c>
      <c r="FL57" s="18" t="str" cm="1">
        <f t="array" ref="FL57">IF(FL55="","",xcomp(FL12:FL53,L.ABS))</f>
        <v/>
      </c>
      <c r="FM57" s="18" t="str" cm="1">
        <f t="array" ref="FM57">IF(FM55="","",xcomp(FM12:FM53,L.ABS))</f>
        <v/>
      </c>
      <c r="FN57" s="18" t="str" cm="1">
        <f t="array" ref="FN57">IF(FN55="","",xcomp(FN12:FN53,L.ABS))</f>
        <v/>
      </c>
      <c r="FO57" s="18" t="str" cm="1">
        <f t="array" ref="FO57">IF(FO55="","",xcomp(FO12:FO53,L.ABS))</f>
        <v/>
      </c>
      <c r="FP57" s="18" t="str" cm="1">
        <f t="array" ref="FP57">IF(FP55="","",xcomp(FP12:FP53,L.ABS))</f>
        <v/>
      </c>
      <c r="FQ57" s="18" t="str" cm="1">
        <f t="array" ref="FQ57">IF(FQ55="","",xcomp(FQ12:FQ53,L.ABS))</f>
        <v/>
      </c>
      <c r="FR57" s="18" t="str" cm="1">
        <f t="array" ref="FR57">IF(FR55="","",xcomp(FR12:FR53,L.ABS))</f>
        <v/>
      </c>
      <c r="FS57" s="18" t="str" cm="1">
        <f t="array" ref="FS57">IF(FS55="","",xcomp(FS12:FS53,L.ABS))</f>
        <v/>
      </c>
      <c r="FT57" s="18" t="str" cm="1">
        <f t="array" ref="FT57">IF(FT55="","",xcomp(FT12:FT53,L.ABS))</f>
        <v/>
      </c>
      <c r="FU57" s="18" t="str" cm="1">
        <f t="array" ref="FU57">IF(FU55="","",xcomp(FU12:FU53,L.ABS))</f>
        <v/>
      </c>
      <c r="FV57" s="18" t="str" cm="1">
        <f t="array" ref="FV57">IF(FV55="","",xcomp(FV12:FV53,L.ABS))</f>
        <v/>
      </c>
      <c r="FW57" s="18" t="str" cm="1">
        <f t="array" ref="FW57">IF(FW55="","",xcomp(FW12:FW53,L.ABS))</f>
        <v/>
      </c>
      <c r="FX57" s="18" t="str" cm="1">
        <f t="array" ref="FX57">IF(FX55="","",xcomp(FX12:FX53,L.ABS))</f>
        <v/>
      </c>
      <c r="FY57" s="18" t="str" cm="1">
        <f t="array" ref="FY57">IF(FY55="","",xcomp(FY12:FY53,L.ABS))</f>
        <v/>
      </c>
      <c r="FZ57" s="18" t="str" cm="1">
        <f t="array" ref="FZ57">IF(FZ55="","",xcomp(FZ12:FZ53,L.ABS))</f>
        <v/>
      </c>
      <c r="GA57" s="18" t="str" cm="1">
        <f t="array" ref="GA57">IF(GA55="","",xcomp(GA12:GA53,L.ABS))</f>
        <v/>
      </c>
      <c r="GB57" s="18" t="str" cm="1">
        <f t="array" ref="GB57">IF(GB55="","",xcomp(GB12:GB53,L.ABS))</f>
        <v/>
      </c>
      <c r="GC57" s="18" t="str" cm="1">
        <f t="array" ref="GC57">IF(GC55="","",xcomp(GC12:GC53,L.ABS))</f>
        <v/>
      </c>
      <c r="GD57" s="18" t="str" cm="1">
        <f t="array" ref="GD57">IF(GD55="","",xcomp(GD12:GD53,L.ABS))</f>
        <v/>
      </c>
      <c r="GE57" s="18" t="str" cm="1">
        <f t="array" ref="GE57">IF(GE55="","",xcomp(GE12:GE53,L.ABS))</f>
        <v/>
      </c>
      <c r="GF57" s="18" t="str" cm="1">
        <f t="array" ref="GF57">IF(GF55="","",xcomp(GF12:GF53,L.ABS))</f>
        <v/>
      </c>
      <c r="GG57" s="18" t="str" cm="1">
        <f t="array" ref="GG57">IF(GG55="","",xcomp(GG12:GG53,L.ABS))</f>
        <v/>
      </c>
      <c r="GH57" s="18" t="str" cm="1">
        <f t="array" ref="GH57">IF(GH55="","",xcomp(GH12:GH53,L.ABS))</f>
        <v/>
      </c>
      <c r="GI57" s="18" t="str" cm="1">
        <f t="array" ref="GI57">IF(GI55="","",xcomp(GI12:GI53,L.ABS))</f>
        <v/>
      </c>
      <c r="GJ57" s="18" t="str" cm="1">
        <f t="array" ref="GJ57">IF(GJ55="","",xcomp(GJ12:GJ53,L.ABS))</f>
        <v/>
      </c>
      <c r="GK57" s="18" t="str" cm="1">
        <f t="array" ref="GK57">IF(GK55="","",xcomp(GK12:GK53,L.ABS))</f>
        <v/>
      </c>
      <c r="GL57" s="18" t="str" cm="1">
        <f t="array" ref="GL57">IF(GL55="","",xcomp(GL12:GL53,L.ABS))</f>
        <v/>
      </c>
      <c r="GM57" s="18" t="str" cm="1">
        <f t="array" ref="GM57">IF(GM55="","",xcomp(GM12:GM53,L.ABS))</f>
        <v/>
      </c>
      <c r="GN57" s="18" t="str" cm="1">
        <f t="array" ref="GN57">IF(GN55="","",xcomp(GN12:GN53,L.ABS))</f>
        <v/>
      </c>
      <c r="GO57" s="18" t="str" cm="1">
        <f t="array" ref="GO57">IF(GO55="","",xcomp(GO12:GO53,L.ABS))</f>
        <v/>
      </c>
      <c r="GP57" s="18" t="str" cm="1">
        <f t="array" ref="GP57">IF(GP55="","",xcomp(GP12:GP53,L.ABS))</f>
        <v/>
      </c>
      <c r="GQ57" s="18" t="str" cm="1">
        <f t="array" ref="GQ57">IF(GQ55="","",xcomp(GQ12:GQ53,L.ABS))</f>
        <v/>
      </c>
      <c r="GR57" s="18" t="str" cm="1">
        <f t="array" ref="GR57">IF(GR55="","",xcomp(GR12:GR53,L.ABS))</f>
        <v/>
      </c>
      <c r="GS57" s="18" t="str" cm="1">
        <f t="array" ref="GS57">IF(GS55="","",xcomp(GS12:GS53,L.ABS))</f>
        <v/>
      </c>
      <c r="GT57" s="18" t="str" cm="1">
        <f t="array" ref="GT57">IF(GT55="","",xcomp(GT12:GT53,L.ABS))</f>
        <v/>
      </c>
      <c r="GU57" s="18" t="str" cm="1">
        <f t="array" ref="GU57">IF(GU55="","",xcomp(GU12:GU53,L.ABS))</f>
        <v/>
      </c>
      <c r="GV57" s="18" t="str" cm="1">
        <f t="array" ref="GV57">IF(GV55="","",xcomp(GV12:GV53,L.ABS))</f>
        <v/>
      </c>
      <c r="GW57" s="18" t="str" cm="1">
        <f t="array" ref="GW57">IF(GW55="","",xcomp(GW12:GW53,L.ABS))</f>
        <v/>
      </c>
      <c r="GX57" s="18" t="str" cm="1">
        <f t="array" ref="GX57">IF(GX55="","",xcomp(GX12:GX53,L.ABS))</f>
        <v/>
      </c>
      <c r="GY57" s="18" t="str" cm="1">
        <f t="array" ref="GY57">IF(GY55="","",xcomp(GY12:GY53,L.ABS))</f>
        <v/>
      </c>
      <c r="GZ57" s="18" t="str" cm="1">
        <f t="array" ref="GZ57">IF(GZ55="","",xcomp(GZ12:GZ53,L.ABS))</f>
        <v/>
      </c>
      <c r="HA57" s="18" t="str" cm="1">
        <f t="array" ref="HA57">IF(HA55="","",xcomp(HA12:HA53,L.ABS))</f>
        <v/>
      </c>
      <c r="HB57" s="18" t="str" cm="1">
        <f t="array" ref="HB57">IF(HB55="","",xcomp(HB12:HB53,L.ABS))</f>
        <v/>
      </c>
      <c r="HC57" s="18" t="str" cm="1">
        <f t="array" ref="HC57">IF(HC55="","",xcomp(HC12:HC53,L.ABS))</f>
        <v/>
      </c>
      <c r="HD57" s="18" t="str" cm="1">
        <f t="array" ref="HD57">IF(HD55="","",xcomp(HD12:HD53,L.ABS))</f>
        <v/>
      </c>
      <c r="HE57" s="18" t="str" cm="1">
        <f t="array" ref="HE57">IF(HE55="","",xcomp(HE12:HE53,L.ABS))</f>
        <v/>
      </c>
      <c r="HF57" s="18" t="str" cm="1">
        <f t="array" ref="HF57">IF(HF55="","",xcomp(HF12:HF53,L.ABS))</f>
        <v/>
      </c>
      <c r="HG57" s="18" t="str" cm="1">
        <f t="array" ref="HG57">IF(HG55="","",xcomp(HG12:HG53,L.ABS))</f>
        <v/>
      </c>
      <c r="HH57" s="18" t="str" cm="1">
        <f t="array" ref="HH57">IF(HH55="","",xcomp(HH12:HH53,L.ABS))</f>
        <v/>
      </c>
      <c r="HI57" s="18" t="str" cm="1">
        <f t="array" ref="HI57">IF(HI55="","",xcomp(HI12:HI53,L.ABS))</f>
        <v/>
      </c>
      <c r="HJ57" s="18" t="str" cm="1">
        <f t="array" ref="HJ57">IF(HJ55="","",xcomp(HJ12:HJ53,L.ABS))</f>
        <v/>
      </c>
      <c r="HK57" s="18" t="str" cm="1">
        <f t="array" ref="HK57">IF(HK55="","",xcomp(HK12:HK53,L.ABS))</f>
        <v/>
      </c>
      <c r="HL57" s="18" t="str" cm="1">
        <f t="array" ref="HL57">IF(HL55="","",xcomp(HL12:HL53,L.ABS))</f>
        <v/>
      </c>
      <c r="HM57" s="18" t="str" cm="1">
        <f t="array" ref="HM57">IF(HM55="","",xcomp(HM12:HM53,L.ABS))</f>
        <v/>
      </c>
      <c r="HN57" s="18" t="str" cm="1">
        <f t="array" ref="HN57">IF(HN55="","",xcomp(HN12:HN53,L.ABS))</f>
        <v/>
      </c>
      <c r="HO57" s="18" t="str" cm="1">
        <f t="array" ref="HO57">IF(HO55="","",xcomp(HO12:HO53,L.ABS))</f>
        <v/>
      </c>
      <c r="HP57" s="18" t="str" cm="1">
        <f t="array" ref="HP57">IF(HP55="","",xcomp(HP12:HP53,L.ABS))</f>
        <v/>
      </c>
      <c r="HQ57" s="18" t="str" cm="1">
        <f t="array" ref="HQ57">IF(HQ55="","",xcomp(HQ12:HQ53,L.ABS))</f>
        <v/>
      </c>
      <c r="HR57" s="18" t="str" cm="1">
        <f t="array" ref="HR57">IF(HR55="","",xcomp(HR12:HR53,L.ABS))</f>
        <v/>
      </c>
      <c r="HS57" s="18" t="str" cm="1">
        <f t="array" ref="HS57">IF(HS55="","",xcomp(HS12:HS53,L.ABS))</f>
        <v/>
      </c>
      <c r="HT57" s="18" cm="1">
        <f t="array" ref="HT57">IF(HT55="","",xcomp(HT12:HT53,L.ABS))</f>
        <v>1</v>
      </c>
      <c r="HU57" s="18" t="str" cm="1">
        <f t="array" ref="HU57">IF(HU55="","",xcomp(HU12:HU53,L.ABS))</f>
        <v/>
      </c>
      <c r="HV57" s="18" t="str" cm="1">
        <f t="array" ref="HV57">IF(HV55="","",xcomp(HV12:HV53,L.ABS))</f>
        <v/>
      </c>
      <c r="HW57" s="18" t="str" cm="1">
        <f t="array" ref="HW57">IF(HW55="","",xcomp(HW12:HW53,L.ABS))</f>
        <v/>
      </c>
      <c r="HX57" s="18" t="str" cm="1">
        <f t="array" ref="HX57">IF(HX55="","",xcomp(HX12:HX53,L.ABS))</f>
        <v/>
      </c>
      <c r="HY57" s="18" t="str" cm="1">
        <f t="array" ref="HY57">IF(HY55="","",xcomp(HY12:HY53,L.ABS))</f>
        <v/>
      </c>
      <c r="HZ57" s="18" t="str" cm="1">
        <f t="array" ref="HZ57">IF(HZ55="","",xcomp(HZ12:HZ53,L.ABS))</f>
        <v/>
      </c>
      <c r="IA57" s="18" t="str" cm="1">
        <f t="array" ref="IA57">IF(IA55="","",xcomp(IA12:IA53,L.ABS))</f>
        <v/>
      </c>
      <c r="IB57" s="18" t="str" cm="1">
        <f t="array" ref="IB57">IF(IB55="","",xcomp(IB12:IB53,L.ABS))</f>
        <v/>
      </c>
      <c r="IC57" s="18" t="str" cm="1">
        <f t="array" ref="IC57">IF(IC55="","",xcomp(IC12:IC53,L.ABS))</f>
        <v/>
      </c>
      <c r="ID57" s="18" t="str" cm="1">
        <f t="array" ref="ID57">IF(ID55="","",xcomp(ID12:ID53,L.ABS))</f>
        <v/>
      </c>
      <c r="IE57" s="18" t="str" cm="1">
        <f t="array" ref="IE57">IF(IE55="","",xcomp(IE12:IE53,L.ABS))</f>
        <v/>
      </c>
      <c r="IF57" s="18" t="str" cm="1">
        <f t="array" ref="IF57">IF(IF55="","",xcomp(IF12:IF53,L.ABS))</f>
        <v/>
      </c>
      <c r="IG57" s="18" t="str" cm="1">
        <f t="array" ref="IG57">IF(IG55="","",xcomp(IG12:IG53,L.ABS))</f>
        <v/>
      </c>
      <c r="IH57" s="18" t="str" cm="1">
        <f t="array" ref="IH57">IF(IH55="","",xcomp(IH12:IH53,L.ABS))</f>
        <v/>
      </c>
      <c r="II57" s="18" t="str" cm="1">
        <f t="array" ref="II57">IF(II55="","",xcomp(II12:II53,L.ABS))</f>
        <v/>
      </c>
      <c r="IJ57" s="18" t="str" cm="1">
        <f t="array" ref="IJ57">IF(IJ55="","",xcomp(IJ12:IJ53,L.ABS))</f>
        <v/>
      </c>
      <c r="IK57" s="18" t="str" cm="1">
        <f t="array" ref="IK57">IF(IK55="","",xcomp(IK12:IK53,L.ABS))</f>
        <v/>
      </c>
      <c r="IL57" s="18" t="str" cm="1">
        <f t="array" ref="IL57">IF(IL55="","",xcomp(IL12:IL53,L.ABS))</f>
        <v/>
      </c>
      <c r="IM57" s="18" t="str" cm="1">
        <f t="array" ref="IM57">IF(IM55="","",xcomp(IM12:IM53,L.ABS))</f>
        <v/>
      </c>
      <c r="IN57" s="18" t="str" cm="1">
        <f t="array" ref="IN57">IF(IN55="","",xcomp(IN12:IN53,L.ABS))</f>
        <v/>
      </c>
      <c r="IO57" s="18" t="str" cm="1">
        <f t="array" ref="IO57">IF(IO55="","",xcomp(IO12:IO53,L.ABS))</f>
        <v/>
      </c>
      <c r="IP57" s="18" t="str" cm="1">
        <f t="array" ref="IP57">IF(IP55="","",xcomp(IP12:IP53,L.ABS))</f>
        <v/>
      </c>
      <c r="IQ57" s="18" t="str" cm="1">
        <f t="array" ref="IQ57">IF(IQ55="","",xcomp(IQ12:IQ53,L.ABS))</f>
        <v/>
      </c>
      <c r="IR57" s="18" t="str" cm="1">
        <f t="array" ref="IR57">IF(IR55="","",xcomp(IR12:IR53,L.ABS))</f>
        <v/>
      </c>
      <c r="IS57" s="18" t="str" cm="1">
        <f t="array" ref="IS57">IF(IS55="","",xcomp(IS12:IS53,L.ABS))</f>
        <v/>
      </c>
      <c r="IT57" s="18" t="str" cm="1">
        <f t="array" ref="IT57">IF(IT55="","",xcomp(IT12:IT53,L.ABS))</f>
        <v/>
      </c>
      <c r="IU57" s="18" t="str" cm="1">
        <f t="array" ref="IU57">IF(IU55="","",xcomp(IU12:IU53,L.ABS))</f>
        <v/>
      </c>
      <c r="IV57" s="18" t="str" cm="1">
        <f t="array" ref="IV57">IF(IV55="","",xcomp(IV12:IV53,L.ABS))</f>
        <v/>
      </c>
      <c r="IW57" s="18" t="str" cm="1">
        <f t="array" ref="IW57">IF(IW55="","",xcomp(IW12:IW53,L.ABS))</f>
        <v/>
      </c>
      <c r="IX57" s="18" t="str" cm="1">
        <f t="array" ref="IX57">IF(IX55="","",xcomp(IX12:IX53,L.ABS))</f>
        <v/>
      </c>
      <c r="IY57" s="18" t="str" cm="1">
        <f t="array" ref="IY57">IF(IY55="","",xcomp(IY12:IY53,L.ABS))</f>
        <v/>
      </c>
      <c r="IZ57" s="18" t="str" cm="1">
        <f t="array" ref="IZ57">IF(IZ55="","",xcomp(IZ12:IZ53,L.ABS))</f>
        <v/>
      </c>
      <c r="JA57" s="18" t="str" cm="1">
        <f t="array" ref="JA57">IF(JA55="","",xcomp(JA12:JA53,L.ABS))</f>
        <v/>
      </c>
      <c r="JB57" s="18" t="str" cm="1">
        <f t="array" ref="JB57">IF(JB55="","",xcomp(JB12:JB53,L.ABS))</f>
        <v/>
      </c>
      <c r="JC57" s="18" t="str" cm="1">
        <f t="array" ref="JC57">IF(JC55="","",xcomp(JC12:JC53,L.ABS))</f>
        <v/>
      </c>
      <c r="JD57" s="18" t="str" cm="1">
        <f t="array" ref="JD57">IF(JD55="","",xcomp(JD12:JD53,L.ABS))</f>
        <v/>
      </c>
      <c r="JE57" s="18" t="str" cm="1">
        <f t="array" ref="JE57">IF(JE55="","",xcomp(JE12:JE53,L.ABS))</f>
        <v/>
      </c>
      <c r="JF57" s="18" t="str" cm="1">
        <f t="array" ref="JF57">IF(JF55="","",xcomp(JF12:JF53,L.ABS))</f>
        <v/>
      </c>
      <c r="JG57" s="18" t="str" cm="1">
        <f t="array" ref="JG57">IF(JG55="","",xcomp(JG12:JG53,L.ABS))</f>
        <v/>
      </c>
      <c r="JH57" s="18" t="str" cm="1">
        <f t="array" ref="JH57">IF(JH55="","",xcomp(JH12:JH53,L.ABS))</f>
        <v/>
      </c>
      <c r="JI57" s="18" t="str" cm="1">
        <f t="array" ref="JI57">IF(JI55="","",xcomp(JI12:JI53,L.ABS))</f>
        <v/>
      </c>
      <c r="JJ57" s="18" t="str" cm="1">
        <f t="array" ref="JJ57">IF(JJ55="","",xcomp(JJ12:JJ53,L.ABS))</f>
        <v/>
      </c>
      <c r="JK57" s="18" t="str" cm="1">
        <f t="array" ref="JK57">IF(JK55="","",xcomp(JK12:JK53,L.ABS))</f>
        <v/>
      </c>
      <c r="JL57" s="18" t="str" cm="1">
        <f t="array" ref="JL57">IF(JL55="","",xcomp(JL12:JL53,L.ABS))</f>
        <v/>
      </c>
      <c r="JM57" s="18" t="str" cm="1">
        <f t="array" ref="JM57">IF(JM55="","",xcomp(JM12:JM53,L.ABS))</f>
        <v/>
      </c>
      <c r="JN57" s="18" t="str" cm="1">
        <f t="array" ref="JN57">IF(JN55="","",xcomp(JN12:JN53,L.ABS))</f>
        <v/>
      </c>
      <c r="JO57" s="18" t="str" cm="1">
        <f t="array" ref="JO57">IF(JO55="","",xcomp(JO12:JO53,L.ABS))</f>
        <v/>
      </c>
      <c r="JP57" s="18" t="str" cm="1">
        <f t="array" ref="JP57">IF(JP55="","",xcomp(JP12:JP53,L.ABS))</f>
        <v/>
      </c>
      <c r="JQ57" s="18" t="str" cm="1">
        <f t="array" ref="JQ57">IF(JQ55="","",xcomp(JQ12:JQ53,L.ABS))</f>
        <v/>
      </c>
      <c r="JR57" s="18" t="str" cm="1">
        <f t="array" ref="JR57">IF(JR55="","",xcomp(JR12:JR53,L.ABS))</f>
        <v/>
      </c>
      <c r="JS57" s="18" t="str" cm="1">
        <f t="array" ref="JS57">IF(JS55="","",xcomp(JS12:JS53,L.ABS))</f>
        <v/>
      </c>
      <c r="JT57" s="18" t="str" cm="1">
        <f t="array" ref="JT57">IF(JT55="","",xcomp(JT12:JT53,L.ABS))</f>
        <v/>
      </c>
      <c r="JU57" s="18" t="str" cm="1">
        <f t="array" ref="JU57">IF(JU55="","",xcomp(JU12:JU53,L.ABS))</f>
        <v/>
      </c>
      <c r="JV57" s="18" t="str" cm="1">
        <f t="array" ref="JV57">IF(JV55="","",xcomp(JV12:JV53,L.ABS))</f>
        <v/>
      </c>
      <c r="JW57" s="18" t="str" cm="1">
        <f t="array" ref="JW57">IF(JW55="","",xcomp(JW12:JW53,L.ABS))</f>
        <v/>
      </c>
      <c r="JX57" s="18" t="str" cm="1">
        <f t="array" ref="JX57">IF(JX55="","",xcomp(JX12:JX53,L.ABS))</f>
        <v/>
      </c>
      <c r="JY57" s="18" t="str" cm="1">
        <f t="array" ref="JY57">IF(JY55="","",xcomp(JY12:JY53,L.ABS))</f>
        <v/>
      </c>
      <c r="JZ57" s="18" t="str" cm="1">
        <f t="array" ref="JZ57">IF(JZ55="","",xcomp(JZ12:JZ53,L.ABS))</f>
        <v/>
      </c>
      <c r="KA57" s="18" t="str" cm="1">
        <f t="array" ref="KA57">IF(KA55="","",xcomp(KA12:KA53,L.ABS))</f>
        <v/>
      </c>
      <c r="KB57" s="18" t="str" cm="1">
        <f t="array" ref="KB57">IF(KB55="","",xcomp(KB12:KB53,L.ABS))</f>
        <v/>
      </c>
      <c r="KC57" s="18" t="str" cm="1">
        <f t="array" ref="KC57">IF(KC55="","",xcomp(KC12:KC53,L.ABS))</f>
        <v/>
      </c>
      <c r="KD57" s="18" t="str" cm="1">
        <f t="array" ref="KD57">IF(KD55="","",xcomp(KD12:KD53,L.ABS))</f>
        <v/>
      </c>
      <c r="KE57" s="18" t="str" cm="1">
        <f t="array" ref="KE57">IF(KE55="","",xcomp(KE12:KE53,L.ABS))</f>
        <v/>
      </c>
      <c r="KF57" s="18" t="str" cm="1">
        <f t="array" ref="KF57">IF(KF55="","",xcomp(KF12:KF53,L.ABS))</f>
        <v/>
      </c>
      <c r="KG57" s="18" t="str" cm="1">
        <f t="array" ref="KG57">IF(KG55="","",xcomp(KG12:KG53,L.ABS))</f>
        <v/>
      </c>
      <c r="KH57" s="18" t="str" cm="1">
        <f t="array" ref="KH57">IF(KH55="","",xcomp(KH12:KH53,L.ABS))</f>
        <v/>
      </c>
      <c r="KI57" s="18" t="str" cm="1">
        <f t="array" ref="KI57">IF(KI55="","",xcomp(KI12:KI53,L.ABS))</f>
        <v/>
      </c>
      <c r="KJ57" s="18" t="str" cm="1">
        <f t="array" ref="KJ57">IF(KJ55="","",xcomp(KJ12:KJ53,L.ABS))</f>
        <v/>
      </c>
      <c r="KK57" s="18" t="str" cm="1">
        <f t="array" ref="KK57">IF(KK55="","",xcomp(KK12:KK53,L.ABS))</f>
        <v/>
      </c>
      <c r="KL57" s="18" t="str" cm="1">
        <f t="array" ref="KL57">IF(KL55="","",xcomp(KL12:KL53,L.ABS))</f>
        <v/>
      </c>
      <c r="KM57" s="18" t="str" cm="1">
        <f t="array" ref="KM57">IF(KM55="","",xcomp(KM12:KM53,L.ABS))</f>
        <v/>
      </c>
      <c r="KN57" s="18" t="str" cm="1">
        <f t="array" ref="KN57">IF(KN55="","",xcomp(KN12:KN53,L.ABS))</f>
        <v/>
      </c>
      <c r="KO57" s="18" t="str" cm="1">
        <f t="array" ref="KO57">IF(KO55="","",xcomp(KO12:KO53,L.ABS))</f>
        <v/>
      </c>
      <c r="KP57" s="18" t="str" cm="1">
        <f t="array" ref="KP57">IF(KP55="","",xcomp(KP12:KP53,L.ABS))</f>
        <v/>
      </c>
      <c r="KQ57" s="18" t="str" cm="1">
        <f t="array" ref="KQ57">IF(KQ55="","",xcomp(KQ12:KQ53,L.ABS))</f>
        <v/>
      </c>
      <c r="KR57" s="18" t="str" cm="1">
        <f t="array" ref="KR57">IF(KR55="","",xcomp(KR12:KR53,L.ABS))</f>
        <v/>
      </c>
      <c r="KS57" s="18" t="str" cm="1">
        <f t="array" ref="KS57">IF(KS55="","",xcomp(KS12:KS53,L.ABS))</f>
        <v/>
      </c>
      <c r="KT57" s="18" t="str" cm="1">
        <f t="array" ref="KT57">IF(KT55="","",xcomp(KT12:KT53,L.ABS))</f>
        <v/>
      </c>
      <c r="KU57" s="18" t="str" cm="1">
        <f t="array" ref="KU57">IF(KU55="","",xcomp(KU12:KU53,L.ABS))</f>
        <v/>
      </c>
      <c r="KV57" s="18" t="str" cm="1">
        <f t="array" ref="KV57">IF(KV55="","",xcomp(KV12:KV53,L.ABS))</f>
        <v/>
      </c>
      <c r="KW57" s="18" t="str" cm="1">
        <f t="array" ref="KW57">IF(KW55="","",xcomp(KW12:KW53,L.ABS))</f>
        <v/>
      </c>
      <c r="KX57" s="18" t="str" cm="1">
        <f t="array" ref="KX57">IF(KX55="","",xcomp(KX12:KX53,L.ABS))</f>
        <v/>
      </c>
      <c r="KY57" s="18" t="str" cm="1">
        <f t="array" ref="KY57">IF(KY55="","",xcomp(KY12:KY53,L.ABS))</f>
        <v/>
      </c>
      <c r="KZ57" s="18" t="str" cm="1">
        <f t="array" ref="KZ57">IF(KZ55="","",xcomp(KZ12:KZ53,L.ABS))</f>
        <v/>
      </c>
      <c r="LA57" s="18" t="str" cm="1">
        <f t="array" ref="LA57">IF(LA55="","",xcomp(LA12:LA53,L.ABS))</f>
        <v/>
      </c>
      <c r="LB57" s="18" t="str" cm="1">
        <f t="array" ref="LB57">IF(LB55="","",xcomp(LB12:LB53,L.ABS))</f>
        <v/>
      </c>
      <c r="LC57" s="18" t="str" cm="1">
        <f t="array" ref="LC57">IF(LC55="","",xcomp(LC12:LC53,L.ABS))</f>
        <v/>
      </c>
      <c r="LD57" s="18" t="str" cm="1">
        <f t="array" ref="LD57">IF(LD55="","",xcomp(LD12:LD53,L.ABS))</f>
        <v/>
      </c>
      <c r="LE57" s="18" t="str" cm="1">
        <f t="array" ref="LE57">IF(LE55="","",xcomp(LE12:LE53,L.ABS))</f>
        <v/>
      </c>
      <c r="LF57" s="18" t="str" cm="1">
        <f t="array" ref="LF57">IF(LF55="","",xcomp(LF12:LF53,L.ABS))</f>
        <v/>
      </c>
      <c r="LG57" s="18" t="str" cm="1">
        <f t="array" ref="LG57">IF(LG55="","",xcomp(LG12:LG53,L.ABS))</f>
        <v/>
      </c>
      <c r="LH57" s="18" t="str" cm="1">
        <f t="array" ref="LH57">IF(LH55="","",xcomp(LH12:LH53,L.ABS))</f>
        <v/>
      </c>
      <c r="LI57" s="18" t="str" cm="1">
        <f t="array" ref="LI57">IF(LI55="","",xcomp(LI12:LI53,L.ABS))</f>
        <v/>
      </c>
      <c r="LJ57" s="18" t="str" cm="1">
        <f t="array" ref="LJ57">IF(LJ55="","",xcomp(LJ12:LJ53,L.ABS))</f>
        <v/>
      </c>
      <c r="LK57" s="18" t="str" cm="1">
        <f t="array" ref="LK57">IF(LK55="","",xcomp(LK12:LK53,L.ABS))</f>
        <v/>
      </c>
      <c r="LL57" s="18" t="str" cm="1">
        <f t="array" ref="LL57">IF(LL55="","",xcomp(LL12:LL53,L.ABS))</f>
        <v/>
      </c>
      <c r="LM57" s="18" t="str" cm="1">
        <f t="array" ref="LM57">IF(LM55="","",xcomp(LM12:LM53,L.ABS))</f>
        <v/>
      </c>
      <c r="LN57" s="18" t="str" cm="1">
        <f t="array" ref="LN57">IF(LN55="","",xcomp(LN12:LN53,L.ABS))</f>
        <v/>
      </c>
      <c r="LO57" s="18" t="str" cm="1">
        <f t="array" ref="LO57">IF(LO55="","",xcomp(LO12:LO53,L.ABS))</f>
        <v/>
      </c>
      <c r="LP57" s="18" t="str" cm="1">
        <f t="array" ref="LP57">IF(LP55="","",xcomp(LP12:LP53,L.ABS))</f>
        <v/>
      </c>
      <c r="LQ57" s="18" t="str" cm="1">
        <f t="array" ref="LQ57">IF(LQ55="","",xcomp(LQ12:LQ53,L.ABS))</f>
        <v/>
      </c>
      <c r="LR57" s="18" t="str" cm="1">
        <f t="array" ref="LR57">IF(LR55="","",xcomp(LR12:LR53,L.ABS))</f>
        <v/>
      </c>
      <c r="LS57" s="18" t="str" cm="1">
        <f t="array" ref="LS57">IF(LS55="","",xcomp(LS12:LS53,L.ABS))</f>
        <v/>
      </c>
      <c r="LT57" s="18" t="str" cm="1">
        <f t="array" ref="LT57">IF(LT55="","",xcomp(LT12:LT53,L.ABS))</f>
        <v/>
      </c>
      <c r="LU57" s="18" t="str" cm="1">
        <f t="array" ref="LU57">IF(LU55="","",xcomp(LU12:LU53,L.ABS))</f>
        <v/>
      </c>
      <c r="LV57" s="18" t="str" cm="1">
        <f t="array" ref="LV57">IF(LV55="","",xcomp(LV12:LV53,L.ABS))</f>
        <v/>
      </c>
      <c r="LW57" s="18" t="str" cm="1">
        <f t="array" ref="LW57">IF(LW55="","",xcomp(LW12:LW53,L.ABS))</f>
        <v/>
      </c>
      <c r="LX57" s="18" t="str" cm="1">
        <f t="array" ref="LX57">IF(LX55="","",xcomp(LX12:LX53,L.ABS))</f>
        <v/>
      </c>
      <c r="LY57" s="18" t="str" cm="1">
        <f t="array" ref="LY57">IF(LY55="","",xcomp(LY12:LY53,L.ABS))</f>
        <v/>
      </c>
      <c r="LZ57" s="18" t="str" cm="1">
        <f t="array" ref="LZ57">IF(LZ55="","",xcomp(LZ12:LZ53,L.ABS))</f>
        <v/>
      </c>
      <c r="MA57" s="18" t="str" cm="1">
        <f t="array" ref="MA57">IF(MA55="","",xcomp(MA12:MA53,L.ABS))</f>
        <v/>
      </c>
      <c r="MB57" s="18" t="str" cm="1">
        <f t="array" ref="MB57">IF(MB55="","",xcomp(MB12:MB53,L.ABS))</f>
        <v/>
      </c>
      <c r="MC57" s="18" t="str" cm="1">
        <f t="array" ref="MC57">IF(MC55="","",xcomp(MC12:MC53,L.ABS))</f>
        <v/>
      </c>
      <c r="MD57" s="18" t="str" cm="1">
        <f t="array" ref="MD57">IF(MD55="","",xcomp(MD12:MD53,L.ABS))</f>
        <v/>
      </c>
      <c r="ME57" s="18" t="str" cm="1">
        <f t="array" ref="ME57">IF(ME55="","",xcomp(ME12:ME53,L.ABS))</f>
        <v/>
      </c>
      <c r="MF57" s="18" t="str" cm="1">
        <f t="array" ref="MF57">IF(MF55="","",xcomp(MF12:MF53,L.ABS))</f>
        <v/>
      </c>
      <c r="MG57" s="18" t="str" cm="1">
        <f t="array" ref="MG57">IF(MG55="","",xcomp(MG12:MG53,L.ABS))</f>
        <v/>
      </c>
      <c r="MH57" s="18" t="str" cm="1">
        <f t="array" ref="MH57">IF(MH55="","",xcomp(MH12:MH53,L.ABS))</f>
        <v/>
      </c>
      <c r="MI57" s="18" t="str" cm="1">
        <f t="array" ref="MI57">IF(MI55="","",xcomp(MI12:MI53,L.ABS))</f>
        <v/>
      </c>
      <c r="MJ57" s="18" t="str" cm="1">
        <f t="array" ref="MJ57">IF(MJ55="","",xcomp(MJ12:MJ53,L.ABS))</f>
        <v/>
      </c>
      <c r="MK57" s="18" t="str" cm="1">
        <f t="array" ref="MK57">IF(MK55="","",xcomp(MK12:MK53,L.ABS))</f>
        <v/>
      </c>
      <c r="ML57" s="18" t="str" cm="1">
        <f t="array" ref="ML57">IF(ML55="","",xcomp(ML12:ML53,L.ABS))</f>
        <v/>
      </c>
      <c r="MM57" s="18" t="str" cm="1">
        <f t="array" ref="MM57">IF(MM55="","",xcomp(MM12:MM53,L.ABS))</f>
        <v/>
      </c>
      <c r="MN57" s="18" t="str" cm="1">
        <f t="array" ref="MN57">IF(MN55="","",xcomp(MN12:MN53,L.ABS))</f>
        <v/>
      </c>
      <c r="MO57" s="18" t="str" cm="1">
        <f t="array" ref="MO57">IF(MO55="","",xcomp(MO12:MO53,L.ABS))</f>
        <v/>
      </c>
      <c r="MP57" s="18" t="str" cm="1">
        <f t="array" ref="MP57">IF(MP55="","",xcomp(MP12:MP53,L.ABS))</f>
        <v/>
      </c>
      <c r="MQ57" s="18" t="str" cm="1">
        <f t="array" ref="MQ57">IF(MQ55="","",xcomp(MQ12:MQ53,L.ABS))</f>
        <v/>
      </c>
      <c r="MR57" s="18" t="str" cm="1">
        <f t="array" ref="MR57">IF(MR55="","",xcomp(MR12:MR53,L.ABS))</f>
        <v/>
      </c>
      <c r="MS57" s="18" t="str" cm="1">
        <f t="array" ref="MS57">IF(MS55="","",xcomp(MS12:MS53,L.ABS))</f>
        <v/>
      </c>
      <c r="MT57" s="18" t="str" cm="1">
        <f t="array" ref="MT57">IF(MT55="","",xcomp(MT12:MT53,L.ABS))</f>
        <v/>
      </c>
      <c r="MU57" s="18" t="str" cm="1">
        <f t="array" ref="MU57">IF(MU55="","",xcomp(MU12:MU53,L.ABS))</f>
        <v/>
      </c>
      <c r="MV57" s="18" t="str" cm="1">
        <f t="array" ref="MV57">IF(MV55="","",xcomp(MV12:MV53,L.ABS))</f>
        <v/>
      </c>
      <c r="MW57" s="18" t="str" cm="1">
        <f t="array" ref="MW57">IF(MW55="","",xcomp(MW12:MW53,L.ABS))</f>
        <v/>
      </c>
      <c r="MX57" s="18" t="str" cm="1">
        <f t="array" ref="MX57">IF(MX55="","",xcomp(MX12:MX53,L.ABS))</f>
        <v/>
      </c>
      <c r="MY57" s="18" t="str" cm="1">
        <f t="array" ref="MY57">IF(MY55="","",xcomp(MY12:MY53,L.ABS))</f>
        <v/>
      </c>
      <c r="MZ57" s="18" t="str" cm="1">
        <f t="array" ref="MZ57">IF(MZ55="","",xcomp(MZ12:MZ53,L.ABS))</f>
        <v/>
      </c>
      <c r="NA57" s="18" t="str" cm="1">
        <f t="array" ref="NA57">IF(NA55="","",xcomp(NA12:NA53,L.ABS))</f>
        <v/>
      </c>
      <c r="NB57" s="18" t="str" cm="1">
        <f t="array" ref="NB57">IF(NB55="","",xcomp(NB12:NB53,L.ABS))</f>
        <v/>
      </c>
      <c r="NC57" s="18" t="str" cm="1">
        <f t="array" ref="NC57">IF(NC55="","",xcomp(NC12:NC53,L.ABS))</f>
        <v/>
      </c>
      <c r="ND57" s="18" t="str" cm="1">
        <f t="array" ref="ND57">IF(ND55="","",xcomp(ND12:ND53,L.ABS))</f>
        <v/>
      </c>
      <c r="NE57" s="18" t="str" cm="1">
        <f t="array" ref="NE57">IF(NE55="","",xcomp(NE12:NE53,L.ABS))</f>
        <v/>
      </c>
      <c r="NF57" s="18" t="str" cm="1">
        <f t="array" ref="NF57">IF(NF55="","",xcomp(NF12:NF53,L.ABS))</f>
        <v/>
      </c>
      <c r="NG57" s="18" t="str" cm="1">
        <f t="array" ref="NG57">IF(NG55="","",xcomp(NG12:NG53,L.ABS))</f>
        <v/>
      </c>
      <c r="NH57" s="18" t="str" cm="1">
        <f t="array" ref="NH57">IF(NH55="","",xcomp(NH12:NH53,L.ABS))</f>
        <v/>
      </c>
      <c r="NI57" s="18" t="str" cm="1">
        <f t="array" ref="NI57">IF(NI55="","",xcomp(NI12:NI53,L.ABS))</f>
        <v/>
      </c>
      <c r="NJ57" s="18" t="str" cm="1">
        <f t="array" ref="NJ57">IF(NJ55="","",xcomp(NJ12:NJ53,L.ABS))</f>
        <v/>
      </c>
      <c r="NN57" s="1"/>
      <c r="NO57" s="1"/>
      <c r="NP57" s="1"/>
      <c r="NQ57" s="1"/>
      <c r="NR57" s="1"/>
      <c r="NS57" s="1"/>
      <c r="NT57" s="1"/>
      <c r="NU57" s="1"/>
      <c r="NV57" s="1"/>
      <c r="NW57" s="1"/>
      <c r="NX57" s="1"/>
      <c r="NY57" s="1"/>
      <c r="NZ57" s="1"/>
      <c r="OA57" s="1"/>
      <c r="OB57" s="1"/>
      <c r="OC57" s="1"/>
      <c r="OD57" s="1"/>
      <c r="OE57" s="1"/>
      <c r="OF57" s="1"/>
      <c r="OG57" s="1"/>
      <c r="OH57" s="1"/>
      <c r="OI57" s="1"/>
      <c r="OJ57" s="1"/>
      <c r="OK57" s="1"/>
    </row>
    <row r="58" spans="1:404" x14ac:dyDescent="0.3">
      <c r="A58" s="477"/>
      <c r="B58" s="477"/>
      <c r="C58" s="477"/>
      <c r="D58" s="477"/>
      <c r="E58" s="477"/>
      <c r="F58" s="477"/>
      <c r="G58" s="478"/>
      <c r="H58" s="478" t="s">
        <v>42</v>
      </c>
      <c r="I58" s="28"/>
      <c r="J58" s="20" t="str" cm="1">
        <f t="array" ref="J58">IF(J$55="","",xcomp(J$12:J$53,L.ABSP))</f>
        <v/>
      </c>
      <c r="K58" s="20" t="str" cm="1">
        <f t="array" ref="K58">IF(K$55="","",xcomp(K$12:K$53,L.ABSP))</f>
        <v/>
      </c>
      <c r="L58" s="20" t="str" cm="1">
        <f t="array" ref="L58">IF(L$55="","",xcomp(L$12:L$53,L.ABSP))</f>
        <v/>
      </c>
      <c r="M58" s="20" t="str" cm="1">
        <f t="array" ref="M58">IF(M$55="","",xcomp(M$12:M$53,L.ABSP))</f>
        <v/>
      </c>
      <c r="N58" s="20" t="str" cm="1">
        <f t="array" ref="N58">IF(N$55="","",xcomp(N$12:N$53,L.ABSP))</f>
        <v/>
      </c>
      <c r="O58" s="20" t="str" cm="1">
        <f t="array" ref="O58">IF(O$55="","",xcomp(O$12:O$53,L.ABSP))</f>
        <v/>
      </c>
      <c r="P58" s="20" t="str" cm="1">
        <f t="array" ref="P58">IF(P$55="","",xcomp(P$12:P$53,L.ABSP))</f>
        <v/>
      </c>
      <c r="Q58" s="20" t="str" cm="1">
        <f t="array" ref="Q58">IF(Q$55="","",xcomp(Q$12:Q$53,L.ABSP))</f>
        <v/>
      </c>
      <c r="R58" s="20" cm="1">
        <f t="array" ref="R58">IF(R55="","",xcomp(R12:R53,L.ABSP))</f>
        <v>8</v>
      </c>
      <c r="S58" s="20" cm="1">
        <f t="array" ref="S58">IF(S55="","",xcomp(S12:S53,L.ABSP))</f>
        <v>8</v>
      </c>
      <c r="T58" s="20" cm="1">
        <f t="array" ref="T58">IF(T55="","",xcomp(T12:T53,L.ABSP))</f>
        <v>8</v>
      </c>
      <c r="U58" s="20" cm="1">
        <f t="array" ref="U58">IF(U55="","",xcomp(U12:U53,L.ABSP))</f>
        <v>8</v>
      </c>
      <c r="V58" s="20" cm="1">
        <f t="array" ref="V58">IF(V55="","",xcomp(V12:V53,L.ABSP))</f>
        <v>8</v>
      </c>
      <c r="W58" s="20" t="str" cm="1">
        <f t="array" ref="W58">IF(W55="","",xcomp(W12:W53,L.ABSP))</f>
        <v/>
      </c>
      <c r="X58" s="20" t="str" cm="1">
        <f t="array" ref="X58">IF(X55="","",xcomp(X12:X53,L.ABSP))</f>
        <v/>
      </c>
      <c r="Y58" s="20" cm="1">
        <f t="array" ref="Y58">IF(Y55="","",xcomp(Y12:Y53,L.ABSP))</f>
        <v>8</v>
      </c>
      <c r="Z58" s="20" cm="1">
        <f t="array" ref="Z58">IF(Z55="","",xcomp(Z12:Z53,L.ABSP))</f>
        <v>8</v>
      </c>
      <c r="AA58" s="20" cm="1">
        <f t="array" ref="AA58">IF(AA55="","",xcomp(AA12:AA53,L.ABSP))</f>
        <v>8</v>
      </c>
      <c r="AB58" s="20" cm="1">
        <f t="array" ref="AB58">IF(AB55="","",xcomp(AB12:AB53,L.ABSP))</f>
        <v>8</v>
      </c>
      <c r="AC58" s="20" cm="1">
        <f t="array" ref="AC58">IF(AC55="","",xcomp(AC12:AC53,L.ABSP))</f>
        <v>8</v>
      </c>
      <c r="AD58" s="20" t="str" cm="1">
        <f t="array" ref="AD58">IF(AD55="","",xcomp(AD12:AD53,L.ABSP))</f>
        <v/>
      </c>
      <c r="AE58" s="20" t="str" cm="1">
        <f t="array" ref="AE58">IF(AE55="","",xcomp(AE12:AE53,L.ABSP))</f>
        <v/>
      </c>
      <c r="AF58" s="20" cm="1">
        <f t="array" ref="AF58">IF(AF55="","",xcomp(AF12:AF53,L.ABSP))</f>
        <v>8</v>
      </c>
      <c r="AG58" s="20" cm="1">
        <f t="array" ref="AG58">IF(AG55="","",xcomp(AG12:AG53,L.ABSP))</f>
        <v>8</v>
      </c>
      <c r="AH58" s="20" cm="1">
        <f t="array" ref="AH58">IF(AH55="","",xcomp(AH12:AH53,L.ABSP))</f>
        <v>8</v>
      </c>
      <c r="AI58" s="20" cm="1">
        <f t="array" ref="AI58">IF(AI55="","",xcomp(AI12:AI53,L.ABSP))</f>
        <v>8</v>
      </c>
      <c r="AJ58" s="20" cm="1">
        <f t="array" ref="AJ58">IF(AJ55="","",xcomp(AJ12:AJ53,L.ABSP))</f>
        <v>8</v>
      </c>
      <c r="AK58" s="20" t="str" cm="1">
        <f t="array" ref="AK58">IF(AK55="","",xcomp(AK12:AK53,L.ABSP))</f>
        <v/>
      </c>
      <c r="AL58" s="20" t="str" cm="1">
        <f t="array" ref="AL58">IF(AL55="","",xcomp(AL12:AL53,L.ABSP))</f>
        <v/>
      </c>
      <c r="AM58" s="20" cm="1">
        <f t="array" ref="AM58">IF(AM55="","",xcomp(AM12:AM53,L.ABSP))</f>
        <v>8</v>
      </c>
      <c r="AN58" s="20" cm="1">
        <f t="array" ref="AN58">IF(AN55="","",xcomp(AN12:AN53,L.ABSP))</f>
        <v>8</v>
      </c>
      <c r="AO58" s="20" cm="1">
        <f t="array" ref="AO58">IF(AO55="","",xcomp(AO12:AO53,L.ABSP))</f>
        <v>8</v>
      </c>
      <c r="AP58" s="20" cm="1">
        <f t="array" ref="AP58">IF(AP55="","",xcomp(AP12:AP53,L.ABSP))</f>
        <v>8</v>
      </c>
      <c r="AQ58" s="20" cm="1">
        <f t="array" ref="AQ58">IF(AQ55="","",xcomp(AQ12:AQ53,L.ABSP))</f>
        <v>8</v>
      </c>
      <c r="AR58" s="20" t="str" cm="1">
        <f t="array" ref="AR58">IF(AR55="","",xcomp(AR12:AR53,L.ABSP))</f>
        <v/>
      </c>
      <c r="AS58" s="20" t="str" cm="1">
        <f t="array" ref="AS58">IF(AS55="","",xcomp(AS12:AS53,L.ABSP))</f>
        <v/>
      </c>
      <c r="AT58" s="20" cm="1">
        <f t="array" ref="AT58">IF(AT55="","",xcomp(AT12:AT53,L.ABSP))</f>
        <v>9</v>
      </c>
      <c r="AU58" s="20" cm="1">
        <f t="array" ref="AU58">IF(AU55="","",xcomp(AU12:AU53,L.ABSP))</f>
        <v>9</v>
      </c>
      <c r="AV58" s="20" cm="1">
        <f t="array" ref="AV58">IF(AV55="","",xcomp(AV12:AV53,L.ABSP))</f>
        <v>9</v>
      </c>
      <c r="AW58" s="20" cm="1">
        <f t="array" ref="AW58">IF(AW55="","",xcomp(AW12:AW53,L.ABSP))</f>
        <v>9</v>
      </c>
      <c r="AX58" s="20" cm="1">
        <f t="array" ref="AX58">IF(AX55="","",xcomp(AX12:AX53,L.ABSP))</f>
        <v>9</v>
      </c>
      <c r="AY58" s="20" t="str" cm="1">
        <f t="array" ref="AY58">IF(AY55="","",xcomp(AY12:AY53,L.ABSP))</f>
        <v/>
      </c>
      <c r="AZ58" s="20" t="str" cm="1">
        <f t="array" ref="AZ58">IF(AZ55="","",xcomp(AZ12:AZ53,L.ABSP))</f>
        <v/>
      </c>
      <c r="BA58" s="20" cm="1">
        <f t="array" ref="BA58">IF(BA55="","",xcomp(BA12:BA53,L.ABSP))</f>
        <v>9</v>
      </c>
      <c r="BB58" s="20" cm="1">
        <f t="array" ref="BB58">IF(BB55="","",xcomp(BB12:BB53,L.ABSP))</f>
        <v>9</v>
      </c>
      <c r="BC58" s="20" cm="1">
        <f t="array" ref="BC58">IF(BC55="","",xcomp(BC12:BC53,L.ABSP))</f>
        <v>9</v>
      </c>
      <c r="BD58" s="20" cm="1">
        <f t="array" ref="BD58">IF(BD55="","",xcomp(BD12:BD53,L.ABSP))</f>
        <v>9</v>
      </c>
      <c r="BE58" s="20" cm="1">
        <f t="array" ref="BE58">IF(BE55="","",xcomp(BE12:BE53,L.ABSP))</f>
        <v>9</v>
      </c>
      <c r="BF58" s="20" t="str" cm="1">
        <f t="array" ref="BF58">IF(BF55="","",xcomp(BF12:BF53,L.ABSP))</f>
        <v/>
      </c>
      <c r="BG58" s="20" t="str" cm="1">
        <f t="array" ref="BG58">IF(BG55="","",xcomp(BG12:BG53,L.ABSP))</f>
        <v/>
      </c>
      <c r="BH58" s="20" cm="1">
        <f t="array" ref="BH58">IF(BH55="","",xcomp(BH12:BH53,L.ABSP))</f>
        <v>9</v>
      </c>
      <c r="BI58" s="20" cm="1">
        <f t="array" ref="BI58">IF(BI55="","",xcomp(BI12:BI53,L.ABSP))</f>
        <v>9</v>
      </c>
      <c r="BJ58" s="20" cm="1">
        <f t="array" ref="BJ58">IF(BJ55="","",xcomp(BJ12:BJ53,L.ABSP))</f>
        <v>9</v>
      </c>
      <c r="BK58" s="20" cm="1">
        <f t="array" ref="BK58">IF(BK55="","",xcomp(BK12:BK53,L.ABSP))</f>
        <v>9</v>
      </c>
      <c r="BL58" s="20" cm="1">
        <f t="array" ref="BL58">IF(BL55="","",xcomp(BL12:BL53,L.ABSP))</f>
        <v>9</v>
      </c>
      <c r="BM58" s="20" t="str" cm="1">
        <f t="array" ref="BM58">IF(BM55="","",xcomp(BM12:BM53,L.ABSP))</f>
        <v/>
      </c>
      <c r="BN58" s="20" t="str" cm="1">
        <f t="array" ref="BN58">IF(BN55="","",xcomp(BN12:BN53,L.ABSP))</f>
        <v/>
      </c>
      <c r="BO58" s="20" cm="1">
        <f t="array" ref="BO58">IF(BO55="","",xcomp(BO12:BO53,L.ABSP))</f>
        <v>13</v>
      </c>
      <c r="BP58" s="20" cm="1">
        <f t="array" ref="BP58">IF(BP55="","",xcomp(BP12:BP53,L.ABSP))</f>
        <v>13</v>
      </c>
      <c r="BQ58" s="20" cm="1">
        <f t="array" ref="BQ58">IF(BQ55="","",xcomp(BQ12:BQ53,L.ABSP))</f>
        <v>13</v>
      </c>
      <c r="BR58" s="20" cm="1">
        <f t="array" ref="BR58">IF(BR55="","",xcomp(BR12:BR53,L.ABSP))</f>
        <v>13</v>
      </c>
      <c r="BS58" s="20" cm="1">
        <f t="array" ref="BS58">IF(BS55="","",xcomp(BS12:BS53,L.ABSP))</f>
        <v>13</v>
      </c>
      <c r="BT58" s="20" t="str" cm="1">
        <f t="array" ref="BT58">IF(BT55="","",xcomp(BT12:BT53,L.ABSP))</f>
        <v/>
      </c>
      <c r="BU58" s="20" t="str" cm="1">
        <f t="array" ref="BU58">IF(BU55="","",xcomp(BU12:BU53,L.ABSP))</f>
        <v/>
      </c>
      <c r="BV58" s="20" cm="1">
        <f t="array" ref="BV58">IF(BV55="","",xcomp(BV12:BV53,L.ABSP))</f>
        <v>13</v>
      </c>
      <c r="BW58" s="20" cm="1">
        <f t="array" ref="BW58">IF(BW55="","",xcomp(BW12:BW53,L.ABSP))</f>
        <v>13</v>
      </c>
      <c r="BX58" s="20" cm="1">
        <f t="array" ref="BX58">IF(BX55="","",xcomp(BX12:BX53,L.ABSP))</f>
        <v>13</v>
      </c>
      <c r="BY58" s="20" cm="1">
        <f t="array" ref="BY58">IF(BY55="","",xcomp(BY12:BY53,L.ABSP))</f>
        <v>13</v>
      </c>
      <c r="BZ58" s="20" cm="1">
        <f t="array" ref="BZ58">IF(BZ55="","",xcomp(BZ12:BZ53,L.ABSP))</f>
        <v>13</v>
      </c>
      <c r="CA58" s="20" t="str" cm="1">
        <f t="array" ref="CA58">IF(CA55="","",xcomp(CA12:CA53,L.ABSP))</f>
        <v/>
      </c>
      <c r="CB58" s="20" t="str" cm="1">
        <f t="array" ref="CB58">IF(CB55="","",xcomp(CB12:CB53,L.ABSP))</f>
        <v/>
      </c>
      <c r="CC58" s="20" cm="1">
        <f t="array" ref="CC58">IF(CC55="","",xcomp(CC12:CC53,L.ABSP))</f>
        <v>16</v>
      </c>
      <c r="CD58" s="20" cm="1">
        <f t="array" ref="CD58">IF(CD55="","",xcomp(CD12:CD53,L.ABSP))</f>
        <v>16</v>
      </c>
      <c r="CE58" s="20" cm="1">
        <f t="array" ref="CE58">IF(CE55="","",xcomp(CE12:CE53,L.ABSP))</f>
        <v>16</v>
      </c>
      <c r="CF58" s="20" cm="1">
        <f t="array" ref="CF58">IF(CF55="","",xcomp(CF12:CF53,L.ABSP))</f>
        <v>16</v>
      </c>
      <c r="CG58" s="20" cm="1">
        <f t="array" ref="CG58">IF(CG55="","",xcomp(CG12:CG53,L.ABSP))</f>
        <v>16</v>
      </c>
      <c r="CH58" s="20" t="str" cm="1">
        <f t="array" ref="CH58">IF(CH55="","",xcomp(CH12:CH53,L.ABSP))</f>
        <v/>
      </c>
      <c r="CI58" s="20" t="str" cm="1">
        <f t="array" ref="CI58">IF(CI55="","",xcomp(CI12:CI53,L.ABSP))</f>
        <v/>
      </c>
      <c r="CJ58" s="20" cm="1">
        <f t="array" ref="CJ58">IF(CJ55="","",xcomp(CJ12:CJ53,L.ABSP))</f>
        <v>17</v>
      </c>
      <c r="CK58" s="20" cm="1">
        <f t="array" ref="CK58">IF(CK55="","",xcomp(CK12:CK53,L.ABSP))</f>
        <v>17</v>
      </c>
      <c r="CL58" s="20" cm="1">
        <f t="array" ref="CL58">IF(CL55="","",xcomp(CL12:CL53,L.ABSP))</f>
        <v>17</v>
      </c>
      <c r="CM58" s="20" cm="1">
        <f t="array" ref="CM58">IF(CM55="","",xcomp(CM12:CM53,L.ABSP))</f>
        <v>17</v>
      </c>
      <c r="CN58" s="20" cm="1">
        <f t="array" ref="CN58">IF(CN55="","",xcomp(CN12:CN53,L.ABSP))</f>
        <v>17</v>
      </c>
      <c r="CO58" s="20" t="str" cm="1">
        <f t="array" ref="CO58">IF(CO55="","",xcomp(CO12:CO53,L.ABSP))</f>
        <v/>
      </c>
      <c r="CP58" s="20" t="str" cm="1">
        <f t="array" ref="CP58">IF(CP55="","",xcomp(CP12:CP53,L.ABSP))</f>
        <v/>
      </c>
      <c r="CQ58" s="20" cm="1">
        <f t="array" ref="CQ58">IF(CQ55="","",xcomp(CQ12:CQ53,L.ABSP))</f>
        <v>19</v>
      </c>
      <c r="CR58" s="20" cm="1">
        <f t="array" ref="CR58">IF(CR55="","",xcomp(CR12:CR53,L.ABSP))</f>
        <v>19</v>
      </c>
      <c r="CS58" s="20" cm="1">
        <f t="array" ref="CS58">IF(CS55="","",xcomp(CS12:CS53,L.ABSP))</f>
        <v>19</v>
      </c>
      <c r="CT58" s="20" cm="1">
        <f t="array" ref="CT58">IF(CT55="","",xcomp(CT12:CT53,L.ABSP))</f>
        <v>19</v>
      </c>
      <c r="CU58" s="20" cm="1">
        <f t="array" ref="CU58">IF(CU55="","",xcomp(CU12:CU53,L.ABSP))</f>
        <v>19</v>
      </c>
      <c r="CV58" s="20" t="str" cm="1">
        <f t="array" ref="CV58">IF(CV55="","",xcomp(CV12:CV53,L.ABSP))</f>
        <v/>
      </c>
      <c r="CW58" s="20" t="str" cm="1">
        <f t="array" ref="CW58">IF(CW55="","",xcomp(CW12:CW53,L.ABSP))</f>
        <v/>
      </c>
      <c r="CX58" s="20" t="str" cm="1">
        <f t="array" ref="CX58">IF(CX55="","",xcomp(CX12:CX53,L.ABSP))</f>
        <v/>
      </c>
      <c r="CY58" s="20" t="str" cm="1">
        <f t="array" ref="CY58">IF(CY55="","",xcomp(CY12:CY53,L.ABSP))</f>
        <v/>
      </c>
      <c r="CZ58" s="20" t="str" cm="1">
        <f t="array" ref="CZ58">IF(CZ55="","",xcomp(CZ12:CZ53,L.ABSP))</f>
        <v/>
      </c>
      <c r="DA58" s="20" t="str" cm="1">
        <f t="array" ref="DA58">IF(DA55="","",xcomp(DA12:DA53,L.ABSP))</f>
        <v/>
      </c>
      <c r="DB58" s="20" t="str" cm="1">
        <f t="array" ref="DB58">IF(DB55="","",xcomp(DB12:DB53,L.ABSP))</f>
        <v/>
      </c>
      <c r="DC58" s="20" t="str" cm="1">
        <f t="array" ref="DC58">IF(DC55="","",xcomp(DC12:DC53,L.ABSP))</f>
        <v/>
      </c>
      <c r="DD58" s="20" t="str" cm="1">
        <f t="array" ref="DD58">IF(DD55="","",xcomp(DD12:DD53,L.ABSP))</f>
        <v/>
      </c>
      <c r="DE58" s="20" cm="1">
        <f t="array" ref="DE58">IF(DE55="","",xcomp(DE12:DE53,L.ABSP))</f>
        <v>1</v>
      </c>
      <c r="DF58" s="20" cm="1">
        <f t="array" ref="DF58">IF(DF55="","",xcomp(DF12:DF53,L.ABSP))</f>
        <v>1</v>
      </c>
      <c r="DG58" s="20" cm="1">
        <f t="array" ref="DG58">IF(DG55="","",xcomp(DG12:DG53,L.ABSP))</f>
        <v>1</v>
      </c>
      <c r="DH58" s="20" cm="1">
        <f t="array" ref="DH58">IF(DH55="","",xcomp(DH12:DH53,L.ABSP))</f>
        <v>1</v>
      </c>
      <c r="DI58" s="20" cm="1">
        <f t="array" ref="DI58">IF(DI55="","",xcomp(DI12:DI53,L.ABSP))</f>
        <v>1</v>
      </c>
      <c r="DJ58" s="20" t="str" cm="1">
        <f t="array" ref="DJ58">IF(DJ55="","",xcomp(DJ12:DJ53,L.ABSP))</f>
        <v/>
      </c>
      <c r="DK58" s="20" t="str" cm="1">
        <f t="array" ref="DK58">IF(DK55="","",xcomp(DK12:DK53,L.ABSP))</f>
        <v/>
      </c>
      <c r="DL58" s="20" cm="1">
        <f t="array" ref="DL58">IF(DL55="","",xcomp(DL12:DL53,L.ABSP))</f>
        <v>1</v>
      </c>
      <c r="DM58" s="20" cm="1">
        <f t="array" ref="DM58">IF(DM55="","",xcomp(DM12:DM53,L.ABSP))</f>
        <v>1</v>
      </c>
      <c r="DN58" s="20" cm="1">
        <f t="array" ref="DN58">IF(DN55="","",xcomp(DN12:DN53,L.ABSP))</f>
        <v>1</v>
      </c>
      <c r="DO58" s="20" cm="1">
        <f t="array" ref="DO58">IF(DO55="","",xcomp(DO12:DO53,L.ABSP))</f>
        <v>1</v>
      </c>
      <c r="DP58" s="20" cm="1">
        <f t="array" ref="DP58">IF(DP55="","",xcomp(DP12:DP53,L.ABSP))</f>
        <v>1</v>
      </c>
      <c r="DQ58" s="20" t="str" cm="1">
        <f t="array" ref="DQ58">IF(DQ55="","",xcomp(DQ12:DQ53,L.ABSP))</f>
        <v/>
      </c>
      <c r="DR58" s="20" t="str" cm="1">
        <f t="array" ref="DR58">IF(DR55="","",xcomp(DR12:DR53,L.ABSP))</f>
        <v/>
      </c>
      <c r="DS58" s="20" t="str" cm="1">
        <f t="array" ref="DS58">IF(DS55="","",xcomp(DS12:DS53,L.ABSP))</f>
        <v/>
      </c>
      <c r="DT58" s="20" t="str" cm="1">
        <f t="array" ref="DT58">IF(DT55="","",xcomp(DT12:DT53,L.ABSP))</f>
        <v/>
      </c>
      <c r="DU58" s="20" t="str" cm="1">
        <f t="array" ref="DU58">IF(DU55="","",xcomp(DU12:DU53,L.ABSP))</f>
        <v/>
      </c>
      <c r="DV58" s="20" t="str" cm="1">
        <f t="array" ref="DV58">IF(DV55="","",xcomp(DV12:DV53,L.ABSP))</f>
        <v/>
      </c>
      <c r="DW58" s="20" t="str" cm="1">
        <f t="array" ref="DW58">IF(DW55="","",xcomp(DW12:DW53,L.ABSP))</f>
        <v/>
      </c>
      <c r="DX58" s="20" t="str" cm="1">
        <f t="array" ref="DX58">IF(DX55="","",xcomp(DX12:DX53,L.ABSP))</f>
        <v/>
      </c>
      <c r="DY58" s="20" t="str" cm="1">
        <f t="array" ref="DY58">IF(DY55="","",xcomp(DY12:DY53,L.ABSP))</f>
        <v/>
      </c>
      <c r="DZ58" s="20" t="str" cm="1">
        <f t="array" ref="DZ58">IF(DZ55="","",xcomp(DZ12:DZ53,L.ABSP))</f>
        <v/>
      </c>
      <c r="EA58" s="20" t="str" cm="1">
        <f t="array" ref="EA58">IF(EA55="","",xcomp(EA12:EA53,L.ABSP))</f>
        <v/>
      </c>
      <c r="EB58" s="20" t="str" cm="1">
        <f t="array" ref="EB58">IF(EB55="","",xcomp(EB12:EB53,L.ABSP))</f>
        <v/>
      </c>
      <c r="EC58" s="20" t="str" cm="1">
        <f t="array" ref="EC58">IF(EC55="","",xcomp(EC12:EC53,L.ABSP))</f>
        <v/>
      </c>
      <c r="ED58" s="20" t="str" cm="1">
        <f t="array" ref="ED58">IF(ED55="","",xcomp(ED12:ED53,L.ABSP))</f>
        <v/>
      </c>
      <c r="EE58" s="20" t="str" cm="1">
        <f t="array" ref="EE58">IF(EE55="","",xcomp(EE12:EE53,L.ABSP))</f>
        <v/>
      </c>
      <c r="EF58" s="20" t="str" cm="1">
        <f t="array" ref="EF58">IF(EF55="","",xcomp(EF12:EF53,L.ABSP))</f>
        <v/>
      </c>
      <c r="EG58" s="20" t="str" cm="1">
        <f t="array" ref="EG58">IF(EG55="","",xcomp(EG12:EG53,L.ABSP))</f>
        <v/>
      </c>
      <c r="EH58" s="20" t="str" cm="1">
        <f t="array" ref="EH58">IF(EH55="","",xcomp(EH12:EH53,L.ABSP))</f>
        <v/>
      </c>
      <c r="EI58" s="20" t="str" cm="1">
        <f t="array" ref="EI58">IF(EI55="","",xcomp(EI12:EI53,L.ABSP))</f>
        <v/>
      </c>
      <c r="EJ58" s="20" t="str" cm="1">
        <f t="array" ref="EJ58">IF(EJ55="","",xcomp(EJ12:EJ53,L.ABSP))</f>
        <v/>
      </c>
      <c r="EK58" s="20" t="str" cm="1">
        <f t="array" ref="EK58">IF(EK55="","",xcomp(EK12:EK53,L.ABSP))</f>
        <v/>
      </c>
      <c r="EL58" s="20" t="str" cm="1">
        <f t="array" ref="EL58">IF(EL55="","",xcomp(EL12:EL53,L.ABSP))</f>
        <v/>
      </c>
      <c r="EM58" s="20" t="str" cm="1">
        <f t="array" ref="EM58">IF(EM55="","",xcomp(EM12:EM53,L.ABSP))</f>
        <v/>
      </c>
      <c r="EN58" s="20" t="str" cm="1">
        <f t="array" ref="EN58">IF(EN55="","",xcomp(EN12:EN53,L.ABSP))</f>
        <v/>
      </c>
      <c r="EO58" s="20" t="str" cm="1">
        <f t="array" ref="EO58">IF(EO55="","",xcomp(EO12:EO53,L.ABSP))</f>
        <v/>
      </c>
      <c r="EP58" s="20" t="str" cm="1">
        <f t="array" ref="EP58">IF(EP55="","",xcomp(EP12:EP53,L.ABSP))</f>
        <v/>
      </c>
      <c r="EQ58" s="20" t="str" cm="1">
        <f t="array" ref="EQ58">IF(EQ55="","",xcomp(EQ12:EQ53,L.ABSP))</f>
        <v/>
      </c>
      <c r="ER58" s="20" t="str" cm="1">
        <f t="array" ref="ER58">IF(ER55="","",xcomp(ER12:ER53,L.ABSP))</f>
        <v/>
      </c>
      <c r="ES58" s="20" t="str" cm="1">
        <f t="array" ref="ES58">IF(ES55="","",xcomp(ES12:ES53,L.ABSP))</f>
        <v/>
      </c>
      <c r="ET58" s="20" t="str" cm="1">
        <f t="array" ref="ET58">IF(ET55="","",xcomp(ET12:ET53,L.ABSP))</f>
        <v/>
      </c>
      <c r="EU58" s="20" t="str" cm="1">
        <f t="array" ref="EU58">IF(EU55="","",xcomp(EU12:EU53,L.ABSP))</f>
        <v/>
      </c>
      <c r="EV58" s="20" t="str" cm="1">
        <f t="array" ref="EV58">IF(EV55="","",xcomp(EV12:EV53,L.ABSP))</f>
        <v/>
      </c>
      <c r="EW58" s="20" t="str" cm="1">
        <f t="array" ref="EW58">IF(EW55="","",xcomp(EW12:EW53,L.ABSP))</f>
        <v/>
      </c>
      <c r="EX58" s="20" t="str" cm="1">
        <f t="array" ref="EX58">IF(EX55="","",xcomp(EX12:EX53,L.ABSP))</f>
        <v/>
      </c>
      <c r="EY58" s="20" t="str" cm="1">
        <f t="array" ref="EY58">IF(EY55="","",xcomp(EY12:EY53,L.ABSP))</f>
        <v/>
      </c>
      <c r="EZ58" s="20" t="str" cm="1">
        <f t="array" ref="EZ58">IF(EZ55="","",xcomp(EZ12:EZ53,L.ABSP))</f>
        <v/>
      </c>
      <c r="FA58" s="20" t="str" cm="1">
        <f t="array" ref="FA58">IF(FA55="","",xcomp(FA12:FA53,L.ABSP))</f>
        <v/>
      </c>
      <c r="FB58" s="20" t="str" cm="1">
        <f t="array" ref="FB58">IF(FB55="","",xcomp(FB12:FB53,L.ABSP))</f>
        <v/>
      </c>
      <c r="FC58" s="20" t="str" cm="1">
        <f t="array" ref="FC58">IF(FC55="","",xcomp(FC12:FC53,L.ABSP))</f>
        <v/>
      </c>
      <c r="FD58" s="20" t="str" cm="1">
        <f t="array" ref="FD58">IF(FD55="","",xcomp(FD12:FD53,L.ABSP))</f>
        <v/>
      </c>
      <c r="FE58" s="20" t="str" cm="1">
        <f t="array" ref="FE58">IF(FE55="","",xcomp(FE12:FE53,L.ABSP))</f>
        <v/>
      </c>
      <c r="FF58" s="20" t="str" cm="1">
        <f t="array" ref="FF58">IF(FF55="","",xcomp(FF12:FF53,L.ABSP))</f>
        <v/>
      </c>
      <c r="FG58" s="20" t="str" cm="1">
        <f t="array" ref="FG58">IF(FG55="","",xcomp(FG12:FG53,L.ABSP))</f>
        <v/>
      </c>
      <c r="FH58" s="20" t="str" cm="1">
        <f t="array" ref="FH58">IF(FH55="","",xcomp(FH12:FH53,L.ABSP))</f>
        <v/>
      </c>
      <c r="FI58" s="20" t="str" cm="1">
        <f t="array" ref="FI58">IF(FI55="","",xcomp(FI12:FI53,L.ABSP))</f>
        <v/>
      </c>
      <c r="FJ58" s="20" t="str" cm="1">
        <f t="array" ref="FJ58">IF(FJ55="","",xcomp(FJ12:FJ53,L.ABSP))</f>
        <v/>
      </c>
      <c r="FK58" s="20" t="str" cm="1">
        <f t="array" ref="FK58">IF(FK55="","",xcomp(FK12:FK53,L.ABSP))</f>
        <v/>
      </c>
      <c r="FL58" s="20" t="str" cm="1">
        <f t="array" ref="FL58">IF(FL55="","",xcomp(FL12:FL53,L.ABSP))</f>
        <v/>
      </c>
      <c r="FM58" s="20" t="str" cm="1">
        <f t="array" ref="FM58">IF(FM55="","",xcomp(FM12:FM53,L.ABSP))</f>
        <v/>
      </c>
      <c r="FN58" s="20" t="str" cm="1">
        <f t="array" ref="FN58">IF(FN55="","",xcomp(FN12:FN53,L.ABSP))</f>
        <v/>
      </c>
      <c r="FO58" s="20" t="str" cm="1">
        <f t="array" ref="FO58">IF(FO55="","",xcomp(FO12:FO53,L.ABSP))</f>
        <v/>
      </c>
      <c r="FP58" s="20" t="str" cm="1">
        <f t="array" ref="FP58">IF(FP55="","",xcomp(FP12:FP53,L.ABSP))</f>
        <v/>
      </c>
      <c r="FQ58" s="20" t="str" cm="1">
        <f t="array" ref="FQ58">IF(FQ55="","",xcomp(FQ12:FQ53,L.ABSP))</f>
        <v/>
      </c>
      <c r="FR58" s="20" t="str" cm="1">
        <f t="array" ref="FR58">IF(FR55="","",xcomp(FR12:FR53,L.ABSP))</f>
        <v/>
      </c>
      <c r="FS58" s="20" t="str" cm="1">
        <f t="array" ref="FS58">IF(FS55="","",xcomp(FS12:FS53,L.ABSP))</f>
        <v/>
      </c>
      <c r="FT58" s="20" t="str" cm="1">
        <f t="array" ref="FT58">IF(FT55="","",xcomp(FT12:FT53,L.ABSP))</f>
        <v/>
      </c>
      <c r="FU58" s="20" t="str" cm="1">
        <f t="array" ref="FU58">IF(FU55="","",xcomp(FU12:FU53,L.ABSP))</f>
        <v/>
      </c>
      <c r="FV58" s="20" t="str" cm="1">
        <f t="array" ref="FV58">IF(FV55="","",xcomp(FV12:FV53,L.ABSP))</f>
        <v/>
      </c>
      <c r="FW58" s="20" t="str" cm="1">
        <f t="array" ref="FW58">IF(FW55="","",xcomp(FW12:FW53,L.ABSP))</f>
        <v/>
      </c>
      <c r="FX58" s="20" t="str" cm="1">
        <f t="array" ref="FX58">IF(FX55="","",xcomp(FX12:FX53,L.ABSP))</f>
        <v/>
      </c>
      <c r="FY58" s="20" t="str" cm="1">
        <f t="array" ref="FY58">IF(FY55="","",xcomp(FY12:FY53,L.ABSP))</f>
        <v/>
      </c>
      <c r="FZ58" s="20" t="str" cm="1">
        <f t="array" ref="FZ58">IF(FZ55="","",xcomp(FZ12:FZ53,L.ABSP))</f>
        <v/>
      </c>
      <c r="GA58" s="20" t="str" cm="1">
        <f t="array" ref="GA58">IF(GA55="","",xcomp(GA12:GA53,L.ABSP))</f>
        <v/>
      </c>
      <c r="GB58" s="20" t="str" cm="1">
        <f t="array" ref="GB58">IF(GB55="","",xcomp(GB12:GB53,L.ABSP))</f>
        <v/>
      </c>
      <c r="GC58" s="20" t="str" cm="1">
        <f t="array" ref="GC58">IF(GC55="","",xcomp(GC12:GC53,L.ABSP))</f>
        <v/>
      </c>
      <c r="GD58" s="20" t="str" cm="1">
        <f t="array" ref="GD58">IF(GD55="","",xcomp(GD12:GD53,L.ABSP))</f>
        <v/>
      </c>
      <c r="GE58" s="20" t="str" cm="1">
        <f t="array" ref="GE58">IF(GE55="","",xcomp(GE12:GE53,L.ABSP))</f>
        <v/>
      </c>
      <c r="GF58" s="20" t="str" cm="1">
        <f t="array" ref="GF58">IF(GF55="","",xcomp(GF12:GF53,L.ABSP))</f>
        <v/>
      </c>
      <c r="GG58" s="20" t="str" cm="1">
        <f t="array" ref="GG58">IF(GG55="","",xcomp(GG12:GG53,L.ABSP))</f>
        <v/>
      </c>
      <c r="GH58" s="20" t="str" cm="1">
        <f t="array" ref="GH58">IF(GH55="","",xcomp(GH12:GH53,L.ABSP))</f>
        <v/>
      </c>
      <c r="GI58" s="20" t="str" cm="1">
        <f t="array" ref="GI58">IF(GI55="","",xcomp(GI12:GI53,L.ABSP))</f>
        <v/>
      </c>
      <c r="GJ58" s="20" t="str" cm="1">
        <f t="array" ref="GJ58">IF(GJ55="","",xcomp(GJ12:GJ53,L.ABSP))</f>
        <v/>
      </c>
      <c r="GK58" s="20" t="str" cm="1">
        <f t="array" ref="GK58">IF(GK55="","",xcomp(GK12:GK53,L.ABSP))</f>
        <v/>
      </c>
      <c r="GL58" s="20" t="str" cm="1">
        <f t="array" ref="GL58">IF(GL55="","",xcomp(GL12:GL53,L.ABSP))</f>
        <v/>
      </c>
      <c r="GM58" s="20" t="str" cm="1">
        <f t="array" ref="GM58">IF(GM55="","",xcomp(GM12:GM53,L.ABSP))</f>
        <v/>
      </c>
      <c r="GN58" s="20" t="str" cm="1">
        <f t="array" ref="GN58">IF(GN55="","",xcomp(GN12:GN53,L.ABSP))</f>
        <v/>
      </c>
      <c r="GO58" s="20" t="str" cm="1">
        <f t="array" ref="GO58">IF(GO55="","",xcomp(GO12:GO53,L.ABSP))</f>
        <v/>
      </c>
      <c r="GP58" s="20" t="str" cm="1">
        <f t="array" ref="GP58">IF(GP55="","",xcomp(GP12:GP53,L.ABSP))</f>
        <v/>
      </c>
      <c r="GQ58" s="20" t="str" cm="1">
        <f t="array" ref="GQ58">IF(GQ55="","",xcomp(GQ12:GQ53,L.ABSP))</f>
        <v/>
      </c>
      <c r="GR58" s="20" t="str" cm="1">
        <f t="array" ref="GR58">IF(GR55="","",xcomp(GR12:GR53,L.ABSP))</f>
        <v/>
      </c>
      <c r="GS58" s="20" t="str" cm="1">
        <f t="array" ref="GS58">IF(GS55="","",xcomp(GS12:GS53,L.ABSP))</f>
        <v/>
      </c>
      <c r="GT58" s="20" t="str" cm="1">
        <f t="array" ref="GT58">IF(GT55="","",xcomp(GT12:GT53,L.ABSP))</f>
        <v/>
      </c>
      <c r="GU58" s="20" t="str" cm="1">
        <f t="array" ref="GU58">IF(GU55="","",xcomp(GU12:GU53,L.ABSP))</f>
        <v/>
      </c>
      <c r="GV58" s="20" t="str" cm="1">
        <f t="array" ref="GV58">IF(GV55="","",xcomp(GV12:GV53,L.ABSP))</f>
        <v/>
      </c>
      <c r="GW58" s="20" t="str" cm="1">
        <f t="array" ref="GW58">IF(GW55="","",xcomp(GW12:GW53,L.ABSP))</f>
        <v/>
      </c>
      <c r="GX58" s="20" t="str" cm="1">
        <f t="array" ref="GX58">IF(GX55="","",xcomp(GX12:GX53,L.ABSP))</f>
        <v/>
      </c>
      <c r="GY58" s="20" t="str" cm="1">
        <f t="array" ref="GY58">IF(GY55="","",xcomp(GY12:GY53,L.ABSP))</f>
        <v/>
      </c>
      <c r="GZ58" s="20" t="str" cm="1">
        <f t="array" ref="GZ58">IF(GZ55="","",xcomp(GZ12:GZ53,L.ABSP))</f>
        <v/>
      </c>
      <c r="HA58" s="20" t="str" cm="1">
        <f t="array" ref="HA58">IF(HA55="","",xcomp(HA12:HA53,L.ABSP))</f>
        <v/>
      </c>
      <c r="HB58" s="20" t="str" cm="1">
        <f t="array" ref="HB58">IF(HB55="","",xcomp(HB12:HB53,L.ABSP))</f>
        <v/>
      </c>
      <c r="HC58" s="20" t="str" cm="1">
        <f t="array" ref="HC58">IF(HC55="","",xcomp(HC12:HC53,L.ABSP))</f>
        <v/>
      </c>
      <c r="HD58" s="20" t="str" cm="1">
        <f t="array" ref="HD58">IF(HD55="","",xcomp(HD12:HD53,L.ABSP))</f>
        <v/>
      </c>
      <c r="HE58" s="20" t="str" cm="1">
        <f t="array" ref="HE58">IF(HE55="","",xcomp(HE12:HE53,L.ABSP))</f>
        <v/>
      </c>
      <c r="HF58" s="20" t="str" cm="1">
        <f t="array" ref="HF58">IF(HF55="","",xcomp(HF12:HF53,L.ABSP))</f>
        <v/>
      </c>
      <c r="HG58" s="20" t="str" cm="1">
        <f t="array" ref="HG58">IF(HG55="","",xcomp(HG12:HG53,L.ABSP))</f>
        <v/>
      </c>
      <c r="HH58" s="20" t="str" cm="1">
        <f t="array" ref="HH58">IF(HH55="","",xcomp(HH12:HH53,L.ABSP))</f>
        <v/>
      </c>
      <c r="HI58" s="20" t="str" cm="1">
        <f t="array" ref="HI58">IF(HI55="","",xcomp(HI12:HI53,L.ABSP))</f>
        <v/>
      </c>
      <c r="HJ58" s="20" t="str" cm="1">
        <f t="array" ref="HJ58">IF(HJ55="","",xcomp(HJ12:HJ53,L.ABSP))</f>
        <v/>
      </c>
      <c r="HK58" s="20" t="str" cm="1">
        <f t="array" ref="HK58">IF(HK55="","",xcomp(HK12:HK53,L.ABSP))</f>
        <v/>
      </c>
      <c r="HL58" s="20" t="str" cm="1">
        <f t="array" ref="HL58">IF(HL55="","",xcomp(HL12:HL53,L.ABSP))</f>
        <v/>
      </c>
      <c r="HM58" s="20" t="str" cm="1">
        <f t="array" ref="HM58">IF(HM55="","",xcomp(HM12:HM53,L.ABSP))</f>
        <v/>
      </c>
      <c r="HN58" s="20" t="str" cm="1">
        <f t="array" ref="HN58">IF(HN55="","",xcomp(HN12:HN53,L.ABSP))</f>
        <v/>
      </c>
      <c r="HO58" s="20" t="str" cm="1">
        <f t="array" ref="HO58">IF(HO55="","",xcomp(HO12:HO53,L.ABSP))</f>
        <v/>
      </c>
      <c r="HP58" s="20" t="str" cm="1">
        <f t="array" ref="HP58">IF(HP55="","",xcomp(HP12:HP53,L.ABSP))</f>
        <v/>
      </c>
      <c r="HQ58" s="20" t="str" cm="1">
        <f t="array" ref="HQ58">IF(HQ55="","",xcomp(HQ12:HQ53,L.ABSP))</f>
        <v/>
      </c>
      <c r="HR58" s="20" t="str" cm="1">
        <f t="array" ref="HR58">IF(HR55="","",xcomp(HR12:HR53,L.ABSP))</f>
        <v/>
      </c>
      <c r="HS58" s="20" t="str" cm="1">
        <f t="array" ref="HS58">IF(HS55="","",xcomp(HS12:HS53,L.ABSP))</f>
        <v/>
      </c>
      <c r="HT58" s="20" cm="1">
        <f t="array" ref="HT58">IF(HT55="","",xcomp(HT12:HT53,L.ABSP))</f>
        <v>1</v>
      </c>
      <c r="HU58" s="20" t="str" cm="1">
        <f t="array" ref="HU58">IF(HU55="","",xcomp(HU12:HU53,L.ABSP))</f>
        <v/>
      </c>
      <c r="HV58" s="20" t="str" cm="1">
        <f t="array" ref="HV58">IF(HV55="","",xcomp(HV12:HV53,L.ABSP))</f>
        <v/>
      </c>
      <c r="HW58" s="20" t="str" cm="1">
        <f t="array" ref="HW58">IF(HW55="","",xcomp(HW12:HW53,L.ABSP))</f>
        <v/>
      </c>
      <c r="HX58" s="20" t="str" cm="1">
        <f t="array" ref="HX58">IF(HX55="","",xcomp(HX12:HX53,L.ABSP))</f>
        <v/>
      </c>
      <c r="HY58" s="20" t="str" cm="1">
        <f t="array" ref="HY58">IF(HY55="","",xcomp(HY12:HY53,L.ABSP))</f>
        <v/>
      </c>
      <c r="HZ58" s="20" t="str" cm="1">
        <f t="array" ref="HZ58">IF(HZ55="","",xcomp(HZ12:HZ53,L.ABSP))</f>
        <v/>
      </c>
      <c r="IA58" s="20" t="str" cm="1">
        <f t="array" ref="IA58">IF(IA55="","",xcomp(IA12:IA53,L.ABSP))</f>
        <v/>
      </c>
      <c r="IB58" s="20" t="str" cm="1">
        <f t="array" ref="IB58">IF(IB55="","",xcomp(IB12:IB53,L.ABSP))</f>
        <v/>
      </c>
      <c r="IC58" s="20" t="str" cm="1">
        <f t="array" ref="IC58">IF(IC55="","",xcomp(IC12:IC53,L.ABSP))</f>
        <v/>
      </c>
      <c r="ID58" s="20" t="str" cm="1">
        <f t="array" ref="ID58">IF(ID55="","",xcomp(ID12:ID53,L.ABSP))</f>
        <v/>
      </c>
      <c r="IE58" s="20" t="str" cm="1">
        <f t="array" ref="IE58">IF(IE55="","",xcomp(IE12:IE53,L.ABSP))</f>
        <v/>
      </c>
      <c r="IF58" s="20" t="str" cm="1">
        <f t="array" ref="IF58">IF(IF55="","",xcomp(IF12:IF53,L.ABSP))</f>
        <v/>
      </c>
      <c r="IG58" s="20" t="str" cm="1">
        <f t="array" ref="IG58">IF(IG55="","",xcomp(IG12:IG53,L.ABSP))</f>
        <v/>
      </c>
      <c r="IH58" s="20" t="str" cm="1">
        <f t="array" ref="IH58">IF(IH55="","",xcomp(IH12:IH53,L.ABSP))</f>
        <v/>
      </c>
      <c r="II58" s="20" t="str" cm="1">
        <f t="array" ref="II58">IF(II55="","",xcomp(II12:II53,L.ABSP))</f>
        <v/>
      </c>
      <c r="IJ58" s="20" t="str" cm="1">
        <f t="array" ref="IJ58">IF(IJ55="","",xcomp(IJ12:IJ53,L.ABSP))</f>
        <v/>
      </c>
      <c r="IK58" s="20" t="str" cm="1">
        <f t="array" ref="IK58">IF(IK55="","",xcomp(IK12:IK53,L.ABSP))</f>
        <v/>
      </c>
      <c r="IL58" s="20" t="str" cm="1">
        <f t="array" ref="IL58">IF(IL55="","",xcomp(IL12:IL53,L.ABSP))</f>
        <v/>
      </c>
      <c r="IM58" s="20" t="str" cm="1">
        <f t="array" ref="IM58">IF(IM55="","",xcomp(IM12:IM53,L.ABSP))</f>
        <v/>
      </c>
      <c r="IN58" s="20" t="str" cm="1">
        <f t="array" ref="IN58">IF(IN55="","",xcomp(IN12:IN53,L.ABSP))</f>
        <v/>
      </c>
      <c r="IO58" s="20" t="str" cm="1">
        <f t="array" ref="IO58">IF(IO55="","",xcomp(IO12:IO53,L.ABSP))</f>
        <v/>
      </c>
      <c r="IP58" s="20" t="str" cm="1">
        <f t="array" ref="IP58">IF(IP55="","",xcomp(IP12:IP53,L.ABSP))</f>
        <v/>
      </c>
      <c r="IQ58" s="20" t="str" cm="1">
        <f t="array" ref="IQ58">IF(IQ55="","",xcomp(IQ12:IQ53,L.ABSP))</f>
        <v/>
      </c>
      <c r="IR58" s="20" t="str" cm="1">
        <f t="array" ref="IR58">IF(IR55="","",xcomp(IR12:IR53,L.ABSP))</f>
        <v/>
      </c>
      <c r="IS58" s="20" t="str" cm="1">
        <f t="array" ref="IS58">IF(IS55="","",xcomp(IS12:IS53,L.ABSP))</f>
        <v/>
      </c>
      <c r="IT58" s="20" t="str" cm="1">
        <f t="array" ref="IT58">IF(IT55="","",xcomp(IT12:IT53,L.ABSP))</f>
        <v/>
      </c>
      <c r="IU58" s="20" t="str" cm="1">
        <f t="array" ref="IU58">IF(IU55="","",xcomp(IU12:IU53,L.ABSP))</f>
        <v/>
      </c>
      <c r="IV58" s="20" t="str" cm="1">
        <f t="array" ref="IV58">IF(IV55="","",xcomp(IV12:IV53,L.ABSP))</f>
        <v/>
      </c>
      <c r="IW58" s="20" t="str" cm="1">
        <f t="array" ref="IW58">IF(IW55="","",xcomp(IW12:IW53,L.ABSP))</f>
        <v/>
      </c>
      <c r="IX58" s="20" t="str" cm="1">
        <f t="array" ref="IX58">IF(IX55="","",xcomp(IX12:IX53,L.ABSP))</f>
        <v/>
      </c>
      <c r="IY58" s="20" t="str" cm="1">
        <f t="array" ref="IY58">IF(IY55="","",xcomp(IY12:IY53,L.ABSP))</f>
        <v/>
      </c>
      <c r="IZ58" s="20" t="str" cm="1">
        <f t="array" ref="IZ58">IF(IZ55="","",xcomp(IZ12:IZ53,L.ABSP))</f>
        <v/>
      </c>
      <c r="JA58" s="20" t="str" cm="1">
        <f t="array" ref="JA58">IF(JA55="","",xcomp(JA12:JA53,L.ABSP))</f>
        <v/>
      </c>
      <c r="JB58" s="20" t="str" cm="1">
        <f t="array" ref="JB58">IF(JB55="","",xcomp(JB12:JB53,L.ABSP))</f>
        <v/>
      </c>
      <c r="JC58" s="20" t="str" cm="1">
        <f t="array" ref="JC58">IF(JC55="","",xcomp(JC12:JC53,L.ABSP))</f>
        <v/>
      </c>
      <c r="JD58" s="20" t="str" cm="1">
        <f t="array" ref="JD58">IF(JD55="","",xcomp(JD12:JD53,L.ABSP))</f>
        <v/>
      </c>
      <c r="JE58" s="20" t="str" cm="1">
        <f t="array" ref="JE58">IF(JE55="","",xcomp(JE12:JE53,L.ABSP))</f>
        <v/>
      </c>
      <c r="JF58" s="20" t="str" cm="1">
        <f t="array" ref="JF58">IF(JF55="","",xcomp(JF12:JF53,L.ABSP))</f>
        <v/>
      </c>
      <c r="JG58" s="20" t="str" cm="1">
        <f t="array" ref="JG58">IF(JG55="","",xcomp(JG12:JG53,L.ABSP))</f>
        <v/>
      </c>
      <c r="JH58" s="20" t="str" cm="1">
        <f t="array" ref="JH58">IF(JH55="","",xcomp(JH12:JH53,L.ABSP))</f>
        <v/>
      </c>
      <c r="JI58" s="20" t="str" cm="1">
        <f t="array" ref="JI58">IF(JI55="","",xcomp(JI12:JI53,L.ABSP))</f>
        <v/>
      </c>
      <c r="JJ58" s="20" t="str" cm="1">
        <f t="array" ref="JJ58">IF(JJ55="","",xcomp(JJ12:JJ53,L.ABSP))</f>
        <v/>
      </c>
      <c r="JK58" s="20" t="str" cm="1">
        <f t="array" ref="JK58">IF(JK55="","",xcomp(JK12:JK53,L.ABSP))</f>
        <v/>
      </c>
      <c r="JL58" s="20" t="str" cm="1">
        <f t="array" ref="JL58">IF(JL55="","",xcomp(JL12:JL53,L.ABSP))</f>
        <v/>
      </c>
      <c r="JM58" s="20" t="str" cm="1">
        <f t="array" ref="JM58">IF(JM55="","",xcomp(JM12:JM53,L.ABSP))</f>
        <v/>
      </c>
      <c r="JN58" s="20" t="str" cm="1">
        <f t="array" ref="JN58">IF(JN55="","",xcomp(JN12:JN53,L.ABSP))</f>
        <v/>
      </c>
      <c r="JO58" s="20" t="str" cm="1">
        <f t="array" ref="JO58">IF(JO55="","",xcomp(JO12:JO53,L.ABSP))</f>
        <v/>
      </c>
      <c r="JP58" s="20" t="str" cm="1">
        <f t="array" ref="JP58">IF(JP55="","",xcomp(JP12:JP53,L.ABSP))</f>
        <v/>
      </c>
      <c r="JQ58" s="20" t="str" cm="1">
        <f t="array" ref="JQ58">IF(JQ55="","",xcomp(JQ12:JQ53,L.ABSP))</f>
        <v/>
      </c>
      <c r="JR58" s="20" t="str" cm="1">
        <f t="array" ref="JR58">IF(JR55="","",xcomp(JR12:JR53,L.ABSP))</f>
        <v/>
      </c>
      <c r="JS58" s="20" t="str" cm="1">
        <f t="array" ref="JS58">IF(JS55="","",xcomp(JS12:JS53,L.ABSP))</f>
        <v/>
      </c>
      <c r="JT58" s="20" t="str" cm="1">
        <f t="array" ref="JT58">IF(JT55="","",xcomp(JT12:JT53,L.ABSP))</f>
        <v/>
      </c>
      <c r="JU58" s="20" t="str" cm="1">
        <f t="array" ref="JU58">IF(JU55="","",xcomp(JU12:JU53,L.ABSP))</f>
        <v/>
      </c>
      <c r="JV58" s="20" t="str" cm="1">
        <f t="array" ref="JV58">IF(JV55="","",xcomp(JV12:JV53,L.ABSP))</f>
        <v/>
      </c>
      <c r="JW58" s="20" t="str" cm="1">
        <f t="array" ref="JW58">IF(JW55="","",xcomp(JW12:JW53,L.ABSP))</f>
        <v/>
      </c>
      <c r="JX58" s="20" t="str" cm="1">
        <f t="array" ref="JX58">IF(JX55="","",xcomp(JX12:JX53,L.ABSP))</f>
        <v/>
      </c>
      <c r="JY58" s="20" t="str" cm="1">
        <f t="array" ref="JY58">IF(JY55="","",xcomp(JY12:JY53,L.ABSP))</f>
        <v/>
      </c>
      <c r="JZ58" s="20" t="str" cm="1">
        <f t="array" ref="JZ58">IF(JZ55="","",xcomp(JZ12:JZ53,L.ABSP))</f>
        <v/>
      </c>
      <c r="KA58" s="20" t="str" cm="1">
        <f t="array" ref="KA58">IF(KA55="","",xcomp(KA12:KA53,L.ABSP))</f>
        <v/>
      </c>
      <c r="KB58" s="20" t="str" cm="1">
        <f t="array" ref="KB58">IF(KB55="","",xcomp(KB12:KB53,L.ABSP))</f>
        <v/>
      </c>
      <c r="KC58" s="20" t="str" cm="1">
        <f t="array" ref="KC58">IF(KC55="","",xcomp(KC12:KC53,L.ABSP))</f>
        <v/>
      </c>
      <c r="KD58" s="20" t="str" cm="1">
        <f t="array" ref="KD58">IF(KD55="","",xcomp(KD12:KD53,L.ABSP))</f>
        <v/>
      </c>
      <c r="KE58" s="20" t="str" cm="1">
        <f t="array" ref="KE58">IF(KE55="","",xcomp(KE12:KE53,L.ABSP))</f>
        <v/>
      </c>
      <c r="KF58" s="20" t="str" cm="1">
        <f t="array" ref="KF58">IF(KF55="","",xcomp(KF12:KF53,L.ABSP))</f>
        <v/>
      </c>
      <c r="KG58" s="20" t="str" cm="1">
        <f t="array" ref="KG58">IF(KG55="","",xcomp(KG12:KG53,L.ABSP))</f>
        <v/>
      </c>
      <c r="KH58" s="20" t="str" cm="1">
        <f t="array" ref="KH58">IF(KH55="","",xcomp(KH12:KH53,L.ABSP))</f>
        <v/>
      </c>
      <c r="KI58" s="20" t="str" cm="1">
        <f t="array" ref="KI58">IF(KI55="","",xcomp(KI12:KI53,L.ABSP))</f>
        <v/>
      </c>
      <c r="KJ58" s="20" t="str" cm="1">
        <f t="array" ref="KJ58">IF(KJ55="","",xcomp(KJ12:KJ53,L.ABSP))</f>
        <v/>
      </c>
      <c r="KK58" s="20" t="str" cm="1">
        <f t="array" ref="KK58">IF(KK55="","",xcomp(KK12:KK53,L.ABSP))</f>
        <v/>
      </c>
      <c r="KL58" s="20" t="str" cm="1">
        <f t="array" ref="KL58">IF(KL55="","",xcomp(KL12:KL53,L.ABSP))</f>
        <v/>
      </c>
      <c r="KM58" s="20" t="str" cm="1">
        <f t="array" ref="KM58">IF(KM55="","",xcomp(KM12:KM53,L.ABSP))</f>
        <v/>
      </c>
      <c r="KN58" s="20" t="str" cm="1">
        <f t="array" ref="KN58">IF(KN55="","",xcomp(KN12:KN53,L.ABSP))</f>
        <v/>
      </c>
      <c r="KO58" s="20" t="str" cm="1">
        <f t="array" ref="KO58">IF(KO55="","",xcomp(KO12:KO53,L.ABSP))</f>
        <v/>
      </c>
      <c r="KP58" s="20" t="str" cm="1">
        <f t="array" ref="KP58">IF(KP55="","",xcomp(KP12:KP53,L.ABSP))</f>
        <v/>
      </c>
      <c r="KQ58" s="20" t="str" cm="1">
        <f t="array" ref="KQ58">IF(KQ55="","",xcomp(KQ12:KQ53,L.ABSP))</f>
        <v/>
      </c>
      <c r="KR58" s="20" t="str" cm="1">
        <f t="array" ref="KR58">IF(KR55="","",xcomp(KR12:KR53,L.ABSP))</f>
        <v/>
      </c>
      <c r="KS58" s="20" t="str" cm="1">
        <f t="array" ref="KS58">IF(KS55="","",xcomp(KS12:KS53,L.ABSP))</f>
        <v/>
      </c>
      <c r="KT58" s="20" t="str" cm="1">
        <f t="array" ref="KT58">IF(KT55="","",xcomp(KT12:KT53,L.ABSP))</f>
        <v/>
      </c>
      <c r="KU58" s="20" t="str" cm="1">
        <f t="array" ref="KU58">IF(KU55="","",xcomp(KU12:KU53,L.ABSP))</f>
        <v/>
      </c>
      <c r="KV58" s="20" t="str" cm="1">
        <f t="array" ref="KV58">IF(KV55="","",xcomp(KV12:KV53,L.ABSP))</f>
        <v/>
      </c>
      <c r="KW58" s="20" t="str" cm="1">
        <f t="array" ref="KW58">IF(KW55="","",xcomp(KW12:KW53,L.ABSP))</f>
        <v/>
      </c>
      <c r="KX58" s="20" t="str" cm="1">
        <f t="array" ref="KX58">IF(KX55="","",xcomp(KX12:KX53,L.ABSP))</f>
        <v/>
      </c>
      <c r="KY58" s="20" t="str" cm="1">
        <f t="array" ref="KY58">IF(KY55="","",xcomp(KY12:KY53,L.ABSP))</f>
        <v/>
      </c>
      <c r="KZ58" s="20" t="str" cm="1">
        <f t="array" ref="KZ58">IF(KZ55="","",xcomp(KZ12:KZ53,L.ABSP))</f>
        <v/>
      </c>
      <c r="LA58" s="20" t="str" cm="1">
        <f t="array" ref="LA58">IF(LA55="","",xcomp(LA12:LA53,L.ABSP))</f>
        <v/>
      </c>
      <c r="LB58" s="20" t="str" cm="1">
        <f t="array" ref="LB58">IF(LB55="","",xcomp(LB12:LB53,L.ABSP))</f>
        <v/>
      </c>
      <c r="LC58" s="20" t="str" cm="1">
        <f t="array" ref="LC58">IF(LC55="","",xcomp(LC12:LC53,L.ABSP))</f>
        <v/>
      </c>
      <c r="LD58" s="20" t="str" cm="1">
        <f t="array" ref="LD58">IF(LD55="","",xcomp(LD12:LD53,L.ABSP))</f>
        <v/>
      </c>
      <c r="LE58" s="20" t="str" cm="1">
        <f t="array" ref="LE58">IF(LE55="","",xcomp(LE12:LE53,L.ABSP))</f>
        <v/>
      </c>
      <c r="LF58" s="20" t="str" cm="1">
        <f t="array" ref="LF58">IF(LF55="","",xcomp(LF12:LF53,L.ABSP))</f>
        <v/>
      </c>
      <c r="LG58" s="20" t="str" cm="1">
        <f t="array" ref="LG58">IF(LG55="","",xcomp(LG12:LG53,L.ABSP))</f>
        <v/>
      </c>
      <c r="LH58" s="20" t="str" cm="1">
        <f t="array" ref="LH58">IF(LH55="","",xcomp(LH12:LH53,L.ABSP))</f>
        <v/>
      </c>
      <c r="LI58" s="20" t="str" cm="1">
        <f t="array" ref="LI58">IF(LI55="","",xcomp(LI12:LI53,L.ABSP))</f>
        <v/>
      </c>
      <c r="LJ58" s="20" t="str" cm="1">
        <f t="array" ref="LJ58">IF(LJ55="","",xcomp(LJ12:LJ53,L.ABSP))</f>
        <v/>
      </c>
      <c r="LK58" s="20" t="str" cm="1">
        <f t="array" ref="LK58">IF(LK55="","",xcomp(LK12:LK53,L.ABSP))</f>
        <v/>
      </c>
      <c r="LL58" s="20" t="str" cm="1">
        <f t="array" ref="LL58">IF(LL55="","",xcomp(LL12:LL53,L.ABSP))</f>
        <v/>
      </c>
      <c r="LM58" s="20" t="str" cm="1">
        <f t="array" ref="LM58">IF(LM55="","",xcomp(LM12:LM53,L.ABSP))</f>
        <v/>
      </c>
      <c r="LN58" s="20" t="str" cm="1">
        <f t="array" ref="LN58">IF(LN55="","",xcomp(LN12:LN53,L.ABSP))</f>
        <v/>
      </c>
      <c r="LO58" s="20" t="str" cm="1">
        <f t="array" ref="LO58">IF(LO55="","",xcomp(LO12:LO53,L.ABSP))</f>
        <v/>
      </c>
      <c r="LP58" s="20" t="str" cm="1">
        <f t="array" ref="LP58">IF(LP55="","",xcomp(LP12:LP53,L.ABSP))</f>
        <v/>
      </c>
      <c r="LQ58" s="20" t="str" cm="1">
        <f t="array" ref="LQ58">IF(LQ55="","",xcomp(LQ12:LQ53,L.ABSP))</f>
        <v/>
      </c>
      <c r="LR58" s="20" t="str" cm="1">
        <f t="array" ref="LR58">IF(LR55="","",xcomp(LR12:LR53,L.ABSP))</f>
        <v/>
      </c>
      <c r="LS58" s="20" t="str" cm="1">
        <f t="array" ref="LS58">IF(LS55="","",xcomp(LS12:LS53,L.ABSP))</f>
        <v/>
      </c>
      <c r="LT58" s="20" t="str" cm="1">
        <f t="array" ref="LT58">IF(LT55="","",xcomp(LT12:LT53,L.ABSP))</f>
        <v/>
      </c>
      <c r="LU58" s="20" t="str" cm="1">
        <f t="array" ref="LU58">IF(LU55="","",xcomp(LU12:LU53,L.ABSP))</f>
        <v/>
      </c>
      <c r="LV58" s="20" t="str" cm="1">
        <f t="array" ref="LV58">IF(LV55="","",xcomp(LV12:LV53,L.ABSP))</f>
        <v/>
      </c>
      <c r="LW58" s="20" t="str" cm="1">
        <f t="array" ref="LW58">IF(LW55="","",xcomp(LW12:LW53,L.ABSP))</f>
        <v/>
      </c>
      <c r="LX58" s="20" t="str" cm="1">
        <f t="array" ref="LX58">IF(LX55="","",xcomp(LX12:LX53,L.ABSP))</f>
        <v/>
      </c>
      <c r="LY58" s="20" t="str" cm="1">
        <f t="array" ref="LY58">IF(LY55="","",xcomp(LY12:LY53,L.ABSP))</f>
        <v/>
      </c>
      <c r="LZ58" s="20" t="str" cm="1">
        <f t="array" ref="LZ58">IF(LZ55="","",xcomp(LZ12:LZ53,L.ABSP))</f>
        <v/>
      </c>
      <c r="MA58" s="20" t="str" cm="1">
        <f t="array" ref="MA58">IF(MA55="","",xcomp(MA12:MA53,L.ABSP))</f>
        <v/>
      </c>
      <c r="MB58" s="20" t="str" cm="1">
        <f t="array" ref="MB58">IF(MB55="","",xcomp(MB12:MB53,L.ABSP))</f>
        <v/>
      </c>
      <c r="MC58" s="20" t="str" cm="1">
        <f t="array" ref="MC58">IF(MC55="","",xcomp(MC12:MC53,L.ABSP))</f>
        <v/>
      </c>
      <c r="MD58" s="20" t="str" cm="1">
        <f t="array" ref="MD58">IF(MD55="","",xcomp(MD12:MD53,L.ABSP))</f>
        <v/>
      </c>
      <c r="ME58" s="20" t="str" cm="1">
        <f t="array" ref="ME58">IF(ME55="","",xcomp(ME12:ME53,L.ABSP))</f>
        <v/>
      </c>
      <c r="MF58" s="20" t="str" cm="1">
        <f t="array" ref="MF58">IF(MF55="","",xcomp(MF12:MF53,L.ABSP))</f>
        <v/>
      </c>
      <c r="MG58" s="20" t="str" cm="1">
        <f t="array" ref="MG58">IF(MG55="","",xcomp(MG12:MG53,L.ABSP))</f>
        <v/>
      </c>
      <c r="MH58" s="20" t="str" cm="1">
        <f t="array" ref="MH58">IF(MH55="","",xcomp(MH12:MH53,L.ABSP))</f>
        <v/>
      </c>
      <c r="MI58" s="20" t="str" cm="1">
        <f t="array" ref="MI58">IF(MI55="","",xcomp(MI12:MI53,L.ABSP))</f>
        <v/>
      </c>
      <c r="MJ58" s="20" t="str" cm="1">
        <f t="array" ref="MJ58">IF(MJ55="","",xcomp(MJ12:MJ53,L.ABSP))</f>
        <v/>
      </c>
      <c r="MK58" s="20" t="str" cm="1">
        <f t="array" ref="MK58">IF(MK55="","",xcomp(MK12:MK53,L.ABSP))</f>
        <v/>
      </c>
      <c r="ML58" s="20" t="str" cm="1">
        <f t="array" ref="ML58">IF(ML55="","",xcomp(ML12:ML53,L.ABSP))</f>
        <v/>
      </c>
      <c r="MM58" s="20" t="str" cm="1">
        <f t="array" ref="MM58">IF(MM55="","",xcomp(MM12:MM53,L.ABSP))</f>
        <v/>
      </c>
      <c r="MN58" s="20" t="str" cm="1">
        <f t="array" ref="MN58">IF(MN55="","",xcomp(MN12:MN53,L.ABSP))</f>
        <v/>
      </c>
      <c r="MO58" s="20" t="str" cm="1">
        <f t="array" ref="MO58">IF(MO55="","",xcomp(MO12:MO53,L.ABSP))</f>
        <v/>
      </c>
      <c r="MP58" s="20" t="str" cm="1">
        <f t="array" ref="MP58">IF(MP55="","",xcomp(MP12:MP53,L.ABSP))</f>
        <v/>
      </c>
      <c r="MQ58" s="20" t="str" cm="1">
        <f t="array" ref="MQ58">IF(MQ55="","",xcomp(MQ12:MQ53,L.ABSP))</f>
        <v/>
      </c>
      <c r="MR58" s="20" t="str" cm="1">
        <f t="array" ref="MR58">IF(MR55="","",xcomp(MR12:MR53,L.ABSP))</f>
        <v/>
      </c>
      <c r="MS58" s="20" t="str" cm="1">
        <f t="array" ref="MS58">IF(MS55="","",xcomp(MS12:MS53,L.ABSP))</f>
        <v/>
      </c>
      <c r="MT58" s="20" t="str" cm="1">
        <f t="array" ref="MT58">IF(MT55="","",xcomp(MT12:MT53,L.ABSP))</f>
        <v/>
      </c>
      <c r="MU58" s="20" t="str" cm="1">
        <f t="array" ref="MU58">IF(MU55="","",xcomp(MU12:MU53,L.ABSP))</f>
        <v/>
      </c>
      <c r="MV58" s="20" t="str" cm="1">
        <f t="array" ref="MV58">IF(MV55="","",xcomp(MV12:MV53,L.ABSP))</f>
        <v/>
      </c>
      <c r="MW58" s="20" t="str" cm="1">
        <f t="array" ref="MW58">IF(MW55="","",xcomp(MW12:MW53,L.ABSP))</f>
        <v/>
      </c>
      <c r="MX58" s="20" t="str" cm="1">
        <f t="array" ref="MX58">IF(MX55="","",xcomp(MX12:MX53,L.ABSP))</f>
        <v/>
      </c>
      <c r="MY58" s="20" t="str" cm="1">
        <f t="array" ref="MY58">IF(MY55="","",xcomp(MY12:MY53,L.ABSP))</f>
        <v/>
      </c>
      <c r="MZ58" s="20" t="str" cm="1">
        <f t="array" ref="MZ58">IF(MZ55="","",xcomp(MZ12:MZ53,L.ABSP))</f>
        <v/>
      </c>
      <c r="NA58" s="20" t="str" cm="1">
        <f t="array" ref="NA58">IF(NA55="","",xcomp(NA12:NA53,L.ABSP))</f>
        <v/>
      </c>
      <c r="NB58" s="20" t="str" cm="1">
        <f t="array" ref="NB58">IF(NB55="","",xcomp(NB12:NB53,L.ABSP))</f>
        <v/>
      </c>
      <c r="NC58" s="20" t="str" cm="1">
        <f t="array" ref="NC58">IF(NC55="","",xcomp(NC12:NC53,L.ABSP))</f>
        <v/>
      </c>
      <c r="ND58" s="20" t="str" cm="1">
        <f t="array" ref="ND58">IF(ND55="","",xcomp(ND12:ND53,L.ABSP))</f>
        <v/>
      </c>
      <c r="NE58" s="20" t="str" cm="1">
        <f t="array" ref="NE58">IF(NE55="","",xcomp(NE12:NE53,L.ABSP))</f>
        <v/>
      </c>
      <c r="NF58" s="20" t="str" cm="1">
        <f t="array" ref="NF58">IF(NF55="","",xcomp(NF12:NF53,L.ABSP))</f>
        <v/>
      </c>
      <c r="NG58" s="20" t="str" cm="1">
        <f t="array" ref="NG58">IF(NG55="","",xcomp(NG12:NG53,L.ABSP))</f>
        <v/>
      </c>
      <c r="NH58" s="20" t="str" cm="1">
        <f t="array" ref="NH58">IF(NH55="","",xcomp(NH12:NH53,L.ABSP))</f>
        <v/>
      </c>
      <c r="NI58" s="20" t="str" cm="1">
        <f t="array" ref="NI58">IF(NI55="","",xcomp(NI12:NI53,L.ABSP))</f>
        <v/>
      </c>
      <c r="NJ58" s="20" t="str" cm="1">
        <f t="array" ref="NJ58">IF(NJ55="","",xcomp(NJ12:NJ53,L.ABSP))</f>
        <v/>
      </c>
      <c r="NN58" s="1"/>
      <c r="NO58" s="1"/>
      <c r="NP58" s="1"/>
      <c r="NQ58" s="1"/>
      <c r="NR58" s="1"/>
      <c r="NS58" s="1"/>
      <c r="NT58" s="1"/>
      <c r="NU58" s="1"/>
      <c r="NV58" s="1"/>
      <c r="NW58" s="1"/>
      <c r="NX58" s="1"/>
      <c r="NY58" s="1"/>
      <c r="NZ58" s="1"/>
      <c r="OA58" s="1"/>
      <c r="OB58" s="1"/>
      <c r="OC58" s="1"/>
      <c r="OD58" s="1"/>
      <c r="OE58" s="1"/>
      <c r="OF58" s="1"/>
      <c r="OG58" s="1"/>
      <c r="OH58" s="1"/>
      <c r="OI58" s="1"/>
      <c r="OJ58" s="1"/>
      <c r="OK58" s="1"/>
    </row>
    <row r="59" spans="1:404" ht="12" customHeight="1" x14ac:dyDescent="0.3">
      <c r="A59" s="477"/>
      <c r="B59" s="477"/>
      <c r="C59" s="477"/>
      <c r="D59" s="479"/>
      <c r="E59" s="477"/>
      <c r="F59" s="477"/>
      <c r="G59" s="478"/>
      <c r="H59" s="478" t="s">
        <v>43</v>
      </c>
      <c r="I59" s="28"/>
      <c r="J59" s="21" t="str">
        <f>IF(J$55="","",J$57-J$58)</f>
        <v/>
      </c>
      <c r="K59" s="21" t="str">
        <f>IF(K$55="","",K$57-K$58)</f>
        <v/>
      </c>
      <c r="L59" s="21" t="str">
        <f t="shared" ref="L59:Q59" si="56">IF(L$55="","",L$57-L$58)</f>
        <v/>
      </c>
      <c r="M59" s="21" t="str">
        <f t="shared" si="56"/>
        <v/>
      </c>
      <c r="N59" s="21" t="str">
        <f t="shared" si="56"/>
        <v/>
      </c>
      <c r="O59" s="21" t="str">
        <f t="shared" si="56"/>
        <v/>
      </c>
      <c r="P59" s="21" t="str">
        <f t="shared" si="56"/>
        <v/>
      </c>
      <c r="Q59" s="21" t="str">
        <f t="shared" si="56"/>
        <v/>
      </c>
      <c r="R59" s="21">
        <f t="shared" ref="R59:CC59" si="57">IF(R55="","",R57-R58)</f>
        <v>0</v>
      </c>
      <c r="S59" s="21">
        <f t="shared" si="57"/>
        <v>0</v>
      </c>
      <c r="T59" s="21">
        <f t="shared" si="57"/>
        <v>0</v>
      </c>
      <c r="U59" s="21">
        <f t="shared" si="57"/>
        <v>0</v>
      </c>
      <c r="V59" s="21">
        <f t="shared" si="57"/>
        <v>0</v>
      </c>
      <c r="W59" s="21" t="str">
        <f t="shared" si="57"/>
        <v/>
      </c>
      <c r="X59" s="21" t="str">
        <f t="shared" si="57"/>
        <v/>
      </c>
      <c r="Y59" s="21">
        <f t="shared" si="57"/>
        <v>0</v>
      </c>
      <c r="Z59" s="21">
        <f t="shared" si="57"/>
        <v>0</v>
      </c>
      <c r="AA59" s="21">
        <f t="shared" si="57"/>
        <v>0</v>
      </c>
      <c r="AB59" s="21">
        <f t="shared" si="57"/>
        <v>0</v>
      </c>
      <c r="AC59" s="21">
        <f t="shared" si="57"/>
        <v>0</v>
      </c>
      <c r="AD59" s="21" t="str">
        <f t="shared" si="57"/>
        <v/>
      </c>
      <c r="AE59" s="21" t="str">
        <f t="shared" si="57"/>
        <v/>
      </c>
      <c r="AF59" s="21">
        <f t="shared" si="57"/>
        <v>0</v>
      </c>
      <c r="AG59" s="21">
        <f t="shared" si="57"/>
        <v>0</v>
      </c>
      <c r="AH59" s="21">
        <f t="shared" si="57"/>
        <v>0</v>
      </c>
      <c r="AI59" s="21">
        <f t="shared" si="57"/>
        <v>0</v>
      </c>
      <c r="AJ59" s="21">
        <f t="shared" si="57"/>
        <v>0</v>
      </c>
      <c r="AK59" s="21" t="str">
        <f t="shared" si="57"/>
        <v/>
      </c>
      <c r="AL59" s="21" t="str">
        <f t="shared" si="57"/>
        <v/>
      </c>
      <c r="AM59" s="21">
        <f t="shared" si="57"/>
        <v>0</v>
      </c>
      <c r="AN59" s="21">
        <f t="shared" si="57"/>
        <v>0</v>
      </c>
      <c r="AO59" s="21">
        <f t="shared" si="57"/>
        <v>0</v>
      </c>
      <c r="AP59" s="21">
        <f t="shared" si="57"/>
        <v>0</v>
      </c>
      <c r="AQ59" s="21">
        <f t="shared" si="57"/>
        <v>0</v>
      </c>
      <c r="AR59" s="21" t="str">
        <f t="shared" si="57"/>
        <v/>
      </c>
      <c r="AS59" s="21" t="str">
        <f t="shared" si="57"/>
        <v/>
      </c>
      <c r="AT59" s="21">
        <f t="shared" si="57"/>
        <v>0</v>
      </c>
      <c r="AU59" s="21">
        <f t="shared" si="57"/>
        <v>0</v>
      </c>
      <c r="AV59" s="21">
        <f t="shared" si="57"/>
        <v>0</v>
      </c>
      <c r="AW59" s="21">
        <f t="shared" si="57"/>
        <v>0</v>
      </c>
      <c r="AX59" s="21">
        <f t="shared" si="57"/>
        <v>0</v>
      </c>
      <c r="AY59" s="21" t="str">
        <f t="shared" si="57"/>
        <v/>
      </c>
      <c r="AZ59" s="21" t="str">
        <f t="shared" si="57"/>
        <v/>
      </c>
      <c r="BA59" s="21">
        <f t="shared" si="57"/>
        <v>0</v>
      </c>
      <c r="BB59" s="21">
        <f t="shared" si="57"/>
        <v>0</v>
      </c>
      <c r="BC59" s="21">
        <f t="shared" si="57"/>
        <v>0</v>
      </c>
      <c r="BD59" s="21">
        <f t="shared" si="57"/>
        <v>0</v>
      </c>
      <c r="BE59" s="21">
        <f t="shared" si="57"/>
        <v>0</v>
      </c>
      <c r="BF59" s="21" t="str">
        <f t="shared" si="57"/>
        <v/>
      </c>
      <c r="BG59" s="21" t="str">
        <f t="shared" si="57"/>
        <v/>
      </c>
      <c r="BH59" s="21">
        <f t="shared" si="57"/>
        <v>0</v>
      </c>
      <c r="BI59" s="21">
        <f t="shared" si="57"/>
        <v>0</v>
      </c>
      <c r="BJ59" s="21">
        <f t="shared" si="57"/>
        <v>0</v>
      </c>
      <c r="BK59" s="21">
        <f t="shared" si="57"/>
        <v>0</v>
      </c>
      <c r="BL59" s="21">
        <f t="shared" si="57"/>
        <v>0</v>
      </c>
      <c r="BM59" s="21" t="str">
        <f t="shared" si="57"/>
        <v/>
      </c>
      <c r="BN59" s="21" t="str">
        <f t="shared" si="57"/>
        <v/>
      </c>
      <c r="BO59" s="21">
        <f t="shared" si="57"/>
        <v>0</v>
      </c>
      <c r="BP59" s="21">
        <f t="shared" si="57"/>
        <v>0</v>
      </c>
      <c r="BQ59" s="21">
        <f t="shared" si="57"/>
        <v>0</v>
      </c>
      <c r="BR59" s="21">
        <f t="shared" si="57"/>
        <v>0</v>
      </c>
      <c r="BS59" s="21">
        <f t="shared" si="57"/>
        <v>0</v>
      </c>
      <c r="BT59" s="21" t="str">
        <f t="shared" si="57"/>
        <v/>
      </c>
      <c r="BU59" s="21" t="str">
        <f t="shared" si="57"/>
        <v/>
      </c>
      <c r="BV59" s="21">
        <f t="shared" si="57"/>
        <v>0</v>
      </c>
      <c r="BW59" s="21">
        <f t="shared" si="57"/>
        <v>0</v>
      </c>
      <c r="BX59" s="21">
        <f t="shared" si="57"/>
        <v>0</v>
      </c>
      <c r="BY59" s="21">
        <f t="shared" si="57"/>
        <v>0</v>
      </c>
      <c r="BZ59" s="21">
        <f t="shared" si="57"/>
        <v>0</v>
      </c>
      <c r="CA59" s="21" t="str">
        <f t="shared" si="57"/>
        <v/>
      </c>
      <c r="CB59" s="21" t="str">
        <f t="shared" si="57"/>
        <v/>
      </c>
      <c r="CC59" s="21">
        <f t="shared" si="57"/>
        <v>0</v>
      </c>
      <c r="CD59" s="21">
        <f t="shared" ref="CD59:EO59" si="58">IF(CD55="","",CD57-CD58)</f>
        <v>0</v>
      </c>
      <c r="CE59" s="21">
        <f t="shared" si="58"/>
        <v>0</v>
      </c>
      <c r="CF59" s="21">
        <f t="shared" si="58"/>
        <v>0</v>
      </c>
      <c r="CG59" s="21">
        <f t="shared" si="58"/>
        <v>0</v>
      </c>
      <c r="CH59" s="21" t="str">
        <f t="shared" si="58"/>
        <v/>
      </c>
      <c r="CI59" s="21" t="str">
        <f t="shared" si="58"/>
        <v/>
      </c>
      <c r="CJ59" s="21">
        <f t="shared" si="58"/>
        <v>0</v>
      </c>
      <c r="CK59" s="21">
        <f t="shared" si="58"/>
        <v>0</v>
      </c>
      <c r="CL59" s="21">
        <f t="shared" si="58"/>
        <v>0</v>
      </c>
      <c r="CM59" s="21">
        <f t="shared" si="58"/>
        <v>0</v>
      </c>
      <c r="CN59" s="21">
        <f t="shared" si="58"/>
        <v>0</v>
      </c>
      <c r="CO59" s="21" t="str">
        <f t="shared" si="58"/>
        <v/>
      </c>
      <c r="CP59" s="21" t="str">
        <f t="shared" si="58"/>
        <v/>
      </c>
      <c r="CQ59" s="21">
        <f t="shared" si="58"/>
        <v>0</v>
      </c>
      <c r="CR59" s="21">
        <f t="shared" si="58"/>
        <v>0</v>
      </c>
      <c r="CS59" s="21">
        <f t="shared" si="58"/>
        <v>0</v>
      </c>
      <c r="CT59" s="21">
        <f t="shared" si="58"/>
        <v>0</v>
      </c>
      <c r="CU59" s="21">
        <f t="shared" si="58"/>
        <v>0</v>
      </c>
      <c r="CV59" s="21" t="str">
        <f t="shared" si="58"/>
        <v/>
      </c>
      <c r="CW59" s="21" t="str">
        <f t="shared" si="58"/>
        <v/>
      </c>
      <c r="CX59" s="21" t="str">
        <f t="shared" si="58"/>
        <v/>
      </c>
      <c r="CY59" s="21" t="str">
        <f t="shared" si="58"/>
        <v/>
      </c>
      <c r="CZ59" s="21" t="str">
        <f t="shared" si="58"/>
        <v/>
      </c>
      <c r="DA59" s="21" t="str">
        <f t="shared" si="58"/>
        <v/>
      </c>
      <c r="DB59" s="21" t="str">
        <f t="shared" si="58"/>
        <v/>
      </c>
      <c r="DC59" s="21" t="str">
        <f t="shared" si="58"/>
        <v/>
      </c>
      <c r="DD59" s="21" t="str">
        <f t="shared" si="58"/>
        <v/>
      </c>
      <c r="DE59" s="21">
        <f t="shared" si="58"/>
        <v>0</v>
      </c>
      <c r="DF59" s="21">
        <f t="shared" si="58"/>
        <v>0</v>
      </c>
      <c r="DG59" s="21">
        <f t="shared" si="58"/>
        <v>0</v>
      </c>
      <c r="DH59" s="21">
        <f t="shared" si="58"/>
        <v>0</v>
      </c>
      <c r="DI59" s="21">
        <f t="shared" si="58"/>
        <v>0</v>
      </c>
      <c r="DJ59" s="21" t="str">
        <f t="shared" si="58"/>
        <v/>
      </c>
      <c r="DK59" s="21" t="str">
        <f t="shared" si="58"/>
        <v/>
      </c>
      <c r="DL59" s="21">
        <f t="shared" si="58"/>
        <v>0</v>
      </c>
      <c r="DM59" s="21">
        <f t="shared" si="58"/>
        <v>0</v>
      </c>
      <c r="DN59" s="21">
        <f t="shared" si="58"/>
        <v>0</v>
      </c>
      <c r="DO59" s="21">
        <f t="shared" si="58"/>
        <v>0</v>
      </c>
      <c r="DP59" s="21">
        <f t="shared" si="58"/>
        <v>0</v>
      </c>
      <c r="DQ59" s="21" t="str">
        <f t="shared" si="58"/>
        <v/>
      </c>
      <c r="DR59" s="21" t="str">
        <f t="shared" si="58"/>
        <v/>
      </c>
      <c r="DS59" s="21" t="str">
        <f t="shared" si="58"/>
        <v/>
      </c>
      <c r="DT59" s="21" t="str">
        <f t="shared" si="58"/>
        <v/>
      </c>
      <c r="DU59" s="21" t="str">
        <f t="shared" si="58"/>
        <v/>
      </c>
      <c r="DV59" s="21" t="str">
        <f t="shared" si="58"/>
        <v/>
      </c>
      <c r="DW59" s="21" t="str">
        <f t="shared" si="58"/>
        <v/>
      </c>
      <c r="DX59" s="21" t="str">
        <f t="shared" si="58"/>
        <v/>
      </c>
      <c r="DY59" s="21" t="str">
        <f t="shared" si="58"/>
        <v/>
      </c>
      <c r="DZ59" s="21" t="str">
        <f t="shared" si="58"/>
        <v/>
      </c>
      <c r="EA59" s="21" t="str">
        <f t="shared" si="58"/>
        <v/>
      </c>
      <c r="EB59" s="21" t="str">
        <f t="shared" si="58"/>
        <v/>
      </c>
      <c r="EC59" s="21" t="str">
        <f t="shared" si="58"/>
        <v/>
      </c>
      <c r="ED59" s="21" t="str">
        <f t="shared" si="58"/>
        <v/>
      </c>
      <c r="EE59" s="21" t="str">
        <f t="shared" si="58"/>
        <v/>
      </c>
      <c r="EF59" s="21" t="str">
        <f t="shared" si="58"/>
        <v/>
      </c>
      <c r="EG59" s="21" t="str">
        <f t="shared" si="58"/>
        <v/>
      </c>
      <c r="EH59" s="21" t="str">
        <f t="shared" si="58"/>
        <v/>
      </c>
      <c r="EI59" s="21" t="str">
        <f t="shared" si="58"/>
        <v/>
      </c>
      <c r="EJ59" s="21" t="str">
        <f t="shared" si="58"/>
        <v/>
      </c>
      <c r="EK59" s="21" t="str">
        <f t="shared" si="58"/>
        <v/>
      </c>
      <c r="EL59" s="21" t="str">
        <f t="shared" si="58"/>
        <v/>
      </c>
      <c r="EM59" s="21" t="str">
        <f t="shared" si="58"/>
        <v/>
      </c>
      <c r="EN59" s="21" t="str">
        <f t="shared" si="58"/>
        <v/>
      </c>
      <c r="EO59" s="21" t="str">
        <f t="shared" si="58"/>
        <v/>
      </c>
      <c r="EP59" s="21" t="str">
        <f t="shared" ref="EP59:HA59" si="59">IF(EP55="","",EP57-EP58)</f>
        <v/>
      </c>
      <c r="EQ59" s="21" t="str">
        <f t="shared" si="59"/>
        <v/>
      </c>
      <c r="ER59" s="21" t="str">
        <f t="shared" si="59"/>
        <v/>
      </c>
      <c r="ES59" s="21" t="str">
        <f t="shared" si="59"/>
        <v/>
      </c>
      <c r="ET59" s="21" t="str">
        <f t="shared" si="59"/>
        <v/>
      </c>
      <c r="EU59" s="21" t="str">
        <f t="shared" si="59"/>
        <v/>
      </c>
      <c r="EV59" s="21" t="str">
        <f t="shared" si="59"/>
        <v/>
      </c>
      <c r="EW59" s="21" t="str">
        <f t="shared" si="59"/>
        <v/>
      </c>
      <c r="EX59" s="21" t="str">
        <f t="shared" si="59"/>
        <v/>
      </c>
      <c r="EY59" s="21" t="str">
        <f t="shared" si="59"/>
        <v/>
      </c>
      <c r="EZ59" s="21" t="str">
        <f t="shared" si="59"/>
        <v/>
      </c>
      <c r="FA59" s="21" t="str">
        <f t="shared" si="59"/>
        <v/>
      </c>
      <c r="FB59" s="21" t="str">
        <f t="shared" si="59"/>
        <v/>
      </c>
      <c r="FC59" s="21" t="str">
        <f t="shared" si="59"/>
        <v/>
      </c>
      <c r="FD59" s="21" t="str">
        <f t="shared" si="59"/>
        <v/>
      </c>
      <c r="FE59" s="21" t="str">
        <f t="shared" si="59"/>
        <v/>
      </c>
      <c r="FF59" s="21" t="str">
        <f t="shared" si="59"/>
        <v/>
      </c>
      <c r="FG59" s="21" t="str">
        <f t="shared" si="59"/>
        <v/>
      </c>
      <c r="FH59" s="21" t="str">
        <f t="shared" si="59"/>
        <v/>
      </c>
      <c r="FI59" s="21" t="str">
        <f t="shared" si="59"/>
        <v/>
      </c>
      <c r="FJ59" s="21" t="str">
        <f t="shared" si="59"/>
        <v/>
      </c>
      <c r="FK59" s="21" t="str">
        <f t="shared" si="59"/>
        <v/>
      </c>
      <c r="FL59" s="21" t="str">
        <f t="shared" si="59"/>
        <v/>
      </c>
      <c r="FM59" s="21" t="str">
        <f t="shared" si="59"/>
        <v/>
      </c>
      <c r="FN59" s="21" t="str">
        <f t="shared" si="59"/>
        <v/>
      </c>
      <c r="FO59" s="21" t="str">
        <f t="shared" si="59"/>
        <v/>
      </c>
      <c r="FP59" s="21" t="str">
        <f t="shared" si="59"/>
        <v/>
      </c>
      <c r="FQ59" s="21" t="str">
        <f t="shared" si="59"/>
        <v/>
      </c>
      <c r="FR59" s="21" t="str">
        <f t="shared" si="59"/>
        <v/>
      </c>
      <c r="FS59" s="21" t="str">
        <f t="shared" si="59"/>
        <v/>
      </c>
      <c r="FT59" s="21" t="str">
        <f t="shared" si="59"/>
        <v/>
      </c>
      <c r="FU59" s="21" t="str">
        <f t="shared" si="59"/>
        <v/>
      </c>
      <c r="FV59" s="21" t="str">
        <f t="shared" si="59"/>
        <v/>
      </c>
      <c r="FW59" s="21" t="str">
        <f t="shared" si="59"/>
        <v/>
      </c>
      <c r="FX59" s="21" t="str">
        <f t="shared" si="59"/>
        <v/>
      </c>
      <c r="FY59" s="21" t="str">
        <f t="shared" si="59"/>
        <v/>
      </c>
      <c r="FZ59" s="21" t="str">
        <f t="shared" si="59"/>
        <v/>
      </c>
      <c r="GA59" s="21" t="str">
        <f t="shared" si="59"/>
        <v/>
      </c>
      <c r="GB59" s="21" t="str">
        <f t="shared" si="59"/>
        <v/>
      </c>
      <c r="GC59" s="21" t="str">
        <f t="shared" si="59"/>
        <v/>
      </c>
      <c r="GD59" s="21" t="str">
        <f t="shared" si="59"/>
        <v/>
      </c>
      <c r="GE59" s="21" t="str">
        <f t="shared" si="59"/>
        <v/>
      </c>
      <c r="GF59" s="21" t="str">
        <f t="shared" si="59"/>
        <v/>
      </c>
      <c r="GG59" s="21" t="str">
        <f t="shared" si="59"/>
        <v/>
      </c>
      <c r="GH59" s="21" t="str">
        <f t="shared" si="59"/>
        <v/>
      </c>
      <c r="GI59" s="21" t="str">
        <f t="shared" si="59"/>
        <v/>
      </c>
      <c r="GJ59" s="21" t="str">
        <f t="shared" si="59"/>
        <v/>
      </c>
      <c r="GK59" s="21" t="str">
        <f t="shared" si="59"/>
        <v/>
      </c>
      <c r="GL59" s="21" t="str">
        <f t="shared" si="59"/>
        <v/>
      </c>
      <c r="GM59" s="21" t="str">
        <f t="shared" si="59"/>
        <v/>
      </c>
      <c r="GN59" s="21" t="str">
        <f t="shared" si="59"/>
        <v/>
      </c>
      <c r="GO59" s="21" t="str">
        <f t="shared" si="59"/>
        <v/>
      </c>
      <c r="GP59" s="21" t="str">
        <f t="shared" si="59"/>
        <v/>
      </c>
      <c r="GQ59" s="21" t="str">
        <f t="shared" si="59"/>
        <v/>
      </c>
      <c r="GR59" s="21" t="str">
        <f t="shared" si="59"/>
        <v/>
      </c>
      <c r="GS59" s="21" t="str">
        <f t="shared" si="59"/>
        <v/>
      </c>
      <c r="GT59" s="21" t="str">
        <f t="shared" si="59"/>
        <v/>
      </c>
      <c r="GU59" s="21" t="str">
        <f t="shared" si="59"/>
        <v/>
      </c>
      <c r="GV59" s="21" t="str">
        <f t="shared" si="59"/>
        <v/>
      </c>
      <c r="GW59" s="21" t="str">
        <f t="shared" si="59"/>
        <v/>
      </c>
      <c r="GX59" s="21" t="str">
        <f t="shared" si="59"/>
        <v/>
      </c>
      <c r="GY59" s="21" t="str">
        <f t="shared" si="59"/>
        <v/>
      </c>
      <c r="GZ59" s="21" t="str">
        <f t="shared" si="59"/>
        <v/>
      </c>
      <c r="HA59" s="21" t="str">
        <f t="shared" si="59"/>
        <v/>
      </c>
      <c r="HB59" s="21" t="str">
        <f t="shared" ref="HB59:JM59" si="60">IF(HB55="","",HB57-HB58)</f>
        <v/>
      </c>
      <c r="HC59" s="21" t="str">
        <f t="shared" si="60"/>
        <v/>
      </c>
      <c r="HD59" s="21" t="str">
        <f t="shared" si="60"/>
        <v/>
      </c>
      <c r="HE59" s="21" t="str">
        <f t="shared" si="60"/>
        <v/>
      </c>
      <c r="HF59" s="21" t="str">
        <f t="shared" si="60"/>
        <v/>
      </c>
      <c r="HG59" s="21" t="str">
        <f t="shared" si="60"/>
        <v/>
      </c>
      <c r="HH59" s="21" t="str">
        <f t="shared" si="60"/>
        <v/>
      </c>
      <c r="HI59" s="21" t="str">
        <f t="shared" si="60"/>
        <v/>
      </c>
      <c r="HJ59" s="21" t="str">
        <f t="shared" si="60"/>
        <v/>
      </c>
      <c r="HK59" s="21" t="str">
        <f t="shared" si="60"/>
        <v/>
      </c>
      <c r="HL59" s="21" t="str">
        <f t="shared" si="60"/>
        <v/>
      </c>
      <c r="HM59" s="21" t="str">
        <f t="shared" si="60"/>
        <v/>
      </c>
      <c r="HN59" s="21" t="str">
        <f t="shared" si="60"/>
        <v/>
      </c>
      <c r="HO59" s="21" t="str">
        <f t="shared" si="60"/>
        <v/>
      </c>
      <c r="HP59" s="21" t="str">
        <f t="shared" si="60"/>
        <v/>
      </c>
      <c r="HQ59" s="21" t="str">
        <f t="shared" si="60"/>
        <v/>
      </c>
      <c r="HR59" s="21" t="str">
        <f t="shared" si="60"/>
        <v/>
      </c>
      <c r="HS59" s="21" t="str">
        <f t="shared" si="60"/>
        <v/>
      </c>
      <c r="HT59" s="21">
        <f t="shared" si="60"/>
        <v>0</v>
      </c>
      <c r="HU59" s="21" t="str">
        <f t="shared" si="60"/>
        <v/>
      </c>
      <c r="HV59" s="21" t="str">
        <f t="shared" si="60"/>
        <v/>
      </c>
      <c r="HW59" s="21" t="str">
        <f t="shared" si="60"/>
        <v/>
      </c>
      <c r="HX59" s="21" t="str">
        <f t="shared" si="60"/>
        <v/>
      </c>
      <c r="HY59" s="21" t="str">
        <f t="shared" si="60"/>
        <v/>
      </c>
      <c r="HZ59" s="21" t="str">
        <f t="shared" si="60"/>
        <v/>
      </c>
      <c r="IA59" s="21" t="str">
        <f t="shared" si="60"/>
        <v/>
      </c>
      <c r="IB59" s="21" t="str">
        <f t="shared" si="60"/>
        <v/>
      </c>
      <c r="IC59" s="21" t="str">
        <f t="shared" si="60"/>
        <v/>
      </c>
      <c r="ID59" s="21" t="str">
        <f t="shared" si="60"/>
        <v/>
      </c>
      <c r="IE59" s="21" t="str">
        <f t="shared" si="60"/>
        <v/>
      </c>
      <c r="IF59" s="21" t="str">
        <f t="shared" si="60"/>
        <v/>
      </c>
      <c r="IG59" s="21" t="str">
        <f t="shared" si="60"/>
        <v/>
      </c>
      <c r="IH59" s="21" t="str">
        <f t="shared" si="60"/>
        <v/>
      </c>
      <c r="II59" s="21" t="str">
        <f t="shared" si="60"/>
        <v/>
      </c>
      <c r="IJ59" s="21" t="str">
        <f t="shared" si="60"/>
        <v/>
      </c>
      <c r="IK59" s="21" t="str">
        <f t="shared" si="60"/>
        <v/>
      </c>
      <c r="IL59" s="21" t="str">
        <f t="shared" si="60"/>
        <v/>
      </c>
      <c r="IM59" s="21" t="str">
        <f t="shared" si="60"/>
        <v/>
      </c>
      <c r="IN59" s="21" t="str">
        <f t="shared" si="60"/>
        <v/>
      </c>
      <c r="IO59" s="21" t="str">
        <f t="shared" si="60"/>
        <v/>
      </c>
      <c r="IP59" s="21" t="str">
        <f t="shared" si="60"/>
        <v/>
      </c>
      <c r="IQ59" s="21" t="str">
        <f t="shared" si="60"/>
        <v/>
      </c>
      <c r="IR59" s="21" t="str">
        <f t="shared" si="60"/>
        <v/>
      </c>
      <c r="IS59" s="21" t="str">
        <f t="shared" si="60"/>
        <v/>
      </c>
      <c r="IT59" s="21" t="str">
        <f t="shared" si="60"/>
        <v/>
      </c>
      <c r="IU59" s="21" t="str">
        <f t="shared" si="60"/>
        <v/>
      </c>
      <c r="IV59" s="21" t="str">
        <f t="shared" si="60"/>
        <v/>
      </c>
      <c r="IW59" s="21" t="str">
        <f t="shared" si="60"/>
        <v/>
      </c>
      <c r="IX59" s="21" t="str">
        <f t="shared" si="60"/>
        <v/>
      </c>
      <c r="IY59" s="21" t="str">
        <f t="shared" si="60"/>
        <v/>
      </c>
      <c r="IZ59" s="21" t="str">
        <f t="shared" si="60"/>
        <v/>
      </c>
      <c r="JA59" s="21" t="str">
        <f t="shared" si="60"/>
        <v/>
      </c>
      <c r="JB59" s="21" t="str">
        <f t="shared" si="60"/>
        <v/>
      </c>
      <c r="JC59" s="21" t="str">
        <f t="shared" si="60"/>
        <v/>
      </c>
      <c r="JD59" s="21" t="str">
        <f t="shared" si="60"/>
        <v/>
      </c>
      <c r="JE59" s="21" t="str">
        <f t="shared" si="60"/>
        <v/>
      </c>
      <c r="JF59" s="21" t="str">
        <f t="shared" si="60"/>
        <v/>
      </c>
      <c r="JG59" s="21" t="str">
        <f t="shared" si="60"/>
        <v/>
      </c>
      <c r="JH59" s="21" t="str">
        <f t="shared" si="60"/>
        <v/>
      </c>
      <c r="JI59" s="21" t="str">
        <f t="shared" si="60"/>
        <v/>
      </c>
      <c r="JJ59" s="21" t="str">
        <f t="shared" si="60"/>
        <v/>
      </c>
      <c r="JK59" s="21" t="str">
        <f t="shared" si="60"/>
        <v/>
      </c>
      <c r="JL59" s="21" t="str">
        <f t="shared" si="60"/>
        <v/>
      </c>
      <c r="JM59" s="21" t="str">
        <f t="shared" si="60"/>
        <v/>
      </c>
      <c r="JN59" s="21" t="str">
        <f t="shared" ref="JN59:LY59" si="61">IF(JN55="","",JN57-JN58)</f>
        <v/>
      </c>
      <c r="JO59" s="21" t="str">
        <f t="shared" si="61"/>
        <v/>
      </c>
      <c r="JP59" s="21" t="str">
        <f t="shared" si="61"/>
        <v/>
      </c>
      <c r="JQ59" s="21" t="str">
        <f t="shared" si="61"/>
        <v/>
      </c>
      <c r="JR59" s="21" t="str">
        <f t="shared" si="61"/>
        <v/>
      </c>
      <c r="JS59" s="21" t="str">
        <f t="shared" si="61"/>
        <v/>
      </c>
      <c r="JT59" s="21" t="str">
        <f t="shared" si="61"/>
        <v/>
      </c>
      <c r="JU59" s="21" t="str">
        <f t="shared" si="61"/>
        <v/>
      </c>
      <c r="JV59" s="21" t="str">
        <f t="shared" si="61"/>
        <v/>
      </c>
      <c r="JW59" s="21" t="str">
        <f t="shared" si="61"/>
        <v/>
      </c>
      <c r="JX59" s="21" t="str">
        <f t="shared" si="61"/>
        <v/>
      </c>
      <c r="JY59" s="21" t="str">
        <f t="shared" si="61"/>
        <v/>
      </c>
      <c r="JZ59" s="21" t="str">
        <f t="shared" si="61"/>
        <v/>
      </c>
      <c r="KA59" s="21" t="str">
        <f t="shared" si="61"/>
        <v/>
      </c>
      <c r="KB59" s="21" t="str">
        <f t="shared" si="61"/>
        <v/>
      </c>
      <c r="KC59" s="21" t="str">
        <f t="shared" si="61"/>
        <v/>
      </c>
      <c r="KD59" s="21" t="str">
        <f t="shared" si="61"/>
        <v/>
      </c>
      <c r="KE59" s="21" t="str">
        <f t="shared" si="61"/>
        <v/>
      </c>
      <c r="KF59" s="21" t="str">
        <f t="shared" si="61"/>
        <v/>
      </c>
      <c r="KG59" s="21" t="str">
        <f t="shared" si="61"/>
        <v/>
      </c>
      <c r="KH59" s="21" t="str">
        <f t="shared" si="61"/>
        <v/>
      </c>
      <c r="KI59" s="21" t="str">
        <f t="shared" si="61"/>
        <v/>
      </c>
      <c r="KJ59" s="21" t="str">
        <f t="shared" si="61"/>
        <v/>
      </c>
      <c r="KK59" s="21" t="str">
        <f t="shared" si="61"/>
        <v/>
      </c>
      <c r="KL59" s="21" t="str">
        <f t="shared" si="61"/>
        <v/>
      </c>
      <c r="KM59" s="21" t="str">
        <f t="shared" si="61"/>
        <v/>
      </c>
      <c r="KN59" s="21" t="str">
        <f t="shared" si="61"/>
        <v/>
      </c>
      <c r="KO59" s="21" t="str">
        <f t="shared" si="61"/>
        <v/>
      </c>
      <c r="KP59" s="21" t="str">
        <f t="shared" si="61"/>
        <v/>
      </c>
      <c r="KQ59" s="21" t="str">
        <f t="shared" si="61"/>
        <v/>
      </c>
      <c r="KR59" s="21" t="str">
        <f t="shared" si="61"/>
        <v/>
      </c>
      <c r="KS59" s="21" t="str">
        <f t="shared" si="61"/>
        <v/>
      </c>
      <c r="KT59" s="21" t="str">
        <f t="shared" si="61"/>
        <v/>
      </c>
      <c r="KU59" s="21" t="str">
        <f t="shared" si="61"/>
        <v/>
      </c>
      <c r="KV59" s="21" t="str">
        <f t="shared" si="61"/>
        <v/>
      </c>
      <c r="KW59" s="21" t="str">
        <f t="shared" si="61"/>
        <v/>
      </c>
      <c r="KX59" s="21" t="str">
        <f t="shared" si="61"/>
        <v/>
      </c>
      <c r="KY59" s="21" t="str">
        <f t="shared" si="61"/>
        <v/>
      </c>
      <c r="KZ59" s="21" t="str">
        <f t="shared" si="61"/>
        <v/>
      </c>
      <c r="LA59" s="21" t="str">
        <f t="shared" si="61"/>
        <v/>
      </c>
      <c r="LB59" s="21" t="str">
        <f t="shared" si="61"/>
        <v/>
      </c>
      <c r="LC59" s="21" t="str">
        <f t="shared" si="61"/>
        <v/>
      </c>
      <c r="LD59" s="21" t="str">
        <f t="shared" si="61"/>
        <v/>
      </c>
      <c r="LE59" s="21" t="str">
        <f t="shared" si="61"/>
        <v/>
      </c>
      <c r="LF59" s="21" t="str">
        <f t="shared" si="61"/>
        <v/>
      </c>
      <c r="LG59" s="21" t="str">
        <f t="shared" si="61"/>
        <v/>
      </c>
      <c r="LH59" s="21" t="str">
        <f t="shared" si="61"/>
        <v/>
      </c>
      <c r="LI59" s="21" t="str">
        <f t="shared" si="61"/>
        <v/>
      </c>
      <c r="LJ59" s="21" t="str">
        <f t="shared" si="61"/>
        <v/>
      </c>
      <c r="LK59" s="21" t="str">
        <f t="shared" si="61"/>
        <v/>
      </c>
      <c r="LL59" s="21" t="str">
        <f t="shared" si="61"/>
        <v/>
      </c>
      <c r="LM59" s="21" t="str">
        <f t="shared" si="61"/>
        <v/>
      </c>
      <c r="LN59" s="21" t="str">
        <f t="shared" si="61"/>
        <v/>
      </c>
      <c r="LO59" s="21" t="str">
        <f t="shared" si="61"/>
        <v/>
      </c>
      <c r="LP59" s="21" t="str">
        <f t="shared" si="61"/>
        <v/>
      </c>
      <c r="LQ59" s="21" t="str">
        <f t="shared" si="61"/>
        <v/>
      </c>
      <c r="LR59" s="21" t="str">
        <f t="shared" si="61"/>
        <v/>
      </c>
      <c r="LS59" s="21" t="str">
        <f t="shared" si="61"/>
        <v/>
      </c>
      <c r="LT59" s="21" t="str">
        <f t="shared" si="61"/>
        <v/>
      </c>
      <c r="LU59" s="21" t="str">
        <f t="shared" si="61"/>
        <v/>
      </c>
      <c r="LV59" s="21" t="str">
        <f t="shared" si="61"/>
        <v/>
      </c>
      <c r="LW59" s="21" t="str">
        <f t="shared" si="61"/>
        <v/>
      </c>
      <c r="LX59" s="21" t="str">
        <f t="shared" si="61"/>
        <v/>
      </c>
      <c r="LY59" s="21" t="str">
        <f t="shared" si="61"/>
        <v/>
      </c>
      <c r="LZ59" s="21" t="str">
        <f t="shared" ref="LZ59:NJ59" si="62">IF(LZ55="","",LZ57-LZ58)</f>
        <v/>
      </c>
      <c r="MA59" s="21" t="str">
        <f t="shared" si="62"/>
        <v/>
      </c>
      <c r="MB59" s="21" t="str">
        <f t="shared" si="62"/>
        <v/>
      </c>
      <c r="MC59" s="21" t="str">
        <f t="shared" si="62"/>
        <v/>
      </c>
      <c r="MD59" s="21" t="str">
        <f t="shared" si="62"/>
        <v/>
      </c>
      <c r="ME59" s="21" t="str">
        <f t="shared" si="62"/>
        <v/>
      </c>
      <c r="MF59" s="21" t="str">
        <f t="shared" si="62"/>
        <v/>
      </c>
      <c r="MG59" s="21" t="str">
        <f t="shared" si="62"/>
        <v/>
      </c>
      <c r="MH59" s="21" t="str">
        <f t="shared" si="62"/>
        <v/>
      </c>
      <c r="MI59" s="21" t="str">
        <f t="shared" si="62"/>
        <v/>
      </c>
      <c r="MJ59" s="21" t="str">
        <f t="shared" si="62"/>
        <v/>
      </c>
      <c r="MK59" s="21" t="str">
        <f t="shared" si="62"/>
        <v/>
      </c>
      <c r="ML59" s="21" t="str">
        <f t="shared" si="62"/>
        <v/>
      </c>
      <c r="MM59" s="21" t="str">
        <f t="shared" si="62"/>
        <v/>
      </c>
      <c r="MN59" s="21" t="str">
        <f t="shared" si="62"/>
        <v/>
      </c>
      <c r="MO59" s="21" t="str">
        <f t="shared" si="62"/>
        <v/>
      </c>
      <c r="MP59" s="21" t="str">
        <f t="shared" si="62"/>
        <v/>
      </c>
      <c r="MQ59" s="21" t="str">
        <f t="shared" si="62"/>
        <v/>
      </c>
      <c r="MR59" s="21" t="str">
        <f t="shared" si="62"/>
        <v/>
      </c>
      <c r="MS59" s="21" t="str">
        <f t="shared" si="62"/>
        <v/>
      </c>
      <c r="MT59" s="21" t="str">
        <f t="shared" si="62"/>
        <v/>
      </c>
      <c r="MU59" s="21" t="str">
        <f t="shared" si="62"/>
        <v/>
      </c>
      <c r="MV59" s="21" t="str">
        <f t="shared" si="62"/>
        <v/>
      </c>
      <c r="MW59" s="21" t="str">
        <f t="shared" si="62"/>
        <v/>
      </c>
      <c r="MX59" s="21" t="str">
        <f t="shared" si="62"/>
        <v/>
      </c>
      <c r="MY59" s="21" t="str">
        <f t="shared" si="62"/>
        <v/>
      </c>
      <c r="MZ59" s="21" t="str">
        <f t="shared" si="62"/>
        <v/>
      </c>
      <c r="NA59" s="21" t="str">
        <f t="shared" si="62"/>
        <v/>
      </c>
      <c r="NB59" s="21" t="str">
        <f t="shared" si="62"/>
        <v/>
      </c>
      <c r="NC59" s="21" t="str">
        <f t="shared" si="62"/>
        <v/>
      </c>
      <c r="ND59" s="21" t="str">
        <f t="shared" si="62"/>
        <v/>
      </c>
      <c r="NE59" s="21" t="str">
        <f t="shared" si="62"/>
        <v/>
      </c>
      <c r="NF59" s="21" t="str">
        <f t="shared" si="62"/>
        <v/>
      </c>
      <c r="NG59" s="21" t="str">
        <f t="shared" si="62"/>
        <v/>
      </c>
      <c r="NH59" s="21" t="str">
        <f t="shared" si="62"/>
        <v/>
      </c>
      <c r="NI59" s="21" t="str">
        <f t="shared" si="62"/>
        <v/>
      </c>
      <c r="NJ59" s="21" t="str">
        <f t="shared" si="62"/>
        <v/>
      </c>
      <c r="NN59" s="1"/>
      <c r="NO59" s="476"/>
      <c r="NP59" s="476"/>
      <c r="NQ59" s="476"/>
      <c r="NR59" s="476"/>
      <c r="NS59" s="476"/>
      <c r="NT59" s="1"/>
      <c r="NU59" s="1"/>
      <c r="NV59" s="1"/>
      <c r="NW59" s="1"/>
      <c r="NX59" s="1"/>
      <c r="NY59" s="1"/>
      <c r="NZ59" s="1"/>
      <c r="OA59" s="1"/>
      <c r="OB59" s="1"/>
      <c r="OC59" s="1"/>
      <c r="OD59" s="1"/>
      <c r="OE59" s="1"/>
      <c r="OF59" s="1"/>
      <c r="OG59" s="1"/>
      <c r="OH59" s="1"/>
      <c r="OI59" s="1"/>
      <c r="OJ59" s="1"/>
      <c r="OK59" s="1"/>
    </row>
    <row r="60" spans="1:404" x14ac:dyDescent="0.3">
      <c r="A60" s="1"/>
      <c r="B60" s="107"/>
      <c r="C60" s="1"/>
      <c r="D60" s="1"/>
      <c r="E60" s="1"/>
      <c r="F60" s="1"/>
      <c r="G60" s="17"/>
      <c r="H60" s="17"/>
      <c r="I60" s="28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2"/>
      <c r="BH60" s="22"/>
      <c r="BI60" s="22"/>
      <c r="BJ60" s="22"/>
      <c r="BK60" s="22"/>
      <c r="BL60" s="22"/>
      <c r="BM60" s="22"/>
      <c r="BN60" s="22"/>
      <c r="BO60" s="22"/>
      <c r="BP60" s="22"/>
      <c r="BQ60" s="22"/>
      <c r="BR60" s="22"/>
      <c r="BS60" s="22"/>
      <c r="BT60" s="22"/>
      <c r="BU60" s="22"/>
      <c r="BV60" s="22"/>
      <c r="BW60" s="22"/>
      <c r="BX60" s="22"/>
      <c r="BY60" s="22"/>
      <c r="BZ60" s="22"/>
      <c r="CA60" s="22"/>
      <c r="CB60" s="22"/>
      <c r="CC60" s="22"/>
      <c r="CD60" s="22"/>
      <c r="CE60" s="22"/>
      <c r="CF60" s="22"/>
      <c r="CG60" s="22"/>
      <c r="CH60" s="22"/>
      <c r="CI60" s="22"/>
      <c r="CJ60" s="22"/>
      <c r="CK60" s="22"/>
      <c r="CL60" s="22"/>
      <c r="CM60" s="22"/>
      <c r="CN60" s="22"/>
      <c r="CO60" s="22"/>
      <c r="CP60" s="22"/>
      <c r="CQ60" s="22"/>
      <c r="CR60" s="22"/>
      <c r="CS60" s="22"/>
      <c r="CT60" s="22"/>
      <c r="CU60" s="22"/>
      <c r="CV60" s="22"/>
      <c r="CW60" s="22"/>
      <c r="CX60" s="22"/>
      <c r="CY60" s="22"/>
      <c r="CZ60" s="22"/>
      <c r="DA60" s="22"/>
      <c r="DB60" s="22"/>
      <c r="DC60" s="22"/>
      <c r="DD60" s="22"/>
      <c r="DE60" s="22"/>
      <c r="DF60" s="22"/>
      <c r="DG60" s="22"/>
      <c r="DH60" s="22"/>
      <c r="DI60" s="22"/>
      <c r="DJ60" s="22"/>
      <c r="DK60" s="22"/>
      <c r="DL60" s="22"/>
      <c r="DM60" s="22"/>
      <c r="DN60" s="22"/>
      <c r="DO60" s="22"/>
      <c r="DP60" s="22"/>
      <c r="DQ60" s="22"/>
      <c r="DR60" s="22"/>
      <c r="DS60" s="22"/>
      <c r="DT60" s="22"/>
      <c r="DU60" s="22"/>
      <c r="DV60" s="22"/>
      <c r="DW60" s="22"/>
      <c r="DX60" s="22"/>
      <c r="DY60" s="22"/>
      <c r="DZ60" s="22"/>
      <c r="EA60" s="22"/>
      <c r="EB60" s="22"/>
      <c r="EC60" s="22"/>
      <c r="ED60" s="22"/>
      <c r="EE60" s="22"/>
      <c r="EF60" s="22"/>
      <c r="EG60" s="22"/>
      <c r="EH60" s="22"/>
      <c r="EI60" s="22"/>
      <c r="EJ60" s="22"/>
      <c r="EK60" s="22"/>
      <c r="EL60" s="22"/>
      <c r="EM60" s="22"/>
      <c r="EN60" s="22"/>
      <c r="EO60" s="22"/>
      <c r="EP60" s="22"/>
      <c r="EQ60" s="22"/>
      <c r="ER60" s="22"/>
      <c r="ES60" s="22"/>
      <c r="ET60" s="22"/>
      <c r="EU60" s="22"/>
      <c r="EV60" s="22"/>
      <c r="EW60" s="22"/>
      <c r="EX60" s="22"/>
      <c r="EY60" s="22"/>
      <c r="EZ60" s="22"/>
      <c r="FA60" s="22"/>
      <c r="FB60" s="22"/>
      <c r="FC60" s="22"/>
      <c r="FD60" s="22"/>
      <c r="FE60" s="22"/>
      <c r="FF60" s="22"/>
      <c r="FG60" s="22"/>
      <c r="FH60" s="22"/>
      <c r="FI60" s="22"/>
      <c r="FJ60" s="22"/>
      <c r="FK60" s="22"/>
      <c r="FL60" s="22"/>
      <c r="FM60" s="22"/>
      <c r="FN60" s="22"/>
      <c r="FO60" s="22"/>
      <c r="FP60" s="22"/>
      <c r="FQ60" s="22"/>
      <c r="FR60" s="22"/>
      <c r="FS60" s="22"/>
      <c r="FT60" s="22"/>
      <c r="FU60" s="22"/>
      <c r="FV60" s="22"/>
      <c r="FW60" s="22"/>
      <c r="FX60" s="22"/>
      <c r="FY60" s="22"/>
      <c r="FZ60" s="22"/>
      <c r="GA60" s="22"/>
      <c r="GB60" s="22"/>
      <c r="GC60" s="22"/>
      <c r="GD60" s="22"/>
      <c r="GE60" s="22"/>
      <c r="GF60" s="22"/>
      <c r="GG60" s="22"/>
      <c r="GH60" s="22"/>
      <c r="GI60" s="22"/>
      <c r="GJ60" s="22"/>
      <c r="GK60" s="22"/>
      <c r="GL60" s="22"/>
      <c r="GM60" s="22"/>
      <c r="GN60" s="22"/>
      <c r="GO60" s="22"/>
      <c r="GP60" s="22"/>
      <c r="GQ60" s="22"/>
      <c r="GR60" s="22"/>
      <c r="GS60" s="22"/>
      <c r="GT60" s="22"/>
      <c r="GU60" s="22"/>
      <c r="GV60" s="22"/>
      <c r="GW60" s="22"/>
      <c r="GX60" s="22"/>
      <c r="GY60" s="22"/>
      <c r="GZ60" s="22"/>
      <c r="HA60" s="22"/>
      <c r="HB60" s="22"/>
      <c r="HC60" s="22"/>
      <c r="HD60" s="22"/>
      <c r="HE60" s="22"/>
      <c r="HF60" s="22"/>
      <c r="HG60" s="22"/>
      <c r="HH60" s="22"/>
      <c r="HI60" s="22"/>
      <c r="HJ60" s="22"/>
      <c r="HK60" s="22"/>
      <c r="HL60" s="22"/>
      <c r="HM60" s="22"/>
      <c r="HN60" s="22"/>
      <c r="HO60" s="22"/>
      <c r="HP60" s="22"/>
      <c r="HQ60" s="22"/>
      <c r="HR60" s="22"/>
      <c r="HS60" s="22"/>
      <c r="HT60" s="22"/>
      <c r="HU60" s="22"/>
      <c r="HV60" s="22"/>
      <c r="HW60" s="22"/>
      <c r="HX60" s="22"/>
      <c r="HY60" s="22"/>
      <c r="HZ60" s="22"/>
      <c r="IA60" s="22"/>
      <c r="IB60" s="22"/>
      <c r="IC60" s="22"/>
      <c r="ID60" s="22"/>
      <c r="IE60" s="22"/>
      <c r="IF60" s="22"/>
      <c r="IG60" s="22"/>
      <c r="IH60" s="22"/>
      <c r="II60" s="22"/>
      <c r="IJ60" s="22"/>
      <c r="IK60" s="22"/>
      <c r="IL60" s="22"/>
      <c r="IM60" s="22"/>
      <c r="IN60" s="22"/>
      <c r="IO60" s="22"/>
      <c r="IP60" s="22"/>
      <c r="IQ60" s="22"/>
      <c r="IR60" s="22"/>
      <c r="IS60" s="22"/>
      <c r="IT60" s="22"/>
      <c r="IU60" s="22"/>
      <c r="IV60" s="22"/>
      <c r="IW60" s="22"/>
      <c r="IX60" s="22"/>
      <c r="IY60" s="22"/>
      <c r="IZ60" s="22"/>
      <c r="JA60" s="22"/>
      <c r="JB60" s="22"/>
      <c r="JC60" s="22"/>
      <c r="JD60" s="22"/>
      <c r="JE60" s="22"/>
      <c r="JF60" s="22"/>
      <c r="JG60" s="22"/>
      <c r="JH60" s="22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2"/>
      <c r="LK60" s="22"/>
      <c r="LL60" s="22"/>
      <c r="LM60" s="22"/>
      <c r="LN60" s="22"/>
      <c r="LO60" s="22"/>
      <c r="LP60" s="22"/>
      <c r="LQ60" s="22"/>
      <c r="LR60" s="22"/>
      <c r="LS60" s="22"/>
      <c r="LT60" s="22"/>
      <c r="LU60" s="22"/>
      <c r="LV60" s="22"/>
      <c r="LW60" s="22"/>
      <c r="LX60" s="22"/>
      <c r="LY60" s="22"/>
      <c r="LZ60" s="22"/>
      <c r="MA60" s="22"/>
      <c r="MB60" s="22"/>
      <c r="MC60" s="22"/>
      <c r="MD60" s="22"/>
      <c r="ME60" s="22"/>
      <c r="MF60" s="22"/>
      <c r="MG60" s="22"/>
      <c r="MH60" s="22"/>
      <c r="MI60" s="22"/>
      <c r="MJ60" s="22"/>
      <c r="MK60" s="22"/>
      <c r="ML60" s="22"/>
      <c r="MM60" s="22"/>
      <c r="MN60" s="22"/>
      <c r="MO60" s="22"/>
      <c r="MP60" s="22"/>
      <c r="MQ60" s="22"/>
      <c r="MR60" s="22"/>
      <c r="MS60" s="22"/>
      <c r="MT60" s="22"/>
      <c r="MU60" s="22"/>
      <c r="MV60" s="22"/>
      <c r="MW60" s="22"/>
      <c r="MX60" s="22"/>
      <c r="MY60" s="22"/>
      <c r="MZ60" s="22"/>
      <c r="NA60" s="22"/>
      <c r="NB60" s="22"/>
      <c r="NC60" s="22"/>
      <c r="ND60" s="22"/>
      <c r="NE60" s="22"/>
      <c r="NF60" s="22"/>
      <c r="NG60" s="22"/>
      <c r="NH60" s="22"/>
      <c r="NI60" s="22"/>
      <c r="NJ60" s="22"/>
      <c r="NN60" s="1"/>
      <c r="NO60" s="1"/>
      <c r="NP60" s="1"/>
      <c r="NQ60" s="1"/>
      <c r="NR60" s="1"/>
      <c r="NS60" s="1"/>
      <c r="NT60" s="1"/>
      <c r="NU60" s="1"/>
      <c r="NV60" s="1"/>
      <c r="NW60" s="1"/>
      <c r="NX60" s="1"/>
      <c r="NY60" s="1"/>
      <c r="NZ60" s="1"/>
      <c r="OA60" s="1"/>
      <c r="OB60" s="1"/>
      <c r="OC60" s="1"/>
      <c r="OD60" s="1"/>
      <c r="OE60" s="1"/>
      <c r="OF60" s="1"/>
      <c r="OG60" s="1"/>
      <c r="OH60" s="1"/>
      <c r="OI60" s="1"/>
      <c r="OJ60" s="1"/>
      <c r="OK60" s="1"/>
    </row>
    <row r="61" spans="1:404" x14ac:dyDescent="0.3">
      <c r="A61" s="1"/>
      <c r="B61" s="1"/>
      <c r="C61" s="1"/>
      <c r="D61" s="1"/>
      <c r="E61" s="1"/>
      <c r="F61" s="1"/>
      <c r="G61" s="17"/>
      <c r="H61" s="17" t="s">
        <v>44</v>
      </c>
      <c r="I61" s="28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C61" s="27"/>
      <c r="AD61" s="27"/>
      <c r="AE61" s="27"/>
      <c r="AF61" s="27"/>
      <c r="AG61" s="27"/>
      <c r="AH61" s="27"/>
      <c r="AI61" s="27"/>
      <c r="AJ61" s="27"/>
      <c r="AK61" s="27"/>
      <c r="AL61" s="27"/>
      <c r="AM61" s="27"/>
      <c r="AN61" s="27"/>
      <c r="AO61" s="27"/>
      <c r="AP61" s="27"/>
      <c r="AQ61" s="27"/>
      <c r="AR61" s="27"/>
      <c r="AS61" s="27"/>
      <c r="AT61" s="27"/>
      <c r="AU61" s="27"/>
      <c r="AV61" s="27"/>
      <c r="AW61" s="27"/>
      <c r="AX61" s="27"/>
      <c r="AY61" s="27"/>
      <c r="AZ61" s="27"/>
      <c r="BA61" s="27"/>
      <c r="BB61" s="27"/>
      <c r="BC61" s="27"/>
      <c r="BD61" s="27"/>
      <c r="BE61" s="27"/>
      <c r="BF61" s="27"/>
      <c r="BG61" s="27"/>
      <c r="BH61" s="27"/>
      <c r="BI61" s="27"/>
      <c r="BJ61" s="27"/>
      <c r="BK61" s="27"/>
      <c r="BL61" s="27"/>
      <c r="BM61" s="27"/>
      <c r="BN61" s="27"/>
      <c r="BO61" s="27"/>
      <c r="BP61" s="27"/>
      <c r="BQ61" s="27"/>
      <c r="BR61" s="27"/>
      <c r="BS61" s="27"/>
      <c r="BT61" s="27"/>
      <c r="BU61" s="27"/>
      <c r="BV61" s="27"/>
      <c r="BW61" s="27"/>
      <c r="BX61" s="27"/>
      <c r="BY61" s="27"/>
      <c r="BZ61" s="27"/>
      <c r="CA61" s="27"/>
      <c r="CB61" s="27"/>
      <c r="CC61" s="27"/>
      <c r="CD61" s="27"/>
      <c r="CE61" s="27"/>
      <c r="CF61" s="27"/>
      <c r="CG61" s="27"/>
      <c r="CH61" s="27"/>
      <c r="CI61" s="27"/>
      <c r="CJ61" s="27"/>
      <c r="CK61" s="27"/>
      <c r="CL61" s="27"/>
      <c r="CM61" s="27"/>
      <c r="CN61" s="27"/>
      <c r="CO61" s="27"/>
      <c r="CP61" s="27"/>
      <c r="CQ61" s="27"/>
      <c r="CR61" s="27"/>
      <c r="CS61" s="27"/>
      <c r="CT61" s="27"/>
      <c r="CU61" s="27"/>
      <c r="CV61" s="27"/>
      <c r="CW61" s="27"/>
      <c r="CX61" s="27"/>
      <c r="CY61" s="27"/>
      <c r="CZ61" s="27"/>
      <c r="DA61" s="27"/>
      <c r="DB61" s="27"/>
      <c r="DC61" s="27"/>
      <c r="DD61" s="27"/>
      <c r="DE61" s="27"/>
      <c r="DF61" s="27"/>
      <c r="DG61" s="27"/>
      <c r="DH61" s="27"/>
      <c r="DI61" s="27"/>
      <c r="DJ61" s="27"/>
      <c r="DK61" s="27"/>
      <c r="DL61" s="27"/>
      <c r="DM61" s="27"/>
      <c r="DN61" s="27"/>
      <c r="DO61" s="27"/>
      <c r="DP61" s="27"/>
      <c r="DQ61" s="27"/>
      <c r="DR61" s="27"/>
      <c r="DS61" s="27"/>
      <c r="DT61" s="27"/>
      <c r="DU61" s="27"/>
      <c r="DV61" s="27"/>
      <c r="DW61" s="27"/>
      <c r="DX61" s="27"/>
      <c r="DY61" s="27"/>
      <c r="DZ61" s="27"/>
      <c r="EA61" s="27"/>
      <c r="EB61" s="27"/>
      <c r="EC61" s="27"/>
      <c r="ED61" s="27"/>
      <c r="EE61" s="27"/>
      <c r="EF61" s="27"/>
      <c r="EG61" s="27"/>
      <c r="EH61" s="27"/>
      <c r="EI61" s="27"/>
      <c r="EJ61" s="27"/>
      <c r="EK61" s="27"/>
      <c r="EL61" s="27"/>
      <c r="EM61" s="27"/>
      <c r="EN61" s="27"/>
      <c r="EO61" s="27"/>
      <c r="EP61" s="27"/>
      <c r="EQ61" s="27"/>
      <c r="ER61" s="27"/>
      <c r="ES61" s="27"/>
      <c r="ET61" s="27"/>
      <c r="EU61" s="27"/>
      <c r="EV61" s="27"/>
      <c r="EW61" s="27"/>
      <c r="EX61" s="27"/>
      <c r="EY61" s="27"/>
      <c r="EZ61" s="27"/>
      <c r="FA61" s="27"/>
      <c r="FB61" s="27"/>
      <c r="FC61" s="27"/>
      <c r="FD61" s="27"/>
      <c r="FE61" s="27"/>
      <c r="FF61" s="27"/>
      <c r="FG61" s="27"/>
      <c r="FH61" s="27"/>
      <c r="FI61" s="27"/>
      <c r="FJ61" s="27"/>
      <c r="FK61" s="27"/>
      <c r="FL61" s="27"/>
      <c r="FM61" s="27"/>
      <c r="FN61" s="27"/>
      <c r="FO61" s="27"/>
      <c r="FP61" s="27"/>
      <c r="FQ61" s="27"/>
      <c r="FR61" s="27"/>
      <c r="FS61" s="27"/>
      <c r="FT61" s="27"/>
      <c r="FU61" s="27"/>
      <c r="FV61" s="27"/>
      <c r="FW61" s="27"/>
      <c r="FX61" s="27"/>
      <c r="FY61" s="27"/>
      <c r="FZ61" s="27"/>
      <c r="GA61" s="27"/>
      <c r="GB61" s="27"/>
      <c r="GC61" s="27"/>
      <c r="GD61" s="27"/>
      <c r="GE61" s="27"/>
      <c r="GF61" s="27"/>
      <c r="GG61" s="27"/>
      <c r="GH61" s="27"/>
      <c r="GI61" s="27"/>
      <c r="GJ61" s="27"/>
      <c r="GK61" s="27"/>
      <c r="GL61" s="27"/>
      <c r="GM61" s="27"/>
      <c r="GN61" s="27"/>
      <c r="GO61" s="27"/>
      <c r="GP61" s="27"/>
      <c r="GQ61" s="27"/>
      <c r="GR61" s="27"/>
      <c r="GS61" s="27"/>
      <c r="GT61" s="27"/>
      <c r="GU61" s="27"/>
      <c r="GV61" s="27"/>
      <c r="GW61" s="27"/>
      <c r="GX61" s="27"/>
      <c r="GY61" s="27"/>
      <c r="GZ61" s="27"/>
      <c r="HA61" s="27"/>
      <c r="HB61" s="27"/>
      <c r="HC61" s="27"/>
      <c r="HD61" s="27"/>
      <c r="HE61" s="27"/>
      <c r="HF61" s="27"/>
      <c r="HG61" s="27"/>
      <c r="HH61" s="27"/>
      <c r="HI61" s="27"/>
      <c r="HJ61" s="27"/>
      <c r="HK61" s="27"/>
      <c r="HL61" s="27"/>
      <c r="HM61" s="27"/>
      <c r="HN61" s="27"/>
      <c r="HO61" s="27"/>
      <c r="HP61" s="27"/>
      <c r="HQ61" s="27"/>
      <c r="HR61" s="27"/>
      <c r="HS61" s="27"/>
      <c r="HT61" s="27"/>
      <c r="HU61" s="27"/>
      <c r="HV61" s="27"/>
      <c r="HW61" s="27"/>
      <c r="HX61" s="27"/>
      <c r="HY61" s="27"/>
      <c r="HZ61" s="27"/>
      <c r="IA61" s="27"/>
      <c r="IB61" s="27"/>
      <c r="IC61" s="27"/>
      <c r="ID61" s="27"/>
      <c r="IE61" s="27"/>
      <c r="IF61" s="27"/>
      <c r="IG61" s="27"/>
      <c r="IH61" s="27"/>
      <c r="II61" s="27"/>
      <c r="IJ61" s="27"/>
      <c r="IK61" s="27"/>
      <c r="IL61" s="27"/>
      <c r="IM61" s="27"/>
      <c r="IN61" s="27"/>
      <c r="IO61" s="27"/>
      <c r="IP61" s="27"/>
      <c r="IQ61" s="27"/>
      <c r="IR61" s="27"/>
      <c r="IS61" s="27"/>
      <c r="IT61" s="27"/>
      <c r="IU61" s="27"/>
      <c r="IV61" s="27"/>
      <c r="IW61" s="27"/>
      <c r="IX61" s="27"/>
      <c r="IY61" s="27"/>
      <c r="IZ61" s="27"/>
      <c r="JA61" s="27"/>
      <c r="JB61" s="27"/>
      <c r="JC61" s="27"/>
      <c r="JD61" s="27"/>
      <c r="JE61" s="27"/>
      <c r="JF61" s="27"/>
      <c r="JG61" s="27"/>
      <c r="JH61" s="27"/>
      <c r="JI61" s="27"/>
      <c r="JJ61" s="27"/>
      <c r="JK61" s="27"/>
      <c r="JL61" s="27"/>
      <c r="JM61" s="27"/>
      <c r="JN61" s="27"/>
      <c r="JO61" s="27"/>
      <c r="JP61" s="27"/>
      <c r="JQ61" s="27"/>
      <c r="JR61" s="27"/>
      <c r="JS61" s="27"/>
      <c r="JT61" s="27"/>
      <c r="JU61" s="27"/>
      <c r="JV61" s="27"/>
      <c r="JW61" s="27"/>
      <c r="JX61" s="27"/>
      <c r="JY61" s="27"/>
      <c r="JZ61" s="27"/>
      <c r="KA61" s="27"/>
      <c r="KB61" s="27"/>
      <c r="KC61" s="27"/>
      <c r="KD61" s="27"/>
      <c r="KE61" s="27"/>
      <c r="KF61" s="27"/>
      <c r="KG61" s="27"/>
      <c r="KH61" s="27"/>
      <c r="KI61" s="27"/>
      <c r="KJ61" s="27"/>
      <c r="KK61" s="27"/>
      <c r="KL61" s="27"/>
      <c r="KM61" s="27"/>
      <c r="KN61" s="27"/>
      <c r="KO61" s="27"/>
      <c r="KP61" s="27"/>
      <c r="KQ61" s="27"/>
      <c r="KR61" s="27"/>
      <c r="KS61" s="27"/>
      <c r="KT61" s="27"/>
      <c r="KU61" s="27"/>
      <c r="KV61" s="27"/>
      <c r="KW61" s="27"/>
      <c r="KX61" s="27"/>
      <c r="KY61" s="27"/>
      <c r="KZ61" s="27"/>
      <c r="LA61" s="27"/>
      <c r="LB61" s="27"/>
      <c r="LC61" s="27"/>
      <c r="LD61" s="27"/>
      <c r="LE61" s="27"/>
      <c r="LF61" s="27"/>
      <c r="LG61" s="27"/>
      <c r="LH61" s="27"/>
      <c r="LI61" s="27"/>
      <c r="LJ61" s="27"/>
      <c r="LK61" s="27"/>
      <c r="LL61" s="27"/>
      <c r="LM61" s="27"/>
      <c r="LN61" s="27"/>
      <c r="LO61" s="27"/>
      <c r="LP61" s="27"/>
      <c r="LQ61" s="27"/>
      <c r="LR61" s="27"/>
      <c r="LS61" s="27"/>
      <c r="LT61" s="27"/>
      <c r="LU61" s="27"/>
      <c r="LV61" s="27"/>
      <c r="LW61" s="27"/>
      <c r="LX61" s="27"/>
      <c r="LY61" s="27"/>
      <c r="LZ61" s="27"/>
      <c r="MA61" s="27"/>
      <c r="MB61" s="27"/>
      <c r="MC61" s="27"/>
      <c r="MD61" s="27"/>
      <c r="ME61" s="27"/>
      <c r="MF61" s="27"/>
      <c r="MG61" s="27"/>
      <c r="MH61" s="27"/>
      <c r="MI61" s="27"/>
      <c r="MJ61" s="27"/>
      <c r="MK61" s="27"/>
      <c r="ML61" s="27"/>
      <c r="MM61" s="27"/>
      <c r="MN61" s="27"/>
      <c r="MO61" s="27"/>
      <c r="MP61" s="27"/>
      <c r="MQ61" s="27"/>
      <c r="MR61" s="27"/>
      <c r="MS61" s="27"/>
      <c r="MT61" s="27"/>
      <c r="MU61" s="27"/>
      <c r="MV61" s="27"/>
      <c r="MW61" s="27"/>
      <c r="MX61" s="27"/>
      <c r="MY61" s="27"/>
      <c r="MZ61" s="27"/>
      <c r="NA61" s="27"/>
      <c r="NB61" s="27"/>
      <c r="NC61" s="27"/>
      <c r="ND61" s="27"/>
      <c r="NE61" s="27"/>
      <c r="NF61" s="27"/>
      <c r="NG61" s="27"/>
      <c r="NH61" s="27"/>
      <c r="NI61" s="27"/>
      <c r="NJ61" s="27"/>
      <c r="NN61" s="1"/>
      <c r="NO61" s="1"/>
      <c r="NP61" s="1"/>
      <c r="NQ61" s="1"/>
      <c r="NR61" s="1"/>
      <c r="NS61" s="1"/>
      <c r="NT61" s="1"/>
      <c r="NU61" s="1"/>
      <c r="NV61" s="1"/>
      <c r="NW61" s="1"/>
      <c r="NX61" s="1"/>
      <c r="NY61" s="1"/>
      <c r="NZ61" s="1"/>
      <c r="OA61" s="1"/>
      <c r="OB61" s="1"/>
      <c r="OC61" s="1"/>
      <c r="OD61" s="1"/>
      <c r="OE61" s="1"/>
      <c r="OF61" s="1"/>
      <c r="OG61" s="1"/>
      <c r="OH61" s="1"/>
      <c r="OI61" s="1"/>
      <c r="OJ61" s="1"/>
      <c r="OK61" s="1"/>
    </row>
    <row r="62" spans="1:404" x14ac:dyDescent="0.3">
      <c r="A62" s="1"/>
      <c r="B62" s="1"/>
      <c r="C62" s="1"/>
      <c r="D62" s="1"/>
      <c r="E62" s="1"/>
      <c r="F62" s="1"/>
      <c r="G62" s="17"/>
      <c r="H62" s="17" t="s">
        <v>45</v>
      </c>
      <c r="I62" s="28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C62" s="27"/>
      <c r="AD62" s="27"/>
      <c r="AE62" s="27"/>
      <c r="AF62" s="27"/>
      <c r="AG62" s="27"/>
      <c r="AH62" s="27"/>
      <c r="AI62" s="27"/>
      <c r="AJ62" s="27"/>
      <c r="AK62" s="27"/>
      <c r="AL62" s="27"/>
      <c r="AM62" s="27"/>
      <c r="AN62" s="27"/>
      <c r="AO62" s="27"/>
      <c r="AP62" s="27"/>
      <c r="AQ62" s="27"/>
      <c r="AR62" s="27"/>
      <c r="AS62" s="27"/>
      <c r="AT62" s="27"/>
      <c r="AU62" s="27"/>
      <c r="AV62" s="27"/>
      <c r="AW62" s="27"/>
      <c r="AX62" s="27"/>
      <c r="AY62" s="27"/>
      <c r="AZ62" s="27"/>
      <c r="BA62" s="27"/>
      <c r="BB62" s="27"/>
      <c r="BC62" s="27"/>
      <c r="BD62" s="27"/>
      <c r="BE62" s="27"/>
      <c r="BF62" s="27"/>
      <c r="BG62" s="27"/>
      <c r="BH62" s="27"/>
      <c r="BI62" s="27"/>
      <c r="BJ62" s="27"/>
      <c r="BK62" s="27"/>
      <c r="BL62" s="27"/>
      <c r="BM62" s="27"/>
      <c r="BN62" s="27"/>
      <c r="BO62" s="27"/>
      <c r="BP62" s="27"/>
      <c r="BQ62" s="27"/>
      <c r="BR62" s="27"/>
      <c r="BS62" s="27"/>
      <c r="BT62" s="27"/>
      <c r="BU62" s="27"/>
      <c r="BV62" s="27"/>
      <c r="BW62" s="27"/>
      <c r="BX62" s="27"/>
      <c r="BY62" s="27"/>
      <c r="BZ62" s="27"/>
      <c r="CA62" s="27"/>
      <c r="CB62" s="27"/>
      <c r="CC62" s="27"/>
      <c r="CD62" s="27"/>
      <c r="CE62" s="27"/>
      <c r="CF62" s="27"/>
      <c r="CG62" s="27"/>
      <c r="CH62" s="27"/>
      <c r="CI62" s="27"/>
      <c r="CJ62" s="27"/>
      <c r="CK62" s="27"/>
      <c r="CL62" s="27"/>
      <c r="CM62" s="27"/>
      <c r="CN62" s="27"/>
      <c r="CO62" s="27"/>
      <c r="CP62" s="27"/>
      <c r="CQ62" s="27"/>
      <c r="CR62" s="27"/>
      <c r="CS62" s="27"/>
      <c r="CT62" s="27"/>
      <c r="CU62" s="27"/>
      <c r="CV62" s="27"/>
      <c r="CW62" s="27"/>
      <c r="CX62" s="27"/>
      <c r="CY62" s="27"/>
      <c r="CZ62" s="27"/>
      <c r="DA62" s="27"/>
      <c r="DB62" s="27"/>
      <c r="DC62" s="27"/>
      <c r="DD62" s="27"/>
      <c r="DE62" s="27"/>
      <c r="DF62" s="27"/>
      <c r="DG62" s="27"/>
      <c r="DH62" s="27"/>
      <c r="DI62" s="27"/>
      <c r="DJ62" s="27"/>
      <c r="DK62" s="27"/>
      <c r="DL62" s="27"/>
      <c r="DM62" s="27"/>
      <c r="DN62" s="27"/>
      <c r="DO62" s="27"/>
      <c r="DP62" s="27"/>
      <c r="DQ62" s="27"/>
      <c r="DR62" s="27"/>
      <c r="DS62" s="27"/>
      <c r="DT62" s="27"/>
      <c r="DU62" s="27"/>
      <c r="DV62" s="27"/>
      <c r="DW62" s="27"/>
      <c r="DX62" s="27"/>
      <c r="DY62" s="27"/>
      <c r="DZ62" s="27"/>
      <c r="EA62" s="27"/>
      <c r="EB62" s="27"/>
      <c r="EC62" s="27"/>
      <c r="ED62" s="27"/>
      <c r="EE62" s="27"/>
      <c r="EF62" s="27"/>
      <c r="EG62" s="27"/>
      <c r="EH62" s="27"/>
      <c r="EI62" s="27"/>
      <c r="EJ62" s="27"/>
      <c r="EK62" s="27"/>
      <c r="EL62" s="27"/>
      <c r="EM62" s="27"/>
      <c r="EN62" s="27"/>
      <c r="EO62" s="27"/>
      <c r="EP62" s="27"/>
      <c r="EQ62" s="27"/>
      <c r="ER62" s="27"/>
      <c r="ES62" s="27"/>
      <c r="ET62" s="27"/>
      <c r="EU62" s="27"/>
      <c r="EV62" s="27"/>
      <c r="EW62" s="27"/>
      <c r="EX62" s="27"/>
      <c r="EY62" s="27"/>
      <c r="EZ62" s="27"/>
      <c r="FA62" s="27"/>
      <c r="FB62" s="27"/>
      <c r="FC62" s="27"/>
      <c r="FD62" s="27"/>
      <c r="FE62" s="27"/>
      <c r="FF62" s="27"/>
      <c r="FG62" s="27"/>
      <c r="FH62" s="27"/>
      <c r="FI62" s="27"/>
      <c r="FJ62" s="27"/>
      <c r="FK62" s="27"/>
      <c r="FL62" s="27"/>
      <c r="FM62" s="27"/>
      <c r="FN62" s="27"/>
      <c r="FO62" s="27"/>
      <c r="FP62" s="27"/>
      <c r="FQ62" s="27"/>
      <c r="FR62" s="27"/>
      <c r="FS62" s="27"/>
      <c r="FT62" s="27"/>
      <c r="FU62" s="27"/>
      <c r="FV62" s="27"/>
      <c r="FW62" s="27"/>
      <c r="FX62" s="27"/>
      <c r="FY62" s="27"/>
      <c r="FZ62" s="27"/>
      <c r="GA62" s="27"/>
      <c r="GB62" s="27"/>
      <c r="GC62" s="27"/>
      <c r="GD62" s="27"/>
      <c r="GE62" s="27"/>
      <c r="GF62" s="27"/>
      <c r="GG62" s="27"/>
      <c r="GH62" s="27"/>
      <c r="GI62" s="27"/>
      <c r="GJ62" s="27"/>
      <c r="GK62" s="27"/>
      <c r="GL62" s="27"/>
      <c r="GM62" s="27"/>
      <c r="GN62" s="27"/>
      <c r="GO62" s="27"/>
      <c r="GP62" s="27"/>
      <c r="GQ62" s="27"/>
      <c r="GR62" s="27"/>
      <c r="GS62" s="27"/>
      <c r="GT62" s="27"/>
      <c r="GU62" s="27"/>
      <c r="GV62" s="27"/>
      <c r="GW62" s="27"/>
      <c r="GX62" s="27"/>
      <c r="GY62" s="27"/>
      <c r="GZ62" s="27"/>
      <c r="HA62" s="27"/>
      <c r="HB62" s="27"/>
      <c r="HC62" s="27"/>
      <c r="HD62" s="27"/>
      <c r="HE62" s="27"/>
      <c r="HF62" s="27"/>
      <c r="HG62" s="27"/>
      <c r="HH62" s="27"/>
      <c r="HI62" s="27"/>
      <c r="HJ62" s="27"/>
      <c r="HK62" s="27"/>
      <c r="HL62" s="27"/>
      <c r="HM62" s="27"/>
      <c r="HN62" s="27"/>
      <c r="HO62" s="27"/>
      <c r="HP62" s="27"/>
      <c r="HQ62" s="27"/>
      <c r="HR62" s="27"/>
      <c r="HS62" s="27"/>
      <c r="HT62" s="27"/>
      <c r="HU62" s="27"/>
      <c r="HV62" s="27"/>
      <c r="HW62" s="27"/>
      <c r="HX62" s="27"/>
      <c r="HY62" s="27"/>
      <c r="HZ62" s="27"/>
      <c r="IA62" s="27"/>
      <c r="IB62" s="27"/>
      <c r="IC62" s="27"/>
      <c r="ID62" s="27"/>
      <c r="IE62" s="27"/>
      <c r="IF62" s="27"/>
      <c r="IG62" s="27"/>
      <c r="IH62" s="27"/>
      <c r="II62" s="27"/>
      <c r="IJ62" s="27"/>
      <c r="IK62" s="27"/>
      <c r="IL62" s="27"/>
      <c r="IM62" s="27"/>
      <c r="IN62" s="27"/>
      <c r="IO62" s="27"/>
      <c r="IP62" s="27"/>
      <c r="IQ62" s="27"/>
      <c r="IR62" s="27"/>
      <c r="IS62" s="27"/>
      <c r="IT62" s="27"/>
      <c r="IU62" s="27"/>
      <c r="IV62" s="27"/>
      <c r="IW62" s="27"/>
      <c r="IX62" s="27"/>
      <c r="IY62" s="27"/>
      <c r="IZ62" s="27"/>
      <c r="JA62" s="27"/>
      <c r="JB62" s="27"/>
      <c r="JC62" s="27"/>
      <c r="JD62" s="27"/>
      <c r="JE62" s="27"/>
      <c r="JF62" s="27"/>
      <c r="JG62" s="27"/>
      <c r="JH62" s="27"/>
      <c r="JI62" s="27"/>
      <c r="JJ62" s="27"/>
      <c r="JK62" s="27"/>
      <c r="JL62" s="27"/>
      <c r="JM62" s="27"/>
      <c r="JN62" s="27"/>
      <c r="JO62" s="27"/>
      <c r="JP62" s="27"/>
      <c r="JQ62" s="27"/>
      <c r="JR62" s="27"/>
      <c r="JS62" s="27"/>
      <c r="JT62" s="27"/>
      <c r="JU62" s="27"/>
      <c r="JV62" s="27"/>
      <c r="JW62" s="27"/>
      <c r="JX62" s="27"/>
      <c r="JY62" s="27"/>
      <c r="JZ62" s="27"/>
      <c r="KA62" s="27"/>
      <c r="KB62" s="27"/>
      <c r="KC62" s="27"/>
      <c r="KD62" s="27"/>
      <c r="KE62" s="27"/>
      <c r="KF62" s="27"/>
      <c r="KG62" s="27"/>
      <c r="KH62" s="27"/>
      <c r="KI62" s="27"/>
      <c r="KJ62" s="27"/>
      <c r="KK62" s="27"/>
      <c r="KL62" s="27"/>
      <c r="KM62" s="27"/>
      <c r="KN62" s="27"/>
      <c r="KO62" s="27"/>
      <c r="KP62" s="27"/>
      <c r="KQ62" s="27"/>
      <c r="KR62" s="27"/>
      <c r="KS62" s="27"/>
      <c r="KT62" s="27"/>
      <c r="KU62" s="27"/>
      <c r="KV62" s="27"/>
      <c r="KW62" s="27"/>
      <c r="KX62" s="27"/>
      <c r="KY62" s="27"/>
      <c r="KZ62" s="27"/>
      <c r="LA62" s="27"/>
      <c r="LB62" s="27"/>
      <c r="LC62" s="27"/>
      <c r="LD62" s="27"/>
      <c r="LE62" s="27"/>
      <c r="LF62" s="27"/>
      <c r="LG62" s="27"/>
      <c r="LH62" s="27"/>
      <c r="LI62" s="27"/>
      <c r="LJ62" s="27"/>
      <c r="LK62" s="27"/>
      <c r="LL62" s="27"/>
      <c r="LM62" s="27"/>
      <c r="LN62" s="27"/>
      <c r="LO62" s="27"/>
      <c r="LP62" s="27"/>
      <c r="LQ62" s="27"/>
      <c r="LR62" s="27"/>
      <c r="LS62" s="27"/>
      <c r="LT62" s="27"/>
      <c r="LU62" s="27"/>
      <c r="LV62" s="27"/>
      <c r="LW62" s="27"/>
      <c r="LX62" s="27"/>
      <c r="LY62" s="27"/>
      <c r="LZ62" s="27"/>
      <c r="MA62" s="27"/>
      <c r="MB62" s="27"/>
      <c r="MC62" s="27"/>
      <c r="MD62" s="27"/>
      <c r="ME62" s="27"/>
      <c r="MF62" s="27"/>
      <c r="MG62" s="27"/>
      <c r="MH62" s="27"/>
      <c r="MI62" s="27"/>
      <c r="MJ62" s="27"/>
      <c r="MK62" s="27"/>
      <c r="ML62" s="27"/>
      <c r="MM62" s="27"/>
      <c r="MN62" s="27"/>
      <c r="MO62" s="27"/>
      <c r="MP62" s="27"/>
      <c r="MQ62" s="27"/>
      <c r="MR62" s="27"/>
      <c r="MS62" s="27"/>
      <c r="MT62" s="27"/>
      <c r="MU62" s="27"/>
      <c r="MV62" s="27"/>
      <c r="MW62" s="27"/>
      <c r="MX62" s="27"/>
      <c r="MY62" s="27"/>
      <c r="MZ62" s="27"/>
      <c r="NA62" s="27"/>
      <c r="NB62" s="27"/>
      <c r="NC62" s="27"/>
      <c r="ND62" s="27"/>
      <c r="NE62" s="27"/>
      <c r="NF62" s="27"/>
      <c r="NG62" s="27"/>
      <c r="NH62" s="27"/>
      <c r="NI62" s="27"/>
      <c r="NJ62" s="27"/>
      <c r="NN62" s="1"/>
      <c r="NO62" s="1"/>
      <c r="NP62" s="1"/>
      <c r="NQ62" s="1"/>
      <c r="NR62" s="1"/>
      <c r="NS62" s="1"/>
      <c r="NT62" s="1"/>
      <c r="NU62" s="1"/>
      <c r="NV62" s="1"/>
      <c r="NW62" s="1"/>
      <c r="NX62" s="1"/>
      <c r="NY62" s="1"/>
      <c r="NZ62" s="1"/>
      <c r="OA62" s="1"/>
      <c r="OB62" s="1"/>
      <c r="OC62" s="1"/>
      <c r="OD62" s="1"/>
      <c r="OE62" s="1"/>
      <c r="OF62" s="1"/>
      <c r="OG62" s="1"/>
      <c r="OH62" s="1"/>
      <c r="OI62" s="1"/>
      <c r="OJ62" s="1"/>
      <c r="OK62" s="1"/>
    </row>
    <row r="63" spans="1:404" x14ac:dyDescent="0.3">
      <c r="A63" s="1"/>
      <c r="B63" s="1"/>
      <c r="C63" s="1"/>
      <c r="D63" s="1"/>
      <c r="E63" s="1"/>
      <c r="F63" s="1"/>
      <c r="G63" s="17"/>
      <c r="H63" s="17"/>
      <c r="I63" s="28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2"/>
      <c r="BH63" s="22"/>
      <c r="BI63" s="22"/>
      <c r="BJ63" s="22"/>
      <c r="BK63" s="22"/>
      <c r="BL63" s="22"/>
      <c r="BM63" s="22"/>
      <c r="BN63" s="22"/>
      <c r="BO63" s="22"/>
      <c r="BP63" s="22"/>
      <c r="BQ63" s="22"/>
      <c r="BR63" s="22"/>
      <c r="BS63" s="22"/>
      <c r="BT63" s="22"/>
      <c r="BU63" s="22"/>
      <c r="BV63" s="22"/>
      <c r="BW63" s="22"/>
      <c r="BX63" s="22"/>
      <c r="BY63" s="22"/>
      <c r="BZ63" s="22"/>
      <c r="CA63" s="22"/>
      <c r="CB63" s="22"/>
      <c r="CC63" s="22"/>
      <c r="CD63" s="22"/>
      <c r="CE63" s="22"/>
      <c r="CF63" s="22"/>
      <c r="CG63" s="22"/>
      <c r="CH63" s="22"/>
      <c r="CI63" s="22"/>
      <c r="CJ63" s="22"/>
      <c r="CK63" s="22"/>
      <c r="CL63" s="22"/>
      <c r="CM63" s="22"/>
      <c r="CN63" s="22"/>
      <c r="CO63" s="22"/>
      <c r="CP63" s="22"/>
      <c r="CQ63" s="22"/>
      <c r="CR63" s="22"/>
      <c r="CS63" s="22"/>
      <c r="CT63" s="22"/>
      <c r="CU63" s="22"/>
      <c r="CV63" s="22"/>
      <c r="CW63" s="22"/>
      <c r="CX63" s="22"/>
      <c r="CY63" s="22"/>
      <c r="CZ63" s="22"/>
      <c r="DA63" s="22"/>
      <c r="DB63" s="22"/>
      <c r="DC63" s="22"/>
      <c r="DD63" s="22"/>
      <c r="DE63" s="22"/>
      <c r="DF63" s="22"/>
      <c r="DG63" s="22"/>
      <c r="DH63" s="22"/>
      <c r="DI63" s="22"/>
      <c r="DJ63" s="22"/>
      <c r="DK63" s="22"/>
      <c r="DL63" s="22"/>
      <c r="DM63" s="22"/>
      <c r="DN63" s="22"/>
      <c r="DO63" s="22"/>
      <c r="DP63" s="22"/>
      <c r="DQ63" s="22"/>
      <c r="DR63" s="22"/>
      <c r="DS63" s="22"/>
      <c r="DT63" s="22"/>
      <c r="DU63" s="22"/>
      <c r="DV63" s="22"/>
      <c r="DW63" s="22"/>
      <c r="DX63" s="22"/>
      <c r="DY63" s="22"/>
      <c r="DZ63" s="22"/>
      <c r="EA63" s="22"/>
      <c r="EB63" s="22"/>
      <c r="EC63" s="22"/>
      <c r="ED63" s="22"/>
      <c r="EE63" s="22"/>
      <c r="EF63" s="22"/>
      <c r="EG63" s="22"/>
      <c r="EH63" s="22"/>
      <c r="EI63" s="22"/>
      <c r="EJ63" s="22"/>
      <c r="EK63" s="22"/>
      <c r="EL63" s="22"/>
      <c r="EM63" s="22"/>
      <c r="EN63" s="22"/>
      <c r="EO63" s="22"/>
      <c r="EP63" s="22"/>
      <c r="EQ63" s="22"/>
      <c r="ER63" s="22"/>
      <c r="ES63" s="22"/>
      <c r="ET63" s="22"/>
      <c r="EU63" s="22"/>
      <c r="EV63" s="22"/>
      <c r="EW63" s="22"/>
      <c r="EX63" s="22"/>
      <c r="EY63" s="22"/>
      <c r="EZ63" s="22"/>
      <c r="FA63" s="22"/>
      <c r="FB63" s="22"/>
      <c r="FC63" s="22"/>
      <c r="FD63" s="22"/>
      <c r="FE63" s="22"/>
      <c r="FF63" s="22"/>
      <c r="FG63" s="22"/>
      <c r="FH63" s="22"/>
      <c r="FI63" s="22"/>
      <c r="FJ63" s="22"/>
      <c r="FK63" s="22"/>
      <c r="FL63" s="22"/>
      <c r="FM63" s="22"/>
      <c r="FN63" s="22"/>
      <c r="FO63" s="22"/>
      <c r="FP63" s="22"/>
      <c r="FQ63" s="22"/>
      <c r="FR63" s="22"/>
      <c r="FS63" s="22"/>
      <c r="FT63" s="22"/>
      <c r="FU63" s="22"/>
      <c r="FV63" s="22"/>
      <c r="FW63" s="22"/>
      <c r="FX63" s="22"/>
      <c r="FY63" s="22"/>
      <c r="FZ63" s="22"/>
      <c r="GA63" s="22"/>
      <c r="GB63" s="22"/>
      <c r="GC63" s="22"/>
      <c r="GD63" s="22"/>
      <c r="GE63" s="22"/>
      <c r="GF63" s="22"/>
      <c r="GG63" s="22"/>
      <c r="GH63" s="22"/>
      <c r="GI63" s="22"/>
      <c r="GJ63" s="22"/>
      <c r="GK63" s="22"/>
      <c r="GL63" s="22"/>
      <c r="GM63" s="22"/>
      <c r="GN63" s="22"/>
      <c r="GO63" s="22"/>
      <c r="GP63" s="22"/>
      <c r="GQ63" s="22"/>
      <c r="GR63" s="22"/>
      <c r="GS63" s="22"/>
      <c r="GT63" s="22"/>
      <c r="GU63" s="22"/>
      <c r="GV63" s="22"/>
      <c r="GW63" s="22"/>
      <c r="GX63" s="22"/>
      <c r="GY63" s="22"/>
      <c r="GZ63" s="22"/>
      <c r="HA63" s="22"/>
      <c r="HB63" s="22"/>
      <c r="HC63" s="22"/>
      <c r="HD63" s="22"/>
      <c r="HE63" s="22"/>
      <c r="HF63" s="22"/>
      <c r="HG63" s="22"/>
      <c r="HH63" s="22"/>
      <c r="HI63" s="22"/>
      <c r="HJ63" s="22"/>
      <c r="HK63" s="22"/>
      <c r="HL63" s="22"/>
      <c r="HM63" s="22"/>
      <c r="HN63" s="22"/>
      <c r="HO63" s="22"/>
      <c r="HP63" s="22"/>
      <c r="HQ63" s="22"/>
      <c r="HR63" s="22"/>
      <c r="HS63" s="22"/>
      <c r="HT63" s="22"/>
      <c r="HU63" s="22"/>
      <c r="HV63" s="22"/>
      <c r="HW63" s="22"/>
      <c r="HX63" s="22"/>
      <c r="HY63" s="22"/>
      <c r="HZ63" s="22"/>
      <c r="IA63" s="22"/>
      <c r="IB63" s="22"/>
      <c r="IC63" s="22"/>
      <c r="ID63" s="22"/>
      <c r="IE63" s="22"/>
      <c r="IF63" s="22"/>
      <c r="IG63" s="22"/>
      <c r="IH63" s="22"/>
      <c r="II63" s="22"/>
      <c r="IJ63" s="22"/>
      <c r="IK63" s="22"/>
      <c r="IL63" s="22"/>
      <c r="IM63" s="22"/>
      <c r="IN63" s="22"/>
      <c r="IO63" s="22"/>
      <c r="IP63" s="22"/>
      <c r="IQ63" s="22"/>
      <c r="IR63" s="22"/>
      <c r="IS63" s="22"/>
      <c r="IT63" s="22"/>
      <c r="IU63" s="22"/>
      <c r="IV63" s="22"/>
      <c r="IW63" s="22"/>
      <c r="IX63" s="22"/>
      <c r="IY63" s="22"/>
      <c r="IZ63" s="22"/>
      <c r="JA63" s="22"/>
      <c r="JB63" s="22"/>
      <c r="JC63" s="22"/>
      <c r="JD63" s="22"/>
      <c r="JE63" s="22"/>
      <c r="JF63" s="22"/>
      <c r="JG63" s="22"/>
      <c r="JH63" s="22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2"/>
      <c r="LK63" s="22"/>
      <c r="LL63" s="22"/>
      <c r="LM63" s="22"/>
      <c r="LN63" s="22"/>
      <c r="LO63" s="22"/>
      <c r="LP63" s="22"/>
      <c r="LQ63" s="22"/>
      <c r="LR63" s="22"/>
      <c r="LS63" s="22"/>
      <c r="LT63" s="22"/>
      <c r="LU63" s="22"/>
      <c r="LV63" s="22"/>
      <c r="LW63" s="22"/>
      <c r="LX63" s="22"/>
      <c r="LY63" s="22"/>
      <c r="LZ63" s="22"/>
      <c r="MA63" s="22"/>
      <c r="MB63" s="22"/>
      <c r="MC63" s="22"/>
      <c r="MD63" s="22"/>
      <c r="ME63" s="22"/>
      <c r="MF63" s="22"/>
      <c r="MG63" s="22"/>
      <c r="MH63" s="22"/>
      <c r="MI63" s="22"/>
      <c r="MJ63" s="22"/>
      <c r="MK63" s="22"/>
      <c r="ML63" s="22"/>
      <c r="MM63" s="22"/>
      <c r="MN63" s="22"/>
      <c r="MO63" s="22"/>
      <c r="MP63" s="22"/>
      <c r="MQ63" s="22"/>
      <c r="MR63" s="22"/>
      <c r="MS63" s="22"/>
      <c r="MT63" s="22"/>
      <c r="MU63" s="22"/>
      <c r="MV63" s="22"/>
      <c r="MW63" s="22"/>
      <c r="MX63" s="22"/>
      <c r="MY63" s="22"/>
      <c r="MZ63" s="22"/>
      <c r="NA63" s="22"/>
      <c r="NB63" s="22"/>
      <c r="NC63" s="22"/>
      <c r="ND63" s="22"/>
      <c r="NE63" s="22"/>
      <c r="NF63" s="22"/>
      <c r="NG63" s="22"/>
      <c r="NH63" s="22"/>
      <c r="NI63" s="22"/>
      <c r="NJ63" s="22"/>
      <c r="NN63" s="1"/>
      <c r="NO63" s="1"/>
      <c r="NP63" s="1"/>
      <c r="NQ63" s="1"/>
      <c r="NR63" s="1"/>
      <c r="NS63" s="1"/>
      <c r="NT63" s="1"/>
      <c r="NU63" s="1"/>
      <c r="NV63" s="1"/>
      <c r="NW63" s="1"/>
      <c r="NX63" s="1"/>
      <c r="NY63" s="1"/>
      <c r="NZ63" s="1"/>
      <c r="OA63" s="1"/>
      <c r="OB63" s="1"/>
      <c r="OC63" s="1"/>
      <c r="OD63" s="1"/>
      <c r="OE63" s="1"/>
      <c r="OF63" s="1"/>
      <c r="OG63" s="1"/>
      <c r="OH63" s="1"/>
      <c r="OI63" s="1"/>
      <c r="OJ63" s="1"/>
      <c r="OK63" s="1"/>
    </row>
    <row r="64" spans="1:404" x14ac:dyDescent="0.3">
      <c r="A64" s="1"/>
      <c r="B64" s="1"/>
      <c r="C64" s="1"/>
      <c r="D64" s="1"/>
      <c r="E64" s="1"/>
      <c r="F64" s="1"/>
      <c r="G64" s="1"/>
      <c r="H64" s="17" t="s">
        <v>46</v>
      </c>
      <c r="I64" s="466"/>
      <c r="J64" s="23" t="str">
        <f>IF(ISERROR(J$57/J$55),"",J$57/J$55)</f>
        <v/>
      </c>
      <c r="K64" s="23" t="str">
        <f>IF(ISERROR(K$57/K$55),"",K$57/K$55)</f>
        <v/>
      </c>
      <c r="L64" s="23" t="str">
        <f t="shared" ref="L64:Q64" si="63">IF(ISERROR(L$57/L$55),"",L$57/L$55)</f>
        <v/>
      </c>
      <c r="M64" s="23" t="str">
        <f t="shared" si="63"/>
        <v/>
      </c>
      <c r="N64" s="23" t="str">
        <f t="shared" si="63"/>
        <v/>
      </c>
      <c r="O64" s="23" t="str">
        <f t="shared" si="63"/>
        <v/>
      </c>
      <c r="P64" s="23" t="str">
        <f t="shared" si="63"/>
        <v/>
      </c>
      <c r="Q64" s="23" t="str">
        <f t="shared" si="63"/>
        <v/>
      </c>
      <c r="R64" s="23">
        <f t="shared" ref="R64:AW64" si="64">IF(ISERROR(R$57/R$55),"",R$57/R$55)</f>
        <v>1</v>
      </c>
      <c r="S64" s="23">
        <f t="shared" si="64"/>
        <v>1</v>
      </c>
      <c r="T64" s="23">
        <f t="shared" si="64"/>
        <v>1</v>
      </c>
      <c r="U64" s="23">
        <f t="shared" si="64"/>
        <v>1</v>
      </c>
      <c r="V64" s="23">
        <f t="shared" si="64"/>
        <v>1</v>
      </c>
      <c r="W64" s="23" t="str">
        <f t="shared" si="64"/>
        <v/>
      </c>
      <c r="X64" s="23" t="str">
        <f t="shared" si="64"/>
        <v/>
      </c>
      <c r="Y64" s="23">
        <f t="shared" si="64"/>
        <v>1</v>
      </c>
      <c r="Z64" s="23">
        <f t="shared" si="64"/>
        <v>1</v>
      </c>
      <c r="AA64" s="23">
        <f t="shared" si="64"/>
        <v>1</v>
      </c>
      <c r="AB64" s="23">
        <f t="shared" si="64"/>
        <v>1</v>
      </c>
      <c r="AC64" s="23">
        <f t="shared" si="64"/>
        <v>1</v>
      </c>
      <c r="AD64" s="23" t="str">
        <f t="shared" si="64"/>
        <v/>
      </c>
      <c r="AE64" s="23" t="str">
        <f t="shared" si="64"/>
        <v/>
      </c>
      <c r="AF64" s="23">
        <f t="shared" si="64"/>
        <v>1</v>
      </c>
      <c r="AG64" s="23">
        <f t="shared" si="64"/>
        <v>1</v>
      </c>
      <c r="AH64" s="23">
        <f t="shared" si="64"/>
        <v>1</v>
      </c>
      <c r="AI64" s="23">
        <f t="shared" si="64"/>
        <v>1</v>
      </c>
      <c r="AJ64" s="23">
        <f t="shared" si="64"/>
        <v>1</v>
      </c>
      <c r="AK64" s="23" t="str">
        <f t="shared" si="64"/>
        <v/>
      </c>
      <c r="AL64" s="23" t="str">
        <f t="shared" si="64"/>
        <v/>
      </c>
      <c r="AM64" s="23">
        <f t="shared" si="64"/>
        <v>1</v>
      </c>
      <c r="AN64" s="23">
        <f t="shared" si="64"/>
        <v>1</v>
      </c>
      <c r="AO64" s="23">
        <f t="shared" si="64"/>
        <v>1</v>
      </c>
      <c r="AP64" s="23">
        <f t="shared" si="64"/>
        <v>1</v>
      </c>
      <c r="AQ64" s="23">
        <f t="shared" si="64"/>
        <v>1</v>
      </c>
      <c r="AR64" s="23" t="str">
        <f t="shared" si="64"/>
        <v/>
      </c>
      <c r="AS64" s="23" t="str">
        <f t="shared" si="64"/>
        <v/>
      </c>
      <c r="AT64" s="23">
        <f t="shared" si="64"/>
        <v>1</v>
      </c>
      <c r="AU64" s="23">
        <f t="shared" si="64"/>
        <v>1</v>
      </c>
      <c r="AV64" s="23">
        <f t="shared" si="64"/>
        <v>1</v>
      </c>
      <c r="AW64" s="23">
        <f t="shared" si="64"/>
        <v>1</v>
      </c>
      <c r="AX64" s="23">
        <f t="shared" ref="AX64:BV64" si="65">IF(ISERROR(AX$57/AX$55),"",AX$57/AX$55)</f>
        <v>1</v>
      </c>
      <c r="AY64" s="23" t="str">
        <f t="shared" si="65"/>
        <v/>
      </c>
      <c r="AZ64" s="23" t="str">
        <f t="shared" si="65"/>
        <v/>
      </c>
      <c r="BA64" s="23">
        <f t="shared" si="65"/>
        <v>1</v>
      </c>
      <c r="BB64" s="23">
        <f t="shared" si="65"/>
        <v>1</v>
      </c>
      <c r="BC64" s="23">
        <f t="shared" si="65"/>
        <v>1</v>
      </c>
      <c r="BD64" s="23">
        <f t="shared" si="65"/>
        <v>1</v>
      </c>
      <c r="BE64" s="23">
        <f t="shared" si="65"/>
        <v>1</v>
      </c>
      <c r="BF64" s="23" t="str">
        <f t="shared" si="65"/>
        <v/>
      </c>
      <c r="BG64" s="23" t="str">
        <f t="shared" si="65"/>
        <v/>
      </c>
      <c r="BH64" s="23">
        <f t="shared" si="65"/>
        <v>1</v>
      </c>
      <c r="BI64" s="23">
        <f t="shared" si="65"/>
        <v>1</v>
      </c>
      <c r="BJ64" s="23">
        <f t="shared" si="65"/>
        <v>1</v>
      </c>
      <c r="BK64" s="23">
        <f t="shared" si="65"/>
        <v>1</v>
      </c>
      <c r="BL64" s="23">
        <f t="shared" si="65"/>
        <v>1</v>
      </c>
      <c r="BM64" s="23" t="str">
        <f t="shared" si="65"/>
        <v/>
      </c>
      <c r="BN64" s="23" t="str">
        <f t="shared" si="65"/>
        <v/>
      </c>
      <c r="BO64" s="23">
        <f t="shared" si="65"/>
        <v>1</v>
      </c>
      <c r="BP64" s="23">
        <f t="shared" si="65"/>
        <v>1</v>
      </c>
      <c r="BQ64" s="23">
        <f t="shared" si="65"/>
        <v>1</v>
      </c>
      <c r="BR64" s="23">
        <f t="shared" si="65"/>
        <v>1</v>
      </c>
      <c r="BS64" s="23">
        <f t="shared" si="65"/>
        <v>1</v>
      </c>
      <c r="BT64" s="23" t="str">
        <f t="shared" si="65"/>
        <v/>
      </c>
      <c r="BU64" s="23" t="str">
        <f t="shared" si="65"/>
        <v/>
      </c>
      <c r="BV64" s="23">
        <f t="shared" si="65"/>
        <v>1</v>
      </c>
      <c r="BW64" s="23">
        <f t="shared" ref="BW64:EH64" si="66">IF(ISERROR(BW$57/BW$55),"",BW$57/BW$55)</f>
        <v>1</v>
      </c>
      <c r="BX64" s="23">
        <f t="shared" si="66"/>
        <v>1</v>
      </c>
      <c r="BY64" s="23">
        <f t="shared" si="66"/>
        <v>1</v>
      </c>
      <c r="BZ64" s="23">
        <f t="shared" si="66"/>
        <v>1</v>
      </c>
      <c r="CA64" s="23" t="str">
        <f t="shared" si="66"/>
        <v/>
      </c>
      <c r="CB64" s="23" t="str">
        <f t="shared" si="66"/>
        <v/>
      </c>
      <c r="CC64" s="23">
        <f t="shared" si="66"/>
        <v>1</v>
      </c>
      <c r="CD64" s="23">
        <f t="shared" si="66"/>
        <v>1</v>
      </c>
      <c r="CE64" s="23">
        <f t="shared" si="66"/>
        <v>1</v>
      </c>
      <c r="CF64" s="23">
        <f t="shared" si="66"/>
        <v>1</v>
      </c>
      <c r="CG64" s="23">
        <f t="shared" si="66"/>
        <v>1</v>
      </c>
      <c r="CH64" s="23" t="str">
        <f t="shared" si="66"/>
        <v/>
      </c>
      <c r="CI64" s="23" t="str">
        <f t="shared" si="66"/>
        <v/>
      </c>
      <c r="CJ64" s="23">
        <f t="shared" si="66"/>
        <v>1</v>
      </c>
      <c r="CK64" s="23">
        <f t="shared" si="66"/>
        <v>1</v>
      </c>
      <c r="CL64" s="23">
        <f t="shared" si="66"/>
        <v>1</v>
      </c>
      <c r="CM64" s="23">
        <f t="shared" si="66"/>
        <v>1</v>
      </c>
      <c r="CN64" s="23">
        <f t="shared" si="66"/>
        <v>1</v>
      </c>
      <c r="CO64" s="23" t="str">
        <f t="shared" si="66"/>
        <v/>
      </c>
      <c r="CP64" s="23" t="str">
        <f t="shared" si="66"/>
        <v/>
      </c>
      <c r="CQ64" s="23">
        <f t="shared" si="66"/>
        <v>1</v>
      </c>
      <c r="CR64" s="23">
        <f t="shared" si="66"/>
        <v>1</v>
      </c>
      <c r="CS64" s="23">
        <f t="shared" si="66"/>
        <v>1</v>
      </c>
      <c r="CT64" s="23">
        <f t="shared" si="66"/>
        <v>1</v>
      </c>
      <c r="CU64" s="23">
        <f t="shared" si="66"/>
        <v>1</v>
      </c>
      <c r="CV64" s="23" t="str">
        <f t="shared" si="66"/>
        <v/>
      </c>
      <c r="CW64" s="23" t="str">
        <f t="shared" si="66"/>
        <v/>
      </c>
      <c r="CX64" s="23" t="str">
        <f t="shared" si="66"/>
        <v/>
      </c>
      <c r="CY64" s="23" t="str">
        <f t="shared" si="66"/>
        <v/>
      </c>
      <c r="CZ64" s="23" t="str">
        <f t="shared" si="66"/>
        <v/>
      </c>
      <c r="DA64" s="23" t="str">
        <f t="shared" si="66"/>
        <v/>
      </c>
      <c r="DB64" s="23" t="str">
        <f t="shared" si="66"/>
        <v/>
      </c>
      <c r="DC64" s="23" t="str">
        <f t="shared" si="66"/>
        <v/>
      </c>
      <c r="DD64" s="23" t="str">
        <f t="shared" si="66"/>
        <v/>
      </c>
      <c r="DE64" s="23">
        <f t="shared" si="66"/>
        <v>1</v>
      </c>
      <c r="DF64" s="23">
        <f t="shared" si="66"/>
        <v>1</v>
      </c>
      <c r="DG64" s="23">
        <f t="shared" si="66"/>
        <v>1</v>
      </c>
      <c r="DH64" s="23">
        <f t="shared" si="66"/>
        <v>1</v>
      </c>
      <c r="DI64" s="23">
        <f t="shared" si="66"/>
        <v>1</v>
      </c>
      <c r="DJ64" s="23" t="str">
        <f t="shared" si="66"/>
        <v/>
      </c>
      <c r="DK64" s="23" t="str">
        <f t="shared" si="66"/>
        <v/>
      </c>
      <c r="DL64" s="23">
        <f t="shared" si="66"/>
        <v>1</v>
      </c>
      <c r="DM64" s="23">
        <f t="shared" si="66"/>
        <v>1</v>
      </c>
      <c r="DN64" s="23">
        <f t="shared" si="66"/>
        <v>1</v>
      </c>
      <c r="DO64" s="23">
        <f t="shared" si="66"/>
        <v>1</v>
      </c>
      <c r="DP64" s="23">
        <f t="shared" si="66"/>
        <v>1</v>
      </c>
      <c r="DQ64" s="23" t="str">
        <f t="shared" si="66"/>
        <v/>
      </c>
      <c r="DR64" s="23" t="str">
        <f t="shared" si="66"/>
        <v/>
      </c>
      <c r="DS64" s="23" t="str">
        <f t="shared" si="66"/>
        <v/>
      </c>
      <c r="DT64" s="23" t="str">
        <f t="shared" si="66"/>
        <v/>
      </c>
      <c r="DU64" s="23" t="str">
        <f t="shared" si="66"/>
        <v/>
      </c>
      <c r="DV64" s="23" t="str">
        <f t="shared" si="66"/>
        <v/>
      </c>
      <c r="DW64" s="23" t="str">
        <f t="shared" si="66"/>
        <v/>
      </c>
      <c r="DX64" s="23" t="str">
        <f t="shared" si="66"/>
        <v/>
      </c>
      <c r="DY64" s="23" t="str">
        <f t="shared" si="66"/>
        <v/>
      </c>
      <c r="DZ64" s="23" t="str">
        <f t="shared" si="66"/>
        <v/>
      </c>
      <c r="EA64" s="23" t="str">
        <f t="shared" si="66"/>
        <v/>
      </c>
      <c r="EB64" s="23" t="str">
        <f t="shared" si="66"/>
        <v/>
      </c>
      <c r="EC64" s="23" t="str">
        <f t="shared" si="66"/>
        <v/>
      </c>
      <c r="ED64" s="23" t="str">
        <f t="shared" si="66"/>
        <v/>
      </c>
      <c r="EE64" s="23" t="str">
        <f t="shared" si="66"/>
        <v/>
      </c>
      <c r="EF64" s="23" t="str">
        <f t="shared" si="66"/>
        <v/>
      </c>
      <c r="EG64" s="23" t="str">
        <f t="shared" si="66"/>
        <v/>
      </c>
      <c r="EH64" s="23" t="str">
        <f t="shared" si="66"/>
        <v/>
      </c>
      <c r="EI64" s="23" t="str">
        <f t="shared" ref="EI64:GT64" si="67">IF(ISERROR(EI$57/EI$55),"",EI$57/EI$55)</f>
        <v/>
      </c>
      <c r="EJ64" s="23" t="str">
        <f t="shared" si="67"/>
        <v/>
      </c>
      <c r="EK64" s="23" t="str">
        <f t="shared" si="67"/>
        <v/>
      </c>
      <c r="EL64" s="23" t="str">
        <f t="shared" si="67"/>
        <v/>
      </c>
      <c r="EM64" s="23" t="str">
        <f t="shared" si="67"/>
        <v/>
      </c>
      <c r="EN64" s="23" t="str">
        <f t="shared" si="67"/>
        <v/>
      </c>
      <c r="EO64" s="23" t="str">
        <f t="shared" si="67"/>
        <v/>
      </c>
      <c r="EP64" s="23" t="str">
        <f t="shared" si="67"/>
        <v/>
      </c>
      <c r="EQ64" s="23" t="str">
        <f t="shared" si="67"/>
        <v/>
      </c>
      <c r="ER64" s="23" t="str">
        <f t="shared" si="67"/>
        <v/>
      </c>
      <c r="ES64" s="23" t="str">
        <f t="shared" si="67"/>
        <v/>
      </c>
      <c r="ET64" s="23" t="str">
        <f t="shared" si="67"/>
        <v/>
      </c>
      <c r="EU64" s="23" t="str">
        <f t="shared" si="67"/>
        <v/>
      </c>
      <c r="EV64" s="23" t="str">
        <f t="shared" si="67"/>
        <v/>
      </c>
      <c r="EW64" s="23" t="str">
        <f t="shared" si="67"/>
        <v/>
      </c>
      <c r="EX64" s="23" t="str">
        <f t="shared" si="67"/>
        <v/>
      </c>
      <c r="EY64" s="23" t="str">
        <f t="shared" si="67"/>
        <v/>
      </c>
      <c r="EZ64" s="23" t="str">
        <f t="shared" si="67"/>
        <v/>
      </c>
      <c r="FA64" s="23" t="str">
        <f t="shared" si="67"/>
        <v/>
      </c>
      <c r="FB64" s="23" t="str">
        <f t="shared" si="67"/>
        <v/>
      </c>
      <c r="FC64" s="23" t="str">
        <f t="shared" si="67"/>
        <v/>
      </c>
      <c r="FD64" s="23" t="str">
        <f t="shared" si="67"/>
        <v/>
      </c>
      <c r="FE64" s="23" t="str">
        <f t="shared" si="67"/>
        <v/>
      </c>
      <c r="FF64" s="23" t="str">
        <f t="shared" si="67"/>
        <v/>
      </c>
      <c r="FG64" s="23" t="str">
        <f t="shared" si="67"/>
        <v/>
      </c>
      <c r="FH64" s="23" t="str">
        <f t="shared" si="67"/>
        <v/>
      </c>
      <c r="FI64" s="23" t="str">
        <f t="shared" si="67"/>
        <v/>
      </c>
      <c r="FJ64" s="23" t="str">
        <f t="shared" si="67"/>
        <v/>
      </c>
      <c r="FK64" s="23" t="str">
        <f t="shared" si="67"/>
        <v/>
      </c>
      <c r="FL64" s="23" t="str">
        <f t="shared" si="67"/>
        <v/>
      </c>
      <c r="FM64" s="23" t="str">
        <f t="shared" si="67"/>
        <v/>
      </c>
      <c r="FN64" s="23" t="str">
        <f t="shared" si="67"/>
        <v/>
      </c>
      <c r="FO64" s="23" t="str">
        <f t="shared" si="67"/>
        <v/>
      </c>
      <c r="FP64" s="23" t="str">
        <f t="shared" si="67"/>
        <v/>
      </c>
      <c r="FQ64" s="23" t="str">
        <f t="shared" si="67"/>
        <v/>
      </c>
      <c r="FR64" s="23" t="str">
        <f t="shared" si="67"/>
        <v/>
      </c>
      <c r="FS64" s="23" t="str">
        <f t="shared" si="67"/>
        <v/>
      </c>
      <c r="FT64" s="23" t="str">
        <f t="shared" si="67"/>
        <v/>
      </c>
      <c r="FU64" s="23" t="str">
        <f t="shared" si="67"/>
        <v/>
      </c>
      <c r="FV64" s="23" t="str">
        <f t="shared" si="67"/>
        <v/>
      </c>
      <c r="FW64" s="23" t="str">
        <f t="shared" si="67"/>
        <v/>
      </c>
      <c r="FX64" s="23" t="str">
        <f t="shared" si="67"/>
        <v/>
      </c>
      <c r="FY64" s="23" t="str">
        <f t="shared" si="67"/>
        <v/>
      </c>
      <c r="FZ64" s="23" t="str">
        <f t="shared" si="67"/>
        <v/>
      </c>
      <c r="GA64" s="23" t="str">
        <f t="shared" si="67"/>
        <v/>
      </c>
      <c r="GB64" s="23" t="str">
        <f t="shared" si="67"/>
        <v/>
      </c>
      <c r="GC64" s="23" t="str">
        <f t="shared" si="67"/>
        <v/>
      </c>
      <c r="GD64" s="23" t="str">
        <f t="shared" si="67"/>
        <v/>
      </c>
      <c r="GE64" s="23" t="str">
        <f t="shared" si="67"/>
        <v/>
      </c>
      <c r="GF64" s="23" t="str">
        <f t="shared" si="67"/>
        <v/>
      </c>
      <c r="GG64" s="23" t="str">
        <f t="shared" si="67"/>
        <v/>
      </c>
      <c r="GH64" s="23" t="str">
        <f t="shared" si="67"/>
        <v/>
      </c>
      <c r="GI64" s="23" t="str">
        <f t="shared" si="67"/>
        <v/>
      </c>
      <c r="GJ64" s="23" t="str">
        <f t="shared" si="67"/>
        <v/>
      </c>
      <c r="GK64" s="23" t="str">
        <f t="shared" si="67"/>
        <v/>
      </c>
      <c r="GL64" s="23" t="str">
        <f t="shared" si="67"/>
        <v/>
      </c>
      <c r="GM64" s="23" t="str">
        <f t="shared" si="67"/>
        <v/>
      </c>
      <c r="GN64" s="23" t="str">
        <f t="shared" si="67"/>
        <v/>
      </c>
      <c r="GO64" s="23" t="str">
        <f t="shared" si="67"/>
        <v/>
      </c>
      <c r="GP64" s="23" t="str">
        <f t="shared" si="67"/>
        <v/>
      </c>
      <c r="GQ64" s="23" t="str">
        <f t="shared" si="67"/>
        <v/>
      </c>
      <c r="GR64" s="23" t="str">
        <f t="shared" si="67"/>
        <v/>
      </c>
      <c r="GS64" s="23" t="str">
        <f t="shared" si="67"/>
        <v/>
      </c>
      <c r="GT64" s="23" t="str">
        <f t="shared" si="67"/>
        <v/>
      </c>
      <c r="GU64" s="23" t="str">
        <f t="shared" ref="GU64:JF64" si="68">IF(ISERROR(GU$57/GU$55),"",GU$57/GU$55)</f>
        <v/>
      </c>
      <c r="GV64" s="23" t="str">
        <f t="shared" si="68"/>
        <v/>
      </c>
      <c r="GW64" s="23" t="str">
        <f t="shared" si="68"/>
        <v/>
      </c>
      <c r="GX64" s="23" t="str">
        <f t="shared" si="68"/>
        <v/>
      </c>
      <c r="GY64" s="23" t="str">
        <f t="shared" si="68"/>
        <v/>
      </c>
      <c r="GZ64" s="23" t="str">
        <f t="shared" si="68"/>
        <v/>
      </c>
      <c r="HA64" s="23" t="str">
        <f t="shared" si="68"/>
        <v/>
      </c>
      <c r="HB64" s="23" t="str">
        <f t="shared" si="68"/>
        <v/>
      </c>
      <c r="HC64" s="23" t="str">
        <f t="shared" si="68"/>
        <v/>
      </c>
      <c r="HD64" s="23" t="str">
        <f t="shared" si="68"/>
        <v/>
      </c>
      <c r="HE64" s="23" t="str">
        <f t="shared" si="68"/>
        <v/>
      </c>
      <c r="HF64" s="23" t="str">
        <f t="shared" si="68"/>
        <v/>
      </c>
      <c r="HG64" s="23" t="str">
        <f t="shared" si="68"/>
        <v/>
      </c>
      <c r="HH64" s="23" t="str">
        <f t="shared" si="68"/>
        <v/>
      </c>
      <c r="HI64" s="23" t="str">
        <f t="shared" si="68"/>
        <v/>
      </c>
      <c r="HJ64" s="23" t="str">
        <f t="shared" si="68"/>
        <v/>
      </c>
      <c r="HK64" s="23" t="str">
        <f t="shared" si="68"/>
        <v/>
      </c>
      <c r="HL64" s="23" t="str">
        <f t="shared" si="68"/>
        <v/>
      </c>
      <c r="HM64" s="23" t="str">
        <f t="shared" si="68"/>
        <v/>
      </c>
      <c r="HN64" s="23" t="str">
        <f t="shared" si="68"/>
        <v/>
      </c>
      <c r="HO64" s="23" t="str">
        <f t="shared" si="68"/>
        <v/>
      </c>
      <c r="HP64" s="23" t="str">
        <f t="shared" si="68"/>
        <v/>
      </c>
      <c r="HQ64" s="23" t="str">
        <f t="shared" si="68"/>
        <v/>
      </c>
      <c r="HR64" s="23" t="str">
        <f t="shared" si="68"/>
        <v/>
      </c>
      <c r="HS64" s="23" t="str">
        <f t="shared" si="68"/>
        <v/>
      </c>
      <c r="HT64" s="23">
        <f t="shared" si="68"/>
        <v>1</v>
      </c>
      <c r="HU64" s="23" t="str">
        <f t="shared" si="68"/>
        <v/>
      </c>
      <c r="HV64" s="23" t="str">
        <f t="shared" si="68"/>
        <v/>
      </c>
      <c r="HW64" s="23" t="str">
        <f t="shared" si="68"/>
        <v/>
      </c>
      <c r="HX64" s="23" t="str">
        <f t="shared" si="68"/>
        <v/>
      </c>
      <c r="HY64" s="23" t="str">
        <f t="shared" si="68"/>
        <v/>
      </c>
      <c r="HZ64" s="23" t="str">
        <f t="shared" si="68"/>
        <v/>
      </c>
      <c r="IA64" s="23" t="str">
        <f t="shared" si="68"/>
        <v/>
      </c>
      <c r="IB64" s="23" t="str">
        <f t="shared" si="68"/>
        <v/>
      </c>
      <c r="IC64" s="23" t="str">
        <f t="shared" si="68"/>
        <v/>
      </c>
      <c r="ID64" s="23" t="str">
        <f t="shared" si="68"/>
        <v/>
      </c>
      <c r="IE64" s="23" t="str">
        <f t="shared" si="68"/>
        <v/>
      </c>
      <c r="IF64" s="23" t="str">
        <f t="shared" si="68"/>
        <v/>
      </c>
      <c r="IG64" s="23" t="str">
        <f t="shared" si="68"/>
        <v/>
      </c>
      <c r="IH64" s="23" t="str">
        <f t="shared" si="68"/>
        <v/>
      </c>
      <c r="II64" s="23" t="str">
        <f t="shared" si="68"/>
        <v/>
      </c>
      <c r="IJ64" s="23" t="str">
        <f t="shared" si="68"/>
        <v/>
      </c>
      <c r="IK64" s="23" t="str">
        <f t="shared" si="68"/>
        <v/>
      </c>
      <c r="IL64" s="23" t="str">
        <f t="shared" si="68"/>
        <v/>
      </c>
      <c r="IM64" s="23" t="str">
        <f t="shared" si="68"/>
        <v/>
      </c>
      <c r="IN64" s="23" t="str">
        <f t="shared" si="68"/>
        <v/>
      </c>
      <c r="IO64" s="23" t="str">
        <f t="shared" si="68"/>
        <v/>
      </c>
      <c r="IP64" s="23" t="str">
        <f t="shared" si="68"/>
        <v/>
      </c>
      <c r="IQ64" s="23" t="str">
        <f t="shared" si="68"/>
        <v/>
      </c>
      <c r="IR64" s="23" t="str">
        <f t="shared" si="68"/>
        <v/>
      </c>
      <c r="IS64" s="23" t="str">
        <f t="shared" si="68"/>
        <v/>
      </c>
      <c r="IT64" s="23" t="str">
        <f t="shared" si="68"/>
        <v/>
      </c>
      <c r="IU64" s="23" t="str">
        <f t="shared" si="68"/>
        <v/>
      </c>
      <c r="IV64" s="23" t="str">
        <f t="shared" si="68"/>
        <v/>
      </c>
      <c r="IW64" s="23" t="str">
        <f t="shared" si="68"/>
        <v/>
      </c>
      <c r="IX64" s="23" t="str">
        <f t="shared" si="68"/>
        <v/>
      </c>
      <c r="IY64" s="23" t="str">
        <f t="shared" si="68"/>
        <v/>
      </c>
      <c r="IZ64" s="23" t="str">
        <f t="shared" si="68"/>
        <v/>
      </c>
      <c r="JA64" s="23" t="str">
        <f t="shared" si="68"/>
        <v/>
      </c>
      <c r="JB64" s="23" t="str">
        <f t="shared" si="68"/>
        <v/>
      </c>
      <c r="JC64" s="23" t="str">
        <f t="shared" si="68"/>
        <v/>
      </c>
      <c r="JD64" s="23" t="str">
        <f t="shared" si="68"/>
        <v/>
      </c>
      <c r="JE64" s="23" t="str">
        <f t="shared" si="68"/>
        <v/>
      </c>
      <c r="JF64" s="23" t="str">
        <f t="shared" si="68"/>
        <v/>
      </c>
      <c r="JG64" s="23" t="str">
        <f t="shared" ref="JG64:LR64" si="69">IF(ISERROR(JG$57/JG$55),"",JG$57/JG$55)</f>
        <v/>
      </c>
      <c r="JH64" s="23" t="str">
        <f t="shared" si="69"/>
        <v/>
      </c>
      <c r="JI64" s="23" t="str">
        <f t="shared" si="69"/>
        <v/>
      </c>
      <c r="JJ64" s="23" t="str">
        <f t="shared" si="69"/>
        <v/>
      </c>
      <c r="JK64" s="23" t="str">
        <f t="shared" si="69"/>
        <v/>
      </c>
      <c r="JL64" s="23" t="str">
        <f t="shared" si="69"/>
        <v/>
      </c>
      <c r="JM64" s="23" t="str">
        <f t="shared" si="69"/>
        <v/>
      </c>
      <c r="JN64" s="23" t="str">
        <f t="shared" si="69"/>
        <v/>
      </c>
      <c r="JO64" s="23" t="str">
        <f t="shared" si="69"/>
        <v/>
      </c>
      <c r="JP64" s="23" t="str">
        <f t="shared" si="69"/>
        <v/>
      </c>
      <c r="JQ64" s="23" t="str">
        <f t="shared" si="69"/>
        <v/>
      </c>
      <c r="JR64" s="23" t="str">
        <f t="shared" si="69"/>
        <v/>
      </c>
      <c r="JS64" s="23" t="str">
        <f t="shared" si="69"/>
        <v/>
      </c>
      <c r="JT64" s="23" t="str">
        <f t="shared" si="69"/>
        <v/>
      </c>
      <c r="JU64" s="23" t="str">
        <f t="shared" si="69"/>
        <v/>
      </c>
      <c r="JV64" s="23" t="str">
        <f t="shared" si="69"/>
        <v/>
      </c>
      <c r="JW64" s="23" t="str">
        <f t="shared" si="69"/>
        <v/>
      </c>
      <c r="JX64" s="23" t="str">
        <f t="shared" si="69"/>
        <v/>
      </c>
      <c r="JY64" s="23" t="str">
        <f t="shared" si="69"/>
        <v/>
      </c>
      <c r="JZ64" s="23" t="str">
        <f t="shared" si="69"/>
        <v/>
      </c>
      <c r="KA64" s="23" t="str">
        <f t="shared" si="69"/>
        <v/>
      </c>
      <c r="KB64" s="23" t="str">
        <f t="shared" si="69"/>
        <v/>
      </c>
      <c r="KC64" s="23" t="str">
        <f t="shared" si="69"/>
        <v/>
      </c>
      <c r="KD64" s="23" t="str">
        <f t="shared" si="69"/>
        <v/>
      </c>
      <c r="KE64" s="23" t="str">
        <f t="shared" si="69"/>
        <v/>
      </c>
      <c r="KF64" s="23" t="str">
        <f t="shared" si="69"/>
        <v/>
      </c>
      <c r="KG64" s="23" t="str">
        <f t="shared" si="69"/>
        <v/>
      </c>
      <c r="KH64" s="23" t="str">
        <f t="shared" si="69"/>
        <v/>
      </c>
      <c r="KI64" s="23" t="str">
        <f t="shared" si="69"/>
        <v/>
      </c>
      <c r="KJ64" s="23" t="str">
        <f t="shared" si="69"/>
        <v/>
      </c>
      <c r="KK64" s="23" t="str">
        <f t="shared" si="69"/>
        <v/>
      </c>
      <c r="KL64" s="23" t="str">
        <f t="shared" si="69"/>
        <v/>
      </c>
      <c r="KM64" s="23" t="str">
        <f t="shared" si="69"/>
        <v/>
      </c>
      <c r="KN64" s="23" t="str">
        <f t="shared" si="69"/>
        <v/>
      </c>
      <c r="KO64" s="23" t="str">
        <f t="shared" si="69"/>
        <v/>
      </c>
      <c r="KP64" s="23" t="str">
        <f t="shared" si="69"/>
        <v/>
      </c>
      <c r="KQ64" s="23" t="str">
        <f t="shared" si="69"/>
        <v/>
      </c>
      <c r="KR64" s="23" t="str">
        <f t="shared" si="69"/>
        <v/>
      </c>
      <c r="KS64" s="23" t="str">
        <f t="shared" si="69"/>
        <v/>
      </c>
      <c r="KT64" s="23" t="str">
        <f t="shared" si="69"/>
        <v/>
      </c>
      <c r="KU64" s="23" t="str">
        <f t="shared" si="69"/>
        <v/>
      </c>
      <c r="KV64" s="23" t="str">
        <f t="shared" si="69"/>
        <v/>
      </c>
      <c r="KW64" s="23" t="str">
        <f t="shared" si="69"/>
        <v/>
      </c>
      <c r="KX64" s="23" t="str">
        <f t="shared" si="69"/>
        <v/>
      </c>
      <c r="KY64" s="23" t="str">
        <f t="shared" si="69"/>
        <v/>
      </c>
      <c r="KZ64" s="23" t="str">
        <f t="shared" si="69"/>
        <v/>
      </c>
      <c r="LA64" s="23" t="str">
        <f t="shared" si="69"/>
        <v/>
      </c>
      <c r="LB64" s="23" t="str">
        <f t="shared" si="69"/>
        <v/>
      </c>
      <c r="LC64" s="23" t="str">
        <f t="shared" si="69"/>
        <v/>
      </c>
      <c r="LD64" s="23" t="str">
        <f t="shared" si="69"/>
        <v/>
      </c>
      <c r="LE64" s="23" t="str">
        <f t="shared" si="69"/>
        <v/>
      </c>
      <c r="LF64" s="23" t="str">
        <f t="shared" si="69"/>
        <v/>
      </c>
      <c r="LG64" s="23" t="str">
        <f t="shared" si="69"/>
        <v/>
      </c>
      <c r="LH64" s="23" t="str">
        <f t="shared" si="69"/>
        <v/>
      </c>
      <c r="LI64" s="23" t="str">
        <f t="shared" si="69"/>
        <v/>
      </c>
      <c r="LJ64" s="23" t="str">
        <f t="shared" si="69"/>
        <v/>
      </c>
      <c r="LK64" s="23" t="str">
        <f t="shared" si="69"/>
        <v/>
      </c>
      <c r="LL64" s="23" t="str">
        <f t="shared" si="69"/>
        <v/>
      </c>
      <c r="LM64" s="23" t="str">
        <f t="shared" si="69"/>
        <v/>
      </c>
      <c r="LN64" s="23" t="str">
        <f t="shared" si="69"/>
        <v/>
      </c>
      <c r="LO64" s="23" t="str">
        <f t="shared" si="69"/>
        <v/>
      </c>
      <c r="LP64" s="23" t="str">
        <f t="shared" si="69"/>
        <v/>
      </c>
      <c r="LQ64" s="23" t="str">
        <f t="shared" si="69"/>
        <v/>
      </c>
      <c r="LR64" s="23" t="str">
        <f t="shared" si="69"/>
        <v/>
      </c>
      <c r="LS64" s="23" t="str">
        <f t="shared" ref="LS64:NJ64" si="70">IF(ISERROR(LS$57/LS$55),"",LS$57/LS$55)</f>
        <v/>
      </c>
      <c r="LT64" s="23" t="str">
        <f t="shared" si="70"/>
        <v/>
      </c>
      <c r="LU64" s="23" t="str">
        <f t="shared" si="70"/>
        <v/>
      </c>
      <c r="LV64" s="23" t="str">
        <f t="shared" si="70"/>
        <v/>
      </c>
      <c r="LW64" s="23" t="str">
        <f t="shared" si="70"/>
        <v/>
      </c>
      <c r="LX64" s="23" t="str">
        <f t="shared" si="70"/>
        <v/>
      </c>
      <c r="LY64" s="23" t="str">
        <f t="shared" si="70"/>
        <v/>
      </c>
      <c r="LZ64" s="23" t="str">
        <f t="shared" si="70"/>
        <v/>
      </c>
      <c r="MA64" s="23" t="str">
        <f t="shared" si="70"/>
        <v/>
      </c>
      <c r="MB64" s="23" t="str">
        <f t="shared" si="70"/>
        <v/>
      </c>
      <c r="MC64" s="23" t="str">
        <f t="shared" si="70"/>
        <v/>
      </c>
      <c r="MD64" s="23" t="str">
        <f t="shared" si="70"/>
        <v/>
      </c>
      <c r="ME64" s="23" t="str">
        <f t="shared" si="70"/>
        <v/>
      </c>
      <c r="MF64" s="23" t="str">
        <f t="shared" si="70"/>
        <v/>
      </c>
      <c r="MG64" s="23" t="str">
        <f t="shared" si="70"/>
        <v/>
      </c>
      <c r="MH64" s="23" t="str">
        <f t="shared" si="70"/>
        <v/>
      </c>
      <c r="MI64" s="23" t="str">
        <f t="shared" si="70"/>
        <v/>
      </c>
      <c r="MJ64" s="23" t="str">
        <f t="shared" si="70"/>
        <v/>
      </c>
      <c r="MK64" s="23" t="str">
        <f t="shared" si="70"/>
        <v/>
      </c>
      <c r="ML64" s="23" t="str">
        <f t="shared" si="70"/>
        <v/>
      </c>
      <c r="MM64" s="23" t="str">
        <f t="shared" si="70"/>
        <v/>
      </c>
      <c r="MN64" s="23" t="str">
        <f t="shared" si="70"/>
        <v/>
      </c>
      <c r="MO64" s="23" t="str">
        <f t="shared" si="70"/>
        <v/>
      </c>
      <c r="MP64" s="23" t="str">
        <f t="shared" si="70"/>
        <v/>
      </c>
      <c r="MQ64" s="23" t="str">
        <f t="shared" si="70"/>
        <v/>
      </c>
      <c r="MR64" s="23" t="str">
        <f t="shared" si="70"/>
        <v/>
      </c>
      <c r="MS64" s="23" t="str">
        <f t="shared" si="70"/>
        <v/>
      </c>
      <c r="MT64" s="23" t="str">
        <f t="shared" si="70"/>
        <v/>
      </c>
      <c r="MU64" s="23" t="str">
        <f t="shared" si="70"/>
        <v/>
      </c>
      <c r="MV64" s="23" t="str">
        <f t="shared" si="70"/>
        <v/>
      </c>
      <c r="MW64" s="23" t="str">
        <f t="shared" si="70"/>
        <v/>
      </c>
      <c r="MX64" s="23" t="str">
        <f t="shared" si="70"/>
        <v/>
      </c>
      <c r="MY64" s="23" t="str">
        <f t="shared" si="70"/>
        <v/>
      </c>
      <c r="MZ64" s="23" t="str">
        <f t="shared" si="70"/>
        <v/>
      </c>
      <c r="NA64" s="23" t="str">
        <f t="shared" si="70"/>
        <v/>
      </c>
      <c r="NB64" s="23" t="str">
        <f t="shared" si="70"/>
        <v/>
      </c>
      <c r="NC64" s="23" t="str">
        <f t="shared" si="70"/>
        <v/>
      </c>
      <c r="ND64" s="23" t="str">
        <f t="shared" si="70"/>
        <v/>
      </c>
      <c r="NE64" s="23" t="str">
        <f t="shared" si="70"/>
        <v/>
      </c>
      <c r="NF64" s="23" t="str">
        <f t="shared" si="70"/>
        <v/>
      </c>
      <c r="NG64" s="23" t="str">
        <f t="shared" si="70"/>
        <v/>
      </c>
      <c r="NH64" s="23" t="str">
        <f t="shared" si="70"/>
        <v/>
      </c>
      <c r="NI64" s="23" t="str">
        <f t="shared" si="70"/>
        <v/>
      </c>
      <c r="NJ64" s="23" t="str">
        <f t="shared" si="70"/>
        <v/>
      </c>
      <c r="NN64" s="1"/>
      <c r="NO64" s="1"/>
      <c r="NP64" s="1"/>
      <c r="NQ64" s="1"/>
      <c r="NR64" s="1"/>
      <c r="NS64" s="1"/>
      <c r="NT64" s="1"/>
      <c r="NU64" s="1"/>
      <c r="NV64" s="1"/>
      <c r="NW64" s="1"/>
      <c r="NX64" s="1"/>
      <c r="NY64" s="1"/>
      <c r="NZ64" s="1"/>
      <c r="OA64" s="1"/>
      <c r="OB64" s="1"/>
      <c r="OC64" s="1"/>
      <c r="OD64" s="1"/>
      <c r="OE64" s="1"/>
      <c r="OF64" s="1"/>
      <c r="OG64" s="1"/>
      <c r="OH64" s="1"/>
      <c r="OI64" s="1"/>
      <c r="OJ64" s="1"/>
      <c r="OK64" s="1"/>
    </row>
    <row r="65" spans="1:401" x14ac:dyDescent="0.3">
      <c r="A65" s="1"/>
      <c r="B65" s="1"/>
      <c r="C65" s="1"/>
      <c r="D65" s="1"/>
      <c r="E65" s="1"/>
      <c r="F65" s="1"/>
      <c r="G65" s="17"/>
      <c r="H65" s="17" t="s">
        <v>47</v>
      </c>
      <c r="I65" s="28"/>
      <c r="J65" s="24" t="str">
        <f>IF(ISERROR(J$58/J$55),"",J$58/J$55)</f>
        <v/>
      </c>
      <c r="K65" s="24" t="str">
        <f>IF(ISERROR(K$58/K$55),"",K$58/K$55)</f>
        <v/>
      </c>
      <c r="L65" s="24" t="str">
        <f t="shared" ref="L65:Q65" si="71">IF(ISERROR(L$58/L$55),"",L$58/L$55)</f>
        <v/>
      </c>
      <c r="M65" s="24" t="str">
        <f t="shared" si="71"/>
        <v/>
      </c>
      <c r="N65" s="24" t="str">
        <f t="shared" si="71"/>
        <v/>
      </c>
      <c r="O65" s="24" t="str">
        <f t="shared" si="71"/>
        <v/>
      </c>
      <c r="P65" s="24" t="str">
        <f t="shared" si="71"/>
        <v/>
      </c>
      <c r="Q65" s="24" t="str">
        <f t="shared" si="71"/>
        <v/>
      </c>
      <c r="R65" s="24">
        <f t="shared" ref="R65:AW65" si="72">IF(ISERROR(R$58/R$55),"",R$58/R$55)</f>
        <v>1</v>
      </c>
      <c r="S65" s="24">
        <f t="shared" si="72"/>
        <v>1</v>
      </c>
      <c r="T65" s="24">
        <f t="shared" si="72"/>
        <v>1</v>
      </c>
      <c r="U65" s="24">
        <f t="shared" si="72"/>
        <v>1</v>
      </c>
      <c r="V65" s="24">
        <f t="shared" si="72"/>
        <v>1</v>
      </c>
      <c r="W65" s="24" t="str">
        <f t="shared" si="72"/>
        <v/>
      </c>
      <c r="X65" s="24" t="str">
        <f t="shared" si="72"/>
        <v/>
      </c>
      <c r="Y65" s="24">
        <f t="shared" si="72"/>
        <v>1</v>
      </c>
      <c r="Z65" s="24">
        <f t="shared" si="72"/>
        <v>1</v>
      </c>
      <c r="AA65" s="24">
        <f t="shared" si="72"/>
        <v>1</v>
      </c>
      <c r="AB65" s="24">
        <f t="shared" si="72"/>
        <v>1</v>
      </c>
      <c r="AC65" s="24">
        <f t="shared" si="72"/>
        <v>1</v>
      </c>
      <c r="AD65" s="24" t="str">
        <f t="shared" si="72"/>
        <v/>
      </c>
      <c r="AE65" s="24" t="str">
        <f t="shared" si="72"/>
        <v/>
      </c>
      <c r="AF65" s="24">
        <f t="shared" si="72"/>
        <v>1</v>
      </c>
      <c r="AG65" s="24">
        <f t="shared" si="72"/>
        <v>1</v>
      </c>
      <c r="AH65" s="24">
        <f t="shared" si="72"/>
        <v>1</v>
      </c>
      <c r="AI65" s="24">
        <f t="shared" si="72"/>
        <v>1</v>
      </c>
      <c r="AJ65" s="24">
        <f t="shared" si="72"/>
        <v>1</v>
      </c>
      <c r="AK65" s="24" t="str">
        <f t="shared" si="72"/>
        <v/>
      </c>
      <c r="AL65" s="24" t="str">
        <f t="shared" si="72"/>
        <v/>
      </c>
      <c r="AM65" s="24">
        <f t="shared" si="72"/>
        <v>1</v>
      </c>
      <c r="AN65" s="24">
        <f t="shared" si="72"/>
        <v>1</v>
      </c>
      <c r="AO65" s="24">
        <f t="shared" si="72"/>
        <v>1</v>
      </c>
      <c r="AP65" s="24">
        <f t="shared" si="72"/>
        <v>1</v>
      </c>
      <c r="AQ65" s="24">
        <f t="shared" si="72"/>
        <v>1</v>
      </c>
      <c r="AR65" s="24" t="str">
        <f t="shared" si="72"/>
        <v/>
      </c>
      <c r="AS65" s="24" t="str">
        <f t="shared" si="72"/>
        <v/>
      </c>
      <c r="AT65" s="24">
        <f t="shared" si="72"/>
        <v>1</v>
      </c>
      <c r="AU65" s="24">
        <f t="shared" si="72"/>
        <v>1</v>
      </c>
      <c r="AV65" s="24">
        <f t="shared" si="72"/>
        <v>1</v>
      </c>
      <c r="AW65" s="24">
        <f t="shared" si="72"/>
        <v>1</v>
      </c>
      <c r="AX65" s="24">
        <f t="shared" ref="AX65:BV65" si="73">IF(ISERROR(AX$58/AX$55),"",AX$58/AX$55)</f>
        <v>1</v>
      </c>
      <c r="AY65" s="24" t="str">
        <f t="shared" si="73"/>
        <v/>
      </c>
      <c r="AZ65" s="24" t="str">
        <f t="shared" si="73"/>
        <v/>
      </c>
      <c r="BA65" s="24">
        <f t="shared" si="73"/>
        <v>1</v>
      </c>
      <c r="BB65" s="24">
        <f t="shared" si="73"/>
        <v>1</v>
      </c>
      <c r="BC65" s="24">
        <f t="shared" si="73"/>
        <v>1</v>
      </c>
      <c r="BD65" s="24">
        <f t="shared" si="73"/>
        <v>1</v>
      </c>
      <c r="BE65" s="24">
        <f t="shared" si="73"/>
        <v>1</v>
      </c>
      <c r="BF65" s="24" t="str">
        <f t="shared" si="73"/>
        <v/>
      </c>
      <c r="BG65" s="24" t="str">
        <f t="shared" si="73"/>
        <v/>
      </c>
      <c r="BH65" s="24">
        <f t="shared" si="73"/>
        <v>1</v>
      </c>
      <c r="BI65" s="24">
        <f t="shared" si="73"/>
        <v>1</v>
      </c>
      <c r="BJ65" s="24">
        <f t="shared" si="73"/>
        <v>1</v>
      </c>
      <c r="BK65" s="24">
        <f t="shared" si="73"/>
        <v>1</v>
      </c>
      <c r="BL65" s="24">
        <f t="shared" si="73"/>
        <v>1</v>
      </c>
      <c r="BM65" s="24" t="str">
        <f t="shared" si="73"/>
        <v/>
      </c>
      <c r="BN65" s="24" t="str">
        <f t="shared" si="73"/>
        <v/>
      </c>
      <c r="BO65" s="24">
        <f t="shared" si="73"/>
        <v>1</v>
      </c>
      <c r="BP65" s="24">
        <f t="shared" si="73"/>
        <v>1</v>
      </c>
      <c r="BQ65" s="24">
        <f t="shared" si="73"/>
        <v>1</v>
      </c>
      <c r="BR65" s="24">
        <f t="shared" si="73"/>
        <v>1</v>
      </c>
      <c r="BS65" s="24">
        <f t="shared" si="73"/>
        <v>1</v>
      </c>
      <c r="BT65" s="24" t="str">
        <f t="shared" si="73"/>
        <v/>
      </c>
      <c r="BU65" s="24" t="str">
        <f t="shared" si="73"/>
        <v/>
      </c>
      <c r="BV65" s="24">
        <f t="shared" si="73"/>
        <v>1</v>
      </c>
      <c r="BW65" s="24">
        <f t="shared" ref="BW65:EH65" si="74">IF(ISERROR(BW$58/BW$55),"",BW$58/BW$55)</f>
        <v>1</v>
      </c>
      <c r="BX65" s="24">
        <f t="shared" si="74"/>
        <v>1</v>
      </c>
      <c r="BY65" s="24">
        <f t="shared" si="74"/>
        <v>1</v>
      </c>
      <c r="BZ65" s="24">
        <f t="shared" si="74"/>
        <v>1</v>
      </c>
      <c r="CA65" s="24" t="str">
        <f t="shared" si="74"/>
        <v/>
      </c>
      <c r="CB65" s="24" t="str">
        <f t="shared" si="74"/>
        <v/>
      </c>
      <c r="CC65" s="24">
        <f t="shared" si="74"/>
        <v>1</v>
      </c>
      <c r="CD65" s="24">
        <f t="shared" si="74"/>
        <v>1</v>
      </c>
      <c r="CE65" s="24">
        <f t="shared" si="74"/>
        <v>1</v>
      </c>
      <c r="CF65" s="24">
        <f t="shared" si="74"/>
        <v>1</v>
      </c>
      <c r="CG65" s="24">
        <f t="shared" si="74"/>
        <v>1</v>
      </c>
      <c r="CH65" s="24" t="str">
        <f t="shared" si="74"/>
        <v/>
      </c>
      <c r="CI65" s="24" t="str">
        <f t="shared" si="74"/>
        <v/>
      </c>
      <c r="CJ65" s="24">
        <f t="shared" si="74"/>
        <v>1</v>
      </c>
      <c r="CK65" s="24">
        <f t="shared" si="74"/>
        <v>1</v>
      </c>
      <c r="CL65" s="24">
        <f t="shared" si="74"/>
        <v>1</v>
      </c>
      <c r="CM65" s="24">
        <f t="shared" si="74"/>
        <v>1</v>
      </c>
      <c r="CN65" s="24">
        <f t="shared" si="74"/>
        <v>1</v>
      </c>
      <c r="CO65" s="24" t="str">
        <f t="shared" si="74"/>
        <v/>
      </c>
      <c r="CP65" s="24" t="str">
        <f t="shared" si="74"/>
        <v/>
      </c>
      <c r="CQ65" s="24">
        <f t="shared" si="74"/>
        <v>1</v>
      </c>
      <c r="CR65" s="24">
        <f t="shared" si="74"/>
        <v>1</v>
      </c>
      <c r="CS65" s="24">
        <f t="shared" si="74"/>
        <v>1</v>
      </c>
      <c r="CT65" s="24">
        <f t="shared" si="74"/>
        <v>1</v>
      </c>
      <c r="CU65" s="24">
        <f t="shared" si="74"/>
        <v>1</v>
      </c>
      <c r="CV65" s="24" t="str">
        <f t="shared" si="74"/>
        <v/>
      </c>
      <c r="CW65" s="24" t="str">
        <f t="shared" si="74"/>
        <v/>
      </c>
      <c r="CX65" s="24" t="str">
        <f t="shared" si="74"/>
        <v/>
      </c>
      <c r="CY65" s="24" t="str">
        <f t="shared" si="74"/>
        <v/>
      </c>
      <c r="CZ65" s="24" t="str">
        <f t="shared" si="74"/>
        <v/>
      </c>
      <c r="DA65" s="24" t="str">
        <f t="shared" si="74"/>
        <v/>
      </c>
      <c r="DB65" s="24" t="str">
        <f t="shared" si="74"/>
        <v/>
      </c>
      <c r="DC65" s="24" t="str">
        <f t="shared" si="74"/>
        <v/>
      </c>
      <c r="DD65" s="24" t="str">
        <f t="shared" si="74"/>
        <v/>
      </c>
      <c r="DE65" s="24">
        <f t="shared" si="74"/>
        <v>1</v>
      </c>
      <c r="DF65" s="24">
        <f t="shared" si="74"/>
        <v>1</v>
      </c>
      <c r="DG65" s="24">
        <f t="shared" si="74"/>
        <v>1</v>
      </c>
      <c r="DH65" s="24">
        <f t="shared" si="74"/>
        <v>1</v>
      </c>
      <c r="DI65" s="24">
        <f t="shared" si="74"/>
        <v>1</v>
      </c>
      <c r="DJ65" s="24" t="str">
        <f t="shared" si="74"/>
        <v/>
      </c>
      <c r="DK65" s="24" t="str">
        <f t="shared" si="74"/>
        <v/>
      </c>
      <c r="DL65" s="24">
        <f t="shared" si="74"/>
        <v>1</v>
      </c>
      <c r="DM65" s="24">
        <f t="shared" si="74"/>
        <v>1</v>
      </c>
      <c r="DN65" s="24">
        <f t="shared" si="74"/>
        <v>1</v>
      </c>
      <c r="DO65" s="24">
        <f t="shared" si="74"/>
        <v>1</v>
      </c>
      <c r="DP65" s="24">
        <f t="shared" si="74"/>
        <v>1</v>
      </c>
      <c r="DQ65" s="24" t="str">
        <f t="shared" si="74"/>
        <v/>
      </c>
      <c r="DR65" s="24" t="str">
        <f t="shared" si="74"/>
        <v/>
      </c>
      <c r="DS65" s="24" t="str">
        <f t="shared" si="74"/>
        <v/>
      </c>
      <c r="DT65" s="24" t="str">
        <f t="shared" si="74"/>
        <v/>
      </c>
      <c r="DU65" s="24" t="str">
        <f t="shared" si="74"/>
        <v/>
      </c>
      <c r="DV65" s="24" t="str">
        <f t="shared" si="74"/>
        <v/>
      </c>
      <c r="DW65" s="24" t="str">
        <f t="shared" si="74"/>
        <v/>
      </c>
      <c r="DX65" s="24" t="str">
        <f t="shared" si="74"/>
        <v/>
      </c>
      <c r="DY65" s="24" t="str">
        <f t="shared" si="74"/>
        <v/>
      </c>
      <c r="DZ65" s="24" t="str">
        <f t="shared" si="74"/>
        <v/>
      </c>
      <c r="EA65" s="24" t="str">
        <f t="shared" si="74"/>
        <v/>
      </c>
      <c r="EB65" s="24" t="str">
        <f t="shared" si="74"/>
        <v/>
      </c>
      <c r="EC65" s="24" t="str">
        <f t="shared" si="74"/>
        <v/>
      </c>
      <c r="ED65" s="24" t="str">
        <f t="shared" si="74"/>
        <v/>
      </c>
      <c r="EE65" s="24" t="str">
        <f t="shared" si="74"/>
        <v/>
      </c>
      <c r="EF65" s="24" t="str">
        <f t="shared" si="74"/>
        <v/>
      </c>
      <c r="EG65" s="24" t="str">
        <f t="shared" si="74"/>
        <v/>
      </c>
      <c r="EH65" s="24" t="str">
        <f t="shared" si="74"/>
        <v/>
      </c>
      <c r="EI65" s="24" t="str">
        <f t="shared" ref="EI65:GT65" si="75">IF(ISERROR(EI$58/EI$55),"",EI$58/EI$55)</f>
        <v/>
      </c>
      <c r="EJ65" s="24" t="str">
        <f t="shared" si="75"/>
        <v/>
      </c>
      <c r="EK65" s="24" t="str">
        <f t="shared" si="75"/>
        <v/>
      </c>
      <c r="EL65" s="24" t="str">
        <f t="shared" si="75"/>
        <v/>
      </c>
      <c r="EM65" s="24" t="str">
        <f t="shared" si="75"/>
        <v/>
      </c>
      <c r="EN65" s="24" t="str">
        <f t="shared" si="75"/>
        <v/>
      </c>
      <c r="EO65" s="24" t="str">
        <f t="shared" si="75"/>
        <v/>
      </c>
      <c r="EP65" s="24" t="str">
        <f t="shared" si="75"/>
        <v/>
      </c>
      <c r="EQ65" s="24" t="str">
        <f t="shared" si="75"/>
        <v/>
      </c>
      <c r="ER65" s="24" t="str">
        <f t="shared" si="75"/>
        <v/>
      </c>
      <c r="ES65" s="24" t="str">
        <f t="shared" si="75"/>
        <v/>
      </c>
      <c r="ET65" s="24" t="str">
        <f t="shared" si="75"/>
        <v/>
      </c>
      <c r="EU65" s="24" t="str">
        <f t="shared" si="75"/>
        <v/>
      </c>
      <c r="EV65" s="24" t="str">
        <f t="shared" si="75"/>
        <v/>
      </c>
      <c r="EW65" s="24" t="str">
        <f t="shared" si="75"/>
        <v/>
      </c>
      <c r="EX65" s="24" t="str">
        <f t="shared" si="75"/>
        <v/>
      </c>
      <c r="EY65" s="24" t="str">
        <f t="shared" si="75"/>
        <v/>
      </c>
      <c r="EZ65" s="24" t="str">
        <f t="shared" si="75"/>
        <v/>
      </c>
      <c r="FA65" s="24" t="str">
        <f t="shared" si="75"/>
        <v/>
      </c>
      <c r="FB65" s="24" t="str">
        <f t="shared" si="75"/>
        <v/>
      </c>
      <c r="FC65" s="24" t="str">
        <f t="shared" si="75"/>
        <v/>
      </c>
      <c r="FD65" s="24" t="str">
        <f t="shared" si="75"/>
        <v/>
      </c>
      <c r="FE65" s="24" t="str">
        <f t="shared" si="75"/>
        <v/>
      </c>
      <c r="FF65" s="24" t="str">
        <f t="shared" si="75"/>
        <v/>
      </c>
      <c r="FG65" s="24" t="str">
        <f t="shared" si="75"/>
        <v/>
      </c>
      <c r="FH65" s="24" t="str">
        <f t="shared" si="75"/>
        <v/>
      </c>
      <c r="FI65" s="24" t="str">
        <f t="shared" si="75"/>
        <v/>
      </c>
      <c r="FJ65" s="24" t="str">
        <f t="shared" si="75"/>
        <v/>
      </c>
      <c r="FK65" s="24" t="str">
        <f t="shared" si="75"/>
        <v/>
      </c>
      <c r="FL65" s="24" t="str">
        <f t="shared" si="75"/>
        <v/>
      </c>
      <c r="FM65" s="24" t="str">
        <f t="shared" si="75"/>
        <v/>
      </c>
      <c r="FN65" s="24" t="str">
        <f t="shared" si="75"/>
        <v/>
      </c>
      <c r="FO65" s="24" t="str">
        <f t="shared" si="75"/>
        <v/>
      </c>
      <c r="FP65" s="24" t="str">
        <f t="shared" si="75"/>
        <v/>
      </c>
      <c r="FQ65" s="24" t="str">
        <f t="shared" si="75"/>
        <v/>
      </c>
      <c r="FR65" s="24" t="str">
        <f t="shared" si="75"/>
        <v/>
      </c>
      <c r="FS65" s="24" t="str">
        <f t="shared" si="75"/>
        <v/>
      </c>
      <c r="FT65" s="24" t="str">
        <f t="shared" si="75"/>
        <v/>
      </c>
      <c r="FU65" s="24" t="str">
        <f t="shared" si="75"/>
        <v/>
      </c>
      <c r="FV65" s="24" t="str">
        <f t="shared" si="75"/>
        <v/>
      </c>
      <c r="FW65" s="24" t="str">
        <f t="shared" si="75"/>
        <v/>
      </c>
      <c r="FX65" s="24" t="str">
        <f t="shared" si="75"/>
        <v/>
      </c>
      <c r="FY65" s="24" t="str">
        <f t="shared" si="75"/>
        <v/>
      </c>
      <c r="FZ65" s="24" t="str">
        <f t="shared" si="75"/>
        <v/>
      </c>
      <c r="GA65" s="24" t="str">
        <f t="shared" si="75"/>
        <v/>
      </c>
      <c r="GB65" s="24" t="str">
        <f t="shared" si="75"/>
        <v/>
      </c>
      <c r="GC65" s="24" t="str">
        <f t="shared" si="75"/>
        <v/>
      </c>
      <c r="GD65" s="24" t="str">
        <f t="shared" si="75"/>
        <v/>
      </c>
      <c r="GE65" s="24" t="str">
        <f t="shared" si="75"/>
        <v/>
      </c>
      <c r="GF65" s="24" t="str">
        <f t="shared" si="75"/>
        <v/>
      </c>
      <c r="GG65" s="24" t="str">
        <f t="shared" si="75"/>
        <v/>
      </c>
      <c r="GH65" s="24" t="str">
        <f t="shared" si="75"/>
        <v/>
      </c>
      <c r="GI65" s="24" t="str">
        <f t="shared" si="75"/>
        <v/>
      </c>
      <c r="GJ65" s="24" t="str">
        <f t="shared" si="75"/>
        <v/>
      </c>
      <c r="GK65" s="24" t="str">
        <f t="shared" si="75"/>
        <v/>
      </c>
      <c r="GL65" s="24" t="str">
        <f t="shared" si="75"/>
        <v/>
      </c>
      <c r="GM65" s="24" t="str">
        <f t="shared" si="75"/>
        <v/>
      </c>
      <c r="GN65" s="24" t="str">
        <f t="shared" si="75"/>
        <v/>
      </c>
      <c r="GO65" s="24" t="str">
        <f t="shared" si="75"/>
        <v/>
      </c>
      <c r="GP65" s="24" t="str">
        <f t="shared" si="75"/>
        <v/>
      </c>
      <c r="GQ65" s="24" t="str">
        <f t="shared" si="75"/>
        <v/>
      </c>
      <c r="GR65" s="24" t="str">
        <f t="shared" si="75"/>
        <v/>
      </c>
      <c r="GS65" s="24" t="str">
        <f t="shared" si="75"/>
        <v/>
      </c>
      <c r="GT65" s="24" t="str">
        <f t="shared" si="75"/>
        <v/>
      </c>
      <c r="GU65" s="24" t="str">
        <f t="shared" ref="GU65:JF65" si="76">IF(ISERROR(GU$58/GU$55),"",GU$58/GU$55)</f>
        <v/>
      </c>
      <c r="GV65" s="24" t="str">
        <f t="shared" si="76"/>
        <v/>
      </c>
      <c r="GW65" s="24" t="str">
        <f t="shared" si="76"/>
        <v/>
      </c>
      <c r="GX65" s="24" t="str">
        <f t="shared" si="76"/>
        <v/>
      </c>
      <c r="GY65" s="24" t="str">
        <f t="shared" si="76"/>
        <v/>
      </c>
      <c r="GZ65" s="24" t="str">
        <f t="shared" si="76"/>
        <v/>
      </c>
      <c r="HA65" s="24" t="str">
        <f t="shared" si="76"/>
        <v/>
      </c>
      <c r="HB65" s="24" t="str">
        <f t="shared" si="76"/>
        <v/>
      </c>
      <c r="HC65" s="24" t="str">
        <f t="shared" si="76"/>
        <v/>
      </c>
      <c r="HD65" s="24" t="str">
        <f t="shared" si="76"/>
        <v/>
      </c>
      <c r="HE65" s="24" t="str">
        <f t="shared" si="76"/>
        <v/>
      </c>
      <c r="HF65" s="24" t="str">
        <f t="shared" si="76"/>
        <v/>
      </c>
      <c r="HG65" s="24" t="str">
        <f t="shared" si="76"/>
        <v/>
      </c>
      <c r="HH65" s="24" t="str">
        <f t="shared" si="76"/>
        <v/>
      </c>
      <c r="HI65" s="24" t="str">
        <f t="shared" si="76"/>
        <v/>
      </c>
      <c r="HJ65" s="24" t="str">
        <f t="shared" si="76"/>
        <v/>
      </c>
      <c r="HK65" s="24" t="str">
        <f t="shared" si="76"/>
        <v/>
      </c>
      <c r="HL65" s="24" t="str">
        <f t="shared" si="76"/>
        <v/>
      </c>
      <c r="HM65" s="24" t="str">
        <f t="shared" si="76"/>
        <v/>
      </c>
      <c r="HN65" s="24" t="str">
        <f t="shared" si="76"/>
        <v/>
      </c>
      <c r="HO65" s="24" t="str">
        <f t="shared" si="76"/>
        <v/>
      </c>
      <c r="HP65" s="24" t="str">
        <f t="shared" si="76"/>
        <v/>
      </c>
      <c r="HQ65" s="24" t="str">
        <f t="shared" si="76"/>
        <v/>
      </c>
      <c r="HR65" s="24" t="str">
        <f t="shared" si="76"/>
        <v/>
      </c>
      <c r="HS65" s="24" t="str">
        <f t="shared" si="76"/>
        <v/>
      </c>
      <c r="HT65" s="24">
        <f t="shared" si="76"/>
        <v>1</v>
      </c>
      <c r="HU65" s="24" t="str">
        <f t="shared" si="76"/>
        <v/>
      </c>
      <c r="HV65" s="24" t="str">
        <f t="shared" si="76"/>
        <v/>
      </c>
      <c r="HW65" s="24" t="str">
        <f t="shared" si="76"/>
        <v/>
      </c>
      <c r="HX65" s="24" t="str">
        <f t="shared" si="76"/>
        <v/>
      </c>
      <c r="HY65" s="24" t="str">
        <f t="shared" si="76"/>
        <v/>
      </c>
      <c r="HZ65" s="24" t="str">
        <f t="shared" si="76"/>
        <v/>
      </c>
      <c r="IA65" s="24" t="str">
        <f t="shared" si="76"/>
        <v/>
      </c>
      <c r="IB65" s="24" t="str">
        <f t="shared" si="76"/>
        <v/>
      </c>
      <c r="IC65" s="24" t="str">
        <f t="shared" si="76"/>
        <v/>
      </c>
      <c r="ID65" s="24" t="str">
        <f t="shared" si="76"/>
        <v/>
      </c>
      <c r="IE65" s="24" t="str">
        <f t="shared" si="76"/>
        <v/>
      </c>
      <c r="IF65" s="24" t="str">
        <f t="shared" si="76"/>
        <v/>
      </c>
      <c r="IG65" s="24" t="str">
        <f t="shared" si="76"/>
        <v/>
      </c>
      <c r="IH65" s="24" t="str">
        <f t="shared" si="76"/>
        <v/>
      </c>
      <c r="II65" s="24" t="str">
        <f t="shared" si="76"/>
        <v/>
      </c>
      <c r="IJ65" s="24" t="str">
        <f t="shared" si="76"/>
        <v/>
      </c>
      <c r="IK65" s="24" t="str">
        <f t="shared" si="76"/>
        <v/>
      </c>
      <c r="IL65" s="24" t="str">
        <f t="shared" si="76"/>
        <v/>
      </c>
      <c r="IM65" s="24" t="str">
        <f t="shared" si="76"/>
        <v/>
      </c>
      <c r="IN65" s="24" t="str">
        <f t="shared" si="76"/>
        <v/>
      </c>
      <c r="IO65" s="24" t="str">
        <f t="shared" si="76"/>
        <v/>
      </c>
      <c r="IP65" s="24" t="str">
        <f t="shared" si="76"/>
        <v/>
      </c>
      <c r="IQ65" s="24" t="str">
        <f t="shared" si="76"/>
        <v/>
      </c>
      <c r="IR65" s="24" t="str">
        <f t="shared" si="76"/>
        <v/>
      </c>
      <c r="IS65" s="24" t="str">
        <f t="shared" si="76"/>
        <v/>
      </c>
      <c r="IT65" s="24" t="str">
        <f t="shared" si="76"/>
        <v/>
      </c>
      <c r="IU65" s="24" t="str">
        <f t="shared" si="76"/>
        <v/>
      </c>
      <c r="IV65" s="24" t="str">
        <f t="shared" si="76"/>
        <v/>
      </c>
      <c r="IW65" s="24" t="str">
        <f t="shared" si="76"/>
        <v/>
      </c>
      <c r="IX65" s="24" t="str">
        <f t="shared" si="76"/>
        <v/>
      </c>
      <c r="IY65" s="24" t="str">
        <f t="shared" si="76"/>
        <v/>
      </c>
      <c r="IZ65" s="24" t="str">
        <f t="shared" si="76"/>
        <v/>
      </c>
      <c r="JA65" s="24" t="str">
        <f t="shared" si="76"/>
        <v/>
      </c>
      <c r="JB65" s="24" t="str">
        <f t="shared" si="76"/>
        <v/>
      </c>
      <c r="JC65" s="24" t="str">
        <f t="shared" si="76"/>
        <v/>
      </c>
      <c r="JD65" s="24" t="str">
        <f t="shared" si="76"/>
        <v/>
      </c>
      <c r="JE65" s="24" t="str">
        <f t="shared" si="76"/>
        <v/>
      </c>
      <c r="JF65" s="24" t="str">
        <f t="shared" si="76"/>
        <v/>
      </c>
      <c r="JG65" s="24" t="str">
        <f t="shared" ref="JG65:LR65" si="77">IF(ISERROR(JG$58/JG$55),"",JG$58/JG$55)</f>
        <v/>
      </c>
      <c r="JH65" s="24" t="str">
        <f t="shared" si="77"/>
        <v/>
      </c>
      <c r="JI65" s="24" t="str">
        <f t="shared" si="77"/>
        <v/>
      </c>
      <c r="JJ65" s="24" t="str">
        <f t="shared" si="77"/>
        <v/>
      </c>
      <c r="JK65" s="24" t="str">
        <f t="shared" si="77"/>
        <v/>
      </c>
      <c r="JL65" s="24" t="str">
        <f t="shared" si="77"/>
        <v/>
      </c>
      <c r="JM65" s="24" t="str">
        <f t="shared" si="77"/>
        <v/>
      </c>
      <c r="JN65" s="24" t="str">
        <f t="shared" si="77"/>
        <v/>
      </c>
      <c r="JO65" s="24" t="str">
        <f t="shared" si="77"/>
        <v/>
      </c>
      <c r="JP65" s="24" t="str">
        <f t="shared" si="77"/>
        <v/>
      </c>
      <c r="JQ65" s="24" t="str">
        <f t="shared" si="77"/>
        <v/>
      </c>
      <c r="JR65" s="24" t="str">
        <f t="shared" si="77"/>
        <v/>
      </c>
      <c r="JS65" s="24" t="str">
        <f t="shared" si="77"/>
        <v/>
      </c>
      <c r="JT65" s="24" t="str">
        <f t="shared" si="77"/>
        <v/>
      </c>
      <c r="JU65" s="24" t="str">
        <f t="shared" si="77"/>
        <v/>
      </c>
      <c r="JV65" s="24" t="str">
        <f t="shared" si="77"/>
        <v/>
      </c>
      <c r="JW65" s="24" t="str">
        <f t="shared" si="77"/>
        <v/>
      </c>
      <c r="JX65" s="24" t="str">
        <f t="shared" si="77"/>
        <v/>
      </c>
      <c r="JY65" s="24" t="str">
        <f t="shared" si="77"/>
        <v/>
      </c>
      <c r="JZ65" s="24" t="str">
        <f t="shared" si="77"/>
        <v/>
      </c>
      <c r="KA65" s="24" t="str">
        <f t="shared" si="77"/>
        <v/>
      </c>
      <c r="KB65" s="24" t="str">
        <f t="shared" si="77"/>
        <v/>
      </c>
      <c r="KC65" s="24" t="str">
        <f t="shared" si="77"/>
        <v/>
      </c>
      <c r="KD65" s="24" t="str">
        <f t="shared" si="77"/>
        <v/>
      </c>
      <c r="KE65" s="24" t="str">
        <f t="shared" si="77"/>
        <v/>
      </c>
      <c r="KF65" s="24" t="str">
        <f t="shared" si="77"/>
        <v/>
      </c>
      <c r="KG65" s="24" t="str">
        <f t="shared" si="77"/>
        <v/>
      </c>
      <c r="KH65" s="24" t="str">
        <f t="shared" si="77"/>
        <v/>
      </c>
      <c r="KI65" s="24" t="str">
        <f t="shared" si="77"/>
        <v/>
      </c>
      <c r="KJ65" s="24" t="str">
        <f t="shared" si="77"/>
        <v/>
      </c>
      <c r="KK65" s="24" t="str">
        <f t="shared" si="77"/>
        <v/>
      </c>
      <c r="KL65" s="24" t="str">
        <f t="shared" si="77"/>
        <v/>
      </c>
      <c r="KM65" s="24" t="str">
        <f t="shared" si="77"/>
        <v/>
      </c>
      <c r="KN65" s="24" t="str">
        <f t="shared" si="77"/>
        <v/>
      </c>
      <c r="KO65" s="24" t="str">
        <f t="shared" si="77"/>
        <v/>
      </c>
      <c r="KP65" s="24" t="str">
        <f t="shared" si="77"/>
        <v/>
      </c>
      <c r="KQ65" s="24" t="str">
        <f t="shared" si="77"/>
        <v/>
      </c>
      <c r="KR65" s="24" t="str">
        <f t="shared" si="77"/>
        <v/>
      </c>
      <c r="KS65" s="24" t="str">
        <f t="shared" si="77"/>
        <v/>
      </c>
      <c r="KT65" s="24" t="str">
        <f t="shared" si="77"/>
        <v/>
      </c>
      <c r="KU65" s="24" t="str">
        <f t="shared" si="77"/>
        <v/>
      </c>
      <c r="KV65" s="24" t="str">
        <f t="shared" si="77"/>
        <v/>
      </c>
      <c r="KW65" s="24" t="str">
        <f t="shared" si="77"/>
        <v/>
      </c>
      <c r="KX65" s="24" t="str">
        <f t="shared" si="77"/>
        <v/>
      </c>
      <c r="KY65" s="24" t="str">
        <f t="shared" si="77"/>
        <v/>
      </c>
      <c r="KZ65" s="24" t="str">
        <f t="shared" si="77"/>
        <v/>
      </c>
      <c r="LA65" s="24" t="str">
        <f t="shared" si="77"/>
        <v/>
      </c>
      <c r="LB65" s="24" t="str">
        <f t="shared" si="77"/>
        <v/>
      </c>
      <c r="LC65" s="24" t="str">
        <f t="shared" si="77"/>
        <v/>
      </c>
      <c r="LD65" s="24" t="str">
        <f t="shared" si="77"/>
        <v/>
      </c>
      <c r="LE65" s="24" t="str">
        <f t="shared" si="77"/>
        <v/>
      </c>
      <c r="LF65" s="24" t="str">
        <f t="shared" si="77"/>
        <v/>
      </c>
      <c r="LG65" s="24" t="str">
        <f t="shared" si="77"/>
        <v/>
      </c>
      <c r="LH65" s="24" t="str">
        <f t="shared" si="77"/>
        <v/>
      </c>
      <c r="LI65" s="24" t="str">
        <f t="shared" si="77"/>
        <v/>
      </c>
      <c r="LJ65" s="24" t="str">
        <f t="shared" si="77"/>
        <v/>
      </c>
      <c r="LK65" s="24" t="str">
        <f t="shared" si="77"/>
        <v/>
      </c>
      <c r="LL65" s="24" t="str">
        <f t="shared" si="77"/>
        <v/>
      </c>
      <c r="LM65" s="24" t="str">
        <f t="shared" si="77"/>
        <v/>
      </c>
      <c r="LN65" s="24" t="str">
        <f t="shared" si="77"/>
        <v/>
      </c>
      <c r="LO65" s="24" t="str">
        <f t="shared" si="77"/>
        <v/>
      </c>
      <c r="LP65" s="24" t="str">
        <f t="shared" si="77"/>
        <v/>
      </c>
      <c r="LQ65" s="24" t="str">
        <f t="shared" si="77"/>
        <v/>
      </c>
      <c r="LR65" s="24" t="str">
        <f t="shared" si="77"/>
        <v/>
      </c>
      <c r="LS65" s="24" t="str">
        <f t="shared" ref="LS65:NJ65" si="78">IF(ISERROR(LS$58/LS$55),"",LS$58/LS$55)</f>
        <v/>
      </c>
      <c r="LT65" s="24" t="str">
        <f t="shared" si="78"/>
        <v/>
      </c>
      <c r="LU65" s="24" t="str">
        <f t="shared" si="78"/>
        <v/>
      </c>
      <c r="LV65" s="24" t="str">
        <f t="shared" si="78"/>
        <v/>
      </c>
      <c r="LW65" s="24" t="str">
        <f t="shared" si="78"/>
        <v/>
      </c>
      <c r="LX65" s="24" t="str">
        <f t="shared" si="78"/>
        <v/>
      </c>
      <c r="LY65" s="24" t="str">
        <f t="shared" si="78"/>
        <v/>
      </c>
      <c r="LZ65" s="24" t="str">
        <f t="shared" si="78"/>
        <v/>
      </c>
      <c r="MA65" s="24" t="str">
        <f t="shared" si="78"/>
        <v/>
      </c>
      <c r="MB65" s="24" t="str">
        <f t="shared" si="78"/>
        <v/>
      </c>
      <c r="MC65" s="24" t="str">
        <f t="shared" si="78"/>
        <v/>
      </c>
      <c r="MD65" s="24" t="str">
        <f t="shared" si="78"/>
        <v/>
      </c>
      <c r="ME65" s="24" t="str">
        <f t="shared" si="78"/>
        <v/>
      </c>
      <c r="MF65" s="24" t="str">
        <f t="shared" si="78"/>
        <v/>
      </c>
      <c r="MG65" s="24" t="str">
        <f t="shared" si="78"/>
        <v/>
      </c>
      <c r="MH65" s="24" t="str">
        <f t="shared" si="78"/>
        <v/>
      </c>
      <c r="MI65" s="24" t="str">
        <f t="shared" si="78"/>
        <v/>
      </c>
      <c r="MJ65" s="24" t="str">
        <f t="shared" si="78"/>
        <v/>
      </c>
      <c r="MK65" s="24" t="str">
        <f t="shared" si="78"/>
        <v/>
      </c>
      <c r="ML65" s="24" t="str">
        <f t="shared" si="78"/>
        <v/>
      </c>
      <c r="MM65" s="24" t="str">
        <f t="shared" si="78"/>
        <v/>
      </c>
      <c r="MN65" s="24" t="str">
        <f t="shared" si="78"/>
        <v/>
      </c>
      <c r="MO65" s="24" t="str">
        <f t="shared" si="78"/>
        <v/>
      </c>
      <c r="MP65" s="24" t="str">
        <f t="shared" si="78"/>
        <v/>
      </c>
      <c r="MQ65" s="24" t="str">
        <f t="shared" si="78"/>
        <v/>
      </c>
      <c r="MR65" s="24" t="str">
        <f t="shared" si="78"/>
        <v/>
      </c>
      <c r="MS65" s="24" t="str">
        <f t="shared" si="78"/>
        <v/>
      </c>
      <c r="MT65" s="24" t="str">
        <f t="shared" si="78"/>
        <v/>
      </c>
      <c r="MU65" s="24" t="str">
        <f t="shared" si="78"/>
        <v/>
      </c>
      <c r="MV65" s="24" t="str">
        <f t="shared" si="78"/>
        <v/>
      </c>
      <c r="MW65" s="24" t="str">
        <f t="shared" si="78"/>
        <v/>
      </c>
      <c r="MX65" s="24" t="str">
        <f t="shared" si="78"/>
        <v/>
      </c>
      <c r="MY65" s="24" t="str">
        <f t="shared" si="78"/>
        <v/>
      </c>
      <c r="MZ65" s="24" t="str">
        <f t="shared" si="78"/>
        <v/>
      </c>
      <c r="NA65" s="24" t="str">
        <f t="shared" si="78"/>
        <v/>
      </c>
      <c r="NB65" s="24" t="str">
        <f t="shared" si="78"/>
        <v/>
      </c>
      <c r="NC65" s="24" t="str">
        <f t="shared" si="78"/>
        <v/>
      </c>
      <c r="ND65" s="24" t="str">
        <f t="shared" si="78"/>
        <v/>
      </c>
      <c r="NE65" s="24" t="str">
        <f t="shared" si="78"/>
        <v/>
      </c>
      <c r="NF65" s="24" t="str">
        <f t="shared" si="78"/>
        <v/>
      </c>
      <c r="NG65" s="24" t="str">
        <f t="shared" si="78"/>
        <v/>
      </c>
      <c r="NH65" s="24" t="str">
        <f t="shared" si="78"/>
        <v/>
      </c>
      <c r="NI65" s="24" t="str">
        <f t="shared" si="78"/>
        <v/>
      </c>
      <c r="NJ65" s="24" t="str">
        <f t="shared" si="78"/>
        <v/>
      </c>
      <c r="NN65" s="1"/>
      <c r="NO65" s="1"/>
      <c r="NP65" s="1"/>
      <c r="NQ65" s="1"/>
      <c r="NR65" s="1"/>
      <c r="NS65" s="1"/>
      <c r="NT65" s="1"/>
      <c r="NU65" s="1"/>
      <c r="NV65" s="1"/>
      <c r="NW65" s="1"/>
      <c r="NX65" s="1"/>
      <c r="NY65" s="1"/>
      <c r="NZ65" s="1"/>
      <c r="OA65" s="1"/>
      <c r="OB65" s="1"/>
      <c r="OC65" s="1"/>
      <c r="OD65" s="1"/>
      <c r="OE65" s="1"/>
      <c r="OF65" s="1"/>
      <c r="OG65" s="1"/>
      <c r="OH65" s="1"/>
      <c r="OI65" s="1"/>
      <c r="OJ65" s="1"/>
      <c r="OK65" s="1"/>
    </row>
    <row r="66" spans="1:401" x14ac:dyDescent="0.3">
      <c r="A66" s="1"/>
      <c r="B66" s="1"/>
      <c r="C66" s="1"/>
      <c r="D66" s="1"/>
      <c r="E66" s="1"/>
      <c r="F66" s="1"/>
      <c r="G66" s="17"/>
      <c r="H66" s="17" t="s">
        <v>48</v>
      </c>
      <c r="I66" s="28"/>
      <c r="J66" s="25" t="str">
        <f>IF(ISERROR(J$59/J$55),"",J$59/J$55)</f>
        <v/>
      </c>
      <c r="K66" s="25" t="str">
        <f>IF(ISERROR(K$59/K$55),"",K$59/K$55)</f>
        <v/>
      </c>
      <c r="L66" s="25" t="str">
        <f t="shared" ref="L66:Q66" si="79">IF(ISERROR(L$59/L$55),"",L$59/L$55)</f>
        <v/>
      </c>
      <c r="M66" s="25" t="str">
        <f t="shared" si="79"/>
        <v/>
      </c>
      <c r="N66" s="25" t="str">
        <f t="shared" si="79"/>
        <v/>
      </c>
      <c r="O66" s="25" t="str">
        <f t="shared" si="79"/>
        <v/>
      </c>
      <c r="P66" s="25" t="str">
        <f t="shared" si="79"/>
        <v/>
      </c>
      <c r="Q66" s="25" t="str">
        <f t="shared" si="79"/>
        <v/>
      </c>
      <c r="R66" s="25">
        <f t="shared" ref="R66:AW66" si="80">IF(ISERROR(R$59/R$55),"",R$59/R$55)</f>
        <v>0</v>
      </c>
      <c r="S66" s="25">
        <f t="shared" si="80"/>
        <v>0</v>
      </c>
      <c r="T66" s="25">
        <f t="shared" si="80"/>
        <v>0</v>
      </c>
      <c r="U66" s="25">
        <f t="shared" si="80"/>
        <v>0</v>
      </c>
      <c r="V66" s="25">
        <f t="shared" si="80"/>
        <v>0</v>
      </c>
      <c r="W66" s="25" t="str">
        <f t="shared" si="80"/>
        <v/>
      </c>
      <c r="X66" s="25" t="str">
        <f t="shared" si="80"/>
        <v/>
      </c>
      <c r="Y66" s="25">
        <f t="shared" si="80"/>
        <v>0</v>
      </c>
      <c r="Z66" s="25">
        <f t="shared" si="80"/>
        <v>0</v>
      </c>
      <c r="AA66" s="25">
        <f t="shared" si="80"/>
        <v>0</v>
      </c>
      <c r="AB66" s="25">
        <f t="shared" si="80"/>
        <v>0</v>
      </c>
      <c r="AC66" s="25">
        <f t="shared" si="80"/>
        <v>0</v>
      </c>
      <c r="AD66" s="25" t="str">
        <f t="shared" si="80"/>
        <v/>
      </c>
      <c r="AE66" s="25" t="str">
        <f t="shared" si="80"/>
        <v/>
      </c>
      <c r="AF66" s="25">
        <f t="shared" si="80"/>
        <v>0</v>
      </c>
      <c r="AG66" s="25">
        <f t="shared" si="80"/>
        <v>0</v>
      </c>
      <c r="AH66" s="25">
        <f t="shared" si="80"/>
        <v>0</v>
      </c>
      <c r="AI66" s="25">
        <f t="shared" si="80"/>
        <v>0</v>
      </c>
      <c r="AJ66" s="25">
        <f t="shared" si="80"/>
        <v>0</v>
      </c>
      <c r="AK66" s="25" t="str">
        <f t="shared" si="80"/>
        <v/>
      </c>
      <c r="AL66" s="25" t="str">
        <f t="shared" si="80"/>
        <v/>
      </c>
      <c r="AM66" s="25">
        <f t="shared" si="80"/>
        <v>0</v>
      </c>
      <c r="AN66" s="25">
        <f t="shared" si="80"/>
        <v>0</v>
      </c>
      <c r="AO66" s="25">
        <f t="shared" si="80"/>
        <v>0</v>
      </c>
      <c r="AP66" s="25">
        <f t="shared" si="80"/>
        <v>0</v>
      </c>
      <c r="AQ66" s="25">
        <f t="shared" si="80"/>
        <v>0</v>
      </c>
      <c r="AR66" s="25" t="str">
        <f t="shared" si="80"/>
        <v/>
      </c>
      <c r="AS66" s="25" t="str">
        <f t="shared" si="80"/>
        <v/>
      </c>
      <c r="AT66" s="25">
        <f t="shared" si="80"/>
        <v>0</v>
      </c>
      <c r="AU66" s="25">
        <f t="shared" si="80"/>
        <v>0</v>
      </c>
      <c r="AV66" s="25">
        <f t="shared" si="80"/>
        <v>0</v>
      </c>
      <c r="AW66" s="25">
        <f t="shared" si="80"/>
        <v>0</v>
      </c>
      <c r="AX66" s="25">
        <f t="shared" ref="AX66:BV66" si="81">IF(ISERROR(AX$59/AX$55),"",AX$59/AX$55)</f>
        <v>0</v>
      </c>
      <c r="AY66" s="25" t="str">
        <f t="shared" si="81"/>
        <v/>
      </c>
      <c r="AZ66" s="25" t="str">
        <f t="shared" si="81"/>
        <v/>
      </c>
      <c r="BA66" s="25">
        <f t="shared" si="81"/>
        <v>0</v>
      </c>
      <c r="BB66" s="25">
        <f t="shared" si="81"/>
        <v>0</v>
      </c>
      <c r="BC66" s="25">
        <f t="shared" si="81"/>
        <v>0</v>
      </c>
      <c r="BD66" s="25">
        <f t="shared" si="81"/>
        <v>0</v>
      </c>
      <c r="BE66" s="25">
        <f t="shared" si="81"/>
        <v>0</v>
      </c>
      <c r="BF66" s="25" t="str">
        <f t="shared" si="81"/>
        <v/>
      </c>
      <c r="BG66" s="25" t="str">
        <f t="shared" si="81"/>
        <v/>
      </c>
      <c r="BH66" s="25">
        <f t="shared" si="81"/>
        <v>0</v>
      </c>
      <c r="BI66" s="25">
        <f t="shared" si="81"/>
        <v>0</v>
      </c>
      <c r="BJ66" s="25">
        <f t="shared" si="81"/>
        <v>0</v>
      </c>
      <c r="BK66" s="25">
        <f t="shared" si="81"/>
        <v>0</v>
      </c>
      <c r="BL66" s="25">
        <f t="shared" si="81"/>
        <v>0</v>
      </c>
      <c r="BM66" s="25" t="str">
        <f t="shared" si="81"/>
        <v/>
      </c>
      <c r="BN66" s="25" t="str">
        <f t="shared" si="81"/>
        <v/>
      </c>
      <c r="BO66" s="25">
        <f t="shared" si="81"/>
        <v>0</v>
      </c>
      <c r="BP66" s="25">
        <f t="shared" si="81"/>
        <v>0</v>
      </c>
      <c r="BQ66" s="25">
        <f t="shared" si="81"/>
        <v>0</v>
      </c>
      <c r="BR66" s="25">
        <f t="shared" si="81"/>
        <v>0</v>
      </c>
      <c r="BS66" s="25">
        <f t="shared" si="81"/>
        <v>0</v>
      </c>
      <c r="BT66" s="25" t="str">
        <f t="shared" si="81"/>
        <v/>
      </c>
      <c r="BU66" s="25" t="str">
        <f t="shared" si="81"/>
        <v/>
      </c>
      <c r="BV66" s="25">
        <f t="shared" si="81"/>
        <v>0</v>
      </c>
      <c r="BW66" s="25">
        <f t="shared" ref="BW66:EH66" si="82">IF(ISERROR(BW$59/BW$55),"",BW$59/BW$55)</f>
        <v>0</v>
      </c>
      <c r="BX66" s="25">
        <f t="shared" si="82"/>
        <v>0</v>
      </c>
      <c r="BY66" s="25">
        <f t="shared" si="82"/>
        <v>0</v>
      </c>
      <c r="BZ66" s="25">
        <f t="shared" si="82"/>
        <v>0</v>
      </c>
      <c r="CA66" s="25" t="str">
        <f t="shared" si="82"/>
        <v/>
      </c>
      <c r="CB66" s="25" t="str">
        <f t="shared" si="82"/>
        <v/>
      </c>
      <c r="CC66" s="25">
        <f t="shared" si="82"/>
        <v>0</v>
      </c>
      <c r="CD66" s="25">
        <f t="shared" si="82"/>
        <v>0</v>
      </c>
      <c r="CE66" s="25">
        <f t="shared" si="82"/>
        <v>0</v>
      </c>
      <c r="CF66" s="25">
        <f t="shared" si="82"/>
        <v>0</v>
      </c>
      <c r="CG66" s="25">
        <f t="shared" si="82"/>
        <v>0</v>
      </c>
      <c r="CH66" s="25" t="str">
        <f t="shared" si="82"/>
        <v/>
      </c>
      <c r="CI66" s="25" t="str">
        <f t="shared" si="82"/>
        <v/>
      </c>
      <c r="CJ66" s="25">
        <f t="shared" si="82"/>
        <v>0</v>
      </c>
      <c r="CK66" s="25">
        <f t="shared" si="82"/>
        <v>0</v>
      </c>
      <c r="CL66" s="25">
        <f t="shared" si="82"/>
        <v>0</v>
      </c>
      <c r="CM66" s="25">
        <f t="shared" si="82"/>
        <v>0</v>
      </c>
      <c r="CN66" s="25">
        <f t="shared" si="82"/>
        <v>0</v>
      </c>
      <c r="CO66" s="25" t="str">
        <f t="shared" si="82"/>
        <v/>
      </c>
      <c r="CP66" s="25" t="str">
        <f t="shared" si="82"/>
        <v/>
      </c>
      <c r="CQ66" s="25">
        <f t="shared" si="82"/>
        <v>0</v>
      </c>
      <c r="CR66" s="25">
        <f t="shared" si="82"/>
        <v>0</v>
      </c>
      <c r="CS66" s="25">
        <f t="shared" si="82"/>
        <v>0</v>
      </c>
      <c r="CT66" s="25">
        <f t="shared" si="82"/>
        <v>0</v>
      </c>
      <c r="CU66" s="25">
        <f t="shared" si="82"/>
        <v>0</v>
      </c>
      <c r="CV66" s="25" t="str">
        <f t="shared" si="82"/>
        <v/>
      </c>
      <c r="CW66" s="25" t="str">
        <f t="shared" si="82"/>
        <v/>
      </c>
      <c r="CX66" s="25" t="str">
        <f t="shared" si="82"/>
        <v/>
      </c>
      <c r="CY66" s="25" t="str">
        <f t="shared" si="82"/>
        <v/>
      </c>
      <c r="CZ66" s="25" t="str">
        <f t="shared" si="82"/>
        <v/>
      </c>
      <c r="DA66" s="25" t="str">
        <f t="shared" si="82"/>
        <v/>
      </c>
      <c r="DB66" s="25" t="str">
        <f t="shared" si="82"/>
        <v/>
      </c>
      <c r="DC66" s="25" t="str">
        <f t="shared" si="82"/>
        <v/>
      </c>
      <c r="DD66" s="25" t="str">
        <f t="shared" si="82"/>
        <v/>
      </c>
      <c r="DE66" s="25">
        <f t="shared" si="82"/>
        <v>0</v>
      </c>
      <c r="DF66" s="25">
        <f t="shared" si="82"/>
        <v>0</v>
      </c>
      <c r="DG66" s="25">
        <f t="shared" si="82"/>
        <v>0</v>
      </c>
      <c r="DH66" s="25">
        <f t="shared" si="82"/>
        <v>0</v>
      </c>
      <c r="DI66" s="25">
        <f t="shared" si="82"/>
        <v>0</v>
      </c>
      <c r="DJ66" s="25" t="str">
        <f t="shared" si="82"/>
        <v/>
      </c>
      <c r="DK66" s="25" t="str">
        <f t="shared" si="82"/>
        <v/>
      </c>
      <c r="DL66" s="25">
        <f t="shared" si="82"/>
        <v>0</v>
      </c>
      <c r="DM66" s="25">
        <f t="shared" si="82"/>
        <v>0</v>
      </c>
      <c r="DN66" s="25">
        <f t="shared" si="82"/>
        <v>0</v>
      </c>
      <c r="DO66" s="25">
        <f t="shared" si="82"/>
        <v>0</v>
      </c>
      <c r="DP66" s="25">
        <f t="shared" si="82"/>
        <v>0</v>
      </c>
      <c r="DQ66" s="25" t="str">
        <f t="shared" si="82"/>
        <v/>
      </c>
      <c r="DR66" s="25" t="str">
        <f t="shared" si="82"/>
        <v/>
      </c>
      <c r="DS66" s="25" t="str">
        <f t="shared" si="82"/>
        <v/>
      </c>
      <c r="DT66" s="25" t="str">
        <f t="shared" si="82"/>
        <v/>
      </c>
      <c r="DU66" s="25" t="str">
        <f t="shared" si="82"/>
        <v/>
      </c>
      <c r="DV66" s="25" t="str">
        <f t="shared" si="82"/>
        <v/>
      </c>
      <c r="DW66" s="25" t="str">
        <f t="shared" si="82"/>
        <v/>
      </c>
      <c r="DX66" s="25" t="str">
        <f t="shared" si="82"/>
        <v/>
      </c>
      <c r="DY66" s="25" t="str">
        <f t="shared" si="82"/>
        <v/>
      </c>
      <c r="DZ66" s="25" t="str">
        <f t="shared" si="82"/>
        <v/>
      </c>
      <c r="EA66" s="25" t="str">
        <f t="shared" si="82"/>
        <v/>
      </c>
      <c r="EB66" s="25" t="str">
        <f t="shared" si="82"/>
        <v/>
      </c>
      <c r="EC66" s="25" t="str">
        <f t="shared" si="82"/>
        <v/>
      </c>
      <c r="ED66" s="25" t="str">
        <f t="shared" si="82"/>
        <v/>
      </c>
      <c r="EE66" s="25" t="str">
        <f t="shared" si="82"/>
        <v/>
      </c>
      <c r="EF66" s="25" t="str">
        <f t="shared" si="82"/>
        <v/>
      </c>
      <c r="EG66" s="25" t="str">
        <f t="shared" si="82"/>
        <v/>
      </c>
      <c r="EH66" s="25" t="str">
        <f t="shared" si="82"/>
        <v/>
      </c>
      <c r="EI66" s="25" t="str">
        <f t="shared" ref="EI66:GT66" si="83">IF(ISERROR(EI$59/EI$55),"",EI$59/EI$55)</f>
        <v/>
      </c>
      <c r="EJ66" s="25" t="str">
        <f t="shared" si="83"/>
        <v/>
      </c>
      <c r="EK66" s="25" t="str">
        <f t="shared" si="83"/>
        <v/>
      </c>
      <c r="EL66" s="25" t="str">
        <f t="shared" si="83"/>
        <v/>
      </c>
      <c r="EM66" s="25" t="str">
        <f t="shared" si="83"/>
        <v/>
      </c>
      <c r="EN66" s="25" t="str">
        <f t="shared" si="83"/>
        <v/>
      </c>
      <c r="EO66" s="25" t="str">
        <f t="shared" si="83"/>
        <v/>
      </c>
      <c r="EP66" s="25" t="str">
        <f t="shared" si="83"/>
        <v/>
      </c>
      <c r="EQ66" s="25" t="str">
        <f t="shared" si="83"/>
        <v/>
      </c>
      <c r="ER66" s="25" t="str">
        <f t="shared" si="83"/>
        <v/>
      </c>
      <c r="ES66" s="25" t="str">
        <f t="shared" si="83"/>
        <v/>
      </c>
      <c r="ET66" s="25" t="str">
        <f t="shared" si="83"/>
        <v/>
      </c>
      <c r="EU66" s="25" t="str">
        <f t="shared" si="83"/>
        <v/>
      </c>
      <c r="EV66" s="25" t="str">
        <f t="shared" si="83"/>
        <v/>
      </c>
      <c r="EW66" s="25" t="str">
        <f t="shared" si="83"/>
        <v/>
      </c>
      <c r="EX66" s="25" t="str">
        <f t="shared" si="83"/>
        <v/>
      </c>
      <c r="EY66" s="25" t="str">
        <f t="shared" si="83"/>
        <v/>
      </c>
      <c r="EZ66" s="25" t="str">
        <f t="shared" si="83"/>
        <v/>
      </c>
      <c r="FA66" s="25" t="str">
        <f t="shared" si="83"/>
        <v/>
      </c>
      <c r="FB66" s="25" t="str">
        <f t="shared" si="83"/>
        <v/>
      </c>
      <c r="FC66" s="25" t="str">
        <f t="shared" si="83"/>
        <v/>
      </c>
      <c r="FD66" s="25" t="str">
        <f t="shared" si="83"/>
        <v/>
      </c>
      <c r="FE66" s="25" t="str">
        <f t="shared" si="83"/>
        <v/>
      </c>
      <c r="FF66" s="25" t="str">
        <f t="shared" si="83"/>
        <v/>
      </c>
      <c r="FG66" s="25" t="str">
        <f t="shared" si="83"/>
        <v/>
      </c>
      <c r="FH66" s="25" t="str">
        <f t="shared" si="83"/>
        <v/>
      </c>
      <c r="FI66" s="25" t="str">
        <f t="shared" si="83"/>
        <v/>
      </c>
      <c r="FJ66" s="25" t="str">
        <f t="shared" si="83"/>
        <v/>
      </c>
      <c r="FK66" s="25" t="str">
        <f t="shared" si="83"/>
        <v/>
      </c>
      <c r="FL66" s="25" t="str">
        <f t="shared" si="83"/>
        <v/>
      </c>
      <c r="FM66" s="25" t="str">
        <f t="shared" si="83"/>
        <v/>
      </c>
      <c r="FN66" s="25" t="str">
        <f t="shared" si="83"/>
        <v/>
      </c>
      <c r="FO66" s="25" t="str">
        <f t="shared" si="83"/>
        <v/>
      </c>
      <c r="FP66" s="25" t="str">
        <f t="shared" si="83"/>
        <v/>
      </c>
      <c r="FQ66" s="25" t="str">
        <f t="shared" si="83"/>
        <v/>
      </c>
      <c r="FR66" s="25" t="str">
        <f t="shared" si="83"/>
        <v/>
      </c>
      <c r="FS66" s="25" t="str">
        <f t="shared" si="83"/>
        <v/>
      </c>
      <c r="FT66" s="25" t="str">
        <f t="shared" si="83"/>
        <v/>
      </c>
      <c r="FU66" s="25" t="str">
        <f t="shared" si="83"/>
        <v/>
      </c>
      <c r="FV66" s="25" t="str">
        <f t="shared" si="83"/>
        <v/>
      </c>
      <c r="FW66" s="25" t="str">
        <f t="shared" si="83"/>
        <v/>
      </c>
      <c r="FX66" s="25" t="str">
        <f t="shared" si="83"/>
        <v/>
      </c>
      <c r="FY66" s="25" t="str">
        <f t="shared" si="83"/>
        <v/>
      </c>
      <c r="FZ66" s="25" t="str">
        <f t="shared" si="83"/>
        <v/>
      </c>
      <c r="GA66" s="25" t="str">
        <f t="shared" si="83"/>
        <v/>
      </c>
      <c r="GB66" s="25" t="str">
        <f t="shared" si="83"/>
        <v/>
      </c>
      <c r="GC66" s="25" t="str">
        <f t="shared" si="83"/>
        <v/>
      </c>
      <c r="GD66" s="25" t="str">
        <f t="shared" si="83"/>
        <v/>
      </c>
      <c r="GE66" s="25" t="str">
        <f t="shared" si="83"/>
        <v/>
      </c>
      <c r="GF66" s="25" t="str">
        <f t="shared" si="83"/>
        <v/>
      </c>
      <c r="GG66" s="25" t="str">
        <f t="shared" si="83"/>
        <v/>
      </c>
      <c r="GH66" s="25" t="str">
        <f t="shared" si="83"/>
        <v/>
      </c>
      <c r="GI66" s="25" t="str">
        <f t="shared" si="83"/>
        <v/>
      </c>
      <c r="GJ66" s="25" t="str">
        <f t="shared" si="83"/>
        <v/>
      </c>
      <c r="GK66" s="25" t="str">
        <f t="shared" si="83"/>
        <v/>
      </c>
      <c r="GL66" s="25" t="str">
        <f t="shared" si="83"/>
        <v/>
      </c>
      <c r="GM66" s="25" t="str">
        <f t="shared" si="83"/>
        <v/>
      </c>
      <c r="GN66" s="25" t="str">
        <f t="shared" si="83"/>
        <v/>
      </c>
      <c r="GO66" s="25" t="str">
        <f t="shared" si="83"/>
        <v/>
      </c>
      <c r="GP66" s="25" t="str">
        <f t="shared" si="83"/>
        <v/>
      </c>
      <c r="GQ66" s="25" t="str">
        <f t="shared" si="83"/>
        <v/>
      </c>
      <c r="GR66" s="25" t="str">
        <f t="shared" si="83"/>
        <v/>
      </c>
      <c r="GS66" s="25" t="str">
        <f t="shared" si="83"/>
        <v/>
      </c>
      <c r="GT66" s="25" t="str">
        <f t="shared" si="83"/>
        <v/>
      </c>
      <c r="GU66" s="25" t="str">
        <f t="shared" ref="GU66:JF66" si="84">IF(ISERROR(GU$59/GU$55),"",GU$59/GU$55)</f>
        <v/>
      </c>
      <c r="GV66" s="25" t="str">
        <f t="shared" si="84"/>
        <v/>
      </c>
      <c r="GW66" s="25" t="str">
        <f t="shared" si="84"/>
        <v/>
      </c>
      <c r="GX66" s="25" t="str">
        <f t="shared" si="84"/>
        <v/>
      </c>
      <c r="GY66" s="25" t="str">
        <f t="shared" si="84"/>
        <v/>
      </c>
      <c r="GZ66" s="25" t="str">
        <f t="shared" si="84"/>
        <v/>
      </c>
      <c r="HA66" s="25" t="str">
        <f t="shared" si="84"/>
        <v/>
      </c>
      <c r="HB66" s="25" t="str">
        <f t="shared" si="84"/>
        <v/>
      </c>
      <c r="HC66" s="25" t="str">
        <f t="shared" si="84"/>
        <v/>
      </c>
      <c r="HD66" s="25" t="str">
        <f t="shared" si="84"/>
        <v/>
      </c>
      <c r="HE66" s="25" t="str">
        <f t="shared" si="84"/>
        <v/>
      </c>
      <c r="HF66" s="25" t="str">
        <f t="shared" si="84"/>
        <v/>
      </c>
      <c r="HG66" s="25" t="str">
        <f t="shared" si="84"/>
        <v/>
      </c>
      <c r="HH66" s="25" t="str">
        <f t="shared" si="84"/>
        <v/>
      </c>
      <c r="HI66" s="25" t="str">
        <f t="shared" si="84"/>
        <v/>
      </c>
      <c r="HJ66" s="25" t="str">
        <f t="shared" si="84"/>
        <v/>
      </c>
      <c r="HK66" s="25" t="str">
        <f t="shared" si="84"/>
        <v/>
      </c>
      <c r="HL66" s="25" t="str">
        <f t="shared" si="84"/>
        <v/>
      </c>
      <c r="HM66" s="25" t="str">
        <f t="shared" si="84"/>
        <v/>
      </c>
      <c r="HN66" s="25" t="str">
        <f t="shared" si="84"/>
        <v/>
      </c>
      <c r="HO66" s="25" t="str">
        <f t="shared" si="84"/>
        <v/>
      </c>
      <c r="HP66" s="25" t="str">
        <f t="shared" si="84"/>
        <v/>
      </c>
      <c r="HQ66" s="25" t="str">
        <f t="shared" si="84"/>
        <v/>
      </c>
      <c r="HR66" s="25" t="str">
        <f t="shared" si="84"/>
        <v/>
      </c>
      <c r="HS66" s="25" t="str">
        <f t="shared" si="84"/>
        <v/>
      </c>
      <c r="HT66" s="25">
        <f t="shared" si="84"/>
        <v>0</v>
      </c>
      <c r="HU66" s="25" t="str">
        <f t="shared" si="84"/>
        <v/>
      </c>
      <c r="HV66" s="25" t="str">
        <f t="shared" si="84"/>
        <v/>
      </c>
      <c r="HW66" s="25" t="str">
        <f t="shared" si="84"/>
        <v/>
      </c>
      <c r="HX66" s="25" t="str">
        <f t="shared" si="84"/>
        <v/>
      </c>
      <c r="HY66" s="25" t="str">
        <f t="shared" si="84"/>
        <v/>
      </c>
      <c r="HZ66" s="25" t="str">
        <f t="shared" si="84"/>
        <v/>
      </c>
      <c r="IA66" s="25" t="str">
        <f t="shared" si="84"/>
        <v/>
      </c>
      <c r="IB66" s="25" t="str">
        <f t="shared" si="84"/>
        <v/>
      </c>
      <c r="IC66" s="25" t="str">
        <f t="shared" si="84"/>
        <v/>
      </c>
      <c r="ID66" s="25" t="str">
        <f t="shared" si="84"/>
        <v/>
      </c>
      <c r="IE66" s="25" t="str">
        <f t="shared" si="84"/>
        <v/>
      </c>
      <c r="IF66" s="25" t="str">
        <f t="shared" si="84"/>
        <v/>
      </c>
      <c r="IG66" s="25" t="str">
        <f t="shared" si="84"/>
        <v/>
      </c>
      <c r="IH66" s="25" t="str">
        <f t="shared" si="84"/>
        <v/>
      </c>
      <c r="II66" s="25" t="str">
        <f t="shared" si="84"/>
        <v/>
      </c>
      <c r="IJ66" s="25" t="str">
        <f t="shared" si="84"/>
        <v/>
      </c>
      <c r="IK66" s="25" t="str">
        <f t="shared" si="84"/>
        <v/>
      </c>
      <c r="IL66" s="25" t="str">
        <f t="shared" si="84"/>
        <v/>
      </c>
      <c r="IM66" s="25" t="str">
        <f t="shared" si="84"/>
        <v/>
      </c>
      <c r="IN66" s="25" t="str">
        <f t="shared" si="84"/>
        <v/>
      </c>
      <c r="IO66" s="25" t="str">
        <f t="shared" si="84"/>
        <v/>
      </c>
      <c r="IP66" s="25" t="str">
        <f t="shared" si="84"/>
        <v/>
      </c>
      <c r="IQ66" s="25" t="str">
        <f t="shared" si="84"/>
        <v/>
      </c>
      <c r="IR66" s="25" t="str">
        <f t="shared" si="84"/>
        <v/>
      </c>
      <c r="IS66" s="25" t="str">
        <f t="shared" si="84"/>
        <v/>
      </c>
      <c r="IT66" s="25" t="str">
        <f t="shared" si="84"/>
        <v/>
      </c>
      <c r="IU66" s="25" t="str">
        <f t="shared" si="84"/>
        <v/>
      </c>
      <c r="IV66" s="25" t="str">
        <f t="shared" si="84"/>
        <v/>
      </c>
      <c r="IW66" s="25" t="str">
        <f t="shared" si="84"/>
        <v/>
      </c>
      <c r="IX66" s="25" t="str">
        <f t="shared" si="84"/>
        <v/>
      </c>
      <c r="IY66" s="25" t="str">
        <f t="shared" si="84"/>
        <v/>
      </c>
      <c r="IZ66" s="25" t="str">
        <f t="shared" si="84"/>
        <v/>
      </c>
      <c r="JA66" s="25" t="str">
        <f t="shared" si="84"/>
        <v/>
      </c>
      <c r="JB66" s="25" t="str">
        <f t="shared" si="84"/>
        <v/>
      </c>
      <c r="JC66" s="25" t="str">
        <f t="shared" si="84"/>
        <v/>
      </c>
      <c r="JD66" s="25" t="str">
        <f t="shared" si="84"/>
        <v/>
      </c>
      <c r="JE66" s="25" t="str">
        <f t="shared" si="84"/>
        <v/>
      </c>
      <c r="JF66" s="25" t="str">
        <f t="shared" si="84"/>
        <v/>
      </c>
      <c r="JG66" s="25" t="str">
        <f t="shared" ref="JG66:LR66" si="85">IF(ISERROR(JG$59/JG$55),"",JG$59/JG$55)</f>
        <v/>
      </c>
      <c r="JH66" s="25" t="str">
        <f t="shared" si="85"/>
        <v/>
      </c>
      <c r="JI66" s="25" t="str">
        <f t="shared" si="85"/>
        <v/>
      </c>
      <c r="JJ66" s="25" t="str">
        <f t="shared" si="85"/>
        <v/>
      </c>
      <c r="JK66" s="25" t="str">
        <f t="shared" si="85"/>
        <v/>
      </c>
      <c r="JL66" s="25" t="str">
        <f t="shared" si="85"/>
        <v/>
      </c>
      <c r="JM66" s="25" t="str">
        <f t="shared" si="85"/>
        <v/>
      </c>
      <c r="JN66" s="25" t="str">
        <f t="shared" si="85"/>
        <v/>
      </c>
      <c r="JO66" s="25" t="str">
        <f t="shared" si="85"/>
        <v/>
      </c>
      <c r="JP66" s="25" t="str">
        <f t="shared" si="85"/>
        <v/>
      </c>
      <c r="JQ66" s="25" t="str">
        <f t="shared" si="85"/>
        <v/>
      </c>
      <c r="JR66" s="25" t="str">
        <f t="shared" si="85"/>
        <v/>
      </c>
      <c r="JS66" s="25" t="str">
        <f t="shared" si="85"/>
        <v/>
      </c>
      <c r="JT66" s="25" t="str">
        <f t="shared" si="85"/>
        <v/>
      </c>
      <c r="JU66" s="25" t="str">
        <f t="shared" si="85"/>
        <v/>
      </c>
      <c r="JV66" s="25" t="str">
        <f t="shared" si="85"/>
        <v/>
      </c>
      <c r="JW66" s="25" t="str">
        <f t="shared" si="85"/>
        <v/>
      </c>
      <c r="JX66" s="25" t="str">
        <f t="shared" si="85"/>
        <v/>
      </c>
      <c r="JY66" s="25" t="str">
        <f t="shared" si="85"/>
        <v/>
      </c>
      <c r="JZ66" s="25" t="str">
        <f t="shared" si="85"/>
        <v/>
      </c>
      <c r="KA66" s="25" t="str">
        <f t="shared" si="85"/>
        <v/>
      </c>
      <c r="KB66" s="25" t="str">
        <f t="shared" si="85"/>
        <v/>
      </c>
      <c r="KC66" s="25" t="str">
        <f t="shared" si="85"/>
        <v/>
      </c>
      <c r="KD66" s="25" t="str">
        <f t="shared" si="85"/>
        <v/>
      </c>
      <c r="KE66" s="25" t="str">
        <f t="shared" si="85"/>
        <v/>
      </c>
      <c r="KF66" s="25" t="str">
        <f t="shared" si="85"/>
        <v/>
      </c>
      <c r="KG66" s="25" t="str">
        <f t="shared" si="85"/>
        <v/>
      </c>
      <c r="KH66" s="25" t="str">
        <f t="shared" si="85"/>
        <v/>
      </c>
      <c r="KI66" s="25" t="str">
        <f t="shared" si="85"/>
        <v/>
      </c>
      <c r="KJ66" s="25" t="str">
        <f t="shared" si="85"/>
        <v/>
      </c>
      <c r="KK66" s="25" t="str">
        <f t="shared" si="85"/>
        <v/>
      </c>
      <c r="KL66" s="25" t="str">
        <f t="shared" si="85"/>
        <v/>
      </c>
      <c r="KM66" s="25" t="str">
        <f t="shared" si="85"/>
        <v/>
      </c>
      <c r="KN66" s="25" t="str">
        <f t="shared" si="85"/>
        <v/>
      </c>
      <c r="KO66" s="25" t="str">
        <f t="shared" si="85"/>
        <v/>
      </c>
      <c r="KP66" s="25" t="str">
        <f t="shared" si="85"/>
        <v/>
      </c>
      <c r="KQ66" s="25" t="str">
        <f t="shared" si="85"/>
        <v/>
      </c>
      <c r="KR66" s="25" t="str">
        <f t="shared" si="85"/>
        <v/>
      </c>
      <c r="KS66" s="25" t="str">
        <f t="shared" si="85"/>
        <v/>
      </c>
      <c r="KT66" s="25" t="str">
        <f t="shared" si="85"/>
        <v/>
      </c>
      <c r="KU66" s="25" t="str">
        <f t="shared" si="85"/>
        <v/>
      </c>
      <c r="KV66" s="25" t="str">
        <f t="shared" si="85"/>
        <v/>
      </c>
      <c r="KW66" s="25" t="str">
        <f t="shared" si="85"/>
        <v/>
      </c>
      <c r="KX66" s="25" t="str">
        <f t="shared" si="85"/>
        <v/>
      </c>
      <c r="KY66" s="25" t="str">
        <f t="shared" si="85"/>
        <v/>
      </c>
      <c r="KZ66" s="25" t="str">
        <f t="shared" si="85"/>
        <v/>
      </c>
      <c r="LA66" s="25" t="str">
        <f t="shared" si="85"/>
        <v/>
      </c>
      <c r="LB66" s="25" t="str">
        <f t="shared" si="85"/>
        <v/>
      </c>
      <c r="LC66" s="25" t="str">
        <f t="shared" si="85"/>
        <v/>
      </c>
      <c r="LD66" s="25" t="str">
        <f t="shared" si="85"/>
        <v/>
      </c>
      <c r="LE66" s="25" t="str">
        <f t="shared" si="85"/>
        <v/>
      </c>
      <c r="LF66" s="25" t="str">
        <f t="shared" si="85"/>
        <v/>
      </c>
      <c r="LG66" s="25" t="str">
        <f t="shared" si="85"/>
        <v/>
      </c>
      <c r="LH66" s="25" t="str">
        <f t="shared" si="85"/>
        <v/>
      </c>
      <c r="LI66" s="25" t="str">
        <f t="shared" si="85"/>
        <v/>
      </c>
      <c r="LJ66" s="25" t="str">
        <f t="shared" si="85"/>
        <v/>
      </c>
      <c r="LK66" s="25" t="str">
        <f t="shared" si="85"/>
        <v/>
      </c>
      <c r="LL66" s="25" t="str">
        <f t="shared" si="85"/>
        <v/>
      </c>
      <c r="LM66" s="25" t="str">
        <f t="shared" si="85"/>
        <v/>
      </c>
      <c r="LN66" s="25" t="str">
        <f t="shared" si="85"/>
        <v/>
      </c>
      <c r="LO66" s="25" t="str">
        <f t="shared" si="85"/>
        <v/>
      </c>
      <c r="LP66" s="25" t="str">
        <f t="shared" si="85"/>
        <v/>
      </c>
      <c r="LQ66" s="25" t="str">
        <f t="shared" si="85"/>
        <v/>
      </c>
      <c r="LR66" s="25" t="str">
        <f t="shared" si="85"/>
        <v/>
      </c>
      <c r="LS66" s="25" t="str">
        <f t="shared" ref="LS66:NJ66" si="86">IF(ISERROR(LS$59/LS$55),"",LS$59/LS$55)</f>
        <v/>
      </c>
      <c r="LT66" s="25" t="str">
        <f t="shared" si="86"/>
        <v/>
      </c>
      <c r="LU66" s="25" t="str">
        <f t="shared" si="86"/>
        <v/>
      </c>
      <c r="LV66" s="25" t="str">
        <f t="shared" si="86"/>
        <v/>
      </c>
      <c r="LW66" s="25" t="str">
        <f t="shared" si="86"/>
        <v/>
      </c>
      <c r="LX66" s="25" t="str">
        <f t="shared" si="86"/>
        <v/>
      </c>
      <c r="LY66" s="25" t="str">
        <f t="shared" si="86"/>
        <v/>
      </c>
      <c r="LZ66" s="25" t="str">
        <f t="shared" si="86"/>
        <v/>
      </c>
      <c r="MA66" s="25" t="str">
        <f t="shared" si="86"/>
        <v/>
      </c>
      <c r="MB66" s="25" t="str">
        <f t="shared" si="86"/>
        <v/>
      </c>
      <c r="MC66" s="25" t="str">
        <f t="shared" si="86"/>
        <v/>
      </c>
      <c r="MD66" s="25" t="str">
        <f t="shared" si="86"/>
        <v/>
      </c>
      <c r="ME66" s="25" t="str">
        <f t="shared" si="86"/>
        <v/>
      </c>
      <c r="MF66" s="25" t="str">
        <f t="shared" si="86"/>
        <v/>
      </c>
      <c r="MG66" s="25" t="str">
        <f t="shared" si="86"/>
        <v/>
      </c>
      <c r="MH66" s="25" t="str">
        <f t="shared" si="86"/>
        <v/>
      </c>
      <c r="MI66" s="25" t="str">
        <f t="shared" si="86"/>
        <v/>
      </c>
      <c r="MJ66" s="25" t="str">
        <f t="shared" si="86"/>
        <v/>
      </c>
      <c r="MK66" s="25" t="str">
        <f t="shared" si="86"/>
        <v/>
      </c>
      <c r="ML66" s="25" t="str">
        <f t="shared" si="86"/>
        <v/>
      </c>
      <c r="MM66" s="25" t="str">
        <f t="shared" si="86"/>
        <v/>
      </c>
      <c r="MN66" s="25" t="str">
        <f t="shared" si="86"/>
        <v/>
      </c>
      <c r="MO66" s="25" t="str">
        <f t="shared" si="86"/>
        <v/>
      </c>
      <c r="MP66" s="25" t="str">
        <f t="shared" si="86"/>
        <v/>
      </c>
      <c r="MQ66" s="25" t="str">
        <f t="shared" si="86"/>
        <v/>
      </c>
      <c r="MR66" s="25" t="str">
        <f t="shared" si="86"/>
        <v/>
      </c>
      <c r="MS66" s="25" t="str">
        <f t="shared" si="86"/>
        <v/>
      </c>
      <c r="MT66" s="25" t="str">
        <f t="shared" si="86"/>
        <v/>
      </c>
      <c r="MU66" s="25" t="str">
        <f t="shared" si="86"/>
        <v/>
      </c>
      <c r="MV66" s="25" t="str">
        <f t="shared" si="86"/>
        <v/>
      </c>
      <c r="MW66" s="25" t="str">
        <f t="shared" si="86"/>
        <v/>
      </c>
      <c r="MX66" s="25" t="str">
        <f t="shared" si="86"/>
        <v/>
      </c>
      <c r="MY66" s="25" t="str">
        <f t="shared" si="86"/>
        <v/>
      </c>
      <c r="MZ66" s="25" t="str">
        <f t="shared" si="86"/>
        <v/>
      </c>
      <c r="NA66" s="25" t="str">
        <f t="shared" si="86"/>
        <v/>
      </c>
      <c r="NB66" s="25" t="str">
        <f t="shared" si="86"/>
        <v/>
      </c>
      <c r="NC66" s="25" t="str">
        <f t="shared" si="86"/>
        <v/>
      </c>
      <c r="ND66" s="25" t="str">
        <f t="shared" si="86"/>
        <v/>
      </c>
      <c r="NE66" s="25" t="str">
        <f t="shared" si="86"/>
        <v/>
      </c>
      <c r="NF66" s="25" t="str">
        <f t="shared" si="86"/>
        <v/>
      </c>
      <c r="NG66" s="25" t="str">
        <f t="shared" si="86"/>
        <v/>
      </c>
      <c r="NH66" s="25" t="str">
        <f t="shared" si="86"/>
        <v/>
      </c>
      <c r="NI66" s="25" t="str">
        <f t="shared" si="86"/>
        <v/>
      </c>
      <c r="NJ66" s="25" t="str">
        <f t="shared" si="86"/>
        <v/>
      </c>
      <c r="NN66" s="1"/>
      <c r="NO66" s="1"/>
      <c r="NP66" s="1"/>
      <c r="NQ66" s="1"/>
      <c r="NR66" s="1"/>
      <c r="NS66" s="1"/>
      <c r="NT66" s="1"/>
      <c r="NU66" s="1"/>
      <c r="NV66" s="1"/>
      <c r="NW66" s="1"/>
      <c r="NX66" s="1"/>
      <c r="NY66" s="1"/>
      <c r="NZ66" s="1"/>
      <c r="OA66" s="1"/>
      <c r="OB66" s="1"/>
      <c r="OC66" s="1"/>
      <c r="OD66" s="1"/>
      <c r="OE66" s="1"/>
      <c r="OF66" s="1"/>
      <c r="OG66" s="1"/>
      <c r="OH66" s="1"/>
      <c r="OI66" s="1"/>
      <c r="OJ66" s="1"/>
      <c r="OK66" s="1"/>
    </row>
    <row r="67" spans="1:401" x14ac:dyDescent="0.3">
      <c r="A67" s="1"/>
      <c r="B67" s="1"/>
      <c r="C67" s="1"/>
      <c r="D67" s="1"/>
      <c r="E67" s="1"/>
      <c r="F67" s="1"/>
      <c r="G67" s="1"/>
      <c r="I67" s="28"/>
      <c r="J67" s="26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2"/>
      <c r="AP67" s="22"/>
      <c r="AQ67" s="22"/>
      <c r="AR67" s="22"/>
      <c r="AS67" s="22"/>
      <c r="AT67" s="22"/>
      <c r="AU67" s="22"/>
      <c r="AV67" s="22"/>
      <c r="AW67" s="22"/>
      <c r="AX67" s="22"/>
      <c r="AY67" s="22"/>
      <c r="AZ67" s="22"/>
      <c r="BA67" s="22"/>
      <c r="BB67" s="22"/>
      <c r="BC67" s="22"/>
      <c r="BD67" s="22"/>
      <c r="BE67" s="22"/>
      <c r="BF67" s="22"/>
      <c r="BG67" s="22"/>
      <c r="BH67" s="22"/>
      <c r="BI67" s="22"/>
      <c r="BJ67" s="22"/>
      <c r="BK67" s="22"/>
      <c r="BL67" s="22"/>
      <c r="BM67" s="22"/>
      <c r="BN67" s="22"/>
      <c r="BO67" s="22"/>
      <c r="BP67" s="22"/>
      <c r="BQ67" s="22"/>
      <c r="BR67" s="22"/>
      <c r="BS67" s="22"/>
      <c r="BT67" s="22"/>
      <c r="BU67" s="22"/>
      <c r="BV67" s="22"/>
      <c r="BW67" s="22"/>
      <c r="BX67" s="22"/>
      <c r="BY67" s="22"/>
      <c r="BZ67" s="22"/>
      <c r="CA67" s="22"/>
      <c r="CB67" s="22"/>
      <c r="CC67" s="22"/>
      <c r="CD67" s="22"/>
      <c r="CE67" s="22"/>
      <c r="CF67" s="22"/>
      <c r="CG67" s="22"/>
      <c r="CH67" s="22"/>
      <c r="CI67" s="22"/>
      <c r="CJ67" s="22"/>
      <c r="CK67" s="22"/>
      <c r="CL67" s="22"/>
      <c r="CM67" s="22"/>
      <c r="CN67" s="22"/>
      <c r="CO67" s="22"/>
      <c r="CP67" s="22"/>
      <c r="CQ67" s="22"/>
      <c r="CR67" s="22"/>
      <c r="CS67" s="22"/>
      <c r="CT67" s="22"/>
      <c r="CU67" s="22"/>
      <c r="CV67" s="22"/>
      <c r="CW67" s="22"/>
      <c r="CX67" s="22"/>
      <c r="CY67" s="22"/>
      <c r="CZ67" s="22"/>
      <c r="DA67" s="22"/>
      <c r="DB67" s="22"/>
      <c r="DC67" s="22"/>
      <c r="DD67" s="22"/>
      <c r="DE67" s="22"/>
      <c r="DF67" s="22"/>
      <c r="DG67" s="22"/>
      <c r="DH67" s="22"/>
      <c r="DI67" s="22"/>
      <c r="DJ67" s="22"/>
      <c r="DK67" s="22"/>
      <c r="DL67" s="22"/>
      <c r="DM67" s="22"/>
      <c r="DN67" s="22"/>
      <c r="DO67" s="22"/>
      <c r="DP67" s="22"/>
      <c r="DQ67" s="22"/>
      <c r="DR67" s="22"/>
      <c r="DS67" s="22"/>
      <c r="DT67" s="22"/>
      <c r="DU67" s="22"/>
      <c r="DV67" s="22"/>
      <c r="DW67" s="22"/>
      <c r="DX67" s="22"/>
      <c r="DY67" s="22"/>
      <c r="DZ67" s="22"/>
      <c r="EA67" s="22"/>
      <c r="EB67" s="22"/>
      <c r="EC67" s="22"/>
      <c r="ED67" s="22"/>
      <c r="EE67" s="22"/>
      <c r="EF67" s="22"/>
      <c r="EG67" s="22"/>
      <c r="EH67" s="22"/>
      <c r="EI67" s="22"/>
      <c r="EJ67" s="22"/>
      <c r="EK67" s="22"/>
      <c r="EL67" s="22"/>
      <c r="EM67" s="22"/>
      <c r="EN67" s="22"/>
      <c r="EO67" s="22"/>
      <c r="EP67" s="22"/>
      <c r="EQ67" s="22"/>
      <c r="ER67" s="22"/>
      <c r="ES67" s="22"/>
      <c r="ET67" s="22"/>
      <c r="EU67" s="22"/>
      <c r="EV67" s="22"/>
      <c r="EW67" s="22"/>
      <c r="EX67" s="22"/>
      <c r="EY67" s="22"/>
      <c r="EZ67" s="22"/>
      <c r="FA67" s="22"/>
      <c r="FB67" s="22"/>
      <c r="FC67" s="22"/>
      <c r="FD67" s="22"/>
      <c r="FE67" s="22"/>
      <c r="FF67" s="22"/>
      <c r="FG67" s="22"/>
      <c r="FH67" s="22"/>
      <c r="FI67" s="22"/>
      <c r="FJ67" s="22"/>
      <c r="FK67" s="22"/>
      <c r="FL67" s="22"/>
      <c r="FM67" s="22"/>
      <c r="FN67" s="22"/>
      <c r="FO67" s="22"/>
      <c r="FP67" s="22"/>
      <c r="FQ67" s="22"/>
      <c r="FR67" s="22"/>
      <c r="FS67" s="22"/>
      <c r="FT67" s="22"/>
      <c r="FU67" s="22"/>
      <c r="FV67" s="22"/>
      <c r="FW67" s="22"/>
      <c r="FX67" s="22"/>
      <c r="FY67" s="22"/>
      <c r="FZ67" s="22"/>
      <c r="GA67" s="22"/>
      <c r="GB67" s="22"/>
      <c r="GC67" s="22"/>
      <c r="GD67" s="22"/>
      <c r="GE67" s="22"/>
      <c r="GF67" s="22"/>
      <c r="GG67" s="22"/>
      <c r="GH67" s="22"/>
      <c r="GI67" s="22"/>
      <c r="GJ67" s="22"/>
      <c r="GK67" s="22"/>
      <c r="GL67" s="22"/>
      <c r="GM67" s="22"/>
      <c r="GN67" s="22"/>
      <c r="GO67" s="22"/>
      <c r="GP67" s="22"/>
      <c r="GQ67" s="22"/>
      <c r="GR67" s="22"/>
      <c r="GS67" s="22"/>
      <c r="GT67" s="22"/>
      <c r="GU67" s="22"/>
      <c r="GV67" s="22"/>
      <c r="GW67" s="22"/>
      <c r="GX67" s="22"/>
      <c r="GY67" s="22"/>
      <c r="GZ67" s="22"/>
      <c r="HA67" s="22"/>
      <c r="HB67" s="22"/>
      <c r="HC67" s="22"/>
      <c r="HD67" s="22"/>
      <c r="HE67" s="22"/>
      <c r="HF67" s="22"/>
      <c r="HG67" s="22"/>
      <c r="HH67" s="22"/>
      <c r="HI67" s="22"/>
      <c r="HJ67" s="22"/>
      <c r="HK67" s="22"/>
      <c r="HL67" s="22"/>
      <c r="HM67" s="22"/>
      <c r="HN67" s="22"/>
      <c r="HO67" s="22"/>
      <c r="HP67" s="22"/>
      <c r="HQ67" s="22"/>
      <c r="HR67" s="22"/>
      <c r="HS67" s="22"/>
      <c r="HT67" s="22"/>
      <c r="HU67" s="22"/>
      <c r="HV67" s="22"/>
      <c r="HW67" s="22"/>
      <c r="HX67" s="22"/>
      <c r="HY67" s="22"/>
      <c r="HZ67" s="22"/>
      <c r="IA67" s="22"/>
      <c r="IB67" s="22"/>
      <c r="IC67" s="22"/>
      <c r="ID67" s="22"/>
      <c r="IE67" s="22"/>
      <c r="IF67" s="22"/>
      <c r="IG67" s="22"/>
      <c r="IH67" s="22"/>
      <c r="II67" s="22"/>
      <c r="IJ67" s="22"/>
      <c r="IK67" s="22"/>
      <c r="IL67" s="22"/>
      <c r="IM67" s="22"/>
      <c r="IN67" s="22"/>
      <c r="IO67" s="22"/>
      <c r="IP67" s="22"/>
      <c r="IQ67" s="22"/>
      <c r="IR67" s="22"/>
      <c r="IS67" s="22"/>
      <c r="IT67" s="22"/>
      <c r="IU67" s="22"/>
      <c r="IV67" s="22"/>
      <c r="IW67" s="22"/>
      <c r="IX67" s="22"/>
      <c r="IY67" s="22"/>
      <c r="IZ67" s="22"/>
      <c r="JA67" s="22"/>
      <c r="JB67" s="22"/>
      <c r="JC67" s="22"/>
      <c r="JD67" s="22"/>
      <c r="JE67" s="22"/>
      <c r="JF67" s="22"/>
      <c r="JG67" s="22"/>
      <c r="JH67" s="22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2"/>
      <c r="LK67" s="22"/>
      <c r="LL67" s="22"/>
      <c r="LM67" s="22"/>
      <c r="LN67" s="22"/>
      <c r="LO67" s="22"/>
      <c r="LP67" s="22"/>
      <c r="LQ67" s="22"/>
      <c r="LR67" s="22"/>
      <c r="LS67" s="22"/>
      <c r="LT67" s="22"/>
      <c r="LU67" s="22"/>
      <c r="LV67" s="22"/>
      <c r="LW67" s="22"/>
      <c r="LX67" s="22"/>
      <c r="LY67" s="22"/>
      <c r="LZ67" s="22"/>
      <c r="MA67" s="22"/>
      <c r="MB67" s="22"/>
      <c r="MC67" s="22"/>
      <c r="MD67" s="22"/>
      <c r="ME67" s="22"/>
      <c r="MF67" s="22"/>
      <c r="MG67" s="22"/>
      <c r="MH67" s="22"/>
      <c r="MI67" s="22"/>
      <c r="MJ67" s="22"/>
      <c r="MK67" s="22"/>
      <c r="ML67" s="22"/>
      <c r="MM67" s="22"/>
      <c r="MN67" s="22"/>
      <c r="MO67" s="22"/>
      <c r="MP67" s="22"/>
      <c r="MQ67" s="22"/>
      <c r="MR67" s="22"/>
      <c r="MS67" s="22"/>
      <c r="MT67" s="22"/>
      <c r="MU67" s="22"/>
      <c r="MV67" s="22"/>
      <c r="MW67" s="22"/>
      <c r="MX67" s="22"/>
      <c r="MY67" s="22"/>
      <c r="MZ67" s="22"/>
      <c r="NA67" s="22"/>
      <c r="NB67" s="22"/>
      <c r="NC67" s="22"/>
      <c r="ND67" s="22"/>
      <c r="NE67" s="22"/>
      <c r="NF67" s="22"/>
      <c r="NG67" s="22"/>
      <c r="NH67" s="22"/>
      <c r="NI67" s="22"/>
      <c r="NJ67" s="22"/>
      <c r="NN67" s="1"/>
      <c r="NO67" s="1"/>
      <c r="NP67" s="1"/>
      <c r="NQ67" s="1"/>
      <c r="NR67" s="1"/>
      <c r="NS67" s="1"/>
      <c r="NT67" s="1"/>
      <c r="NU67" s="1"/>
      <c r="NV67" s="1"/>
      <c r="NW67" s="1"/>
      <c r="NX67" s="1"/>
      <c r="NY67" s="1"/>
      <c r="NZ67" s="1"/>
      <c r="OA67" s="1"/>
      <c r="OB67" s="1"/>
      <c r="OC67" s="1"/>
      <c r="OD67" s="1"/>
      <c r="OE67" s="1"/>
      <c r="OF67" s="1"/>
      <c r="OG67" s="1"/>
      <c r="OH67" s="1"/>
      <c r="OI67" s="1"/>
      <c r="OJ67" s="1"/>
      <c r="OK67" s="1"/>
    </row>
    <row r="68" spans="1:401" x14ac:dyDescent="0.3">
      <c r="A68" s="3"/>
      <c r="B68" s="1"/>
      <c r="C68" s="1"/>
      <c r="D68" s="1"/>
      <c r="E68" s="1"/>
      <c r="F68" s="1"/>
      <c r="G68" s="1"/>
      <c r="I68" s="28"/>
      <c r="J68" s="158" t="str">
        <f t="shared" ref="J68:BU68" si="87">IF(WEEKDAY(J$11,2)=1,"Sem "&amp;TEXT(_xlfn.ISOWEEKNUM(J$11),"0#"),"")</f>
        <v/>
      </c>
      <c r="K68" s="158" t="str">
        <f t="shared" si="87"/>
        <v>Sem 01</v>
      </c>
      <c r="L68" s="158" t="str">
        <f t="shared" si="87"/>
        <v/>
      </c>
      <c r="M68" s="158" t="str">
        <f t="shared" si="87"/>
        <v/>
      </c>
      <c r="N68" s="158" t="str">
        <f t="shared" si="87"/>
        <v/>
      </c>
      <c r="O68" s="158" t="str">
        <f t="shared" si="87"/>
        <v/>
      </c>
      <c r="P68" s="158" t="str">
        <f t="shared" si="87"/>
        <v/>
      </c>
      <c r="Q68" s="158" t="str">
        <f t="shared" si="87"/>
        <v/>
      </c>
      <c r="R68" s="158" t="str">
        <f t="shared" si="87"/>
        <v>Sem 02</v>
      </c>
      <c r="S68" s="158" t="str">
        <f t="shared" si="87"/>
        <v/>
      </c>
      <c r="T68" s="158" t="str">
        <f t="shared" si="87"/>
        <v/>
      </c>
      <c r="U68" s="158" t="str">
        <f t="shared" si="87"/>
        <v/>
      </c>
      <c r="V68" s="158" t="str">
        <f t="shared" si="87"/>
        <v/>
      </c>
      <c r="W68" s="158" t="str">
        <f t="shared" si="87"/>
        <v/>
      </c>
      <c r="X68" s="158" t="str">
        <f t="shared" si="87"/>
        <v/>
      </c>
      <c r="Y68" s="158" t="str">
        <f t="shared" si="87"/>
        <v>Sem 03</v>
      </c>
      <c r="Z68" s="158" t="str">
        <f t="shared" si="87"/>
        <v/>
      </c>
      <c r="AA68" s="158" t="str">
        <f t="shared" si="87"/>
        <v/>
      </c>
      <c r="AB68" s="158" t="str">
        <f t="shared" si="87"/>
        <v/>
      </c>
      <c r="AC68" s="158" t="str">
        <f t="shared" si="87"/>
        <v/>
      </c>
      <c r="AD68" s="158" t="str">
        <f t="shared" si="87"/>
        <v/>
      </c>
      <c r="AE68" s="158" t="str">
        <f t="shared" si="87"/>
        <v/>
      </c>
      <c r="AF68" s="158" t="str">
        <f t="shared" si="87"/>
        <v>Sem 04</v>
      </c>
      <c r="AG68" s="158" t="str">
        <f t="shared" si="87"/>
        <v/>
      </c>
      <c r="AH68" s="158" t="str">
        <f t="shared" si="87"/>
        <v/>
      </c>
      <c r="AI68" s="158" t="str">
        <f t="shared" si="87"/>
        <v/>
      </c>
      <c r="AJ68" s="158" t="str">
        <f t="shared" si="87"/>
        <v/>
      </c>
      <c r="AK68" s="158" t="str">
        <f t="shared" si="87"/>
        <v/>
      </c>
      <c r="AL68" s="158" t="str">
        <f t="shared" si="87"/>
        <v/>
      </c>
      <c r="AM68" s="158" t="str">
        <f t="shared" si="87"/>
        <v>Sem 05</v>
      </c>
      <c r="AN68" s="158" t="str">
        <f t="shared" si="87"/>
        <v/>
      </c>
      <c r="AO68" s="158" t="str">
        <f t="shared" si="87"/>
        <v/>
      </c>
      <c r="AP68" s="158" t="str">
        <f t="shared" si="87"/>
        <v/>
      </c>
      <c r="AQ68" s="158" t="str">
        <f t="shared" si="87"/>
        <v/>
      </c>
      <c r="AR68" s="158" t="str">
        <f t="shared" si="87"/>
        <v/>
      </c>
      <c r="AS68" s="158" t="str">
        <f t="shared" si="87"/>
        <v/>
      </c>
      <c r="AT68" s="158" t="str">
        <f t="shared" si="87"/>
        <v>Sem 06</v>
      </c>
      <c r="AU68" s="158" t="str">
        <f t="shared" si="87"/>
        <v/>
      </c>
      <c r="AV68" s="158" t="str">
        <f t="shared" si="87"/>
        <v/>
      </c>
      <c r="AW68" s="158" t="str">
        <f t="shared" si="87"/>
        <v/>
      </c>
      <c r="AX68" s="158" t="str">
        <f t="shared" si="87"/>
        <v/>
      </c>
      <c r="AY68" s="158" t="str">
        <f t="shared" si="87"/>
        <v/>
      </c>
      <c r="AZ68" s="158" t="str">
        <f t="shared" si="87"/>
        <v/>
      </c>
      <c r="BA68" s="158" t="str">
        <f t="shared" si="87"/>
        <v>Sem 07</v>
      </c>
      <c r="BB68" s="158" t="str">
        <f t="shared" si="87"/>
        <v/>
      </c>
      <c r="BC68" s="158" t="str">
        <f t="shared" si="87"/>
        <v/>
      </c>
      <c r="BD68" s="158" t="str">
        <f t="shared" si="87"/>
        <v/>
      </c>
      <c r="BE68" s="158" t="str">
        <f t="shared" si="87"/>
        <v/>
      </c>
      <c r="BF68" s="158" t="str">
        <f t="shared" si="87"/>
        <v/>
      </c>
      <c r="BG68" s="158" t="str">
        <f t="shared" si="87"/>
        <v/>
      </c>
      <c r="BH68" s="158" t="str">
        <f t="shared" si="87"/>
        <v>Sem 08</v>
      </c>
      <c r="BI68" s="158" t="str">
        <f t="shared" si="87"/>
        <v/>
      </c>
      <c r="BJ68" s="158" t="str">
        <f t="shared" si="87"/>
        <v/>
      </c>
      <c r="BK68" s="158" t="str">
        <f t="shared" si="87"/>
        <v/>
      </c>
      <c r="BL68" s="158" t="str">
        <f t="shared" si="87"/>
        <v/>
      </c>
      <c r="BM68" s="158" t="str">
        <f t="shared" si="87"/>
        <v/>
      </c>
      <c r="BN68" s="158" t="str">
        <f t="shared" si="87"/>
        <v/>
      </c>
      <c r="BO68" s="158" t="str">
        <f t="shared" si="87"/>
        <v>Sem 09</v>
      </c>
      <c r="BP68" s="158" t="str">
        <f t="shared" si="87"/>
        <v/>
      </c>
      <c r="BQ68" s="158" t="str">
        <f t="shared" si="87"/>
        <v/>
      </c>
      <c r="BR68" s="158" t="str">
        <f t="shared" si="87"/>
        <v/>
      </c>
      <c r="BS68" s="158" t="str">
        <f t="shared" si="87"/>
        <v/>
      </c>
      <c r="BT68" s="158" t="str">
        <f t="shared" si="87"/>
        <v/>
      </c>
      <c r="BU68" s="158" t="str">
        <f t="shared" si="87"/>
        <v/>
      </c>
      <c r="BV68" s="158" t="str">
        <f t="shared" ref="BV68:EG68" si="88">IF(WEEKDAY(BV$11,2)=1,"Sem "&amp;TEXT(_xlfn.ISOWEEKNUM(BV$11),"0#"),"")</f>
        <v>Sem 10</v>
      </c>
      <c r="BW68" s="158" t="str">
        <f t="shared" si="88"/>
        <v/>
      </c>
      <c r="BX68" s="158" t="str">
        <f t="shared" si="88"/>
        <v/>
      </c>
      <c r="BY68" s="158" t="str">
        <f t="shared" si="88"/>
        <v/>
      </c>
      <c r="BZ68" s="158" t="str">
        <f t="shared" si="88"/>
        <v/>
      </c>
      <c r="CA68" s="158" t="str">
        <f t="shared" si="88"/>
        <v/>
      </c>
      <c r="CB68" s="158" t="str">
        <f t="shared" si="88"/>
        <v/>
      </c>
      <c r="CC68" s="158" t="str">
        <f t="shared" si="88"/>
        <v>Sem 11</v>
      </c>
      <c r="CD68" s="158" t="str">
        <f t="shared" si="88"/>
        <v/>
      </c>
      <c r="CE68" s="158" t="str">
        <f t="shared" si="88"/>
        <v/>
      </c>
      <c r="CF68" s="158" t="str">
        <f t="shared" si="88"/>
        <v/>
      </c>
      <c r="CG68" s="158" t="str">
        <f t="shared" si="88"/>
        <v/>
      </c>
      <c r="CH68" s="158" t="str">
        <f t="shared" si="88"/>
        <v/>
      </c>
      <c r="CI68" s="158" t="str">
        <f t="shared" si="88"/>
        <v/>
      </c>
      <c r="CJ68" s="158" t="str">
        <f t="shared" si="88"/>
        <v>Sem 12</v>
      </c>
      <c r="CK68" s="158" t="str">
        <f t="shared" si="88"/>
        <v/>
      </c>
      <c r="CL68" s="158" t="str">
        <f t="shared" si="88"/>
        <v/>
      </c>
      <c r="CM68" s="158" t="str">
        <f t="shared" si="88"/>
        <v/>
      </c>
      <c r="CN68" s="158" t="str">
        <f t="shared" si="88"/>
        <v/>
      </c>
      <c r="CO68" s="158" t="str">
        <f t="shared" si="88"/>
        <v/>
      </c>
      <c r="CP68" s="158" t="str">
        <f t="shared" si="88"/>
        <v/>
      </c>
      <c r="CQ68" s="158" t="str">
        <f t="shared" si="88"/>
        <v>Sem 13</v>
      </c>
      <c r="CR68" s="158" t="str">
        <f t="shared" si="88"/>
        <v/>
      </c>
      <c r="CS68" s="158" t="str">
        <f t="shared" si="88"/>
        <v/>
      </c>
      <c r="CT68" s="158" t="str">
        <f t="shared" si="88"/>
        <v/>
      </c>
      <c r="CU68" s="158" t="str">
        <f t="shared" si="88"/>
        <v/>
      </c>
      <c r="CV68" s="158" t="str">
        <f t="shared" si="88"/>
        <v/>
      </c>
      <c r="CW68" s="158" t="str">
        <f t="shared" si="88"/>
        <v/>
      </c>
      <c r="CX68" s="158" t="str">
        <f t="shared" si="88"/>
        <v>Sem 14</v>
      </c>
      <c r="CY68" s="158" t="str">
        <f t="shared" si="88"/>
        <v/>
      </c>
      <c r="CZ68" s="158" t="str">
        <f t="shared" si="88"/>
        <v/>
      </c>
      <c r="DA68" s="158" t="str">
        <f t="shared" si="88"/>
        <v/>
      </c>
      <c r="DB68" s="158" t="str">
        <f t="shared" si="88"/>
        <v/>
      </c>
      <c r="DC68" s="158" t="str">
        <f t="shared" si="88"/>
        <v/>
      </c>
      <c r="DD68" s="158" t="str">
        <f t="shared" si="88"/>
        <v/>
      </c>
      <c r="DE68" s="158" t="str">
        <f t="shared" si="88"/>
        <v>Sem 15</v>
      </c>
      <c r="DF68" s="158" t="str">
        <f t="shared" si="88"/>
        <v/>
      </c>
      <c r="DG68" s="158" t="str">
        <f t="shared" si="88"/>
        <v/>
      </c>
      <c r="DH68" s="158" t="str">
        <f t="shared" si="88"/>
        <v/>
      </c>
      <c r="DI68" s="158" t="str">
        <f t="shared" si="88"/>
        <v/>
      </c>
      <c r="DJ68" s="158" t="str">
        <f t="shared" si="88"/>
        <v/>
      </c>
      <c r="DK68" s="158" t="str">
        <f t="shared" si="88"/>
        <v/>
      </c>
      <c r="DL68" s="158" t="str">
        <f t="shared" si="88"/>
        <v>Sem 16</v>
      </c>
      <c r="DM68" s="158" t="str">
        <f t="shared" si="88"/>
        <v/>
      </c>
      <c r="DN68" s="158" t="str">
        <f t="shared" si="88"/>
        <v/>
      </c>
      <c r="DO68" s="158" t="str">
        <f t="shared" si="88"/>
        <v/>
      </c>
      <c r="DP68" s="158" t="str">
        <f t="shared" si="88"/>
        <v/>
      </c>
      <c r="DQ68" s="158" t="str">
        <f t="shared" si="88"/>
        <v/>
      </c>
      <c r="DR68" s="158" t="str">
        <f t="shared" si="88"/>
        <v/>
      </c>
      <c r="DS68" s="158" t="str">
        <f t="shared" si="88"/>
        <v>Sem 17</v>
      </c>
      <c r="DT68" s="158" t="str">
        <f t="shared" si="88"/>
        <v/>
      </c>
      <c r="DU68" s="158" t="str">
        <f t="shared" si="88"/>
        <v/>
      </c>
      <c r="DV68" s="158" t="str">
        <f t="shared" si="88"/>
        <v/>
      </c>
      <c r="DW68" s="158" t="str">
        <f t="shared" si="88"/>
        <v/>
      </c>
      <c r="DX68" s="158" t="str">
        <f t="shared" si="88"/>
        <v/>
      </c>
      <c r="DY68" s="158" t="str">
        <f t="shared" si="88"/>
        <v/>
      </c>
      <c r="DZ68" s="158" t="str">
        <f t="shared" si="88"/>
        <v>Sem 18</v>
      </c>
      <c r="EA68" s="158" t="str">
        <f t="shared" si="88"/>
        <v/>
      </c>
      <c r="EB68" s="158" t="str">
        <f t="shared" si="88"/>
        <v/>
      </c>
      <c r="EC68" s="158" t="str">
        <f t="shared" si="88"/>
        <v/>
      </c>
      <c r="ED68" s="158" t="str">
        <f t="shared" si="88"/>
        <v/>
      </c>
      <c r="EE68" s="158" t="str">
        <f t="shared" si="88"/>
        <v/>
      </c>
      <c r="EF68" s="158" t="str">
        <f t="shared" si="88"/>
        <v/>
      </c>
      <c r="EG68" s="158" t="str">
        <f t="shared" si="88"/>
        <v>Sem 19</v>
      </c>
      <c r="EH68" s="158" t="str">
        <f t="shared" ref="EH68:GS68" si="89">IF(WEEKDAY(EH$11,2)=1,"Sem "&amp;TEXT(_xlfn.ISOWEEKNUM(EH$11),"0#"),"")</f>
        <v/>
      </c>
      <c r="EI68" s="158" t="str">
        <f t="shared" si="89"/>
        <v/>
      </c>
      <c r="EJ68" s="158" t="str">
        <f t="shared" si="89"/>
        <v/>
      </c>
      <c r="EK68" s="158" t="str">
        <f t="shared" si="89"/>
        <v/>
      </c>
      <c r="EL68" s="158" t="str">
        <f t="shared" si="89"/>
        <v/>
      </c>
      <c r="EM68" s="158" t="str">
        <f t="shared" si="89"/>
        <v/>
      </c>
      <c r="EN68" s="158" t="str">
        <f t="shared" si="89"/>
        <v>Sem 20</v>
      </c>
      <c r="EO68" s="158" t="str">
        <f t="shared" si="89"/>
        <v/>
      </c>
      <c r="EP68" s="158" t="str">
        <f t="shared" si="89"/>
        <v/>
      </c>
      <c r="EQ68" s="158" t="str">
        <f t="shared" si="89"/>
        <v/>
      </c>
      <c r="ER68" s="158" t="str">
        <f t="shared" si="89"/>
        <v/>
      </c>
      <c r="ES68" s="158" t="str">
        <f t="shared" si="89"/>
        <v/>
      </c>
      <c r="ET68" s="158" t="str">
        <f t="shared" si="89"/>
        <v/>
      </c>
      <c r="EU68" s="158" t="str">
        <f t="shared" si="89"/>
        <v>Sem 21</v>
      </c>
      <c r="EV68" s="158" t="str">
        <f t="shared" si="89"/>
        <v/>
      </c>
      <c r="EW68" s="158" t="str">
        <f t="shared" si="89"/>
        <v/>
      </c>
      <c r="EX68" s="158" t="str">
        <f t="shared" si="89"/>
        <v/>
      </c>
      <c r="EY68" s="158" t="str">
        <f t="shared" si="89"/>
        <v/>
      </c>
      <c r="EZ68" s="158" t="str">
        <f t="shared" si="89"/>
        <v/>
      </c>
      <c r="FA68" s="158" t="str">
        <f t="shared" si="89"/>
        <v/>
      </c>
      <c r="FB68" s="158" t="str">
        <f t="shared" si="89"/>
        <v>Sem 22</v>
      </c>
      <c r="FC68" s="158" t="str">
        <f t="shared" si="89"/>
        <v/>
      </c>
      <c r="FD68" s="158" t="str">
        <f t="shared" si="89"/>
        <v/>
      </c>
      <c r="FE68" s="158" t="str">
        <f t="shared" si="89"/>
        <v/>
      </c>
      <c r="FF68" s="158" t="str">
        <f t="shared" si="89"/>
        <v/>
      </c>
      <c r="FG68" s="158" t="str">
        <f t="shared" si="89"/>
        <v/>
      </c>
      <c r="FH68" s="158" t="str">
        <f t="shared" si="89"/>
        <v/>
      </c>
      <c r="FI68" s="158" t="str">
        <f t="shared" si="89"/>
        <v>Sem 23</v>
      </c>
      <c r="FJ68" s="158" t="str">
        <f t="shared" si="89"/>
        <v/>
      </c>
      <c r="FK68" s="158" t="str">
        <f t="shared" si="89"/>
        <v/>
      </c>
      <c r="FL68" s="158" t="str">
        <f t="shared" si="89"/>
        <v/>
      </c>
      <c r="FM68" s="158" t="str">
        <f t="shared" si="89"/>
        <v/>
      </c>
      <c r="FN68" s="158" t="str">
        <f t="shared" si="89"/>
        <v/>
      </c>
      <c r="FO68" s="158" t="str">
        <f t="shared" si="89"/>
        <v/>
      </c>
      <c r="FP68" s="158" t="str">
        <f t="shared" si="89"/>
        <v>Sem 24</v>
      </c>
      <c r="FQ68" s="158" t="str">
        <f t="shared" si="89"/>
        <v/>
      </c>
      <c r="FR68" s="158" t="str">
        <f t="shared" si="89"/>
        <v/>
      </c>
      <c r="FS68" s="158" t="str">
        <f t="shared" si="89"/>
        <v/>
      </c>
      <c r="FT68" s="158" t="str">
        <f t="shared" si="89"/>
        <v/>
      </c>
      <c r="FU68" s="158" t="str">
        <f t="shared" si="89"/>
        <v/>
      </c>
      <c r="FV68" s="158" t="str">
        <f t="shared" si="89"/>
        <v/>
      </c>
      <c r="FW68" s="158" t="str">
        <f t="shared" si="89"/>
        <v>Sem 25</v>
      </c>
      <c r="FX68" s="158" t="str">
        <f t="shared" si="89"/>
        <v/>
      </c>
      <c r="FY68" s="158" t="str">
        <f t="shared" si="89"/>
        <v/>
      </c>
      <c r="FZ68" s="158" t="str">
        <f t="shared" si="89"/>
        <v/>
      </c>
      <c r="GA68" s="158" t="str">
        <f t="shared" si="89"/>
        <v/>
      </c>
      <c r="GB68" s="158" t="str">
        <f t="shared" si="89"/>
        <v/>
      </c>
      <c r="GC68" s="158" t="str">
        <f t="shared" si="89"/>
        <v/>
      </c>
      <c r="GD68" s="158" t="str">
        <f t="shared" si="89"/>
        <v>Sem 26</v>
      </c>
      <c r="GE68" s="158" t="str">
        <f t="shared" si="89"/>
        <v/>
      </c>
      <c r="GF68" s="158" t="str">
        <f t="shared" si="89"/>
        <v/>
      </c>
      <c r="GG68" s="158" t="str">
        <f t="shared" si="89"/>
        <v/>
      </c>
      <c r="GH68" s="158" t="str">
        <f t="shared" si="89"/>
        <v/>
      </c>
      <c r="GI68" s="158" t="str">
        <f t="shared" si="89"/>
        <v/>
      </c>
      <c r="GJ68" s="158" t="str">
        <f t="shared" si="89"/>
        <v/>
      </c>
      <c r="GK68" s="158" t="str">
        <f t="shared" si="89"/>
        <v>Sem 27</v>
      </c>
      <c r="GL68" s="158" t="str">
        <f t="shared" si="89"/>
        <v/>
      </c>
      <c r="GM68" s="158" t="str">
        <f t="shared" si="89"/>
        <v/>
      </c>
      <c r="GN68" s="158" t="str">
        <f t="shared" si="89"/>
        <v/>
      </c>
      <c r="GO68" s="158" t="str">
        <f t="shared" si="89"/>
        <v/>
      </c>
      <c r="GP68" s="158" t="str">
        <f t="shared" si="89"/>
        <v/>
      </c>
      <c r="GQ68" s="158" t="str">
        <f t="shared" si="89"/>
        <v/>
      </c>
      <c r="GR68" s="158" t="str">
        <f t="shared" si="89"/>
        <v>Sem 28</v>
      </c>
      <c r="GS68" s="158" t="str">
        <f t="shared" si="89"/>
        <v/>
      </c>
      <c r="GT68" s="158" t="str">
        <f t="shared" ref="GT68:HM68" si="90">IF(WEEKDAY(GT$11,2)=1,"Sem "&amp;TEXT(_xlfn.ISOWEEKNUM(GT$11),"0#"),"")</f>
        <v/>
      </c>
      <c r="GU68" s="158" t="str">
        <f t="shared" si="90"/>
        <v/>
      </c>
      <c r="GV68" s="158" t="str">
        <f t="shared" si="90"/>
        <v/>
      </c>
      <c r="GW68" s="158" t="str">
        <f t="shared" si="90"/>
        <v/>
      </c>
      <c r="GX68" s="158" t="str">
        <f t="shared" si="90"/>
        <v/>
      </c>
      <c r="GY68" s="158" t="str">
        <f t="shared" si="90"/>
        <v>Sem 29</v>
      </c>
      <c r="GZ68" s="158" t="str">
        <f t="shared" si="90"/>
        <v/>
      </c>
      <c r="HA68" s="158" t="str">
        <f t="shared" si="90"/>
        <v/>
      </c>
      <c r="HB68" s="158" t="str">
        <f t="shared" si="90"/>
        <v/>
      </c>
      <c r="HC68" s="158" t="str">
        <f t="shared" si="90"/>
        <v/>
      </c>
      <c r="HD68" s="158" t="str">
        <f t="shared" si="90"/>
        <v/>
      </c>
      <c r="HE68" s="158" t="str">
        <f t="shared" si="90"/>
        <v/>
      </c>
      <c r="HF68" s="158" t="str">
        <f t="shared" si="90"/>
        <v>Sem 30</v>
      </c>
      <c r="HG68" s="158" t="str">
        <f t="shared" si="90"/>
        <v/>
      </c>
      <c r="HH68" s="158" t="str">
        <f t="shared" si="90"/>
        <v/>
      </c>
      <c r="HI68" s="158" t="str">
        <f t="shared" si="90"/>
        <v/>
      </c>
      <c r="HJ68" s="158" t="str">
        <f t="shared" si="90"/>
        <v/>
      </c>
      <c r="HK68" s="158" t="str">
        <f t="shared" si="90"/>
        <v/>
      </c>
      <c r="HL68" s="158" t="str">
        <f t="shared" si="90"/>
        <v/>
      </c>
      <c r="HM68" s="158" t="str">
        <f t="shared" si="90"/>
        <v>Sem 31</v>
      </c>
      <c r="HN68" s="158" t="str">
        <f>IF(WEEKDAY(HN$11,2)=1,"Sem "&amp;TEXT(_xlfn.ISOWEEKNUM(HN$11),"0#"),"")</f>
        <v/>
      </c>
      <c r="HO68" s="158" t="str">
        <f t="shared" ref="HO68:JZ68" si="91">IF(WEEKDAY(HO$11,2)=1,"Sem "&amp;TEXT(_xlfn.ISOWEEKNUM(HO$11),"0#"),"")</f>
        <v/>
      </c>
      <c r="HP68" s="158" t="str">
        <f t="shared" si="91"/>
        <v/>
      </c>
      <c r="HQ68" s="158" t="str">
        <f t="shared" si="91"/>
        <v/>
      </c>
      <c r="HR68" s="158" t="str">
        <f t="shared" si="91"/>
        <v/>
      </c>
      <c r="HS68" s="158" t="str">
        <f t="shared" si="91"/>
        <v/>
      </c>
      <c r="HT68" s="158" t="str">
        <f t="shared" si="91"/>
        <v>Sem 32</v>
      </c>
      <c r="HU68" s="158" t="str">
        <f t="shared" si="91"/>
        <v/>
      </c>
      <c r="HV68" s="158" t="str">
        <f t="shared" si="91"/>
        <v/>
      </c>
      <c r="HW68" s="158" t="str">
        <f t="shared" si="91"/>
        <v/>
      </c>
      <c r="HX68" s="158" t="str">
        <f t="shared" si="91"/>
        <v/>
      </c>
      <c r="HY68" s="158" t="str">
        <f t="shared" si="91"/>
        <v/>
      </c>
      <c r="HZ68" s="158" t="str">
        <f t="shared" si="91"/>
        <v/>
      </c>
      <c r="IA68" s="158" t="str">
        <f t="shared" si="91"/>
        <v>Sem 33</v>
      </c>
      <c r="IB68" s="158" t="str">
        <f t="shared" si="91"/>
        <v/>
      </c>
      <c r="IC68" s="158" t="str">
        <f t="shared" si="91"/>
        <v/>
      </c>
      <c r="ID68" s="158" t="str">
        <f t="shared" si="91"/>
        <v/>
      </c>
      <c r="IE68" s="158" t="str">
        <f t="shared" si="91"/>
        <v/>
      </c>
      <c r="IF68" s="158" t="str">
        <f t="shared" si="91"/>
        <v/>
      </c>
      <c r="IG68" s="158" t="str">
        <f t="shared" si="91"/>
        <v/>
      </c>
      <c r="IH68" s="158" t="str">
        <f t="shared" si="91"/>
        <v>Sem 34</v>
      </c>
      <c r="II68" s="158" t="str">
        <f t="shared" si="91"/>
        <v/>
      </c>
      <c r="IJ68" s="158" t="str">
        <f t="shared" si="91"/>
        <v/>
      </c>
      <c r="IK68" s="158" t="str">
        <f t="shared" si="91"/>
        <v/>
      </c>
      <c r="IL68" s="158" t="str">
        <f t="shared" si="91"/>
        <v/>
      </c>
      <c r="IM68" s="158" t="str">
        <f t="shared" si="91"/>
        <v/>
      </c>
      <c r="IN68" s="158" t="str">
        <f t="shared" si="91"/>
        <v/>
      </c>
      <c r="IO68" s="158" t="str">
        <f t="shared" si="91"/>
        <v>Sem 35</v>
      </c>
      <c r="IP68" s="158" t="str">
        <f t="shared" si="91"/>
        <v/>
      </c>
      <c r="IQ68" s="158" t="str">
        <f t="shared" si="91"/>
        <v/>
      </c>
      <c r="IR68" s="158" t="str">
        <f t="shared" si="91"/>
        <v/>
      </c>
      <c r="IS68" s="158" t="str">
        <f t="shared" si="91"/>
        <v/>
      </c>
      <c r="IT68" s="158" t="str">
        <f t="shared" si="91"/>
        <v/>
      </c>
      <c r="IU68" s="158" t="str">
        <f t="shared" si="91"/>
        <v/>
      </c>
      <c r="IV68" s="158" t="str">
        <f t="shared" si="91"/>
        <v>Sem 36</v>
      </c>
      <c r="IW68" s="158" t="str">
        <f t="shared" si="91"/>
        <v/>
      </c>
      <c r="IX68" s="158" t="str">
        <f t="shared" si="91"/>
        <v/>
      </c>
      <c r="IY68" s="158" t="str">
        <f t="shared" si="91"/>
        <v/>
      </c>
      <c r="IZ68" s="158" t="str">
        <f t="shared" si="91"/>
        <v/>
      </c>
      <c r="JA68" s="158" t="str">
        <f t="shared" si="91"/>
        <v/>
      </c>
      <c r="JB68" s="158" t="str">
        <f t="shared" si="91"/>
        <v/>
      </c>
      <c r="JC68" s="158" t="str">
        <f t="shared" si="91"/>
        <v>Sem 37</v>
      </c>
      <c r="JD68" s="158" t="str">
        <f t="shared" si="91"/>
        <v/>
      </c>
      <c r="JE68" s="158" t="str">
        <f t="shared" si="91"/>
        <v/>
      </c>
      <c r="JF68" s="158" t="str">
        <f t="shared" si="91"/>
        <v/>
      </c>
      <c r="JG68" s="158" t="str">
        <f t="shared" si="91"/>
        <v/>
      </c>
      <c r="JH68" s="158" t="str">
        <f t="shared" si="91"/>
        <v/>
      </c>
      <c r="JI68" s="158" t="str">
        <f t="shared" si="91"/>
        <v/>
      </c>
      <c r="JJ68" s="158" t="str">
        <f t="shared" si="91"/>
        <v>Sem 38</v>
      </c>
      <c r="JK68" s="158" t="str">
        <f t="shared" si="91"/>
        <v/>
      </c>
      <c r="JL68" s="158" t="str">
        <f t="shared" si="91"/>
        <v/>
      </c>
      <c r="JM68" s="158" t="str">
        <f t="shared" si="91"/>
        <v/>
      </c>
      <c r="JN68" s="158" t="str">
        <f t="shared" si="91"/>
        <v/>
      </c>
      <c r="JO68" s="158" t="str">
        <f t="shared" si="91"/>
        <v/>
      </c>
      <c r="JP68" s="158" t="str">
        <f t="shared" si="91"/>
        <v/>
      </c>
      <c r="JQ68" s="158" t="str">
        <f t="shared" si="91"/>
        <v>Sem 39</v>
      </c>
      <c r="JR68" s="158" t="str">
        <f t="shared" si="91"/>
        <v/>
      </c>
      <c r="JS68" s="158" t="str">
        <f t="shared" si="91"/>
        <v/>
      </c>
      <c r="JT68" s="158" t="str">
        <f t="shared" si="91"/>
        <v/>
      </c>
      <c r="JU68" s="158" t="str">
        <f t="shared" si="91"/>
        <v/>
      </c>
      <c r="JV68" s="158" t="str">
        <f t="shared" si="91"/>
        <v/>
      </c>
      <c r="JW68" s="158" t="str">
        <f t="shared" si="91"/>
        <v/>
      </c>
      <c r="JX68" s="158" t="str">
        <f t="shared" si="91"/>
        <v>Sem 40</v>
      </c>
      <c r="JY68" s="158" t="str">
        <f t="shared" si="91"/>
        <v/>
      </c>
      <c r="JZ68" s="158" t="str">
        <f t="shared" si="91"/>
        <v/>
      </c>
      <c r="KA68" s="158" t="str">
        <f t="shared" ref="KA68:ML68" si="92">IF(WEEKDAY(KA$11,2)=1,"Sem "&amp;TEXT(_xlfn.ISOWEEKNUM(KA$11),"0#"),"")</f>
        <v/>
      </c>
      <c r="KB68" s="158" t="str">
        <f t="shared" si="92"/>
        <v/>
      </c>
      <c r="KC68" s="158" t="str">
        <f t="shared" si="92"/>
        <v/>
      </c>
      <c r="KD68" s="158" t="str">
        <f t="shared" si="92"/>
        <v/>
      </c>
      <c r="KE68" s="158" t="str">
        <f t="shared" si="92"/>
        <v>Sem 41</v>
      </c>
      <c r="KF68" s="158" t="str">
        <f t="shared" si="92"/>
        <v/>
      </c>
      <c r="KG68" s="158" t="str">
        <f t="shared" si="92"/>
        <v/>
      </c>
      <c r="KH68" s="158" t="str">
        <f t="shared" si="92"/>
        <v/>
      </c>
      <c r="KI68" s="158" t="str">
        <f t="shared" si="92"/>
        <v/>
      </c>
      <c r="KJ68" s="158" t="str">
        <f t="shared" si="92"/>
        <v/>
      </c>
      <c r="KK68" s="158" t="str">
        <f t="shared" si="92"/>
        <v/>
      </c>
      <c r="KL68" s="158" t="str">
        <f t="shared" si="92"/>
        <v>Sem 42</v>
      </c>
      <c r="KM68" s="158" t="str">
        <f t="shared" si="92"/>
        <v/>
      </c>
      <c r="KN68" s="158" t="str">
        <f t="shared" si="92"/>
        <v/>
      </c>
      <c r="KO68" s="158" t="str">
        <f t="shared" si="92"/>
        <v/>
      </c>
      <c r="KP68" s="158" t="str">
        <f t="shared" si="92"/>
        <v/>
      </c>
      <c r="KQ68" s="158" t="str">
        <f t="shared" si="92"/>
        <v/>
      </c>
      <c r="KR68" s="158" t="str">
        <f t="shared" si="92"/>
        <v/>
      </c>
      <c r="KS68" s="158" t="str">
        <f t="shared" si="92"/>
        <v>Sem 43</v>
      </c>
      <c r="KT68" s="158" t="str">
        <f t="shared" si="92"/>
        <v/>
      </c>
      <c r="KU68" s="158" t="str">
        <f t="shared" si="92"/>
        <v/>
      </c>
      <c r="KV68" s="158" t="str">
        <f t="shared" si="92"/>
        <v/>
      </c>
      <c r="KW68" s="158" t="str">
        <f t="shared" si="92"/>
        <v/>
      </c>
      <c r="KX68" s="158" t="str">
        <f t="shared" si="92"/>
        <v/>
      </c>
      <c r="KY68" s="158" t="str">
        <f t="shared" si="92"/>
        <v/>
      </c>
      <c r="KZ68" s="158" t="str">
        <f t="shared" si="92"/>
        <v>Sem 44</v>
      </c>
      <c r="LA68" s="158" t="str">
        <f t="shared" si="92"/>
        <v/>
      </c>
      <c r="LB68" s="158" t="str">
        <f t="shared" si="92"/>
        <v/>
      </c>
      <c r="LC68" s="158" t="str">
        <f t="shared" si="92"/>
        <v/>
      </c>
      <c r="LD68" s="158" t="str">
        <f t="shared" si="92"/>
        <v/>
      </c>
      <c r="LE68" s="158" t="str">
        <f t="shared" si="92"/>
        <v/>
      </c>
      <c r="LF68" s="158" t="str">
        <f t="shared" si="92"/>
        <v/>
      </c>
      <c r="LG68" s="158" t="str">
        <f t="shared" si="92"/>
        <v>Sem 45</v>
      </c>
      <c r="LH68" s="158" t="str">
        <f t="shared" si="92"/>
        <v/>
      </c>
      <c r="LI68" s="158" t="str">
        <f t="shared" si="92"/>
        <v/>
      </c>
      <c r="LJ68" s="158" t="str">
        <f t="shared" si="92"/>
        <v/>
      </c>
      <c r="LK68" s="158" t="str">
        <f t="shared" si="92"/>
        <v/>
      </c>
      <c r="LL68" s="158" t="str">
        <f t="shared" si="92"/>
        <v/>
      </c>
      <c r="LM68" s="158" t="str">
        <f t="shared" si="92"/>
        <v/>
      </c>
      <c r="LN68" s="158" t="str">
        <f t="shared" si="92"/>
        <v>Sem 46</v>
      </c>
      <c r="LO68" s="158" t="str">
        <f t="shared" si="92"/>
        <v/>
      </c>
      <c r="LP68" s="158" t="str">
        <f t="shared" si="92"/>
        <v/>
      </c>
      <c r="LQ68" s="158" t="str">
        <f t="shared" si="92"/>
        <v/>
      </c>
      <c r="LR68" s="158" t="str">
        <f t="shared" si="92"/>
        <v/>
      </c>
      <c r="LS68" s="158" t="str">
        <f t="shared" si="92"/>
        <v/>
      </c>
      <c r="LT68" s="158" t="str">
        <f t="shared" si="92"/>
        <v/>
      </c>
      <c r="LU68" s="158" t="str">
        <f t="shared" si="92"/>
        <v>Sem 47</v>
      </c>
      <c r="LV68" s="158" t="str">
        <f t="shared" si="92"/>
        <v/>
      </c>
      <c r="LW68" s="158" t="str">
        <f t="shared" si="92"/>
        <v/>
      </c>
      <c r="LX68" s="158" t="str">
        <f t="shared" si="92"/>
        <v/>
      </c>
      <c r="LY68" s="158" t="str">
        <f t="shared" si="92"/>
        <v/>
      </c>
      <c r="LZ68" s="158" t="str">
        <f t="shared" si="92"/>
        <v/>
      </c>
      <c r="MA68" s="158" t="str">
        <f t="shared" si="92"/>
        <v/>
      </c>
      <c r="MB68" s="158" t="str">
        <f t="shared" si="92"/>
        <v>Sem 48</v>
      </c>
      <c r="MC68" s="158" t="str">
        <f t="shared" si="92"/>
        <v/>
      </c>
      <c r="MD68" s="158" t="str">
        <f t="shared" si="92"/>
        <v/>
      </c>
      <c r="ME68" s="158" t="str">
        <f t="shared" si="92"/>
        <v/>
      </c>
      <c r="MF68" s="158" t="str">
        <f t="shared" si="92"/>
        <v/>
      </c>
      <c r="MG68" s="158" t="str">
        <f t="shared" si="92"/>
        <v/>
      </c>
      <c r="MH68" s="158" t="str">
        <f t="shared" si="92"/>
        <v/>
      </c>
      <c r="MI68" s="158" t="str">
        <f t="shared" si="92"/>
        <v>Sem 49</v>
      </c>
      <c r="MJ68" s="158" t="str">
        <f t="shared" si="92"/>
        <v/>
      </c>
      <c r="MK68" s="158" t="str">
        <f t="shared" si="92"/>
        <v/>
      </c>
      <c r="ML68" s="158" t="str">
        <f t="shared" si="92"/>
        <v/>
      </c>
      <c r="MM68" s="158" t="str">
        <f t="shared" ref="MM68:NJ68" si="93">IF(WEEKDAY(MM$11,2)=1,"Sem "&amp;TEXT(_xlfn.ISOWEEKNUM(MM$11),"0#"),"")</f>
        <v/>
      </c>
      <c r="MN68" s="158" t="str">
        <f t="shared" si="93"/>
        <v/>
      </c>
      <c r="MO68" s="158" t="str">
        <f t="shared" si="93"/>
        <v/>
      </c>
      <c r="MP68" s="158" t="str">
        <f t="shared" si="93"/>
        <v>Sem 50</v>
      </c>
      <c r="MQ68" s="158" t="str">
        <f t="shared" si="93"/>
        <v/>
      </c>
      <c r="MR68" s="158" t="str">
        <f t="shared" si="93"/>
        <v/>
      </c>
      <c r="MS68" s="158" t="str">
        <f t="shared" si="93"/>
        <v/>
      </c>
      <c r="MT68" s="158" t="str">
        <f t="shared" si="93"/>
        <v/>
      </c>
      <c r="MU68" s="158" t="str">
        <f t="shared" si="93"/>
        <v/>
      </c>
      <c r="MV68" s="158" t="str">
        <f t="shared" si="93"/>
        <v/>
      </c>
      <c r="MW68" s="158" t="str">
        <f t="shared" si="93"/>
        <v>Sem 51</v>
      </c>
      <c r="MX68" s="158" t="str">
        <f t="shared" si="93"/>
        <v/>
      </c>
      <c r="MY68" s="158" t="str">
        <f t="shared" si="93"/>
        <v/>
      </c>
      <c r="MZ68" s="158" t="str">
        <f t="shared" si="93"/>
        <v/>
      </c>
      <c r="NA68" s="158" t="str">
        <f t="shared" si="93"/>
        <v/>
      </c>
      <c r="NB68" s="158" t="str">
        <f t="shared" si="93"/>
        <v/>
      </c>
      <c r="NC68" s="158" t="str">
        <f t="shared" si="93"/>
        <v/>
      </c>
      <c r="ND68" s="158" t="str">
        <f t="shared" si="93"/>
        <v>Sem 52</v>
      </c>
      <c r="NE68" s="158" t="str">
        <f t="shared" si="93"/>
        <v/>
      </c>
      <c r="NF68" s="158" t="str">
        <f t="shared" si="93"/>
        <v/>
      </c>
      <c r="NG68" s="158" t="str">
        <f t="shared" si="93"/>
        <v/>
      </c>
      <c r="NH68" s="158" t="str">
        <f t="shared" si="93"/>
        <v/>
      </c>
      <c r="NI68" s="158" t="str">
        <f t="shared" si="93"/>
        <v/>
      </c>
      <c r="NJ68" s="158" t="str">
        <f t="shared" si="93"/>
        <v/>
      </c>
      <c r="NK68" s="1"/>
      <c r="NN68" s="1"/>
      <c r="NO68" s="1"/>
      <c r="NP68" s="1"/>
      <c r="NQ68" s="1"/>
      <c r="NR68" s="1"/>
      <c r="NS68" s="1"/>
      <c r="NT68" s="1"/>
      <c r="NU68" s="1"/>
      <c r="NV68" s="1"/>
      <c r="NW68" s="1"/>
      <c r="NX68" s="1"/>
      <c r="NY68" s="1"/>
      <c r="NZ68" s="1"/>
      <c r="OA68" s="1"/>
      <c r="OB68" s="1"/>
      <c r="OC68" s="1"/>
      <c r="OD68" s="1"/>
      <c r="OE68" s="1"/>
      <c r="OF68" s="1"/>
      <c r="OG68" s="1"/>
      <c r="OH68" s="1"/>
      <c r="OI68" s="1"/>
      <c r="OJ68" s="1"/>
      <c r="OK68" s="1"/>
    </row>
    <row r="69" spans="1:401" x14ac:dyDescent="0.3">
      <c r="A69" s="1"/>
      <c r="B69" s="1"/>
      <c r="C69" s="1"/>
      <c r="D69" s="1"/>
      <c r="E69" s="1"/>
      <c r="F69" s="1"/>
      <c r="G69" s="1"/>
      <c r="I69" s="28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  <c r="IU69" s="1"/>
      <c r="IV69" s="1"/>
      <c r="IW69" s="1"/>
      <c r="IX69" s="1"/>
      <c r="IY69" s="1"/>
      <c r="IZ69" s="1"/>
      <c r="JA69" s="1"/>
      <c r="JB69" s="1"/>
      <c r="JC69" s="1"/>
      <c r="JD69" s="1"/>
      <c r="JE69" s="1"/>
      <c r="JF69" s="1"/>
      <c r="JG69" s="1"/>
      <c r="JH69" s="1"/>
      <c r="JI69" s="1"/>
      <c r="JJ69" s="1"/>
      <c r="JK69" s="1"/>
      <c r="JL69" s="1"/>
      <c r="JM69" s="1"/>
      <c r="JN69" s="1"/>
      <c r="JO69" s="1"/>
      <c r="JP69" s="1"/>
      <c r="JQ69" s="1"/>
      <c r="JR69" s="1"/>
      <c r="JS69" s="1"/>
      <c r="JT69" s="1"/>
      <c r="JU69" s="1"/>
      <c r="JV69" s="1"/>
      <c r="JW69" s="1"/>
      <c r="JX69" s="1"/>
      <c r="JY69" s="1"/>
      <c r="JZ69" s="1"/>
      <c r="KA69" s="1"/>
      <c r="KB69" s="1"/>
      <c r="KC69" s="1"/>
      <c r="KD69" s="1"/>
      <c r="KE69" s="1"/>
      <c r="KF69" s="1"/>
      <c r="KG69" s="1"/>
      <c r="KH69" s="1"/>
      <c r="KI69" s="1"/>
      <c r="KJ69" s="1"/>
      <c r="KK69" s="1"/>
      <c r="KL69" s="1"/>
      <c r="KM69" s="1"/>
      <c r="KN69" s="1"/>
      <c r="KO69" s="1"/>
      <c r="KP69" s="1"/>
      <c r="KQ69" s="1"/>
      <c r="KR69" s="1"/>
      <c r="KS69" s="1"/>
      <c r="KT69" s="1"/>
      <c r="KU69" s="1"/>
      <c r="KV69" s="1"/>
      <c r="KW69" s="1"/>
      <c r="KX69" s="1"/>
      <c r="KY69" s="1"/>
      <c r="KZ69" s="1"/>
      <c r="LA69" s="1"/>
      <c r="LB69" s="1"/>
      <c r="LC69" s="1"/>
      <c r="LD69" s="1"/>
      <c r="LE69" s="1"/>
      <c r="LF69" s="1"/>
      <c r="LG69" s="1"/>
      <c r="LH69" s="1"/>
      <c r="LI69" s="1"/>
      <c r="LJ69" s="1"/>
      <c r="LK69" s="1"/>
      <c r="LL69" s="1"/>
      <c r="LM69" s="1"/>
      <c r="LN69" s="1"/>
      <c r="LO69" s="1"/>
      <c r="LP69" s="1"/>
      <c r="LQ69" s="1"/>
      <c r="LR69" s="1"/>
      <c r="LS69" s="1"/>
      <c r="LT69" s="1"/>
      <c r="LU69" s="1"/>
      <c r="LV69" s="1"/>
      <c r="LW69" s="1"/>
      <c r="LX69" s="1"/>
      <c r="LY69" s="1"/>
      <c r="LZ69" s="1"/>
      <c r="MA69" s="1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1"/>
      <c r="MN69" s="1"/>
      <c r="MO69" s="1"/>
      <c r="MP69" s="1"/>
      <c r="MQ69" s="1"/>
      <c r="MR69" s="1"/>
      <c r="MS69" s="1"/>
      <c r="MT69" s="1"/>
      <c r="MU69" s="1"/>
      <c r="MV69" s="1"/>
      <c r="MW69" s="1"/>
      <c r="MX69" s="1"/>
      <c r="MY69" s="1"/>
      <c r="MZ69" s="1"/>
      <c r="NA69" s="1"/>
      <c r="NB69" s="1"/>
      <c r="NC69" s="1"/>
      <c r="ND69" s="1"/>
      <c r="NE69" s="1"/>
      <c r="NF69" s="1"/>
      <c r="NG69" s="1"/>
      <c r="NH69" s="1"/>
      <c r="NI69" s="1"/>
      <c r="NJ69" s="1"/>
      <c r="NK69" s="1"/>
      <c r="NN69" s="1"/>
      <c r="NO69" s="1"/>
      <c r="NP69" s="1"/>
      <c r="NQ69" s="1"/>
      <c r="NR69" s="1"/>
      <c r="NS69" s="1"/>
      <c r="NT69" s="1"/>
      <c r="NU69" s="1"/>
      <c r="NV69" s="1"/>
      <c r="NW69" s="1"/>
      <c r="NX69" s="1"/>
      <c r="NY69" s="1"/>
      <c r="NZ69" s="1"/>
      <c r="OA69" s="1"/>
      <c r="OB69" s="1"/>
      <c r="OC69" s="1"/>
      <c r="OD69" s="1"/>
      <c r="OE69" s="1"/>
      <c r="OF69" s="1"/>
      <c r="OG69" s="1"/>
      <c r="OH69" s="1"/>
      <c r="OI69" s="1"/>
      <c r="OJ69" s="1"/>
      <c r="OK69" s="1"/>
    </row>
    <row r="70" spans="1:401" x14ac:dyDescent="0.3">
      <c r="A70" s="1"/>
      <c r="B70" s="1"/>
      <c r="C70" s="1"/>
      <c r="D70" s="1"/>
      <c r="E70" s="1"/>
      <c r="F70" s="1"/>
      <c r="G70" s="1"/>
      <c r="I70" s="28"/>
      <c r="J70" s="1"/>
      <c r="K70" s="11" t="s">
        <v>478</v>
      </c>
      <c r="L70" s="12"/>
      <c r="M70" s="13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4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1"/>
      <c r="JY70" s="1"/>
      <c r="JZ70" s="1"/>
      <c r="KA70" s="1"/>
      <c r="KB70" s="1"/>
      <c r="KC70" s="1"/>
      <c r="KD70" s="1"/>
      <c r="KE70" s="1"/>
      <c r="KF70" s="1"/>
      <c r="KG70" s="1"/>
      <c r="KH70" s="1"/>
      <c r="KI70" s="1"/>
      <c r="KJ70" s="1"/>
      <c r="KK70" s="1"/>
      <c r="KL70" s="1"/>
      <c r="KM70" s="1"/>
      <c r="KN70" s="1"/>
      <c r="KO70" s="1"/>
      <c r="KP70" s="1"/>
      <c r="KQ70" s="1"/>
      <c r="KR70" s="1"/>
      <c r="KS70" s="1"/>
      <c r="KT70" s="1"/>
      <c r="KU70" s="1"/>
      <c r="KV70" s="1"/>
      <c r="KW70" s="1"/>
      <c r="KX70" s="1"/>
      <c r="KY70" s="1"/>
      <c r="KZ70" s="1"/>
      <c r="LA70" s="1"/>
      <c r="LB70" s="1"/>
      <c r="LC70" s="1"/>
      <c r="LD70" s="1"/>
      <c r="LE70" s="1"/>
      <c r="LF70" s="1"/>
      <c r="LG70" s="1"/>
      <c r="LH70" s="1"/>
      <c r="LI70" s="1"/>
      <c r="LJ70" s="1"/>
      <c r="LK70" s="1"/>
      <c r="LL70" s="1"/>
      <c r="LM70" s="1"/>
      <c r="LN70" s="1"/>
      <c r="LO70" s="1"/>
      <c r="LP70" s="1"/>
      <c r="LQ70" s="1"/>
      <c r="LR70" s="1"/>
      <c r="LS70" s="1"/>
      <c r="LT70" s="1"/>
      <c r="LU70" s="1"/>
      <c r="LV70" s="1"/>
      <c r="LW70" s="1"/>
      <c r="LX70" s="1"/>
      <c r="LY70" s="1"/>
      <c r="LZ70" s="1"/>
      <c r="MA70" s="1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1"/>
      <c r="MN70" s="1"/>
      <c r="MO70" s="1"/>
      <c r="MP70" s="1"/>
      <c r="MQ70" s="1"/>
      <c r="MR70" s="1"/>
      <c r="MS70" s="1"/>
      <c r="MT70" s="1"/>
      <c r="MU70" s="1"/>
      <c r="MV70" s="1"/>
      <c r="MW70" s="1"/>
      <c r="MX70" s="1"/>
      <c r="MY70" s="1"/>
      <c r="MZ70" s="1"/>
      <c r="NA70" s="1"/>
      <c r="NB70" s="1"/>
      <c r="NC70" s="1"/>
      <c r="ND70" s="1"/>
      <c r="NE70" s="1"/>
      <c r="NF70" s="1"/>
      <c r="NG70" s="1"/>
      <c r="NH70" s="1"/>
      <c r="NI70" s="1"/>
      <c r="NJ70" s="1"/>
      <c r="NK70" s="1"/>
      <c r="NN70" s="1"/>
      <c r="NO70" s="1"/>
      <c r="NP70" s="1"/>
      <c r="NQ70" s="1"/>
      <c r="NR70" s="1"/>
      <c r="NS70" s="1"/>
      <c r="NT70" s="1"/>
      <c r="NU70" s="1"/>
      <c r="NV70" s="1"/>
      <c r="NW70" s="1"/>
      <c r="NX70" s="1"/>
      <c r="NY70" s="1"/>
      <c r="NZ70" s="1"/>
      <c r="OA70" s="1"/>
      <c r="OB70" s="1"/>
      <c r="OC70" s="1"/>
      <c r="OD70" s="1"/>
      <c r="OE70" s="1"/>
      <c r="OF70" s="1"/>
      <c r="OG70" s="1"/>
      <c r="OH70" s="1"/>
      <c r="OI70" s="1"/>
      <c r="OJ70" s="1"/>
      <c r="OK70" s="1"/>
    </row>
    <row r="71" spans="1:401" x14ac:dyDescent="0.3">
      <c r="A71" s="1"/>
      <c r="B71" s="1"/>
      <c r="C71" s="1"/>
      <c r="D71" s="1"/>
      <c r="E71" s="1"/>
      <c r="F71" s="1"/>
      <c r="G71" s="1"/>
      <c r="I71" s="28"/>
      <c r="J71" s="1"/>
      <c r="K71" s="396" t="s">
        <v>485</v>
      </c>
      <c r="L71" s="397" t="s">
        <v>487</v>
      </c>
      <c r="M71" s="398" t="s">
        <v>490</v>
      </c>
      <c r="N71" s="397" t="s">
        <v>492</v>
      </c>
      <c r="O71" s="397" t="s">
        <v>498</v>
      </c>
      <c r="P71" s="397" t="s">
        <v>504</v>
      </c>
      <c r="Q71" s="397" t="s">
        <v>460</v>
      </c>
      <c r="R71" s="397"/>
      <c r="S71" s="397" t="s">
        <v>460</v>
      </c>
      <c r="T71" s="397" t="s">
        <v>460</v>
      </c>
      <c r="U71" s="397" t="s">
        <v>460</v>
      </c>
      <c r="V71" s="397" t="s">
        <v>460</v>
      </c>
      <c r="W71" s="398" t="s">
        <v>460</v>
      </c>
      <c r="X71" s="397" t="s">
        <v>460</v>
      </c>
      <c r="Y71" s="397" t="s">
        <v>460</v>
      </c>
      <c r="Z71" s="397" t="s">
        <v>460</v>
      </c>
      <c r="AA71" s="397" t="s">
        <v>460</v>
      </c>
      <c r="AB71" s="397" t="s">
        <v>460</v>
      </c>
      <c r="AC71" s="397" t="s">
        <v>460</v>
      </c>
      <c r="AD71" s="397" t="s">
        <v>460</v>
      </c>
      <c r="AE71" s="397" t="s">
        <v>460</v>
      </c>
      <c r="AF71" s="397" t="s">
        <v>17</v>
      </c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  <c r="IU71" s="1"/>
      <c r="IV71" s="1"/>
      <c r="IW71" s="1"/>
      <c r="IX71" s="1"/>
      <c r="IY71" s="1"/>
      <c r="IZ71" s="1"/>
      <c r="JA71" s="1"/>
      <c r="JB71" s="1"/>
      <c r="JC71" s="1"/>
      <c r="JD71" s="1"/>
      <c r="JE71" s="1"/>
      <c r="JF71" s="1"/>
      <c r="JG71" s="1"/>
      <c r="JH71" s="1"/>
      <c r="JI71" s="1"/>
      <c r="JJ71" s="1"/>
      <c r="JK71" s="1"/>
      <c r="JL71" s="1"/>
      <c r="JM71" s="1"/>
      <c r="JN71" s="1"/>
      <c r="JO71" s="1"/>
      <c r="JP71" s="1"/>
      <c r="JQ71" s="1"/>
      <c r="JR71" s="1"/>
      <c r="JS71" s="1"/>
      <c r="JT71" s="1"/>
      <c r="JU71" s="1"/>
      <c r="JV71" s="1"/>
      <c r="JW71" s="1"/>
      <c r="JX71" s="1"/>
      <c r="JY71" s="1"/>
      <c r="JZ71" s="1"/>
      <c r="KA71" s="1"/>
      <c r="KB71" s="1"/>
      <c r="KC71" s="1"/>
      <c r="KD71" s="1"/>
      <c r="KE71" s="1"/>
      <c r="KF71" s="1"/>
      <c r="KG71" s="1"/>
      <c r="KH71" s="1"/>
      <c r="KI71" s="1"/>
      <c r="KJ71" s="1"/>
      <c r="KK71" s="1"/>
      <c r="KL71" s="1"/>
      <c r="KM71" s="1"/>
      <c r="KN71" s="1"/>
      <c r="KO71" s="1"/>
      <c r="KP71" s="1"/>
      <c r="KQ71" s="1"/>
      <c r="KR71" s="1"/>
      <c r="KS71" s="1"/>
      <c r="KT71" s="1"/>
      <c r="KU71" s="1"/>
      <c r="KV71" s="1"/>
      <c r="KW71" s="1"/>
      <c r="KX71" s="1"/>
      <c r="KY71" s="1"/>
      <c r="KZ71" s="1"/>
      <c r="LA71" s="1"/>
      <c r="LB71" s="1"/>
      <c r="LC71" s="1"/>
      <c r="LD71" s="1"/>
      <c r="LE71" s="1"/>
      <c r="LF71" s="1"/>
      <c r="LG71" s="1"/>
      <c r="LH71" s="1"/>
      <c r="LI71" s="1"/>
      <c r="LJ71" s="1"/>
      <c r="LK71" s="1"/>
      <c r="LL71" s="1"/>
      <c r="LM71" s="1"/>
      <c r="LN71" s="1"/>
      <c r="LO71" s="1"/>
      <c r="LP71" s="1"/>
      <c r="LQ71" s="1"/>
      <c r="LR71" s="1"/>
      <c r="LS71" s="1"/>
      <c r="LT71" s="1"/>
      <c r="LU71" s="1"/>
      <c r="LV71" s="1"/>
      <c r="LW71" s="1"/>
      <c r="LX71" s="1"/>
      <c r="LY71" s="1"/>
      <c r="LZ71" s="1"/>
      <c r="MA71" s="1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1"/>
      <c r="MN71" s="1"/>
      <c r="MO71" s="1"/>
      <c r="MP71" s="1"/>
      <c r="MQ71" s="1"/>
      <c r="MR71" s="1"/>
      <c r="MS71" s="1"/>
      <c r="MT71" s="1"/>
      <c r="MU71" s="1"/>
      <c r="MV71" s="1"/>
      <c r="MW71" s="1"/>
      <c r="MX71" s="1"/>
      <c r="MY71" s="1"/>
      <c r="MZ71" s="1"/>
      <c r="NA71" s="1"/>
      <c r="NB71" s="1"/>
      <c r="NC71" s="1"/>
      <c r="ND71" s="1"/>
      <c r="NE71" s="1"/>
      <c r="NF71" s="1"/>
      <c r="NG71" s="1"/>
      <c r="NH71" s="1"/>
      <c r="NI71" s="1"/>
      <c r="NJ71" s="1"/>
      <c r="NK71" s="1"/>
      <c r="NN71" s="1"/>
      <c r="NO71" s="1"/>
      <c r="NP71" s="1"/>
      <c r="NQ71" s="1"/>
      <c r="NR71" s="1"/>
      <c r="NS71" s="1"/>
      <c r="NT71" s="1"/>
      <c r="NU71" s="1"/>
      <c r="NV71" s="1"/>
      <c r="NW71" s="1"/>
      <c r="NX71" s="1"/>
      <c r="NY71" s="1"/>
      <c r="NZ71" s="1"/>
      <c r="OA71" s="1"/>
      <c r="OB71" s="1"/>
      <c r="OC71" s="1"/>
      <c r="OD71" s="1"/>
      <c r="OE71" s="1"/>
      <c r="OF71" s="1"/>
      <c r="OG71" s="1"/>
      <c r="OH71" s="1"/>
      <c r="OI71" s="1"/>
      <c r="OJ71" s="1"/>
      <c r="OK71" s="1"/>
    </row>
    <row r="72" spans="1:401" x14ac:dyDescent="0.3">
      <c r="A72" s="1"/>
      <c r="B72" s="1"/>
      <c r="C72" s="1"/>
      <c r="D72" s="1"/>
      <c r="E72" s="1"/>
      <c r="F72" s="1"/>
      <c r="G72" s="1"/>
      <c r="I72" s="28"/>
      <c r="J72" s="3" t="s">
        <v>481</v>
      </c>
      <c r="K72" s="399">
        <f t="shared" ref="K72:AE72" si="94">COUNTIFS($G$12:$G$53,K$71,$H$12:$H$53,"1")/2</f>
        <v>1</v>
      </c>
      <c r="L72" s="399">
        <f t="shared" si="94"/>
        <v>2</v>
      </c>
      <c r="M72" s="399">
        <f t="shared" si="94"/>
        <v>1</v>
      </c>
      <c r="N72" s="399">
        <f t="shared" si="94"/>
        <v>2</v>
      </c>
      <c r="O72" s="399">
        <f t="shared" si="94"/>
        <v>7</v>
      </c>
      <c r="P72" s="399">
        <f t="shared" si="94"/>
        <v>9</v>
      </c>
      <c r="Q72" s="399">
        <f t="shared" si="94"/>
        <v>0</v>
      </c>
      <c r="R72" s="399">
        <f t="shared" si="94"/>
        <v>0</v>
      </c>
      <c r="S72" s="399">
        <f t="shared" si="94"/>
        <v>0</v>
      </c>
      <c r="T72" s="399">
        <f t="shared" si="94"/>
        <v>0</v>
      </c>
      <c r="U72" s="399">
        <f t="shared" si="94"/>
        <v>0</v>
      </c>
      <c r="V72" s="399">
        <f t="shared" si="94"/>
        <v>0</v>
      </c>
      <c r="W72" s="399">
        <f t="shared" si="94"/>
        <v>0</v>
      </c>
      <c r="X72" s="399">
        <f t="shared" si="94"/>
        <v>0</v>
      </c>
      <c r="Y72" s="399">
        <f t="shared" si="94"/>
        <v>0</v>
      </c>
      <c r="Z72" s="399">
        <f t="shared" si="94"/>
        <v>0</v>
      </c>
      <c r="AA72" s="399">
        <f t="shared" si="94"/>
        <v>0</v>
      </c>
      <c r="AB72" s="399">
        <f t="shared" si="94"/>
        <v>0</v>
      </c>
      <c r="AC72" s="399">
        <f t="shared" si="94"/>
        <v>0</v>
      </c>
      <c r="AD72" s="399">
        <f t="shared" si="94"/>
        <v>0</v>
      </c>
      <c r="AE72" s="399">
        <f t="shared" si="94"/>
        <v>0</v>
      </c>
      <c r="AF72" s="399">
        <f>SUMIF($H$12:$H$53,"=1")/2</f>
        <v>13</v>
      </c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  <c r="IU72" s="1"/>
      <c r="IV72" s="1"/>
      <c r="IW72" s="1"/>
      <c r="IX72" s="1"/>
      <c r="IY72" s="1"/>
      <c r="IZ72" s="1"/>
      <c r="JA72" s="1"/>
      <c r="JB72" s="1"/>
      <c r="JC72" s="1"/>
      <c r="JD72" s="1"/>
      <c r="JE72" s="1"/>
      <c r="JF72" s="1"/>
      <c r="JG72" s="1"/>
      <c r="JH72" s="1"/>
      <c r="JI72" s="1"/>
      <c r="JJ72" s="1"/>
      <c r="JK72" s="1"/>
      <c r="JL72" s="1"/>
      <c r="JM72" s="1"/>
      <c r="JN72" s="1"/>
      <c r="JO72" s="1"/>
      <c r="JP72" s="1"/>
      <c r="JQ72" s="1"/>
      <c r="JR72" s="1"/>
      <c r="JS72" s="1"/>
      <c r="JT72" s="1"/>
      <c r="JU72" s="1"/>
      <c r="JV72" s="1"/>
      <c r="JW72" s="1"/>
      <c r="JX72" s="1"/>
      <c r="JY72" s="1"/>
      <c r="JZ72" s="1"/>
      <c r="KA72" s="1"/>
      <c r="KB72" s="1"/>
      <c r="KC72" s="1"/>
      <c r="KD72" s="1"/>
      <c r="KE72" s="1"/>
      <c r="KF72" s="1"/>
      <c r="KG72" s="1"/>
      <c r="KH72" s="1"/>
      <c r="KI72" s="1"/>
      <c r="KJ72" s="1"/>
      <c r="KK72" s="1"/>
      <c r="KL72" s="1"/>
      <c r="KM72" s="1"/>
      <c r="KN72" s="1"/>
      <c r="KO72" s="1"/>
      <c r="KP72" s="1"/>
      <c r="KQ72" s="1"/>
      <c r="KR72" s="1"/>
      <c r="KS72" s="1"/>
      <c r="KT72" s="1"/>
      <c r="KU72" s="1"/>
      <c r="KV72" s="1"/>
      <c r="KW72" s="1"/>
      <c r="KX72" s="1"/>
      <c r="KY72" s="1"/>
      <c r="KZ72" s="1"/>
      <c r="LA72" s="1"/>
      <c r="LB72" s="1"/>
      <c r="LC72" s="1"/>
      <c r="LD72" s="1"/>
      <c r="LE72" s="1"/>
      <c r="LF72" s="1"/>
      <c r="LG72" s="1"/>
      <c r="LH72" s="1"/>
      <c r="LI72" s="1"/>
      <c r="LJ72" s="1"/>
      <c r="LK72" s="1"/>
      <c r="LL72" s="1"/>
      <c r="LM72" s="1"/>
      <c r="LN72" s="1"/>
      <c r="LO72" s="1"/>
      <c r="LP72" s="1"/>
      <c r="LQ72" s="1"/>
      <c r="LR72" s="1"/>
      <c r="LS72" s="1"/>
      <c r="LT72" s="1"/>
      <c r="LU72" s="1"/>
      <c r="LV72" s="1"/>
      <c r="LW72" s="1"/>
      <c r="LX72" s="1"/>
      <c r="LY72" s="1"/>
      <c r="LZ72" s="1"/>
      <c r="MA72" s="1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1"/>
      <c r="MN72" s="1"/>
      <c r="MO72" s="1"/>
      <c r="MP72" s="1"/>
      <c r="MQ72" s="1"/>
      <c r="MR72" s="1"/>
      <c r="MS72" s="1"/>
      <c r="MT72" s="1"/>
      <c r="MU72" s="1"/>
      <c r="MV72" s="1"/>
      <c r="MW72" s="1"/>
      <c r="MX72" s="1"/>
      <c r="MY72" s="1"/>
      <c r="MZ72" s="1"/>
      <c r="NA72" s="1"/>
      <c r="NB72" s="1"/>
      <c r="NC72" s="1"/>
      <c r="ND72" s="1"/>
      <c r="NE72" s="1"/>
      <c r="NF72" s="1"/>
      <c r="NG72" s="1"/>
      <c r="NH72" s="1"/>
      <c r="NI72" s="1"/>
      <c r="NJ72" s="1"/>
      <c r="NK72" s="1"/>
      <c r="NN72" s="1"/>
      <c r="NO72" s="1"/>
      <c r="NP72" s="1"/>
      <c r="NQ72" s="1"/>
      <c r="NR72" s="1"/>
      <c r="NS72" s="1"/>
      <c r="NT72" s="1"/>
      <c r="NU72" s="1"/>
      <c r="NV72" s="1"/>
      <c r="NW72" s="1"/>
      <c r="NX72" s="1"/>
      <c r="NY72" s="1"/>
      <c r="NZ72" s="1"/>
      <c r="OA72" s="1"/>
      <c r="OB72" s="1"/>
      <c r="OC72" s="1"/>
      <c r="OD72" s="1"/>
      <c r="OE72" s="1"/>
      <c r="OF72" s="1"/>
      <c r="OG72" s="1"/>
      <c r="OH72" s="1"/>
      <c r="OI72" s="1"/>
      <c r="OJ72" s="1"/>
      <c r="OK72" s="1"/>
    </row>
    <row r="73" spans="1:401" x14ac:dyDescent="0.3">
      <c r="A73" s="1"/>
      <c r="B73" s="1"/>
      <c r="C73" s="1"/>
      <c r="D73" s="1"/>
      <c r="E73" s="1"/>
      <c r="F73" s="1"/>
      <c r="G73" s="1"/>
      <c r="I73" s="28"/>
      <c r="J73" s="3" t="s">
        <v>10</v>
      </c>
      <c r="K73" s="400">
        <f t="shared" ref="K73:AE73" si="95">SUMIFS($C$12:$C$53,$G$12:$G$53,K$71,$H$12:$H$53,"1")/2</f>
        <v>1</v>
      </c>
      <c r="L73" s="400">
        <f t="shared" si="95"/>
        <v>2</v>
      </c>
      <c r="M73" s="400">
        <f t="shared" si="95"/>
        <v>1</v>
      </c>
      <c r="N73" s="400">
        <f t="shared" si="95"/>
        <v>2</v>
      </c>
      <c r="O73" s="400">
        <f t="shared" si="95"/>
        <v>7</v>
      </c>
      <c r="P73" s="400">
        <f t="shared" si="95"/>
        <v>9</v>
      </c>
      <c r="Q73" s="400">
        <f t="shared" si="95"/>
        <v>0</v>
      </c>
      <c r="R73" s="400">
        <f t="shared" si="95"/>
        <v>0</v>
      </c>
      <c r="S73" s="400">
        <f t="shared" si="95"/>
        <v>0</v>
      </c>
      <c r="T73" s="400">
        <f t="shared" si="95"/>
        <v>0</v>
      </c>
      <c r="U73" s="400">
        <f t="shared" si="95"/>
        <v>0</v>
      </c>
      <c r="V73" s="400">
        <f t="shared" si="95"/>
        <v>0</v>
      </c>
      <c r="W73" s="400">
        <f t="shared" si="95"/>
        <v>0</v>
      </c>
      <c r="X73" s="400">
        <f t="shared" si="95"/>
        <v>0</v>
      </c>
      <c r="Y73" s="400">
        <f t="shared" si="95"/>
        <v>0</v>
      </c>
      <c r="Z73" s="400">
        <f t="shared" si="95"/>
        <v>0</v>
      </c>
      <c r="AA73" s="400">
        <f t="shared" si="95"/>
        <v>0</v>
      </c>
      <c r="AB73" s="400">
        <f t="shared" si="95"/>
        <v>0</v>
      </c>
      <c r="AC73" s="400">
        <f t="shared" si="95"/>
        <v>0</v>
      </c>
      <c r="AD73" s="400">
        <f t="shared" si="95"/>
        <v>0</v>
      </c>
      <c r="AE73" s="400">
        <f t="shared" si="95"/>
        <v>0</v>
      </c>
      <c r="AF73" s="400">
        <f>SUMIFS($C$12:$C$53,$H$12:$H$53,"1")/2</f>
        <v>13</v>
      </c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O73" s="1"/>
      <c r="JP73" s="1"/>
      <c r="JQ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  <c r="KT73" s="1"/>
      <c r="KU73" s="1"/>
      <c r="KV73" s="1"/>
      <c r="KW73" s="1"/>
      <c r="KX73" s="1"/>
      <c r="KY73" s="1"/>
      <c r="KZ73" s="1"/>
      <c r="LA73" s="1"/>
      <c r="LB73" s="1"/>
      <c r="LC73" s="1"/>
      <c r="LD73" s="1"/>
      <c r="LE73" s="1"/>
      <c r="LF73" s="1"/>
      <c r="LG73" s="1"/>
      <c r="LH73" s="1"/>
      <c r="LI73" s="1"/>
      <c r="LJ73" s="1"/>
      <c r="LK73" s="1"/>
      <c r="LL73" s="1"/>
      <c r="LM73" s="1"/>
      <c r="LN73" s="1"/>
      <c r="LO73" s="1"/>
      <c r="LP73" s="1"/>
      <c r="LQ73" s="1"/>
      <c r="LR73" s="1"/>
      <c r="LS73" s="1"/>
      <c r="LT73" s="1"/>
      <c r="LU73" s="1"/>
      <c r="LV73" s="1"/>
      <c r="LW73" s="1"/>
      <c r="LX73" s="1"/>
      <c r="LY73" s="1"/>
      <c r="LZ73" s="1"/>
      <c r="MA73" s="1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1"/>
      <c r="MN73" s="1"/>
      <c r="MO73" s="1"/>
      <c r="MP73" s="1"/>
      <c r="MQ73" s="1"/>
      <c r="MR73" s="1"/>
      <c r="MS73" s="1"/>
      <c r="MT73" s="1"/>
      <c r="MU73" s="1"/>
      <c r="MV73" s="1"/>
      <c r="MW73" s="1"/>
      <c r="MX73" s="1"/>
      <c r="MY73" s="1"/>
      <c r="MZ73" s="1"/>
      <c r="NA73" s="1"/>
      <c r="NB73" s="1"/>
      <c r="NC73" s="1"/>
      <c r="ND73" s="1"/>
      <c r="NE73" s="1"/>
      <c r="NF73" s="1"/>
      <c r="NG73" s="1"/>
      <c r="NH73" s="1"/>
      <c r="NI73" s="1"/>
      <c r="NJ73" s="1"/>
      <c r="NK73" s="1"/>
      <c r="NN73" s="1"/>
      <c r="NO73" s="1"/>
      <c r="NP73" s="1"/>
      <c r="NQ73" s="1"/>
      <c r="NR73" s="1"/>
      <c r="NS73" s="1"/>
      <c r="NT73" s="1"/>
      <c r="NU73" s="1"/>
      <c r="NV73" s="1"/>
      <c r="NW73" s="1"/>
      <c r="NX73" s="1"/>
      <c r="NY73" s="1"/>
      <c r="NZ73" s="1"/>
      <c r="OA73" s="1"/>
      <c r="OB73" s="1"/>
      <c r="OC73" s="1"/>
      <c r="OD73" s="1"/>
      <c r="OE73" s="1"/>
      <c r="OF73" s="1"/>
      <c r="OG73" s="1"/>
      <c r="OH73" s="1"/>
      <c r="OI73" s="1"/>
      <c r="OJ73" s="1"/>
      <c r="OK73" s="1"/>
    </row>
    <row r="74" spans="1:401" x14ac:dyDescent="0.3">
      <c r="A74" s="1"/>
      <c r="B74" s="1"/>
      <c r="C74" s="1"/>
      <c r="D74" s="1"/>
      <c r="E74" s="1"/>
      <c r="F74" s="1"/>
      <c r="G74" s="1"/>
      <c r="I74" s="28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  <c r="KP74" s="1"/>
      <c r="KQ74" s="1"/>
      <c r="KR74" s="1"/>
      <c r="KS74" s="1"/>
      <c r="KT74" s="1"/>
      <c r="KU74" s="1"/>
      <c r="KV74" s="1"/>
      <c r="KW74" s="1"/>
      <c r="KX74" s="1"/>
      <c r="KY74" s="1"/>
      <c r="KZ74" s="1"/>
      <c r="LA74" s="1"/>
      <c r="LB74" s="1"/>
      <c r="LC74" s="1"/>
      <c r="LD74" s="1"/>
      <c r="LE74" s="1"/>
      <c r="LF74" s="1"/>
      <c r="LG74" s="1"/>
      <c r="LH74" s="1"/>
      <c r="LI74" s="1"/>
      <c r="LJ74" s="1"/>
      <c r="LK74" s="1"/>
      <c r="LL74" s="1"/>
      <c r="LM74" s="1"/>
      <c r="LN74" s="1"/>
      <c r="LO74" s="1"/>
      <c r="LP74" s="1"/>
      <c r="LQ74" s="1"/>
      <c r="LR74" s="1"/>
      <c r="LS74" s="1"/>
      <c r="LT74" s="1"/>
      <c r="LU74" s="1"/>
      <c r="LV74" s="1"/>
      <c r="LW74" s="1"/>
      <c r="LX74" s="1"/>
      <c r="LY74" s="1"/>
      <c r="LZ74" s="1"/>
      <c r="MA74" s="1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1"/>
      <c r="MN74" s="1"/>
      <c r="MO74" s="1"/>
      <c r="MP74" s="1"/>
      <c r="MQ74" s="1"/>
      <c r="MR74" s="1"/>
      <c r="MS74" s="1"/>
      <c r="MT74" s="1"/>
      <c r="MU74" s="1"/>
      <c r="MV74" s="1"/>
      <c r="MW74" s="1"/>
      <c r="MX74" s="1"/>
      <c r="MY74" s="1"/>
      <c r="MZ74" s="1"/>
      <c r="NA74" s="1"/>
      <c r="NB74" s="1"/>
      <c r="NC74" s="1"/>
      <c r="ND74" s="1"/>
      <c r="NE74" s="1"/>
      <c r="NF74" s="1"/>
      <c r="NG74" s="1"/>
      <c r="NH74" s="1"/>
      <c r="NI74" s="1"/>
      <c r="NJ74" s="1"/>
      <c r="NK74" s="1"/>
      <c r="NN74" s="1"/>
      <c r="NO74" s="1"/>
      <c r="NP74" s="1"/>
      <c r="NQ74" s="1"/>
      <c r="NR74" s="1"/>
      <c r="NS74" s="1"/>
      <c r="NT74" s="1"/>
      <c r="NU74" s="1"/>
      <c r="NV74" s="1"/>
      <c r="NW74" s="1"/>
      <c r="NX74" s="1"/>
      <c r="NY74" s="1"/>
      <c r="NZ74" s="1"/>
      <c r="OA74" s="1"/>
      <c r="OB74" s="1"/>
      <c r="OC74" s="1"/>
      <c r="OD74" s="1"/>
      <c r="OE74" s="1"/>
      <c r="OF74" s="1"/>
      <c r="OG74" s="1"/>
      <c r="OH74" s="1"/>
      <c r="OI74" s="1"/>
      <c r="OJ74" s="1"/>
      <c r="OK74" s="1"/>
    </row>
    <row r="75" spans="1:401" x14ac:dyDescent="0.3">
      <c r="A75" s="1"/>
      <c r="B75" s="1"/>
      <c r="C75" s="1"/>
      <c r="D75" s="1"/>
      <c r="E75" s="1"/>
      <c r="F75" s="1"/>
      <c r="G75" s="498" t="s">
        <v>459</v>
      </c>
      <c r="H75" s="499"/>
      <c r="I75" s="28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  <c r="KP75" s="1"/>
      <c r="KQ75" s="1"/>
      <c r="KR75" s="1"/>
      <c r="KS75" s="1"/>
      <c r="KT75" s="1"/>
      <c r="KU75" s="1"/>
      <c r="KV75" s="1"/>
      <c r="KW75" s="1"/>
      <c r="KX75" s="1"/>
      <c r="KY75" s="1"/>
      <c r="KZ75" s="1"/>
      <c r="LA75" s="1"/>
      <c r="LB75" s="1"/>
      <c r="LC75" s="1"/>
      <c r="LD75" s="1"/>
      <c r="LE75" s="1"/>
      <c r="LF75" s="1"/>
      <c r="LG75" s="1"/>
      <c r="LH75" s="1"/>
      <c r="LI75" s="1"/>
      <c r="LJ75" s="1"/>
      <c r="LK75" s="1"/>
      <c r="LL75" s="1"/>
      <c r="LM75" s="1"/>
      <c r="LN75" s="1"/>
      <c r="LO75" s="1"/>
      <c r="LP75" s="1"/>
      <c r="LQ75" s="1"/>
      <c r="LR75" s="1"/>
      <c r="LS75" s="1"/>
      <c r="LT75" s="1"/>
      <c r="LU75" s="1"/>
      <c r="LV75" s="1"/>
      <c r="LW75" s="1"/>
      <c r="LX75" s="1"/>
      <c r="LY75" s="1"/>
      <c r="LZ75" s="1"/>
      <c r="MA75" s="1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1"/>
      <c r="MN75" s="1"/>
      <c r="MO75" s="1"/>
      <c r="MP75" s="1"/>
      <c r="MQ75" s="1"/>
      <c r="MR75" s="1"/>
      <c r="MS75" s="1"/>
      <c r="MT75" s="1"/>
      <c r="MU75" s="1"/>
      <c r="MV75" s="1"/>
      <c r="MW75" s="1"/>
      <c r="MX75" s="1"/>
      <c r="MY75" s="1"/>
      <c r="MZ75" s="1"/>
      <c r="NA75" s="1"/>
      <c r="NB75" s="1"/>
      <c r="NC75" s="1"/>
      <c r="ND75" s="1"/>
      <c r="NE75" s="1"/>
      <c r="NF75" s="1"/>
      <c r="NG75" s="1"/>
      <c r="NH75" s="1"/>
      <c r="NI75" s="1"/>
      <c r="NJ75" s="1"/>
      <c r="NK75" s="1"/>
      <c r="NN75" s="1"/>
      <c r="NO75" s="1"/>
      <c r="NP75" s="1"/>
      <c r="NQ75" s="1"/>
      <c r="NR75" s="1"/>
      <c r="NS75" s="1"/>
      <c r="NT75" s="1"/>
      <c r="NU75" s="1"/>
      <c r="NV75" s="1"/>
      <c r="NW75" s="1"/>
      <c r="NX75" s="1"/>
      <c r="NY75" s="1"/>
      <c r="NZ75" s="1"/>
      <c r="OA75" s="1"/>
      <c r="OB75" s="1"/>
      <c r="OC75" s="1"/>
      <c r="OD75" s="1"/>
      <c r="OE75" s="1"/>
      <c r="OF75" s="1"/>
      <c r="OG75" s="1"/>
      <c r="OH75" s="1"/>
      <c r="OI75" s="1"/>
      <c r="OJ75" s="1"/>
      <c r="OK75" s="1"/>
    </row>
    <row r="76" spans="1:401" x14ac:dyDescent="0.3">
      <c r="A76" s="1"/>
      <c r="B76" s="1"/>
      <c r="C76" s="1"/>
      <c r="D76" s="1"/>
      <c r="E76" s="1"/>
      <c r="F76" s="477"/>
      <c r="G76" s="478"/>
      <c r="H76" s="478" t="s">
        <v>39</v>
      </c>
      <c r="I76" s="28"/>
      <c r="J76" s="114" t="str" cm="1">
        <f t="array" ref="J76">IF(xcomp(J$12:J$53,L.ABS)+xcomp(J$12:J$53,L.EQUIPE)=0,"",xcomp(J$12:J$53,L.ABS)+xcomp(J$12:J$53,L.EQUIPE))</f>
        <v/>
      </c>
      <c r="K76" s="114" t="str" cm="1">
        <f t="array" ref="K76">IF(xcomp(K$12:K$53,L.ABS)+xcomp(K$12:K$53,L.EQUIPE)=0,"",xcomp(K$12:K$53,L.ABS)+xcomp(K$12:K$53,L.EQUIPE))</f>
        <v/>
      </c>
      <c r="L76" s="114" t="str" cm="1">
        <f t="array" ref="L76">IF(xcomp(L$12:L$53,L.ABS)+xcomp(L$12:L$53,L.EQUIPE)=0,"",xcomp(L$12:L$53,L.ABS)+xcomp(L$12:L$53,L.EQUIPE))</f>
        <v/>
      </c>
      <c r="M76" s="114" t="str" cm="1">
        <f t="array" ref="M76">IF(xcomp(M$12:M$53,L.ABS)+xcomp(M$12:M$53,L.EQUIPE)=0,"",xcomp(M$12:M$53,L.ABS)+xcomp(M$12:M$53,L.EQUIPE))</f>
        <v/>
      </c>
      <c r="N76" s="114" t="str" cm="1">
        <f t="array" ref="N76">IF(xcomp(N$12:N$53,L.ABS)+xcomp(N$12:N$53,L.EQUIPE)=0,"",xcomp(N$12:N$53,L.ABS)+xcomp(N$12:N$53,L.EQUIPE))</f>
        <v/>
      </c>
      <c r="O76" s="114" t="str" cm="1">
        <f t="array" ref="O76">IF(xcomp(O$12:O$53,L.ABS)+xcomp(O$12:O$53,L.EQUIPE)=0,"",xcomp(O$12:O$53,L.ABS)+xcomp(O$12:O$53,L.EQUIPE))</f>
        <v/>
      </c>
      <c r="P76" s="114" t="str" cm="1">
        <f t="array" ref="P76">IF(xcomp(P$12:P$53,L.ABS)+xcomp(P$12:P$53,L.EQUIPE)=0,"",xcomp(P$12:P$53,L.ABS)+xcomp(P$12:P$53,L.EQUIPE))</f>
        <v/>
      </c>
      <c r="Q76" s="114" t="str" cm="1">
        <f t="array" ref="Q76">IF(xcomp(Q$12:Q$53,L.ABS)+xcomp(Q$12:Q$53,L.EQUIPE)=0,"",xcomp(Q$12:Q$53,L.ABS)+xcomp(Q$12:Q$53,L.EQUIPE))</f>
        <v/>
      </c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  <c r="KP76" s="1"/>
      <c r="KQ76" s="1"/>
      <c r="KR76" s="1"/>
      <c r="KS76" s="1"/>
      <c r="KT76" s="1"/>
      <c r="KU76" s="1"/>
      <c r="KV76" s="1"/>
      <c r="KW76" s="1"/>
      <c r="KX76" s="1"/>
      <c r="KY76" s="1"/>
      <c r="KZ76" s="1"/>
      <c r="LA76" s="1"/>
      <c r="LB76" s="1"/>
      <c r="LC76" s="1"/>
      <c r="LD76" s="1"/>
      <c r="LE76" s="1"/>
      <c r="LF76" s="1"/>
      <c r="LG76" s="1"/>
      <c r="LH76" s="1"/>
      <c r="LI76" s="1"/>
      <c r="LJ76" s="1"/>
      <c r="LK76" s="1"/>
      <c r="LL76" s="1"/>
      <c r="LM76" s="1"/>
      <c r="LN76" s="1"/>
      <c r="LO76" s="1"/>
      <c r="LP76" s="1"/>
      <c r="LQ76" s="1"/>
      <c r="LR76" s="1"/>
      <c r="LS76" s="1"/>
      <c r="LT76" s="1"/>
      <c r="LU76" s="1"/>
      <c r="LV76" s="1"/>
      <c r="LW76" s="1"/>
      <c r="LX76" s="1"/>
      <c r="LY76" s="1"/>
      <c r="LZ76" s="1"/>
      <c r="MA76" s="1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1"/>
      <c r="MN76" s="1"/>
      <c r="MO76" s="1"/>
      <c r="MP76" s="1"/>
      <c r="MQ76" s="1"/>
      <c r="MR76" s="1"/>
      <c r="MS76" s="1"/>
      <c r="MT76" s="1"/>
      <c r="MU76" s="1"/>
      <c r="MV76" s="1"/>
      <c r="MW76" s="1"/>
      <c r="MX76" s="1"/>
      <c r="MY76" s="1"/>
      <c r="MZ76" s="1"/>
      <c r="NA76" s="1"/>
      <c r="NB76" s="1"/>
      <c r="NC76" s="1"/>
      <c r="ND76" s="1"/>
      <c r="NE76" s="1"/>
      <c r="NF76" s="1"/>
      <c r="NG76" s="1"/>
      <c r="NH76" s="1"/>
      <c r="NI76" s="1"/>
      <c r="NJ76" s="1"/>
      <c r="NK76" s="1"/>
      <c r="NN76" s="1"/>
      <c r="NO76" s="1"/>
      <c r="NP76" s="1"/>
      <c r="NQ76" s="1"/>
      <c r="NR76" s="1"/>
      <c r="NS76" s="1"/>
      <c r="NT76" s="1"/>
      <c r="NU76" s="1"/>
      <c r="NV76" s="1"/>
      <c r="NW76" s="1"/>
      <c r="NX76" s="1"/>
      <c r="NY76" s="1"/>
      <c r="NZ76" s="1"/>
      <c r="OA76" s="1"/>
      <c r="OB76" s="1"/>
      <c r="OC76" s="1"/>
      <c r="OD76" s="1"/>
      <c r="OE76" s="1"/>
      <c r="OF76" s="1"/>
      <c r="OG76" s="1"/>
      <c r="OH76" s="1"/>
      <c r="OI76" s="1"/>
      <c r="OJ76" s="1"/>
      <c r="OK76" s="1"/>
    </row>
    <row r="77" spans="1:401" s="452" customFormat="1" x14ac:dyDescent="0.3">
      <c r="A77" s="1"/>
      <c r="B77" s="1"/>
      <c r="C77" s="1"/>
      <c r="D77" s="1"/>
      <c r="E77" s="1"/>
      <c r="F77" s="477"/>
      <c r="G77" s="478"/>
      <c r="H77" s="478" t="s">
        <v>40</v>
      </c>
      <c r="I77" s="28"/>
      <c r="J77" s="19" t="str">
        <f>IF(J$55="","",J$55-J$57)</f>
        <v/>
      </c>
      <c r="K77" s="19" t="str">
        <f>IF(K$55="","",K$55-K$57)</f>
        <v/>
      </c>
      <c r="L77" s="19" t="str">
        <f t="shared" ref="L77:Q77" si="96">IF(L$55="","",L$55-L$57)</f>
        <v/>
      </c>
      <c r="M77" s="19" t="str">
        <f t="shared" si="96"/>
        <v/>
      </c>
      <c r="N77" s="19" t="str">
        <f t="shared" si="96"/>
        <v/>
      </c>
      <c r="O77" s="19" t="str">
        <f t="shared" si="96"/>
        <v/>
      </c>
      <c r="P77" s="19" t="str">
        <f t="shared" si="96"/>
        <v/>
      </c>
      <c r="Q77" s="19" t="str">
        <f t="shared" si="96"/>
        <v/>
      </c>
    </row>
    <row r="78" spans="1:401" x14ac:dyDescent="0.3">
      <c r="A78" s="1"/>
      <c r="B78" s="1"/>
      <c r="C78" s="1"/>
      <c r="D78" s="1"/>
      <c r="E78" s="1"/>
      <c r="F78" s="477"/>
      <c r="G78" s="478"/>
      <c r="H78" s="478" t="s">
        <v>41</v>
      </c>
      <c r="I78" s="28"/>
      <c r="J78" s="18" t="str" cm="1">
        <f t="array" ref="J78">IF(J$55="","",xcomp(J$12:J$53,L.ABS))</f>
        <v/>
      </c>
      <c r="K78" s="18" t="str" cm="1">
        <f t="array" ref="K78">IF(K$55="","",xcomp(K$12:K$53,L.ABS))</f>
        <v/>
      </c>
      <c r="L78" s="18" t="str" cm="1">
        <f t="array" ref="L78">IF(L$55="","",xcomp(L$12:L$53,L.ABS))</f>
        <v/>
      </c>
      <c r="M78" s="18" t="str" cm="1">
        <f t="array" ref="M78">IF(M$55="","",xcomp(M$12:M$53,L.ABS))</f>
        <v/>
      </c>
      <c r="N78" s="18" t="str" cm="1">
        <f t="array" ref="N78">IF(N$55="","",xcomp(N$12:N$53,L.ABS))</f>
        <v/>
      </c>
      <c r="O78" s="18" t="str" cm="1">
        <f t="array" ref="O78">IF(O$55="","",xcomp(O$12:O$53,L.ABS))</f>
        <v/>
      </c>
      <c r="P78" s="18" t="str" cm="1">
        <f t="array" ref="P78">IF(P$55="","",xcomp(P$12:P$53,L.ABS))</f>
        <v/>
      </c>
      <c r="Q78" s="18" t="str" cm="1">
        <f t="array" ref="Q78">IF(Q$55="","",xcomp(Q$12:Q$53,L.ABS))</f>
        <v/>
      </c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  <c r="KP78" s="1"/>
      <c r="KQ78" s="1"/>
      <c r="KR78" s="1"/>
      <c r="KS78" s="1"/>
      <c r="KT78" s="1"/>
      <c r="KU78" s="1"/>
      <c r="KV78" s="1"/>
      <c r="KW78" s="1"/>
      <c r="KX78" s="1"/>
      <c r="KY78" s="1"/>
      <c r="KZ78" s="1"/>
      <c r="LA78" s="1"/>
      <c r="LB78" s="1"/>
      <c r="LC78" s="1"/>
      <c r="LD78" s="1"/>
      <c r="LE78" s="1"/>
      <c r="LF78" s="1"/>
      <c r="LG78" s="1"/>
      <c r="LH78" s="1"/>
      <c r="LI78" s="1"/>
      <c r="LJ78" s="1"/>
      <c r="LK78" s="1"/>
      <c r="LL78" s="1"/>
      <c r="LM78" s="1"/>
      <c r="LN78" s="1"/>
      <c r="LO78" s="1"/>
      <c r="LP78" s="1"/>
      <c r="LQ78" s="1"/>
      <c r="LR78" s="1"/>
      <c r="LS78" s="1"/>
      <c r="LT78" s="1"/>
      <c r="LU78" s="1"/>
      <c r="LV78" s="1"/>
      <c r="LW78" s="1"/>
      <c r="LX78" s="1"/>
      <c r="LY78" s="1"/>
      <c r="LZ78" s="1"/>
      <c r="MA78" s="1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1"/>
      <c r="MN78" s="1"/>
      <c r="MO78" s="1"/>
      <c r="MP78" s="1"/>
      <c r="MQ78" s="1"/>
      <c r="MR78" s="1"/>
      <c r="MS78" s="1"/>
      <c r="MT78" s="1"/>
      <c r="MU78" s="1"/>
      <c r="MV78" s="1"/>
      <c r="MW78" s="1"/>
      <c r="MX78" s="1"/>
      <c r="MY78" s="1"/>
      <c r="MZ78" s="1"/>
      <c r="NA78" s="1"/>
      <c r="NB78" s="1"/>
      <c r="NC78" s="1"/>
      <c r="ND78" s="1"/>
      <c r="NE78" s="1"/>
      <c r="NF78" s="1"/>
      <c r="NG78" s="1"/>
      <c r="NH78" s="1"/>
      <c r="NI78" s="1"/>
      <c r="NJ78" s="1"/>
      <c r="NK78" s="1"/>
      <c r="NN78" s="1"/>
      <c r="NO78" s="1"/>
      <c r="NP78" s="1"/>
      <c r="NQ78" s="1"/>
      <c r="NR78" s="1"/>
      <c r="NS78" s="1"/>
      <c r="NT78" s="1"/>
      <c r="NU78" s="1"/>
      <c r="NV78" s="1"/>
      <c r="NW78" s="1"/>
      <c r="NX78" s="1"/>
      <c r="NY78" s="1"/>
      <c r="NZ78" s="1"/>
      <c r="OA78" s="1"/>
      <c r="OB78" s="1"/>
      <c r="OC78" s="1"/>
      <c r="OD78" s="1"/>
      <c r="OE78" s="1"/>
      <c r="OF78" s="1"/>
      <c r="OG78" s="1"/>
      <c r="OH78" s="1"/>
      <c r="OI78" s="1"/>
      <c r="OJ78" s="1"/>
      <c r="OK78" s="1"/>
    </row>
    <row r="79" spans="1:401" x14ac:dyDescent="0.3">
      <c r="A79" s="1"/>
      <c r="B79" s="1"/>
      <c r="C79" s="1"/>
      <c r="D79" s="1"/>
      <c r="E79" s="1"/>
      <c r="F79" s="477"/>
      <c r="G79" s="478"/>
      <c r="H79" s="478" t="s">
        <v>42</v>
      </c>
      <c r="I79" s="28"/>
      <c r="J79" s="20" t="str" cm="1">
        <f t="array" ref="J79">IF(J$55="","",xcomp(J$12:J$53,L.ABSP))</f>
        <v/>
      </c>
      <c r="K79" s="20" t="str" cm="1">
        <f t="array" ref="K79">IF(K$55="","",xcomp(K$12:K$53,L.ABSP))</f>
        <v/>
      </c>
      <c r="L79" s="20" t="str" cm="1">
        <f t="array" ref="L79">IF(L$55="","",xcomp(L$12:L$53,L.ABSP))</f>
        <v/>
      </c>
      <c r="M79" s="20" t="str" cm="1">
        <f t="array" ref="M79">IF(M$55="","",xcomp(M$12:M$53,L.ABSP))</f>
        <v/>
      </c>
      <c r="N79" s="20" t="str" cm="1">
        <f t="array" ref="N79">IF(N$55="","",xcomp(N$12:N$53,L.ABSP))</f>
        <v/>
      </c>
      <c r="O79" s="20" t="str" cm="1">
        <f t="array" ref="O79">IF(O$55="","",xcomp(O$12:O$53,L.ABSP))</f>
        <v/>
      </c>
      <c r="P79" s="20" t="str" cm="1">
        <f t="array" ref="P79">IF(P$55="","",xcomp(P$12:P$53,L.ABSP))</f>
        <v/>
      </c>
      <c r="Q79" s="20" t="str" cm="1">
        <f t="array" ref="Q79">IF(Q$55="","",xcomp(Q$12:Q$53,L.ABSP))</f>
        <v/>
      </c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  <c r="KP79" s="1"/>
      <c r="KQ79" s="1"/>
      <c r="KR79" s="1"/>
      <c r="KS79" s="1"/>
      <c r="KT79" s="1"/>
      <c r="KU79" s="1"/>
      <c r="KV79" s="1"/>
      <c r="KW79" s="1"/>
      <c r="KX79" s="1"/>
      <c r="KY79" s="1"/>
      <c r="KZ79" s="1"/>
      <c r="LA79" s="1"/>
      <c r="LB79" s="1"/>
      <c r="LC79" s="1"/>
      <c r="LD79" s="1"/>
      <c r="LE79" s="1"/>
      <c r="LF79" s="1"/>
      <c r="LG79" s="1"/>
      <c r="LH79" s="1"/>
      <c r="LI79" s="1"/>
      <c r="LJ79" s="1"/>
      <c r="LK79" s="1"/>
      <c r="LL79" s="1"/>
      <c r="LM79" s="1"/>
      <c r="LN79" s="1"/>
      <c r="LO79" s="1"/>
      <c r="LP79" s="1"/>
      <c r="LQ79" s="1"/>
      <c r="LR79" s="1"/>
      <c r="LS79" s="1"/>
      <c r="LT79" s="1"/>
      <c r="LU79" s="1"/>
      <c r="LV79" s="1"/>
      <c r="LW79" s="1"/>
      <c r="LX79" s="1"/>
      <c r="LY79" s="1"/>
      <c r="LZ79" s="1"/>
      <c r="MA79" s="1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1"/>
      <c r="MN79" s="1"/>
      <c r="MO79" s="1"/>
      <c r="MP79" s="1"/>
      <c r="MQ79" s="1"/>
      <c r="MR79" s="1"/>
      <c r="MS79" s="1"/>
      <c r="MT79" s="1"/>
      <c r="MU79" s="1"/>
      <c r="MV79" s="1"/>
      <c r="MW79" s="1"/>
      <c r="MX79" s="1"/>
      <c r="MY79" s="1"/>
      <c r="MZ79" s="1"/>
      <c r="NA79" s="1"/>
      <c r="NB79" s="1"/>
      <c r="NC79" s="1"/>
      <c r="ND79" s="1"/>
      <c r="NE79" s="1"/>
      <c r="NF79" s="1"/>
      <c r="NG79" s="1"/>
      <c r="NH79" s="1"/>
      <c r="NI79" s="1"/>
      <c r="NJ79" s="1"/>
      <c r="NK79" s="1"/>
      <c r="NN79" s="1"/>
      <c r="NO79" s="1"/>
      <c r="NP79" s="1"/>
      <c r="NQ79" s="1"/>
      <c r="NR79" s="1"/>
      <c r="NS79" s="1"/>
      <c r="NT79" s="1"/>
      <c r="NU79" s="1"/>
      <c r="NV79" s="1"/>
      <c r="NW79" s="1"/>
      <c r="NX79" s="1"/>
      <c r="NY79" s="1"/>
      <c r="NZ79" s="1"/>
      <c r="OA79" s="1"/>
      <c r="OB79" s="1"/>
      <c r="OC79" s="1"/>
      <c r="OD79" s="1"/>
      <c r="OE79" s="1"/>
      <c r="OF79" s="1"/>
      <c r="OG79" s="1"/>
      <c r="OH79" s="1"/>
      <c r="OI79" s="1"/>
      <c r="OJ79" s="1"/>
      <c r="OK79" s="1"/>
    </row>
    <row r="80" spans="1:401" x14ac:dyDescent="0.3">
      <c r="A80" s="1"/>
      <c r="B80" s="1"/>
      <c r="C80" s="1"/>
      <c r="D80" s="1"/>
      <c r="E80" s="1"/>
      <c r="F80" s="477"/>
      <c r="G80" s="478"/>
      <c r="H80" s="478" t="s">
        <v>43</v>
      </c>
      <c r="I80" s="28"/>
      <c r="J80" s="21" t="str">
        <f>IF(J$55="","",J$57-J$58)</f>
        <v/>
      </c>
      <c r="K80" s="21" t="str">
        <f>IF(K$55="","",K$57-K$58)</f>
        <v/>
      </c>
      <c r="L80" s="21" t="str">
        <f t="shared" ref="L80:Q80" si="97">IF(L$55="","",L$57-L$58)</f>
        <v/>
      </c>
      <c r="M80" s="21" t="str">
        <f t="shared" si="97"/>
        <v/>
      </c>
      <c r="N80" s="21" t="str">
        <f t="shared" si="97"/>
        <v/>
      </c>
      <c r="O80" s="21" t="str">
        <f t="shared" si="97"/>
        <v/>
      </c>
      <c r="P80" s="21" t="str">
        <f t="shared" si="97"/>
        <v/>
      </c>
      <c r="Q80" s="21" t="str">
        <f t="shared" si="97"/>
        <v/>
      </c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  <c r="KP80" s="1"/>
      <c r="KQ80" s="1"/>
      <c r="KR80" s="1"/>
      <c r="KS80" s="1"/>
      <c r="KT80" s="1"/>
      <c r="KU80" s="1"/>
      <c r="KV80" s="1"/>
      <c r="KW80" s="1"/>
      <c r="KX80" s="1"/>
      <c r="KY80" s="1"/>
      <c r="KZ80" s="1"/>
      <c r="LA80" s="1"/>
      <c r="LB80" s="1"/>
      <c r="LC80" s="1"/>
      <c r="LD80" s="1"/>
      <c r="LE80" s="1"/>
      <c r="LF80" s="1"/>
      <c r="LG80" s="1"/>
      <c r="LH80" s="1"/>
      <c r="LI80" s="1"/>
      <c r="LJ80" s="1"/>
      <c r="LK80" s="1"/>
      <c r="LL80" s="1"/>
      <c r="LM80" s="1"/>
      <c r="LN80" s="1"/>
      <c r="LO80" s="1"/>
      <c r="LP80" s="1"/>
      <c r="LQ80" s="1"/>
      <c r="LR80" s="1"/>
      <c r="LS80" s="1"/>
      <c r="LT80" s="1"/>
      <c r="LU80" s="1"/>
      <c r="LV80" s="1"/>
      <c r="LW80" s="1"/>
      <c r="LX80" s="1"/>
      <c r="LY80" s="1"/>
      <c r="LZ80" s="1"/>
      <c r="MA80" s="1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1"/>
      <c r="MN80" s="1"/>
      <c r="MO80" s="1"/>
      <c r="MP80" s="1"/>
      <c r="MQ80" s="1"/>
      <c r="MR80" s="1"/>
      <c r="MS80" s="1"/>
      <c r="MT80" s="1"/>
      <c r="MU80" s="1"/>
      <c r="MV80" s="1"/>
      <c r="MW80" s="1"/>
      <c r="MX80" s="1"/>
      <c r="MY80" s="1"/>
      <c r="MZ80" s="1"/>
      <c r="NA80" s="1"/>
      <c r="NB80" s="1"/>
      <c r="NC80" s="1"/>
      <c r="ND80" s="1"/>
      <c r="NE80" s="1"/>
      <c r="NF80" s="1"/>
      <c r="NG80" s="1"/>
      <c r="NH80" s="1"/>
      <c r="NI80" s="1"/>
      <c r="NJ80" s="1"/>
      <c r="NK80" s="1"/>
      <c r="NN80" s="1"/>
      <c r="NO80" s="1"/>
      <c r="NP80" s="1"/>
      <c r="NQ80" s="1"/>
      <c r="NR80" s="1"/>
      <c r="NS80" s="1"/>
      <c r="NT80" s="1"/>
      <c r="NU80" s="1"/>
      <c r="NV80" s="1"/>
      <c r="NW80" s="1"/>
      <c r="NX80" s="1"/>
      <c r="NY80" s="1"/>
      <c r="NZ80" s="1"/>
      <c r="OA80" s="1"/>
      <c r="OB80" s="1"/>
      <c r="OC80" s="1"/>
      <c r="OD80" s="1"/>
      <c r="OE80" s="1"/>
      <c r="OF80" s="1"/>
      <c r="OG80" s="1"/>
      <c r="OH80" s="1"/>
      <c r="OI80" s="1"/>
      <c r="OJ80" s="1"/>
      <c r="OK80" s="1"/>
    </row>
    <row r="81" spans="7:17" s="1" customFormat="1" x14ac:dyDescent="0.3">
      <c r="G81" s="17"/>
      <c r="H81" s="17"/>
      <c r="I81" s="28"/>
      <c r="J81" s="22"/>
      <c r="K81" s="22"/>
      <c r="L81" s="22"/>
      <c r="M81" s="22"/>
      <c r="N81" s="22"/>
      <c r="O81" s="22"/>
      <c r="P81" s="22"/>
      <c r="Q81" s="22"/>
    </row>
    <row r="82" spans="7:17" s="1" customFormat="1" x14ac:dyDescent="0.3">
      <c r="G82" s="17"/>
      <c r="H82" s="17" t="s">
        <v>44</v>
      </c>
      <c r="I82" s="28"/>
      <c r="J82" s="27"/>
      <c r="K82" s="27"/>
      <c r="L82" s="27"/>
      <c r="M82" s="27"/>
      <c r="N82" s="27"/>
      <c r="O82" s="27"/>
      <c r="P82" s="27"/>
      <c r="Q82" s="27"/>
    </row>
    <row r="83" spans="7:17" s="1" customFormat="1" x14ac:dyDescent="0.3">
      <c r="G83" s="17"/>
      <c r="H83" s="17" t="s">
        <v>45</v>
      </c>
      <c r="I83" s="28"/>
      <c r="J83" s="27"/>
      <c r="K83" s="27"/>
      <c r="L83" s="27"/>
      <c r="M83" s="27"/>
      <c r="N83" s="27"/>
      <c r="O83" s="27"/>
      <c r="P83" s="27"/>
      <c r="Q83" s="27"/>
    </row>
    <row r="84" spans="7:17" s="1" customFormat="1" x14ac:dyDescent="0.3">
      <c r="G84" s="17"/>
      <c r="H84" s="17"/>
      <c r="I84" s="28"/>
      <c r="J84" s="22"/>
      <c r="K84" s="22"/>
      <c r="L84" s="22"/>
      <c r="M84" s="22"/>
      <c r="N84" s="22"/>
      <c r="O84" s="22"/>
      <c r="P84" s="22"/>
      <c r="Q84" s="22"/>
    </row>
    <row r="85" spans="7:17" s="1" customFormat="1" x14ac:dyDescent="0.3">
      <c r="H85" s="17" t="s">
        <v>46</v>
      </c>
      <c r="I85" s="466"/>
      <c r="J85" s="23" t="str">
        <f>IF(ISERROR(J$57/J$55),"",J$57/J$55)</f>
        <v/>
      </c>
      <c r="K85" s="23" t="str">
        <f>IF(ISERROR(K$57/K$55),"",K$57/K$55)</f>
        <v/>
      </c>
      <c r="L85" s="23" t="str">
        <f t="shared" ref="L85:Q85" si="98">IF(ISERROR(L$57/L$55),"",L$57/L$55)</f>
        <v/>
      </c>
      <c r="M85" s="23" t="str">
        <f t="shared" si="98"/>
        <v/>
      </c>
      <c r="N85" s="23" t="str">
        <f t="shared" si="98"/>
        <v/>
      </c>
      <c r="O85" s="23" t="str">
        <f t="shared" si="98"/>
        <v/>
      </c>
      <c r="P85" s="23" t="str">
        <f t="shared" si="98"/>
        <v/>
      </c>
      <c r="Q85" s="23" t="str">
        <f t="shared" si="98"/>
        <v/>
      </c>
    </row>
    <row r="86" spans="7:17" s="1" customFormat="1" x14ac:dyDescent="0.3">
      <c r="G86" s="17"/>
      <c r="H86" s="17" t="s">
        <v>47</v>
      </c>
      <c r="I86" s="28"/>
      <c r="J86" s="24" t="str">
        <f>IF(ISERROR(J$58/J$55),"",J$58/J$55)</f>
        <v/>
      </c>
      <c r="K86" s="24" t="str">
        <f>IF(ISERROR(K$58/K$55),"",K$58/K$55)</f>
        <v/>
      </c>
      <c r="L86" s="24" t="str">
        <f t="shared" ref="L86:Q86" si="99">IF(ISERROR(L$58/L$55),"",L$58/L$55)</f>
        <v/>
      </c>
      <c r="M86" s="24" t="str">
        <f t="shared" si="99"/>
        <v/>
      </c>
      <c r="N86" s="24" t="str">
        <f t="shared" si="99"/>
        <v/>
      </c>
      <c r="O86" s="24" t="str">
        <f t="shared" si="99"/>
        <v/>
      </c>
      <c r="P86" s="24" t="str">
        <f t="shared" si="99"/>
        <v/>
      </c>
      <c r="Q86" s="24" t="str">
        <f t="shared" si="99"/>
        <v/>
      </c>
    </row>
    <row r="87" spans="7:17" s="1" customFormat="1" x14ac:dyDescent="0.3">
      <c r="G87" s="17"/>
      <c r="H87" s="17" t="s">
        <v>48</v>
      </c>
      <c r="I87" s="28"/>
      <c r="J87" s="25" t="str">
        <f>IF(ISERROR(J$59/J$55),"",J$59/J$55)</f>
        <v/>
      </c>
      <c r="K87" s="25" t="str">
        <f>IF(ISERROR(K$59/K$55),"",K$59/K$55)</f>
        <v/>
      </c>
      <c r="L87" s="25" t="str">
        <f t="shared" ref="L87:Q87" si="100">IF(ISERROR(L$59/L$55),"",L$59/L$55)</f>
        <v/>
      </c>
      <c r="M87" s="25" t="str">
        <f t="shared" si="100"/>
        <v/>
      </c>
      <c r="N87" s="25" t="str">
        <f t="shared" si="100"/>
        <v/>
      </c>
      <c r="O87" s="25" t="str">
        <f t="shared" si="100"/>
        <v/>
      </c>
      <c r="P87" s="25" t="str">
        <f t="shared" si="100"/>
        <v/>
      </c>
      <c r="Q87" s="25" t="str">
        <f t="shared" si="100"/>
        <v/>
      </c>
    </row>
    <row r="88" spans="7:17" s="1" customFormat="1" x14ac:dyDescent="0.3">
      <c r="I88" s="28"/>
    </row>
    <row r="89" spans="7:17" s="1" customFormat="1" x14ac:dyDescent="0.3">
      <c r="I89" s="28"/>
    </row>
    <row r="90" spans="7:17" s="1" customFormat="1" x14ac:dyDescent="0.3">
      <c r="I90" s="28"/>
    </row>
    <row r="91" spans="7:17" s="1" customFormat="1" x14ac:dyDescent="0.3">
      <c r="I91" s="28"/>
    </row>
    <row r="92" spans="7:17" s="1" customFormat="1" x14ac:dyDescent="0.3">
      <c r="I92" s="28"/>
    </row>
    <row r="93" spans="7:17" s="1" customFormat="1" x14ac:dyDescent="0.3">
      <c r="I93" s="28"/>
    </row>
    <row r="94" spans="7:17" s="1" customFormat="1" x14ac:dyDescent="0.3">
      <c r="I94" s="28"/>
    </row>
    <row r="95" spans="7:17" s="1" customFormat="1" x14ac:dyDescent="0.3">
      <c r="I95" s="28"/>
    </row>
    <row r="96" spans="7:17" s="1" customFormat="1" x14ac:dyDescent="0.3">
      <c r="I96" s="28"/>
    </row>
    <row r="97" spans="9:9" s="1" customFormat="1" x14ac:dyDescent="0.3">
      <c r="I97" s="28"/>
    </row>
    <row r="98" spans="9:9" s="1" customFormat="1" x14ac:dyDescent="0.3">
      <c r="I98" s="28"/>
    </row>
    <row r="99" spans="9:9" s="1" customFormat="1" x14ac:dyDescent="0.3">
      <c r="I99" s="28"/>
    </row>
    <row r="100" spans="9:9" s="1" customFormat="1" x14ac:dyDescent="0.3">
      <c r="I100" s="28"/>
    </row>
    <row r="101" spans="9:9" s="1" customFormat="1" x14ac:dyDescent="0.3">
      <c r="I101" s="28"/>
    </row>
    <row r="102" spans="9:9" s="1" customFormat="1" x14ac:dyDescent="0.3">
      <c r="I102" s="28"/>
    </row>
    <row r="103" spans="9:9" s="1" customFormat="1" x14ac:dyDescent="0.3">
      <c r="I103" s="28"/>
    </row>
    <row r="104" spans="9:9" s="1" customFormat="1" x14ac:dyDescent="0.3">
      <c r="I104" s="28"/>
    </row>
    <row r="105" spans="9:9" s="1" customFormat="1" x14ac:dyDescent="0.3">
      <c r="I105" s="28"/>
    </row>
    <row r="106" spans="9:9" s="1" customFormat="1" x14ac:dyDescent="0.3">
      <c r="I106" s="28"/>
    </row>
    <row r="107" spans="9:9" s="1" customFormat="1" x14ac:dyDescent="0.3">
      <c r="I107" s="28"/>
    </row>
    <row r="108" spans="9:9" s="1" customFormat="1" x14ac:dyDescent="0.3">
      <c r="I108" s="28"/>
    </row>
    <row r="109" spans="9:9" s="1" customFormat="1" x14ac:dyDescent="0.3">
      <c r="I109" s="28"/>
    </row>
    <row r="110" spans="9:9" s="1" customFormat="1" x14ac:dyDescent="0.3">
      <c r="I110" s="28"/>
    </row>
    <row r="111" spans="9:9" s="1" customFormat="1" x14ac:dyDescent="0.3">
      <c r="I111" s="28"/>
    </row>
    <row r="112" spans="9:9" s="1" customFormat="1" x14ac:dyDescent="0.3">
      <c r="I112" s="28"/>
    </row>
    <row r="113" spans="9:9" s="1" customFormat="1" x14ac:dyDescent="0.3">
      <c r="I113" s="28"/>
    </row>
    <row r="114" spans="9:9" s="1" customFormat="1" x14ac:dyDescent="0.3">
      <c r="I114" s="28"/>
    </row>
    <row r="115" spans="9:9" s="1" customFormat="1" x14ac:dyDescent="0.3">
      <c r="I115" s="28"/>
    </row>
    <row r="116" spans="9:9" s="1" customFormat="1" x14ac:dyDescent="0.3">
      <c r="I116" s="28"/>
    </row>
    <row r="117" spans="9:9" s="1" customFormat="1" x14ac:dyDescent="0.3">
      <c r="I117" s="28"/>
    </row>
    <row r="118" spans="9:9" s="1" customFormat="1" x14ac:dyDescent="0.3">
      <c r="I118" s="28"/>
    </row>
    <row r="119" spans="9:9" s="1" customFormat="1" x14ac:dyDescent="0.3">
      <c r="I119" s="28"/>
    </row>
    <row r="120" spans="9:9" s="1" customFormat="1" x14ac:dyDescent="0.3">
      <c r="I120" s="28"/>
    </row>
    <row r="121" spans="9:9" s="1" customFormat="1" x14ac:dyDescent="0.3">
      <c r="I121" s="28"/>
    </row>
    <row r="122" spans="9:9" s="1" customFormat="1" x14ac:dyDescent="0.3">
      <c r="I122" s="28"/>
    </row>
    <row r="123" spans="9:9" s="1" customFormat="1" x14ac:dyDescent="0.3">
      <c r="I123" s="28"/>
    </row>
    <row r="124" spans="9:9" s="1" customFormat="1" x14ac:dyDescent="0.3">
      <c r="I124" s="28"/>
    </row>
    <row r="125" spans="9:9" s="1" customFormat="1" x14ac:dyDescent="0.3">
      <c r="I125" s="28"/>
    </row>
    <row r="126" spans="9:9" s="1" customFormat="1" x14ac:dyDescent="0.3">
      <c r="I126" s="28"/>
    </row>
    <row r="127" spans="9:9" s="1" customFormat="1" x14ac:dyDescent="0.3">
      <c r="I127" s="28"/>
    </row>
    <row r="128" spans="9:9" s="1" customFormat="1" x14ac:dyDescent="0.3">
      <c r="I128" s="28"/>
    </row>
    <row r="129" spans="9:9" s="1" customFormat="1" x14ac:dyDescent="0.3">
      <c r="I129" s="28"/>
    </row>
    <row r="130" spans="9:9" s="1" customFormat="1" x14ac:dyDescent="0.3">
      <c r="I130" s="28"/>
    </row>
    <row r="131" spans="9:9" s="1" customFormat="1" x14ac:dyDescent="0.3">
      <c r="I131" s="28"/>
    </row>
    <row r="132" spans="9:9" s="1" customFormat="1" x14ac:dyDescent="0.3">
      <c r="I132" s="28"/>
    </row>
    <row r="133" spans="9:9" s="1" customFormat="1" x14ac:dyDescent="0.3">
      <c r="I133" s="28"/>
    </row>
    <row r="134" spans="9:9" s="1" customFormat="1" x14ac:dyDescent="0.3">
      <c r="I134" s="28"/>
    </row>
    <row r="135" spans="9:9" s="1" customFormat="1" x14ac:dyDescent="0.3">
      <c r="I135" s="28"/>
    </row>
    <row r="136" spans="9:9" s="1" customFormat="1" x14ac:dyDescent="0.3">
      <c r="I136" s="28"/>
    </row>
    <row r="137" spans="9:9" s="1" customFormat="1" x14ac:dyDescent="0.3">
      <c r="I137" s="28"/>
    </row>
    <row r="138" spans="9:9" s="1" customFormat="1" x14ac:dyDescent="0.3">
      <c r="I138" s="28"/>
    </row>
    <row r="139" spans="9:9" s="1" customFormat="1" x14ac:dyDescent="0.3">
      <c r="I139" s="28"/>
    </row>
    <row r="140" spans="9:9" s="1" customFormat="1" x14ac:dyDescent="0.3">
      <c r="I140" s="28"/>
    </row>
    <row r="141" spans="9:9" s="1" customFormat="1" x14ac:dyDescent="0.3">
      <c r="I141" s="28"/>
    </row>
    <row r="142" spans="9:9" s="1" customFormat="1" x14ac:dyDescent="0.3">
      <c r="I142" s="28"/>
    </row>
    <row r="143" spans="9:9" s="1" customFormat="1" x14ac:dyDescent="0.3">
      <c r="I143" s="28"/>
    </row>
    <row r="144" spans="9:9" s="1" customFormat="1" x14ac:dyDescent="0.3">
      <c r="I144" s="28"/>
    </row>
    <row r="145" spans="9:9" s="1" customFormat="1" x14ac:dyDescent="0.3">
      <c r="I145" s="28"/>
    </row>
    <row r="146" spans="9:9" s="1" customFormat="1" x14ac:dyDescent="0.3">
      <c r="I146" s="28"/>
    </row>
    <row r="147" spans="9:9" s="1" customFormat="1" x14ac:dyDescent="0.3">
      <c r="I147" s="28"/>
    </row>
    <row r="148" spans="9:9" s="1" customFormat="1" x14ac:dyDescent="0.3">
      <c r="I148" s="28"/>
    </row>
    <row r="149" spans="9:9" s="1" customFormat="1" x14ac:dyDescent="0.3">
      <c r="I149" s="28"/>
    </row>
    <row r="150" spans="9:9" s="1" customFormat="1" x14ac:dyDescent="0.3">
      <c r="I150" s="28"/>
    </row>
    <row r="151" spans="9:9" s="1" customFormat="1" x14ac:dyDescent="0.3">
      <c r="I151" s="28"/>
    </row>
    <row r="152" spans="9:9" s="1" customFormat="1" x14ac:dyDescent="0.3">
      <c r="I152" s="28"/>
    </row>
    <row r="153" spans="9:9" s="1" customFormat="1" x14ac:dyDescent="0.3">
      <c r="I153" s="28"/>
    </row>
    <row r="154" spans="9:9" s="1" customFormat="1" x14ac:dyDescent="0.3">
      <c r="I154" s="28"/>
    </row>
    <row r="155" spans="9:9" s="1" customFormat="1" x14ac:dyDescent="0.3">
      <c r="I155" s="28"/>
    </row>
    <row r="156" spans="9:9" s="1" customFormat="1" x14ac:dyDescent="0.3">
      <c r="I156" s="28"/>
    </row>
    <row r="157" spans="9:9" s="1" customFormat="1" x14ac:dyDescent="0.3">
      <c r="I157" s="28"/>
    </row>
    <row r="158" spans="9:9" s="1" customFormat="1" x14ac:dyDescent="0.3">
      <c r="I158" s="28"/>
    </row>
    <row r="159" spans="9:9" s="1" customFormat="1" x14ac:dyDescent="0.3">
      <c r="I159" s="28"/>
    </row>
    <row r="160" spans="9:9" s="1" customFormat="1" x14ac:dyDescent="0.3">
      <c r="I160" s="28"/>
    </row>
    <row r="161" spans="9:9" s="1" customFormat="1" x14ac:dyDescent="0.3">
      <c r="I161" s="28"/>
    </row>
    <row r="162" spans="9:9" s="1" customFormat="1" x14ac:dyDescent="0.3">
      <c r="I162" s="28"/>
    </row>
    <row r="163" spans="9:9" s="1" customFormat="1" x14ac:dyDescent="0.3">
      <c r="I163" s="28"/>
    </row>
    <row r="164" spans="9:9" s="1" customFormat="1" x14ac:dyDescent="0.3">
      <c r="I164" s="28"/>
    </row>
    <row r="165" spans="9:9" s="1" customFormat="1" x14ac:dyDescent="0.3">
      <c r="I165" s="28"/>
    </row>
    <row r="166" spans="9:9" s="1" customFormat="1" x14ac:dyDescent="0.3">
      <c r="I166" s="28"/>
    </row>
    <row r="167" spans="9:9" s="1" customFormat="1" x14ac:dyDescent="0.3">
      <c r="I167" s="28"/>
    </row>
    <row r="168" spans="9:9" s="1" customFormat="1" x14ac:dyDescent="0.3">
      <c r="I168" s="28"/>
    </row>
    <row r="169" spans="9:9" s="1" customFormat="1" x14ac:dyDescent="0.3">
      <c r="I169" s="28"/>
    </row>
    <row r="170" spans="9:9" s="1" customFormat="1" x14ac:dyDescent="0.3">
      <c r="I170" s="28"/>
    </row>
    <row r="171" spans="9:9" s="1" customFormat="1" x14ac:dyDescent="0.3">
      <c r="I171" s="28"/>
    </row>
    <row r="172" spans="9:9" s="1" customFormat="1" x14ac:dyDescent="0.3">
      <c r="I172" s="28"/>
    </row>
    <row r="173" spans="9:9" s="1" customFormat="1" x14ac:dyDescent="0.3">
      <c r="I173" s="28"/>
    </row>
    <row r="174" spans="9:9" s="1" customFormat="1" x14ac:dyDescent="0.3">
      <c r="I174" s="28"/>
    </row>
    <row r="175" spans="9:9" s="1" customFormat="1" x14ac:dyDescent="0.3">
      <c r="I175" s="28"/>
    </row>
    <row r="176" spans="9:9" s="1" customFormat="1" x14ac:dyDescent="0.3">
      <c r="I176" s="28"/>
    </row>
    <row r="177" spans="9:9" s="1" customFormat="1" x14ac:dyDescent="0.3">
      <c r="I177" s="28"/>
    </row>
    <row r="178" spans="9:9" s="1" customFormat="1" x14ac:dyDescent="0.3">
      <c r="I178" s="28"/>
    </row>
    <row r="179" spans="9:9" s="1" customFormat="1" x14ac:dyDescent="0.3">
      <c r="I179" s="28"/>
    </row>
    <row r="180" spans="9:9" s="1" customFormat="1" x14ac:dyDescent="0.3">
      <c r="I180" s="28"/>
    </row>
    <row r="181" spans="9:9" s="1" customFormat="1" x14ac:dyDescent="0.3">
      <c r="I181" s="28"/>
    </row>
    <row r="182" spans="9:9" s="1" customFormat="1" x14ac:dyDescent="0.3">
      <c r="I182" s="28"/>
    </row>
    <row r="183" spans="9:9" s="1" customFormat="1" x14ac:dyDescent="0.3">
      <c r="I183" s="28"/>
    </row>
    <row r="184" spans="9:9" s="1" customFormat="1" x14ac:dyDescent="0.3">
      <c r="I184" s="28"/>
    </row>
    <row r="185" spans="9:9" s="1" customFormat="1" x14ac:dyDescent="0.3">
      <c r="I185" s="28"/>
    </row>
    <row r="186" spans="9:9" s="1" customFormat="1" x14ac:dyDescent="0.3">
      <c r="I186" s="28"/>
    </row>
    <row r="187" spans="9:9" s="1" customFormat="1" x14ac:dyDescent="0.3">
      <c r="I187" s="28"/>
    </row>
    <row r="188" spans="9:9" s="1" customFormat="1" x14ac:dyDescent="0.3">
      <c r="I188" s="28"/>
    </row>
    <row r="189" spans="9:9" s="1" customFormat="1" x14ac:dyDescent="0.3">
      <c r="I189" s="28"/>
    </row>
    <row r="190" spans="9:9" s="1" customFormat="1" x14ac:dyDescent="0.3">
      <c r="I190" s="28"/>
    </row>
    <row r="191" spans="9:9" s="1" customFormat="1" x14ac:dyDescent="0.3">
      <c r="I191" s="28"/>
    </row>
    <row r="192" spans="9:9" s="1" customFormat="1" x14ac:dyDescent="0.3">
      <c r="I192" s="28"/>
    </row>
    <row r="193" spans="9:9" s="1" customFormat="1" x14ac:dyDescent="0.3">
      <c r="I193" s="28"/>
    </row>
    <row r="194" spans="9:9" s="1" customFormat="1" x14ac:dyDescent="0.3">
      <c r="I194" s="28"/>
    </row>
    <row r="195" spans="9:9" s="1" customFormat="1" x14ac:dyDescent="0.3">
      <c r="I195" s="28"/>
    </row>
    <row r="196" spans="9:9" s="1" customFormat="1" x14ac:dyDescent="0.3">
      <c r="I196" s="28"/>
    </row>
    <row r="197" spans="9:9" s="1" customFormat="1" x14ac:dyDescent="0.3">
      <c r="I197" s="28"/>
    </row>
    <row r="198" spans="9:9" s="1" customFormat="1" x14ac:dyDescent="0.3">
      <c r="I198" s="28"/>
    </row>
    <row r="199" spans="9:9" s="1" customFormat="1" x14ac:dyDescent="0.3">
      <c r="I199" s="28"/>
    </row>
    <row r="200" spans="9:9" s="1" customFormat="1" x14ac:dyDescent="0.3">
      <c r="I200" s="28"/>
    </row>
    <row r="201" spans="9:9" s="1" customFormat="1" x14ac:dyDescent="0.3">
      <c r="I201" s="28"/>
    </row>
    <row r="202" spans="9:9" s="1" customFormat="1" x14ac:dyDescent="0.3">
      <c r="I202" s="28"/>
    </row>
    <row r="203" spans="9:9" s="1" customFormat="1" x14ac:dyDescent="0.3">
      <c r="I203" s="28"/>
    </row>
    <row r="204" spans="9:9" s="1" customFormat="1" x14ac:dyDescent="0.3">
      <c r="I204" s="28"/>
    </row>
    <row r="205" spans="9:9" s="1" customFormat="1" x14ac:dyDescent="0.3">
      <c r="I205" s="28"/>
    </row>
    <row r="206" spans="9:9" s="1" customFormat="1" x14ac:dyDescent="0.3">
      <c r="I206" s="28"/>
    </row>
    <row r="207" spans="9:9" s="1" customFormat="1" x14ac:dyDescent="0.3">
      <c r="I207" s="28"/>
    </row>
    <row r="208" spans="9:9" s="1" customFormat="1" x14ac:dyDescent="0.3">
      <c r="I208" s="28"/>
    </row>
    <row r="209" spans="9:9" s="1" customFormat="1" x14ac:dyDescent="0.3">
      <c r="I209" s="28"/>
    </row>
    <row r="210" spans="9:9" s="1" customFormat="1" x14ac:dyDescent="0.3">
      <c r="I210" s="28"/>
    </row>
    <row r="211" spans="9:9" s="1" customFormat="1" x14ac:dyDescent="0.3">
      <c r="I211" s="28"/>
    </row>
    <row r="212" spans="9:9" s="1" customFormat="1" x14ac:dyDescent="0.3">
      <c r="I212" s="28"/>
    </row>
    <row r="213" spans="9:9" s="1" customFormat="1" x14ac:dyDescent="0.3">
      <c r="I213" s="28"/>
    </row>
    <row r="214" spans="9:9" s="1" customFormat="1" x14ac:dyDescent="0.3">
      <c r="I214" s="28"/>
    </row>
    <row r="215" spans="9:9" s="1" customFormat="1" x14ac:dyDescent="0.3">
      <c r="I215" s="28"/>
    </row>
    <row r="216" spans="9:9" s="1" customFormat="1" x14ac:dyDescent="0.3">
      <c r="I216" s="28"/>
    </row>
    <row r="217" spans="9:9" s="1" customFormat="1" x14ac:dyDescent="0.3">
      <c r="I217" s="28"/>
    </row>
    <row r="218" spans="9:9" s="1" customFormat="1" x14ac:dyDescent="0.3">
      <c r="I218" s="28"/>
    </row>
    <row r="219" spans="9:9" s="1" customFormat="1" x14ac:dyDescent="0.3">
      <c r="I219" s="28"/>
    </row>
    <row r="220" spans="9:9" s="1" customFormat="1" x14ac:dyDescent="0.3">
      <c r="I220" s="28"/>
    </row>
    <row r="221" spans="9:9" s="1" customFormat="1" x14ac:dyDescent="0.3">
      <c r="I221" s="28"/>
    </row>
    <row r="222" spans="9:9" s="1" customFormat="1" x14ac:dyDescent="0.3">
      <c r="I222" s="28"/>
    </row>
    <row r="223" spans="9:9" s="1" customFormat="1" x14ac:dyDescent="0.3">
      <c r="I223" s="28"/>
    </row>
    <row r="224" spans="9:9" s="1" customFormat="1" x14ac:dyDescent="0.3">
      <c r="I224" s="28"/>
    </row>
    <row r="225" spans="9:9" s="1" customFormat="1" x14ac:dyDescent="0.3">
      <c r="I225" s="28"/>
    </row>
    <row r="226" spans="9:9" s="1" customFormat="1" x14ac:dyDescent="0.3">
      <c r="I226" s="28"/>
    </row>
    <row r="227" spans="9:9" s="1" customFormat="1" x14ac:dyDescent="0.3">
      <c r="I227" s="28"/>
    </row>
    <row r="228" spans="9:9" s="1" customFormat="1" x14ac:dyDescent="0.3">
      <c r="I228" s="28"/>
    </row>
    <row r="229" spans="9:9" s="1" customFormat="1" x14ac:dyDescent="0.3">
      <c r="I229" s="28"/>
    </row>
    <row r="230" spans="9:9" s="1" customFormat="1" x14ac:dyDescent="0.3">
      <c r="I230" s="28"/>
    </row>
    <row r="231" spans="9:9" s="1" customFormat="1" x14ac:dyDescent="0.3">
      <c r="I231" s="28"/>
    </row>
    <row r="232" spans="9:9" s="1" customFormat="1" x14ac:dyDescent="0.3">
      <c r="I232" s="28"/>
    </row>
    <row r="233" spans="9:9" s="1" customFormat="1" x14ac:dyDescent="0.3">
      <c r="I233" s="28"/>
    </row>
    <row r="234" spans="9:9" s="1" customFormat="1" x14ac:dyDescent="0.3">
      <c r="I234" s="28"/>
    </row>
    <row r="235" spans="9:9" s="1" customFormat="1" x14ac:dyDescent="0.3">
      <c r="I235" s="28"/>
    </row>
    <row r="236" spans="9:9" s="1" customFormat="1" x14ac:dyDescent="0.3">
      <c r="I236" s="28"/>
    </row>
    <row r="237" spans="9:9" s="1" customFormat="1" x14ac:dyDescent="0.3">
      <c r="I237" s="28"/>
    </row>
    <row r="238" spans="9:9" s="1" customFormat="1" x14ac:dyDescent="0.3">
      <c r="I238" s="28"/>
    </row>
    <row r="239" spans="9:9" s="1" customFormat="1" x14ac:dyDescent="0.3">
      <c r="I239" s="28"/>
    </row>
    <row r="240" spans="9:9" s="1" customFormat="1" x14ac:dyDescent="0.3">
      <c r="I240" s="28"/>
    </row>
    <row r="241" spans="9:9" s="1" customFormat="1" x14ac:dyDescent="0.3">
      <c r="I241" s="28"/>
    </row>
    <row r="242" spans="9:9" s="1" customFormat="1" x14ac:dyDescent="0.3">
      <c r="I242" s="28"/>
    </row>
    <row r="243" spans="9:9" s="1" customFormat="1" x14ac:dyDescent="0.3">
      <c r="I243" s="28"/>
    </row>
    <row r="244" spans="9:9" s="1" customFormat="1" x14ac:dyDescent="0.3">
      <c r="I244" s="28"/>
    </row>
    <row r="245" spans="9:9" s="1" customFormat="1" x14ac:dyDescent="0.3">
      <c r="I245" s="28"/>
    </row>
    <row r="246" spans="9:9" s="1" customFormat="1" x14ac:dyDescent="0.3">
      <c r="I246" s="28"/>
    </row>
    <row r="247" spans="9:9" s="1" customFormat="1" x14ac:dyDescent="0.3">
      <c r="I247" s="28"/>
    </row>
    <row r="248" spans="9:9" s="1" customFormat="1" x14ac:dyDescent="0.3">
      <c r="I248" s="28"/>
    </row>
    <row r="249" spans="9:9" s="1" customFormat="1" x14ac:dyDescent="0.3">
      <c r="I249" s="28"/>
    </row>
    <row r="250" spans="9:9" s="1" customFormat="1" x14ac:dyDescent="0.3">
      <c r="I250" s="28"/>
    </row>
    <row r="251" spans="9:9" s="1" customFormat="1" x14ac:dyDescent="0.3">
      <c r="I251" s="28"/>
    </row>
    <row r="252" spans="9:9" s="1" customFormat="1" x14ac:dyDescent="0.3">
      <c r="I252" s="28"/>
    </row>
    <row r="253" spans="9:9" s="1" customFormat="1" x14ac:dyDescent="0.3">
      <c r="I253" s="28"/>
    </row>
    <row r="254" spans="9:9" s="1" customFormat="1" x14ac:dyDescent="0.3">
      <c r="I254" s="28"/>
    </row>
    <row r="255" spans="9:9" s="1" customFormat="1" x14ac:dyDescent="0.3">
      <c r="I255" s="28"/>
    </row>
    <row r="256" spans="9:9" s="1" customFormat="1" x14ac:dyDescent="0.3">
      <c r="I256" s="28"/>
    </row>
    <row r="257" spans="9:9" s="1" customFormat="1" x14ac:dyDescent="0.3">
      <c r="I257" s="28"/>
    </row>
    <row r="258" spans="9:9" s="1" customFormat="1" x14ac:dyDescent="0.3">
      <c r="I258" s="28"/>
    </row>
    <row r="259" spans="9:9" s="1" customFormat="1" x14ac:dyDescent="0.3">
      <c r="I259" s="28"/>
    </row>
    <row r="260" spans="9:9" s="1" customFormat="1" x14ac:dyDescent="0.3">
      <c r="I260" s="28"/>
    </row>
    <row r="261" spans="9:9" s="1" customFormat="1" x14ac:dyDescent="0.3">
      <c r="I261" s="28"/>
    </row>
    <row r="262" spans="9:9" s="1" customFormat="1" x14ac:dyDescent="0.3">
      <c r="I262" s="28"/>
    </row>
    <row r="263" spans="9:9" s="1" customFormat="1" x14ac:dyDescent="0.3">
      <c r="I263" s="28"/>
    </row>
    <row r="264" spans="9:9" s="1" customFormat="1" x14ac:dyDescent="0.3">
      <c r="I264" s="28"/>
    </row>
    <row r="265" spans="9:9" s="1" customFormat="1" x14ac:dyDescent="0.3">
      <c r="I265" s="28"/>
    </row>
    <row r="266" spans="9:9" s="1" customFormat="1" x14ac:dyDescent="0.3">
      <c r="I266" s="28"/>
    </row>
    <row r="267" spans="9:9" s="1" customFormat="1" x14ac:dyDescent="0.3">
      <c r="I267" s="28"/>
    </row>
    <row r="268" spans="9:9" s="1" customFormat="1" x14ac:dyDescent="0.3">
      <c r="I268" s="28"/>
    </row>
    <row r="269" spans="9:9" s="1" customFormat="1" x14ac:dyDescent="0.3">
      <c r="I269" s="28"/>
    </row>
    <row r="270" spans="9:9" s="1" customFormat="1" x14ac:dyDescent="0.3">
      <c r="I270" s="28"/>
    </row>
    <row r="271" spans="9:9" s="1" customFormat="1" x14ac:dyDescent="0.3">
      <c r="I271" s="28"/>
    </row>
    <row r="272" spans="9:9" s="1" customFormat="1" x14ac:dyDescent="0.3">
      <c r="I272" s="28"/>
    </row>
    <row r="273" spans="9:9" s="1" customFormat="1" x14ac:dyDescent="0.3">
      <c r="I273" s="28"/>
    </row>
    <row r="274" spans="9:9" s="1" customFormat="1" x14ac:dyDescent="0.3">
      <c r="I274" s="28"/>
    </row>
    <row r="275" spans="9:9" s="1" customFormat="1" x14ac:dyDescent="0.3">
      <c r="I275" s="28"/>
    </row>
    <row r="276" spans="9:9" s="1" customFormat="1" x14ac:dyDescent="0.3">
      <c r="I276" s="28"/>
    </row>
    <row r="277" spans="9:9" s="1" customFormat="1" x14ac:dyDescent="0.3">
      <c r="I277" s="28"/>
    </row>
    <row r="278" spans="9:9" s="1" customFormat="1" x14ac:dyDescent="0.3">
      <c r="I278" s="28"/>
    </row>
    <row r="279" spans="9:9" s="1" customFormat="1" x14ac:dyDescent="0.3">
      <c r="I279" s="28"/>
    </row>
    <row r="280" spans="9:9" s="1" customFormat="1" x14ac:dyDescent="0.3">
      <c r="I280" s="28"/>
    </row>
    <row r="281" spans="9:9" s="1" customFormat="1" x14ac:dyDescent="0.3">
      <c r="I281" s="28"/>
    </row>
    <row r="282" spans="9:9" s="1" customFormat="1" x14ac:dyDescent="0.3">
      <c r="I282" s="28"/>
    </row>
    <row r="283" spans="9:9" s="1" customFormat="1" x14ac:dyDescent="0.3">
      <c r="I283" s="28"/>
    </row>
    <row r="284" spans="9:9" s="1" customFormat="1" x14ac:dyDescent="0.3">
      <c r="I284" s="28"/>
    </row>
    <row r="285" spans="9:9" s="1" customFormat="1" x14ac:dyDescent="0.3">
      <c r="I285" s="28"/>
    </row>
    <row r="286" spans="9:9" s="1" customFormat="1" x14ac:dyDescent="0.3">
      <c r="I286" s="28"/>
    </row>
    <row r="287" spans="9:9" s="1" customFormat="1" x14ac:dyDescent="0.3">
      <c r="I287" s="28"/>
    </row>
    <row r="288" spans="9:9" s="1" customFormat="1" x14ac:dyDescent="0.3">
      <c r="I288" s="28"/>
    </row>
    <row r="289" spans="9:9" s="1" customFormat="1" x14ac:dyDescent="0.3">
      <c r="I289" s="28"/>
    </row>
    <row r="290" spans="9:9" s="1" customFormat="1" x14ac:dyDescent="0.3">
      <c r="I290" s="28"/>
    </row>
    <row r="291" spans="9:9" s="1" customFormat="1" x14ac:dyDescent="0.3">
      <c r="I291" s="28"/>
    </row>
    <row r="292" spans="9:9" s="1" customFormat="1" x14ac:dyDescent="0.3">
      <c r="I292" s="28"/>
    </row>
    <row r="293" spans="9:9" s="1" customFormat="1" x14ac:dyDescent="0.3">
      <c r="I293" s="28"/>
    </row>
    <row r="294" spans="9:9" s="1" customFormat="1" x14ac:dyDescent="0.3">
      <c r="I294" s="28"/>
    </row>
    <row r="295" spans="9:9" s="1" customFormat="1" x14ac:dyDescent="0.3">
      <c r="I295" s="28"/>
    </row>
    <row r="296" spans="9:9" s="1" customFormat="1" x14ac:dyDescent="0.3">
      <c r="I296" s="28"/>
    </row>
    <row r="297" spans="9:9" s="1" customFormat="1" x14ac:dyDescent="0.3">
      <c r="I297" s="28"/>
    </row>
    <row r="298" spans="9:9" s="1" customFormat="1" x14ac:dyDescent="0.3">
      <c r="I298" s="28"/>
    </row>
    <row r="299" spans="9:9" s="1" customFormat="1" x14ac:dyDescent="0.3">
      <c r="I299" s="28"/>
    </row>
    <row r="300" spans="9:9" s="1" customFormat="1" x14ac:dyDescent="0.3">
      <c r="I300" s="28"/>
    </row>
    <row r="301" spans="9:9" s="1" customFormat="1" x14ac:dyDescent="0.3">
      <c r="I301" s="28"/>
    </row>
    <row r="302" spans="9:9" s="1" customFormat="1" x14ac:dyDescent="0.3">
      <c r="I302" s="28"/>
    </row>
    <row r="303" spans="9:9" s="1" customFormat="1" x14ac:dyDescent="0.3">
      <c r="I303" s="28"/>
    </row>
    <row r="304" spans="9:9" s="1" customFormat="1" x14ac:dyDescent="0.3">
      <c r="I304" s="28"/>
    </row>
    <row r="305" spans="9:9" s="1" customFormat="1" x14ac:dyDescent="0.3">
      <c r="I305" s="28"/>
    </row>
    <row r="306" spans="9:9" s="1" customFormat="1" x14ac:dyDescent="0.3">
      <c r="I306" s="28"/>
    </row>
    <row r="307" spans="9:9" s="1" customFormat="1" x14ac:dyDescent="0.3">
      <c r="I307" s="28"/>
    </row>
    <row r="308" spans="9:9" s="1" customFormat="1" x14ac:dyDescent="0.3">
      <c r="I308" s="28"/>
    </row>
    <row r="309" spans="9:9" s="1" customFormat="1" x14ac:dyDescent="0.3">
      <c r="I309" s="28"/>
    </row>
    <row r="310" spans="9:9" s="1" customFormat="1" x14ac:dyDescent="0.3">
      <c r="I310" s="28"/>
    </row>
    <row r="311" spans="9:9" s="1" customFormat="1" x14ac:dyDescent="0.3">
      <c r="I311" s="28"/>
    </row>
    <row r="312" spans="9:9" s="1" customFormat="1" x14ac:dyDescent="0.3">
      <c r="I312" s="28"/>
    </row>
    <row r="313" spans="9:9" s="1" customFormat="1" x14ac:dyDescent="0.3">
      <c r="I313" s="28"/>
    </row>
    <row r="314" spans="9:9" s="1" customFormat="1" x14ac:dyDescent="0.3">
      <c r="I314" s="28"/>
    </row>
    <row r="315" spans="9:9" s="1" customFormat="1" x14ac:dyDescent="0.3">
      <c r="I315" s="28"/>
    </row>
    <row r="316" spans="9:9" s="1" customFormat="1" x14ac:dyDescent="0.3">
      <c r="I316" s="28"/>
    </row>
    <row r="317" spans="9:9" s="1" customFormat="1" x14ac:dyDescent="0.3">
      <c r="I317" s="28"/>
    </row>
    <row r="318" spans="9:9" s="1" customFormat="1" x14ac:dyDescent="0.3">
      <c r="I318" s="28"/>
    </row>
    <row r="319" spans="9:9" s="1" customFormat="1" x14ac:dyDescent="0.3">
      <c r="I319" s="28"/>
    </row>
    <row r="320" spans="9:9" s="1" customFormat="1" x14ac:dyDescent="0.3">
      <c r="I320" s="28"/>
    </row>
    <row r="321" spans="9:9" s="1" customFormat="1" x14ac:dyDescent="0.3">
      <c r="I321" s="28"/>
    </row>
    <row r="322" spans="9:9" s="1" customFormat="1" x14ac:dyDescent="0.3">
      <c r="I322" s="28"/>
    </row>
    <row r="323" spans="9:9" s="1" customFormat="1" x14ac:dyDescent="0.3">
      <c r="I323" s="28"/>
    </row>
    <row r="324" spans="9:9" s="1" customFormat="1" x14ac:dyDescent="0.3">
      <c r="I324" s="28"/>
    </row>
    <row r="325" spans="9:9" s="1" customFormat="1" x14ac:dyDescent="0.3">
      <c r="I325" s="28"/>
    </row>
    <row r="326" spans="9:9" s="1" customFormat="1" x14ac:dyDescent="0.3">
      <c r="I326" s="28"/>
    </row>
    <row r="327" spans="9:9" s="1" customFormat="1" x14ac:dyDescent="0.3">
      <c r="I327" s="28"/>
    </row>
    <row r="328" spans="9:9" s="1" customFormat="1" x14ac:dyDescent="0.3">
      <c r="I328" s="28"/>
    </row>
    <row r="329" spans="9:9" s="1" customFormat="1" x14ac:dyDescent="0.3">
      <c r="I329" s="28"/>
    </row>
    <row r="330" spans="9:9" s="1" customFormat="1" x14ac:dyDescent="0.3">
      <c r="I330" s="28"/>
    </row>
    <row r="331" spans="9:9" s="1" customFormat="1" x14ac:dyDescent="0.3">
      <c r="I331" s="28"/>
    </row>
    <row r="332" spans="9:9" s="1" customFormat="1" x14ac:dyDescent="0.3">
      <c r="I332" s="28"/>
    </row>
    <row r="333" spans="9:9" s="1" customFormat="1" x14ac:dyDescent="0.3">
      <c r="I333" s="28"/>
    </row>
    <row r="334" spans="9:9" s="1" customFormat="1" x14ac:dyDescent="0.3">
      <c r="I334" s="28"/>
    </row>
    <row r="335" spans="9:9" s="1" customFormat="1" x14ac:dyDescent="0.3">
      <c r="I335" s="28"/>
    </row>
    <row r="336" spans="9:9" s="1" customFormat="1" x14ac:dyDescent="0.3">
      <c r="I336" s="28"/>
    </row>
    <row r="337" spans="9:9" s="1" customFormat="1" x14ac:dyDescent="0.3">
      <c r="I337" s="28"/>
    </row>
    <row r="338" spans="9:9" s="1" customFormat="1" x14ac:dyDescent="0.3">
      <c r="I338" s="28"/>
    </row>
    <row r="339" spans="9:9" s="1" customFormat="1" x14ac:dyDescent="0.3">
      <c r="I339" s="28"/>
    </row>
    <row r="340" spans="9:9" s="1" customFormat="1" x14ac:dyDescent="0.3">
      <c r="I340" s="28"/>
    </row>
    <row r="341" spans="9:9" s="1" customFormat="1" x14ac:dyDescent="0.3">
      <c r="I341" s="28"/>
    </row>
    <row r="342" spans="9:9" s="1" customFormat="1" x14ac:dyDescent="0.3">
      <c r="I342" s="28"/>
    </row>
    <row r="343" spans="9:9" s="1" customFormat="1" x14ac:dyDescent="0.3">
      <c r="I343" s="28"/>
    </row>
    <row r="344" spans="9:9" s="1" customFormat="1" x14ac:dyDescent="0.3">
      <c r="I344" s="28"/>
    </row>
    <row r="345" spans="9:9" s="1" customFormat="1" x14ac:dyDescent="0.3">
      <c r="I345" s="28"/>
    </row>
    <row r="346" spans="9:9" s="1" customFormat="1" x14ac:dyDescent="0.3">
      <c r="I346" s="28"/>
    </row>
    <row r="347" spans="9:9" s="1" customFormat="1" x14ac:dyDescent="0.3">
      <c r="I347" s="28"/>
    </row>
    <row r="348" spans="9:9" s="1" customFormat="1" x14ac:dyDescent="0.3">
      <c r="I348" s="28"/>
    </row>
    <row r="349" spans="9:9" s="1" customFormat="1" x14ac:dyDescent="0.3">
      <c r="I349" s="28"/>
    </row>
    <row r="350" spans="9:9" s="1" customFormat="1" x14ac:dyDescent="0.3">
      <c r="I350" s="28"/>
    </row>
    <row r="351" spans="9:9" s="1" customFormat="1" x14ac:dyDescent="0.3">
      <c r="I351" s="28"/>
    </row>
    <row r="352" spans="9:9" s="1" customFormat="1" x14ac:dyDescent="0.3">
      <c r="I352" s="28"/>
    </row>
    <row r="353" spans="9:9" s="1" customFormat="1" x14ac:dyDescent="0.3">
      <c r="I353" s="28"/>
    </row>
    <row r="354" spans="9:9" s="1" customFormat="1" x14ac:dyDescent="0.3">
      <c r="I354" s="28"/>
    </row>
    <row r="355" spans="9:9" s="1" customFormat="1" x14ac:dyDescent="0.3">
      <c r="I355" s="28"/>
    </row>
    <row r="356" spans="9:9" s="1" customFormat="1" x14ac:dyDescent="0.3">
      <c r="I356" s="28"/>
    </row>
    <row r="357" spans="9:9" s="1" customFormat="1" x14ac:dyDescent="0.3">
      <c r="I357" s="28"/>
    </row>
    <row r="358" spans="9:9" s="1" customFormat="1" x14ac:dyDescent="0.3">
      <c r="I358" s="28"/>
    </row>
    <row r="359" spans="9:9" s="1" customFormat="1" x14ac:dyDescent="0.3">
      <c r="I359" s="28"/>
    </row>
    <row r="360" spans="9:9" s="1" customFormat="1" x14ac:dyDescent="0.3">
      <c r="I360" s="28"/>
    </row>
    <row r="361" spans="9:9" s="1" customFormat="1" x14ac:dyDescent="0.3">
      <c r="I361" s="28"/>
    </row>
    <row r="362" spans="9:9" s="1" customFormat="1" x14ac:dyDescent="0.3">
      <c r="I362" s="28"/>
    </row>
    <row r="363" spans="9:9" s="1" customFormat="1" x14ac:dyDescent="0.3">
      <c r="I363" s="28"/>
    </row>
    <row r="364" spans="9:9" s="1" customFormat="1" x14ac:dyDescent="0.3">
      <c r="I364" s="28"/>
    </row>
    <row r="365" spans="9:9" s="1" customFormat="1" x14ac:dyDescent="0.3">
      <c r="I365" s="28"/>
    </row>
    <row r="366" spans="9:9" s="1" customFormat="1" x14ac:dyDescent="0.3">
      <c r="I366" s="28"/>
    </row>
    <row r="367" spans="9:9" s="1" customFormat="1" x14ac:dyDescent="0.3">
      <c r="I367" s="28"/>
    </row>
    <row r="368" spans="9:9" s="1" customFormat="1" x14ac:dyDescent="0.3">
      <c r="I368" s="28"/>
    </row>
    <row r="369" spans="9:9" s="1" customFormat="1" x14ac:dyDescent="0.3">
      <c r="I369" s="28"/>
    </row>
    <row r="370" spans="9:9" s="1" customFormat="1" x14ac:dyDescent="0.3">
      <c r="I370" s="28"/>
    </row>
    <row r="371" spans="9:9" s="1" customFormat="1" x14ac:dyDescent="0.3">
      <c r="I371" s="28"/>
    </row>
    <row r="372" spans="9:9" s="1" customFormat="1" x14ac:dyDescent="0.3">
      <c r="I372" s="28"/>
    </row>
    <row r="373" spans="9:9" s="1" customFormat="1" x14ac:dyDescent="0.3">
      <c r="I373" s="28"/>
    </row>
    <row r="374" spans="9:9" s="1" customFormat="1" x14ac:dyDescent="0.3">
      <c r="I374" s="28"/>
    </row>
    <row r="375" spans="9:9" s="1" customFormat="1" x14ac:dyDescent="0.3">
      <c r="I375" s="28"/>
    </row>
    <row r="376" spans="9:9" s="1" customFormat="1" x14ac:dyDescent="0.3">
      <c r="I376" s="28"/>
    </row>
    <row r="377" spans="9:9" s="1" customFormat="1" x14ac:dyDescent="0.3">
      <c r="I377" s="28"/>
    </row>
    <row r="378" spans="9:9" s="1" customFormat="1" x14ac:dyDescent="0.3">
      <c r="I378" s="28"/>
    </row>
    <row r="379" spans="9:9" s="1" customFormat="1" x14ac:dyDescent="0.3">
      <c r="I379" s="28"/>
    </row>
    <row r="380" spans="9:9" s="1" customFormat="1" x14ac:dyDescent="0.3">
      <c r="I380" s="28"/>
    </row>
    <row r="381" spans="9:9" s="1" customFormat="1" x14ac:dyDescent="0.3">
      <c r="I381" s="28"/>
    </row>
    <row r="382" spans="9:9" s="1" customFormat="1" x14ac:dyDescent="0.3">
      <c r="I382" s="28"/>
    </row>
    <row r="383" spans="9:9" s="1" customFormat="1" x14ac:dyDescent="0.3">
      <c r="I383" s="28"/>
    </row>
    <row r="384" spans="9:9" s="1" customFormat="1" x14ac:dyDescent="0.3">
      <c r="I384" s="28"/>
    </row>
    <row r="385" spans="9:9" s="1" customFormat="1" x14ac:dyDescent="0.3">
      <c r="I385" s="28"/>
    </row>
    <row r="386" spans="9:9" s="1" customFormat="1" x14ac:dyDescent="0.3">
      <c r="I386" s="28"/>
    </row>
    <row r="387" spans="9:9" s="1" customFormat="1" x14ac:dyDescent="0.3">
      <c r="I387" s="28"/>
    </row>
    <row r="388" spans="9:9" s="1" customFormat="1" x14ac:dyDescent="0.3">
      <c r="I388" s="28"/>
    </row>
    <row r="389" spans="9:9" s="1" customFormat="1" x14ac:dyDescent="0.3">
      <c r="I389" s="28"/>
    </row>
    <row r="390" spans="9:9" s="1" customFormat="1" x14ac:dyDescent="0.3">
      <c r="I390" s="28"/>
    </row>
    <row r="391" spans="9:9" s="1" customFormat="1" x14ac:dyDescent="0.3">
      <c r="I391" s="28"/>
    </row>
    <row r="392" spans="9:9" s="1" customFormat="1" x14ac:dyDescent="0.3">
      <c r="I392" s="28"/>
    </row>
    <row r="393" spans="9:9" s="1" customFormat="1" x14ac:dyDescent="0.3">
      <c r="I393" s="28"/>
    </row>
    <row r="394" spans="9:9" s="1" customFormat="1" x14ac:dyDescent="0.3">
      <c r="I394" s="28"/>
    </row>
    <row r="395" spans="9:9" s="1" customFormat="1" x14ac:dyDescent="0.3">
      <c r="I395" s="28"/>
    </row>
    <row r="396" spans="9:9" s="1" customFormat="1" x14ac:dyDescent="0.3">
      <c r="I396" s="28"/>
    </row>
    <row r="397" spans="9:9" s="1" customFormat="1" x14ac:dyDescent="0.3">
      <c r="I397" s="28"/>
    </row>
    <row r="398" spans="9:9" s="1" customFormat="1" x14ac:dyDescent="0.3">
      <c r="I398" s="28"/>
    </row>
    <row r="399" spans="9:9" s="1" customFormat="1" x14ac:dyDescent="0.3">
      <c r="I399" s="28"/>
    </row>
    <row r="400" spans="9:9" s="1" customFormat="1" x14ac:dyDescent="0.3">
      <c r="I400" s="28"/>
    </row>
    <row r="401" spans="9:9" s="1" customFormat="1" x14ac:dyDescent="0.3">
      <c r="I401" s="28"/>
    </row>
    <row r="402" spans="9:9" s="1" customFormat="1" x14ac:dyDescent="0.3">
      <c r="I402" s="28"/>
    </row>
    <row r="403" spans="9:9" s="1" customFormat="1" x14ac:dyDescent="0.3">
      <c r="I403" s="28"/>
    </row>
    <row r="404" spans="9:9" s="1" customFormat="1" x14ac:dyDescent="0.3">
      <c r="I404" s="28"/>
    </row>
    <row r="405" spans="9:9" s="1" customFormat="1" x14ac:dyDescent="0.3">
      <c r="I405" s="28"/>
    </row>
    <row r="406" spans="9:9" s="1" customFormat="1" x14ac:dyDescent="0.3">
      <c r="I406" s="28"/>
    </row>
    <row r="407" spans="9:9" s="1" customFormat="1" x14ac:dyDescent="0.3">
      <c r="I407" s="28"/>
    </row>
    <row r="408" spans="9:9" s="1" customFormat="1" x14ac:dyDescent="0.3">
      <c r="I408" s="28"/>
    </row>
    <row r="409" spans="9:9" s="1" customFormat="1" x14ac:dyDescent="0.3">
      <c r="I409" s="28"/>
    </row>
    <row r="410" spans="9:9" s="1" customFormat="1" x14ac:dyDescent="0.3">
      <c r="I410" s="28"/>
    </row>
    <row r="411" spans="9:9" s="1" customFormat="1" x14ac:dyDescent="0.3">
      <c r="I411" s="28"/>
    </row>
    <row r="412" spans="9:9" s="1" customFormat="1" x14ac:dyDescent="0.3">
      <c r="I412" s="28"/>
    </row>
    <row r="413" spans="9:9" s="1" customFormat="1" x14ac:dyDescent="0.3">
      <c r="I413" s="28"/>
    </row>
    <row r="414" spans="9:9" s="1" customFormat="1" x14ac:dyDescent="0.3">
      <c r="I414" s="28"/>
    </row>
    <row r="415" spans="9:9" s="1" customFormat="1" x14ac:dyDescent="0.3">
      <c r="I415" s="28"/>
    </row>
    <row r="416" spans="9:9" s="1" customFormat="1" x14ac:dyDescent="0.3">
      <c r="I416" s="28"/>
    </row>
    <row r="417" spans="9:9" s="1" customFormat="1" x14ac:dyDescent="0.3">
      <c r="I417" s="28"/>
    </row>
    <row r="418" spans="9:9" s="1" customFormat="1" x14ac:dyDescent="0.3">
      <c r="I418" s="28"/>
    </row>
    <row r="419" spans="9:9" s="1" customFormat="1" x14ac:dyDescent="0.3">
      <c r="I419" s="28"/>
    </row>
    <row r="420" spans="9:9" s="1" customFormat="1" x14ac:dyDescent="0.3">
      <c r="I420" s="28"/>
    </row>
    <row r="421" spans="9:9" s="1" customFormat="1" x14ac:dyDescent="0.3">
      <c r="I421" s="28"/>
    </row>
    <row r="422" spans="9:9" s="1" customFormat="1" x14ac:dyDescent="0.3">
      <c r="I422" s="28"/>
    </row>
    <row r="423" spans="9:9" s="1" customFormat="1" x14ac:dyDescent="0.3">
      <c r="I423" s="28"/>
    </row>
    <row r="424" spans="9:9" s="1" customFormat="1" x14ac:dyDescent="0.3">
      <c r="I424" s="28"/>
    </row>
    <row r="425" spans="9:9" s="1" customFormat="1" x14ac:dyDescent="0.3">
      <c r="I425" s="28"/>
    </row>
    <row r="426" spans="9:9" s="1" customFormat="1" x14ac:dyDescent="0.3">
      <c r="I426" s="28"/>
    </row>
    <row r="427" spans="9:9" s="1" customFormat="1" x14ac:dyDescent="0.3">
      <c r="I427" s="28"/>
    </row>
    <row r="428" spans="9:9" s="1" customFormat="1" x14ac:dyDescent="0.3">
      <c r="I428" s="28"/>
    </row>
    <row r="429" spans="9:9" s="1" customFormat="1" x14ac:dyDescent="0.3">
      <c r="I429" s="28"/>
    </row>
    <row r="430" spans="9:9" s="1" customFormat="1" x14ac:dyDescent="0.3">
      <c r="I430" s="28"/>
    </row>
    <row r="431" spans="9:9" s="1" customFormat="1" x14ac:dyDescent="0.3">
      <c r="I431" s="28"/>
    </row>
    <row r="432" spans="9:9" s="1" customFormat="1" x14ac:dyDescent="0.3">
      <c r="I432" s="28"/>
    </row>
    <row r="433" spans="9:9" s="1" customFormat="1" x14ac:dyDescent="0.3">
      <c r="I433" s="28"/>
    </row>
    <row r="434" spans="9:9" s="1" customFormat="1" x14ac:dyDescent="0.3">
      <c r="I434" s="28"/>
    </row>
    <row r="435" spans="9:9" s="1" customFormat="1" x14ac:dyDescent="0.3">
      <c r="I435" s="28"/>
    </row>
    <row r="436" spans="9:9" s="1" customFormat="1" x14ac:dyDescent="0.3">
      <c r="I436" s="28"/>
    </row>
    <row r="437" spans="9:9" s="1" customFormat="1" x14ac:dyDescent="0.3">
      <c r="I437" s="28"/>
    </row>
    <row r="438" spans="9:9" s="1" customFormat="1" x14ac:dyDescent="0.3">
      <c r="I438" s="28"/>
    </row>
    <row r="439" spans="9:9" s="1" customFormat="1" x14ac:dyDescent="0.3">
      <c r="I439" s="28"/>
    </row>
    <row r="440" spans="9:9" s="1" customFormat="1" x14ac:dyDescent="0.3">
      <c r="I440" s="28"/>
    </row>
    <row r="441" spans="9:9" s="1" customFormat="1" x14ac:dyDescent="0.3">
      <c r="I441" s="28"/>
    </row>
    <row r="442" spans="9:9" s="1" customFormat="1" x14ac:dyDescent="0.3">
      <c r="I442" s="28"/>
    </row>
    <row r="443" spans="9:9" s="1" customFormat="1" x14ac:dyDescent="0.3">
      <c r="I443" s="28"/>
    </row>
    <row r="444" spans="9:9" s="1" customFormat="1" x14ac:dyDescent="0.3">
      <c r="I444" s="28"/>
    </row>
    <row r="445" spans="9:9" s="1" customFormat="1" x14ac:dyDescent="0.3">
      <c r="I445" s="28"/>
    </row>
    <row r="446" spans="9:9" s="1" customFormat="1" x14ac:dyDescent="0.3">
      <c r="I446" s="28"/>
    </row>
    <row r="447" spans="9:9" s="1" customFormat="1" x14ac:dyDescent="0.3">
      <c r="I447" s="28"/>
    </row>
    <row r="448" spans="9:9" s="1" customFormat="1" x14ac:dyDescent="0.3">
      <c r="I448" s="28"/>
    </row>
    <row r="449" spans="9:9" s="1" customFormat="1" x14ac:dyDescent="0.3">
      <c r="I449" s="28"/>
    </row>
    <row r="450" spans="9:9" s="1" customFormat="1" x14ac:dyDescent="0.3">
      <c r="I450" s="28"/>
    </row>
    <row r="451" spans="9:9" s="1" customFormat="1" x14ac:dyDescent="0.3">
      <c r="I451" s="28"/>
    </row>
    <row r="452" spans="9:9" s="1" customFormat="1" x14ac:dyDescent="0.3">
      <c r="I452" s="28"/>
    </row>
    <row r="453" spans="9:9" s="1" customFormat="1" x14ac:dyDescent="0.3">
      <c r="I453" s="28"/>
    </row>
    <row r="454" spans="9:9" s="1" customFormat="1" x14ac:dyDescent="0.3">
      <c r="I454" s="28"/>
    </row>
    <row r="455" spans="9:9" s="1" customFormat="1" x14ac:dyDescent="0.3">
      <c r="I455" s="28"/>
    </row>
    <row r="456" spans="9:9" s="1" customFormat="1" x14ac:dyDescent="0.3">
      <c r="I456" s="28"/>
    </row>
    <row r="457" spans="9:9" s="1" customFormat="1" x14ac:dyDescent="0.3">
      <c r="I457" s="28"/>
    </row>
    <row r="458" spans="9:9" s="1" customFormat="1" x14ac:dyDescent="0.3">
      <c r="I458" s="28"/>
    </row>
    <row r="459" spans="9:9" s="1" customFormat="1" x14ac:dyDescent="0.3">
      <c r="I459" s="28"/>
    </row>
    <row r="460" spans="9:9" s="1" customFormat="1" x14ac:dyDescent="0.3">
      <c r="I460" s="28"/>
    </row>
    <row r="461" spans="9:9" s="1" customFormat="1" x14ac:dyDescent="0.3">
      <c r="I461" s="28"/>
    </row>
    <row r="462" spans="9:9" s="1" customFormat="1" x14ac:dyDescent="0.3">
      <c r="I462" s="28"/>
    </row>
    <row r="463" spans="9:9" s="1" customFormat="1" x14ac:dyDescent="0.3">
      <c r="I463" s="28"/>
    </row>
    <row r="464" spans="9:9" s="1" customFormat="1" x14ac:dyDescent="0.3">
      <c r="I464" s="28"/>
    </row>
    <row r="465" spans="9:9" s="1" customFormat="1" x14ac:dyDescent="0.3">
      <c r="I465" s="28"/>
    </row>
    <row r="466" spans="9:9" s="1" customFormat="1" x14ac:dyDescent="0.3">
      <c r="I466" s="28"/>
    </row>
    <row r="467" spans="9:9" s="1" customFormat="1" x14ac:dyDescent="0.3">
      <c r="I467" s="28"/>
    </row>
    <row r="468" spans="9:9" s="1" customFormat="1" x14ac:dyDescent="0.3">
      <c r="I468" s="28"/>
    </row>
    <row r="469" spans="9:9" s="1" customFormat="1" x14ac:dyDescent="0.3">
      <c r="I469" s="28"/>
    </row>
    <row r="470" spans="9:9" s="1" customFormat="1" x14ac:dyDescent="0.3">
      <c r="I470" s="28"/>
    </row>
    <row r="471" spans="9:9" s="1" customFormat="1" x14ac:dyDescent="0.3">
      <c r="I471" s="28"/>
    </row>
    <row r="472" spans="9:9" s="1" customFormat="1" x14ac:dyDescent="0.3">
      <c r="I472" s="28"/>
    </row>
    <row r="473" spans="9:9" s="1" customFormat="1" x14ac:dyDescent="0.3">
      <c r="I473" s="28"/>
    </row>
    <row r="474" spans="9:9" s="1" customFormat="1" x14ac:dyDescent="0.3">
      <c r="I474" s="28"/>
    </row>
    <row r="475" spans="9:9" s="1" customFormat="1" x14ac:dyDescent="0.3">
      <c r="I475" s="28"/>
    </row>
    <row r="476" spans="9:9" s="1" customFormat="1" x14ac:dyDescent="0.3">
      <c r="I476" s="28"/>
    </row>
    <row r="477" spans="9:9" s="1" customFormat="1" x14ac:dyDescent="0.3">
      <c r="I477" s="28"/>
    </row>
    <row r="478" spans="9:9" s="1" customFormat="1" x14ac:dyDescent="0.3">
      <c r="I478" s="28"/>
    </row>
    <row r="479" spans="9:9" s="1" customFormat="1" x14ac:dyDescent="0.3">
      <c r="I479" s="28"/>
    </row>
    <row r="480" spans="9:9" s="1" customFormat="1" x14ac:dyDescent="0.3">
      <c r="I480" s="28"/>
    </row>
    <row r="481" spans="9:9" s="1" customFormat="1" x14ac:dyDescent="0.3">
      <c r="I481" s="28"/>
    </row>
    <row r="482" spans="9:9" s="1" customFormat="1" x14ac:dyDescent="0.3">
      <c r="I482" s="28"/>
    </row>
    <row r="483" spans="9:9" s="1" customFormat="1" x14ac:dyDescent="0.3">
      <c r="I483" s="28"/>
    </row>
    <row r="484" spans="9:9" s="1" customFormat="1" x14ac:dyDescent="0.3">
      <c r="I484" s="28"/>
    </row>
    <row r="485" spans="9:9" s="1" customFormat="1" x14ac:dyDescent="0.3">
      <c r="I485" s="28"/>
    </row>
    <row r="486" spans="9:9" s="1" customFormat="1" x14ac:dyDescent="0.3">
      <c r="I486" s="28"/>
    </row>
    <row r="487" spans="9:9" s="1" customFormat="1" x14ac:dyDescent="0.3">
      <c r="I487" s="28"/>
    </row>
    <row r="488" spans="9:9" s="1" customFormat="1" x14ac:dyDescent="0.3">
      <c r="I488" s="28"/>
    </row>
    <row r="489" spans="9:9" s="1" customFormat="1" x14ac:dyDescent="0.3">
      <c r="I489" s="28"/>
    </row>
    <row r="490" spans="9:9" s="1" customFormat="1" x14ac:dyDescent="0.3">
      <c r="I490" s="28"/>
    </row>
    <row r="491" spans="9:9" s="1" customFormat="1" x14ac:dyDescent="0.3">
      <c r="I491" s="28"/>
    </row>
    <row r="492" spans="9:9" s="1" customFormat="1" x14ac:dyDescent="0.3">
      <c r="I492" s="28"/>
    </row>
    <row r="493" spans="9:9" s="1" customFormat="1" x14ac:dyDescent="0.3">
      <c r="I493" s="28"/>
    </row>
    <row r="494" spans="9:9" s="1" customFormat="1" x14ac:dyDescent="0.3">
      <c r="I494" s="28"/>
    </row>
    <row r="495" spans="9:9" s="1" customFormat="1" x14ac:dyDescent="0.3">
      <c r="I495" s="28"/>
    </row>
    <row r="496" spans="9:9" s="1" customFormat="1" x14ac:dyDescent="0.3">
      <c r="I496" s="28"/>
    </row>
    <row r="497" spans="9:9" s="1" customFormat="1" x14ac:dyDescent="0.3">
      <c r="I497" s="28"/>
    </row>
    <row r="498" spans="9:9" s="1" customFormat="1" x14ac:dyDescent="0.3">
      <c r="I498" s="28"/>
    </row>
    <row r="499" spans="9:9" s="1" customFormat="1" x14ac:dyDescent="0.3">
      <c r="I499" s="28"/>
    </row>
    <row r="500" spans="9:9" s="1" customFormat="1" x14ac:dyDescent="0.3">
      <c r="I500" s="28"/>
    </row>
    <row r="501" spans="9:9" s="1" customFormat="1" x14ac:dyDescent="0.3">
      <c r="I501" s="28"/>
    </row>
    <row r="502" spans="9:9" s="1" customFormat="1" x14ac:dyDescent="0.3">
      <c r="I502" s="28"/>
    </row>
    <row r="503" spans="9:9" s="1" customFormat="1" x14ac:dyDescent="0.3">
      <c r="I503" s="28"/>
    </row>
    <row r="504" spans="9:9" s="1" customFormat="1" x14ac:dyDescent="0.3">
      <c r="I504" s="28"/>
    </row>
    <row r="505" spans="9:9" s="1" customFormat="1" x14ac:dyDescent="0.3">
      <c r="I505" s="28"/>
    </row>
    <row r="506" spans="9:9" s="1" customFormat="1" x14ac:dyDescent="0.3">
      <c r="I506" s="28"/>
    </row>
    <row r="507" spans="9:9" s="1" customFormat="1" x14ac:dyDescent="0.3">
      <c r="I507" s="28"/>
    </row>
    <row r="508" spans="9:9" s="1" customFormat="1" x14ac:dyDescent="0.3">
      <c r="I508" s="28"/>
    </row>
    <row r="509" spans="9:9" s="1" customFormat="1" x14ac:dyDescent="0.3">
      <c r="I509" s="28"/>
    </row>
    <row r="510" spans="9:9" s="1" customFormat="1" x14ac:dyDescent="0.3">
      <c r="I510" s="28"/>
    </row>
    <row r="511" spans="9:9" s="1" customFormat="1" x14ac:dyDescent="0.3">
      <c r="I511" s="28"/>
    </row>
    <row r="512" spans="9:9" s="1" customFormat="1" x14ac:dyDescent="0.3">
      <c r="I512" s="28"/>
    </row>
    <row r="513" spans="9:9" s="1" customFormat="1" x14ac:dyDescent="0.3">
      <c r="I513" s="28"/>
    </row>
    <row r="514" spans="9:9" s="1" customFormat="1" x14ac:dyDescent="0.3">
      <c r="I514" s="28"/>
    </row>
    <row r="515" spans="9:9" s="1" customFormat="1" x14ac:dyDescent="0.3">
      <c r="I515" s="28"/>
    </row>
    <row r="516" spans="9:9" s="1" customFormat="1" x14ac:dyDescent="0.3">
      <c r="I516" s="28"/>
    </row>
    <row r="517" spans="9:9" s="1" customFormat="1" x14ac:dyDescent="0.3">
      <c r="I517" s="28"/>
    </row>
    <row r="518" spans="9:9" s="1" customFormat="1" x14ac:dyDescent="0.3">
      <c r="I518" s="28"/>
    </row>
    <row r="519" spans="9:9" s="1" customFormat="1" x14ac:dyDescent="0.3">
      <c r="I519" s="28"/>
    </row>
    <row r="520" spans="9:9" s="1" customFormat="1" x14ac:dyDescent="0.3">
      <c r="I520" s="28"/>
    </row>
    <row r="521" spans="9:9" s="1" customFormat="1" x14ac:dyDescent="0.3">
      <c r="I521" s="28"/>
    </row>
    <row r="522" spans="9:9" s="1" customFormat="1" x14ac:dyDescent="0.3">
      <c r="I522" s="28"/>
    </row>
    <row r="523" spans="9:9" s="1" customFormat="1" x14ac:dyDescent="0.3">
      <c r="I523" s="28"/>
    </row>
    <row r="524" spans="9:9" s="1" customFormat="1" x14ac:dyDescent="0.3">
      <c r="I524" s="28"/>
    </row>
    <row r="525" spans="9:9" s="1" customFormat="1" x14ac:dyDescent="0.3">
      <c r="I525" s="28"/>
    </row>
    <row r="526" spans="9:9" s="1" customFormat="1" x14ac:dyDescent="0.3">
      <c r="I526" s="28"/>
    </row>
    <row r="527" spans="9:9" s="1" customFormat="1" x14ac:dyDescent="0.3">
      <c r="I527" s="28"/>
    </row>
    <row r="528" spans="9:9" s="1" customFormat="1" x14ac:dyDescent="0.3">
      <c r="I528" s="28"/>
    </row>
    <row r="529" spans="9:9" s="1" customFormat="1" x14ac:dyDescent="0.3">
      <c r="I529" s="28"/>
    </row>
    <row r="530" spans="9:9" s="1" customFormat="1" x14ac:dyDescent="0.3">
      <c r="I530" s="28"/>
    </row>
    <row r="531" spans="9:9" s="1" customFormat="1" x14ac:dyDescent="0.3">
      <c r="I531" s="28"/>
    </row>
    <row r="532" spans="9:9" s="1" customFormat="1" x14ac:dyDescent="0.3">
      <c r="I532" s="28"/>
    </row>
    <row r="533" spans="9:9" s="1" customFormat="1" x14ac:dyDescent="0.3">
      <c r="I533" s="28"/>
    </row>
    <row r="534" spans="9:9" s="1" customFormat="1" x14ac:dyDescent="0.3">
      <c r="I534" s="28"/>
    </row>
    <row r="535" spans="9:9" s="1" customFormat="1" x14ac:dyDescent="0.3">
      <c r="I535" s="28"/>
    </row>
    <row r="536" spans="9:9" s="1" customFormat="1" x14ac:dyDescent="0.3">
      <c r="I536" s="28"/>
    </row>
    <row r="537" spans="9:9" s="1" customFormat="1" x14ac:dyDescent="0.3">
      <c r="I537" s="28"/>
    </row>
    <row r="538" spans="9:9" s="1" customFormat="1" x14ac:dyDescent="0.3">
      <c r="I538" s="28"/>
    </row>
    <row r="539" spans="9:9" s="1" customFormat="1" x14ac:dyDescent="0.3">
      <c r="I539" s="28"/>
    </row>
    <row r="540" spans="9:9" s="1" customFormat="1" x14ac:dyDescent="0.3">
      <c r="I540" s="28"/>
    </row>
    <row r="541" spans="9:9" s="1" customFormat="1" x14ac:dyDescent="0.3">
      <c r="I541" s="28"/>
    </row>
    <row r="542" spans="9:9" s="1" customFormat="1" x14ac:dyDescent="0.3">
      <c r="I542" s="28"/>
    </row>
    <row r="543" spans="9:9" s="1" customFormat="1" x14ac:dyDescent="0.3">
      <c r="I543" s="28"/>
    </row>
    <row r="544" spans="9:9" s="1" customFormat="1" x14ac:dyDescent="0.3">
      <c r="I544" s="28"/>
    </row>
    <row r="545" spans="9:9" s="1" customFormat="1" x14ac:dyDescent="0.3">
      <c r="I545" s="28"/>
    </row>
    <row r="546" spans="9:9" s="1" customFormat="1" x14ac:dyDescent="0.3">
      <c r="I546" s="28"/>
    </row>
    <row r="547" spans="9:9" s="1" customFormat="1" x14ac:dyDescent="0.3">
      <c r="I547" s="28"/>
    </row>
    <row r="548" spans="9:9" s="1" customFormat="1" x14ac:dyDescent="0.3">
      <c r="I548" s="28"/>
    </row>
    <row r="549" spans="9:9" s="1" customFormat="1" x14ac:dyDescent="0.3">
      <c r="I549" s="28"/>
    </row>
    <row r="550" spans="9:9" s="1" customFormat="1" x14ac:dyDescent="0.3">
      <c r="I550" s="28"/>
    </row>
    <row r="551" spans="9:9" s="1" customFormat="1" x14ac:dyDescent="0.3">
      <c r="I551" s="28"/>
    </row>
    <row r="552" spans="9:9" s="1" customFormat="1" x14ac:dyDescent="0.3">
      <c r="I552" s="28"/>
    </row>
    <row r="553" spans="9:9" s="1" customFormat="1" x14ac:dyDescent="0.3">
      <c r="I553" s="28"/>
    </row>
    <row r="554" spans="9:9" s="1" customFormat="1" x14ac:dyDescent="0.3">
      <c r="I554" s="28"/>
    </row>
    <row r="555" spans="9:9" s="1" customFormat="1" x14ac:dyDescent="0.3">
      <c r="I555" s="28"/>
    </row>
    <row r="556" spans="9:9" s="1" customFormat="1" x14ac:dyDescent="0.3">
      <c r="I556" s="28"/>
    </row>
    <row r="557" spans="9:9" s="1" customFormat="1" x14ac:dyDescent="0.3">
      <c r="I557" s="28"/>
    </row>
    <row r="558" spans="9:9" s="1" customFormat="1" x14ac:dyDescent="0.3">
      <c r="I558" s="28"/>
    </row>
    <row r="559" spans="9:9" s="1" customFormat="1" x14ac:dyDescent="0.3">
      <c r="I559" s="28"/>
    </row>
    <row r="560" spans="9:9" s="1" customFormat="1" x14ac:dyDescent="0.3">
      <c r="I560" s="28"/>
    </row>
    <row r="561" spans="9:9" s="1" customFormat="1" x14ac:dyDescent="0.3">
      <c r="I561" s="28"/>
    </row>
    <row r="562" spans="9:9" s="1" customFormat="1" x14ac:dyDescent="0.3">
      <c r="I562" s="28"/>
    </row>
    <row r="563" spans="9:9" s="1" customFormat="1" x14ac:dyDescent="0.3">
      <c r="I563" s="28"/>
    </row>
    <row r="564" spans="9:9" s="1" customFormat="1" x14ac:dyDescent="0.3">
      <c r="I564" s="28"/>
    </row>
    <row r="565" spans="9:9" s="1" customFormat="1" x14ac:dyDescent="0.3">
      <c r="I565" s="28"/>
    </row>
    <row r="566" spans="9:9" s="1" customFormat="1" x14ac:dyDescent="0.3">
      <c r="I566" s="28"/>
    </row>
    <row r="567" spans="9:9" s="1" customFormat="1" x14ac:dyDescent="0.3">
      <c r="I567" s="28"/>
    </row>
    <row r="568" spans="9:9" s="1" customFormat="1" x14ac:dyDescent="0.3">
      <c r="I568" s="28"/>
    </row>
    <row r="569" spans="9:9" s="1" customFormat="1" x14ac:dyDescent="0.3">
      <c r="I569" s="28"/>
    </row>
    <row r="570" spans="9:9" s="1" customFormat="1" x14ac:dyDescent="0.3">
      <c r="I570" s="28"/>
    </row>
    <row r="571" spans="9:9" s="1" customFormat="1" x14ac:dyDescent="0.3">
      <c r="I571" s="28"/>
    </row>
    <row r="572" spans="9:9" s="1" customFormat="1" x14ac:dyDescent="0.3">
      <c r="I572" s="28"/>
    </row>
    <row r="573" spans="9:9" s="1" customFormat="1" x14ac:dyDescent="0.3">
      <c r="I573" s="28"/>
    </row>
    <row r="574" spans="9:9" s="1" customFormat="1" x14ac:dyDescent="0.3">
      <c r="I574" s="28"/>
    </row>
    <row r="575" spans="9:9" s="1" customFormat="1" x14ac:dyDescent="0.3">
      <c r="I575" s="28"/>
    </row>
    <row r="576" spans="9:9" s="1" customFormat="1" x14ac:dyDescent="0.3">
      <c r="I576" s="28"/>
    </row>
    <row r="577" spans="9:9" s="1" customFormat="1" x14ac:dyDescent="0.3">
      <c r="I577" s="28"/>
    </row>
    <row r="578" spans="9:9" s="1" customFormat="1" x14ac:dyDescent="0.3">
      <c r="I578" s="28"/>
    </row>
    <row r="579" spans="9:9" s="1" customFormat="1" x14ac:dyDescent="0.3">
      <c r="I579" s="28"/>
    </row>
    <row r="580" spans="9:9" s="1" customFormat="1" x14ac:dyDescent="0.3">
      <c r="I580" s="28"/>
    </row>
    <row r="581" spans="9:9" s="1" customFormat="1" x14ac:dyDescent="0.3">
      <c r="I581" s="28"/>
    </row>
    <row r="582" spans="9:9" s="1" customFormat="1" x14ac:dyDescent="0.3">
      <c r="I582" s="28"/>
    </row>
    <row r="583" spans="9:9" s="1" customFormat="1" x14ac:dyDescent="0.3">
      <c r="I583" s="28"/>
    </row>
    <row r="584" spans="9:9" s="1" customFormat="1" x14ac:dyDescent="0.3">
      <c r="I584" s="28"/>
    </row>
    <row r="585" spans="9:9" s="1" customFormat="1" x14ac:dyDescent="0.3">
      <c r="I585" s="28"/>
    </row>
    <row r="586" spans="9:9" s="1" customFormat="1" x14ac:dyDescent="0.3">
      <c r="I586" s="28"/>
    </row>
    <row r="587" spans="9:9" s="1" customFormat="1" x14ac:dyDescent="0.3">
      <c r="I587" s="28"/>
    </row>
    <row r="588" spans="9:9" s="1" customFormat="1" x14ac:dyDescent="0.3">
      <c r="I588" s="28"/>
    </row>
    <row r="589" spans="9:9" s="1" customFormat="1" x14ac:dyDescent="0.3">
      <c r="I589" s="28"/>
    </row>
    <row r="590" spans="9:9" s="1" customFormat="1" x14ac:dyDescent="0.3">
      <c r="I590" s="28"/>
    </row>
    <row r="591" spans="9:9" s="1" customFormat="1" x14ac:dyDescent="0.3">
      <c r="I591" s="28"/>
    </row>
    <row r="592" spans="9:9" s="1" customFormat="1" x14ac:dyDescent="0.3">
      <c r="I592" s="28"/>
    </row>
    <row r="593" spans="9:9" s="1" customFormat="1" x14ac:dyDescent="0.3">
      <c r="I593" s="28"/>
    </row>
    <row r="594" spans="9:9" s="1" customFormat="1" x14ac:dyDescent="0.3">
      <c r="I594" s="28"/>
    </row>
    <row r="595" spans="9:9" s="1" customFormat="1" x14ac:dyDescent="0.3">
      <c r="I595" s="28"/>
    </row>
    <row r="596" spans="9:9" s="1" customFormat="1" x14ac:dyDescent="0.3">
      <c r="I596" s="28"/>
    </row>
    <row r="597" spans="9:9" s="1" customFormat="1" x14ac:dyDescent="0.3">
      <c r="I597" s="28"/>
    </row>
    <row r="598" spans="9:9" s="1" customFormat="1" x14ac:dyDescent="0.3">
      <c r="I598" s="28"/>
    </row>
    <row r="599" spans="9:9" s="1" customFormat="1" x14ac:dyDescent="0.3">
      <c r="I599" s="28"/>
    </row>
    <row r="600" spans="9:9" s="1" customFormat="1" x14ac:dyDescent="0.3">
      <c r="I600" s="28"/>
    </row>
    <row r="601" spans="9:9" s="1" customFormat="1" x14ac:dyDescent="0.3">
      <c r="I601" s="28"/>
    </row>
    <row r="602" spans="9:9" s="1" customFormat="1" x14ac:dyDescent="0.3">
      <c r="I602" s="28"/>
    </row>
    <row r="603" spans="9:9" s="1" customFormat="1" x14ac:dyDescent="0.3">
      <c r="I603" s="28"/>
    </row>
    <row r="604" spans="9:9" s="1" customFormat="1" x14ac:dyDescent="0.3">
      <c r="I604" s="28"/>
    </row>
    <row r="605" spans="9:9" s="1" customFormat="1" x14ac:dyDescent="0.3">
      <c r="I605" s="28"/>
    </row>
    <row r="606" spans="9:9" s="1" customFormat="1" x14ac:dyDescent="0.3">
      <c r="I606" s="28"/>
    </row>
    <row r="607" spans="9:9" s="1" customFormat="1" x14ac:dyDescent="0.3">
      <c r="I607" s="28"/>
    </row>
    <row r="608" spans="9:9" s="1" customFormat="1" x14ac:dyDescent="0.3">
      <c r="I608" s="28"/>
    </row>
    <row r="609" spans="9:9" s="1" customFormat="1" x14ac:dyDescent="0.3">
      <c r="I609" s="28"/>
    </row>
    <row r="610" spans="9:9" s="1" customFormat="1" x14ac:dyDescent="0.3">
      <c r="I610" s="28"/>
    </row>
    <row r="611" spans="9:9" s="1" customFormat="1" x14ac:dyDescent="0.3">
      <c r="I611" s="28"/>
    </row>
    <row r="612" spans="9:9" s="1" customFormat="1" x14ac:dyDescent="0.3">
      <c r="I612" s="28"/>
    </row>
    <row r="613" spans="9:9" s="1" customFormat="1" x14ac:dyDescent="0.3">
      <c r="I613" s="28"/>
    </row>
    <row r="614" spans="9:9" s="1" customFormat="1" x14ac:dyDescent="0.3">
      <c r="I614" s="28"/>
    </row>
    <row r="615" spans="9:9" s="1" customFormat="1" x14ac:dyDescent="0.3">
      <c r="I615" s="28"/>
    </row>
  </sheetData>
  <sheetProtection formatCells="0" formatColumns="0" formatRows="0" deleteRows="0" autoFilter="0" pivotTables="0"/>
  <autoFilter ref="A11:ON59" xr:uid="{497B45A6-08BD-4761-9C2F-07E9B84B4862}">
    <filterColumn colId="402" showButton="0"/>
    <sortState xmlns:xlrd2="http://schemas.microsoft.com/office/spreadsheetml/2017/richdata2" ref="A12:ON59">
      <sortCondition sortBy="cellColor" ref="H11:H59" dxfId="146"/>
    </sortState>
  </autoFilter>
  <sortState xmlns:xlrd2="http://schemas.microsoft.com/office/spreadsheetml/2017/richdata2" ref="A12:NJ29">
    <sortCondition descending="1" ref="H12:H29"/>
    <sortCondition ref="E12:E29"/>
    <sortCondition ref="G12:G29"/>
    <sortCondition ref="B12:B29"/>
    <sortCondition ref="A12:A29"/>
    <sortCondition ref="D12:D29"/>
    <sortCondition ref="C12:C29"/>
    <sortCondition ref="F12:F29"/>
  </sortState>
  <mergeCells count="9">
    <mergeCell ref="G75:H75"/>
    <mergeCell ref="OM11:ON11"/>
    <mergeCell ref="C1:E1"/>
    <mergeCell ref="C2:E2"/>
    <mergeCell ref="C7:E7"/>
    <mergeCell ref="C6:E6"/>
    <mergeCell ref="C5:E5"/>
    <mergeCell ref="C3:E3"/>
    <mergeCell ref="C4:E4"/>
  </mergeCells>
  <phoneticPr fontId="1" type="noConversion"/>
  <conditionalFormatting sqref="J11:GU11 GW11:IA11 IC11:LA11 LC11:LK11 LM11:NJ11">
    <cfRule type="cellIs" dxfId="145" priority="305" stopIfTrue="1" operator="equal">
      <formula>TODAY()</formula>
    </cfRule>
  </conditionalFormatting>
  <conditionalFormatting sqref="J10:GU10 GW10:IA10 IC10:LA10 LC10:LK10 LM10:NJ10">
    <cfRule type="expression" dxfId="144" priority="300">
      <formula>(WEEKDAY(J10,2)=7)</formula>
    </cfRule>
    <cfRule type="expression" dxfId="143" priority="301">
      <formula>(WEEKDAY(J10,2)=6)</formula>
    </cfRule>
  </conditionalFormatting>
  <conditionalFormatting sqref="J64:U66 J55:U59">
    <cfRule type="containsBlanks" dxfId="142" priority="296">
      <formula>LEN(TRIM(J55))=0</formula>
    </cfRule>
  </conditionalFormatting>
  <conditionalFormatting sqref="V64:NJ66 V55:NJ59">
    <cfRule type="containsBlanks" dxfId="141" priority="295">
      <formula>LEN(TRIM(V55))=0</formula>
    </cfRule>
  </conditionalFormatting>
  <conditionalFormatting sqref="NN12:OK53">
    <cfRule type="cellIs" dxfId="140" priority="289" operator="equal">
      <formula>0</formula>
    </cfRule>
  </conditionalFormatting>
  <conditionalFormatting sqref="GV11">
    <cfRule type="cellIs" dxfId="139" priority="234" stopIfTrue="1" operator="equal">
      <formula>TODAY()</formula>
    </cfRule>
  </conditionalFormatting>
  <conditionalFormatting sqref="GV10">
    <cfRule type="expression" dxfId="138" priority="232">
      <formula>(WEEKDAY(GV10,2)=7)</formula>
    </cfRule>
    <cfRule type="expression" dxfId="137" priority="233">
      <formula>(WEEKDAY(GV10,2)=6)</formula>
    </cfRule>
  </conditionalFormatting>
  <conditionalFormatting sqref="IB11">
    <cfRule type="cellIs" dxfId="136" priority="231" stopIfTrue="1" operator="equal">
      <formula>TODAY()</formula>
    </cfRule>
  </conditionalFormatting>
  <conditionalFormatting sqref="IB10">
    <cfRule type="expression" dxfId="135" priority="229">
      <formula>(WEEKDAY(IB10,2)=7)</formula>
    </cfRule>
    <cfRule type="expression" dxfId="134" priority="230">
      <formula>(WEEKDAY(IB10,2)=6)</formula>
    </cfRule>
  </conditionalFormatting>
  <conditionalFormatting sqref="LB11">
    <cfRule type="cellIs" dxfId="133" priority="228" stopIfTrue="1" operator="equal">
      <formula>TODAY()</formula>
    </cfRule>
  </conditionalFormatting>
  <conditionalFormatting sqref="LB10">
    <cfRule type="expression" dxfId="132" priority="226">
      <formula>(WEEKDAY(LB10,2)=7)</formula>
    </cfRule>
    <cfRule type="expression" dxfId="131" priority="227">
      <formula>(WEEKDAY(LB10,2)=6)</formula>
    </cfRule>
  </conditionalFormatting>
  <conditionalFormatting sqref="LL11">
    <cfRule type="cellIs" dxfId="130" priority="225" stopIfTrue="1" operator="equal">
      <formula>TODAY()</formula>
    </cfRule>
  </conditionalFormatting>
  <conditionalFormatting sqref="LL10">
    <cfRule type="expression" dxfId="129" priority="223">
      <formula>(WEEKDAY(LL10,2)=7)</formula>
    </cfRule>
    <cfRule type="expression" dxfId="128" priority="224">
      <formula>(WEEKDAY(LL10,2)=6)</formula>
    </cfRule>
  </conditionalFormatting>
  <conditionalFormatting sqref="OM12:ON12 OM52:ON52">
    <cfRule type="cellIs" dxfId="127" priority="213" operator="equal">
      <formula>0</formula>
    </cfRule>
  </conditionalFormatting>
  <conditionalFormatting sqref="J9:NJ9">
    <cfRule type="expression" dxfId="126" priority="168">
      <formula>(J$9&lt;&gt;"")</formula>
    </cfRule>
  </conditionalFormatting>
  <conditionalFormatting sqref="J68:NJ68">
    <cfRule type="expression" dxfId="125" priority="166">
      <formula>(J$9&lt;&gt;"")</formula>
    </cfRule>
  </conditionalFormatting>
  <conditionalFormatting sqref="NK9">
    <cfRule type="expression" dxfId="124" priority="164">
      <formula>(NK$9&lt;&gt;"")</formula>
    </cfRule>
  </conditionalFormatting>
  <conditionalFormatting sqref="OM14:ON14">
    <cfRule type="cellIs" dxfId="123" priority="136" operator="equal">
      <formula>0</formula>
    </cfRule>
  </conditionalFormatting>
  <conditionalFormatting sqref="OM16:ON16">
    <cfRule type="cellIs" dxfId="122" priority="133" operator="equal">
      <formula>0</formula>
    </cfRule>
  </conditionalFormatting>
  <conditionalFormatting sqref="OM18:ON18">
    <cfRule type="cellIs" dxfId="121" priority="130" operator="equal">
      <formula>0</formula>
    </cfRule>
  </conditionalFormatting>
  <conditionalFormatting sqref="OM20:ON20">
    <cfRule type="cellIs" dxfId="120" priority="127" operator="equal">
      <formula>0</formula>
    </cfRule>
  </conditionalFormatting>
  <conditionalFormatting sqref="OM22:ON22">
    <cfRule type="cellIs" dxfId="119" priority="124" operator="equal">
      <formula>0</formula>
    </cfRule>
  </conditionalFormatting>
  <conditionalFormatting sqref="OM24:ON24">
    <cfRule type="cellIs" dxfId="118" priority="121" operator="equal">
      <formula>0</formula>
    </cfRule>
  </conditionalFormatting>
  <conditionalFormatting sqref="OM26:ON26">
    <cfRule type="cellIs" dxfId="117" priority="118" operator="equal">
      <formula>0</formula>
    </cfRule>
  </conditionalFormatting>
  <conditionalFormatting sqref="J54:NJ54">
    <cfRule type="expression" dxfId="116" priority="114">
      <formula>(J$9&lt;&gt;"")</formula>
    </cfRule>
  </conditionalFormatting>
  <conditionalFormatting sqref="A52:H52">
    <cfRule type="cellIs" dxfId="115" priority="74" operator="equal">
      <formula>"I2S"</formula>
    </cfRule>
  </conditionalFormatting>
  <conditionalFormatting sqref="OM28:ON28">
    <cfRule type="cellIs" dxfId="114" priority="73" operator="equal">
      <formula>0</formula>
    </cfRule>
  </conditionalFormatting>
  <conditionalFormatting sqref="A52:H53">
    <cfRule type="expression" dxfId="113" priority="72">
      <formula>($H52=0)</formula>
    </cfRule>
  </conditionalFormatting>
  <conditionalFormatting sqref="H52:H53">
    <cfRule type="expression" dxfId="112" priority="71">
      <formula>($H52=2)</formula>
    </cfRule>
  </conditionalFormatting>
  <conditionalFormatting sqref="OM30:ON30">
    <cfRule type="cellIs" dxfId="111" priority="42" operator="equal">
      <formula>0</formula>
    </cfRule>
  </conditionalFormatting>
  <conditionalFormatting sqref="L85:Q87 L76:Q80">
    <cfRule type="containsBlanks" dxfId="110" priority="39">
      <formula>LEN(TRIM(L76))=0</formula>
    </cfRule>
  </conditionalFormatting>
  <conditionalFormatting sqref="J85:K87 J76:K80">
    <cfRule type="containsBlanks" dxfId="109" priority="38">
      <formula>LEN(TRIM(J76))=0</formula>
    </cfRule>
  </conditionalFormatting>
  <conditionalFormatting sqref="OM32:ON32">
    <cfRule type="cellIs" dxfId="108" priority="37" operator="equal">
      <formula>0</formula>
    </cfRule>
  </conditionalFormatting>
  <conditionalFormatting sqref="OM34:ON34">
    <cfRule type="cellIs" dxfId="107" priority="35" operator="equal">
      <formula>0</formula>
    </cfRule>
  </conditionalFormatting>
  <conditionalFormatting sqref="OM36:ON36">
    <cfRule type="cellIs" dxfId="106" priority="33" operator="equal">
      <formula>0</formula>
    </cfRule>
  </conditionalFormatting>
  <conditionalFormatting sqref="OM38:ON38">
    <cfRule type="cellIs" dxfId="105" priority="31" operator="equal">
      <formula>0</formula>
    </cfRule>
  </conditionalFormatting>
  <conditionalFormatting sqref="OM40:ON40">
    <cfRule type="cellIs" dxfId="104" priority="29" operator="equal">
      <formula>0</formula>
    </cfRule>
  </conditionalFormatting>
  <conditionalFormatting sqref="OM42:ON42">
    <cfRule type="cellIs" dxfId="103" priority="27" operator="equal">
      <formula>0</formula>
    </cfRule>
  </conditionalFormatting>
  <conditionalFormatting sqref="OM44:ON44">
    <cfRule type="cellIs" dxfId="102" priority="25" operator="equal">
      <formula>0</formula>
    </cfRule>
  </conditionalFormatting>
  <conditionalFormatting sqref="OM46:ON46">
    <cfRule type="cellIs" dxfId="101" priority="23" operator="equal">
      <formula>0</formula>
    </cfRule>
  </conditionalFormatting>
  <conditionalFormatting sqref="OM48:ON48">
    <cfRule type="cellIs" dxfId="100" priority="21" operator="equal">
      <formula>0</formula>
    </cfRule>
  </conditionalFormatting>
  <conditionalFormatting sqref="OM50:ON50">
    <cfRule type="cellIs" dxfId="99" priority="19" operator="equal">
      <formula>0</formula>
    </cfRule>
  </conditionalFormatting>
  <conditionalFormatting sqref="A12:H12 A14:H14 A16:H16 A18:H18 A20:H20 A22:H22 A24:H24 A26:H26 A28:H28">
    <cfRule type="cellIs" dxfId="98" priority="17" operator="equal">
      <formula>"I2S"</formula>
    </cfRule>
  </conditionalFormatting>
  <conditionalFormatting sqref="A12:H51">
    <cfRule type="expression" dxfId="97" priority="16">
      <formula>($H12=0)</formula>
    </cfRule>
  </conditionalFormatting>
  <conditionalFormatting sqref="H12:H51">
    <cfRule type="expression" dxfId="96" priority="15">
      <formula>($H12=2)</formula>
    </cfRule>
  </conditionalFormatting>
  <conditionalFormatting sqref="A30:H30">
    <cfRule type="cellIs" dxfId="95" priority="14" operator="equal">
      <formula>"I2S"</formula>
    </cfRule>
  </conditionalFormatting>
  <conditionalFormatting sqref="A32:H32">
    <cfRule type="cellIs" dxfId="94" priority="13" operator="equal">
      <formula>"I2S"</formula>
    </cfRule>
  </conditionalFormatting>
  <conditionalFormatting sqref="A34:H34">
    <cfRule type="cellIs" dxfId="93" priority="12" operator="equal">
      <formula>"I2S"</formula>
    </cfRule>
  </conditionalFormatting>
  <conditionalFormatting sqref="A36:H36">
    <cfRule type="cellIs" dxfId="92" priority="11" operator="equal">
      <formula>"I2S"</formula>
    </cfRule>
  </conditionalFormatting>
  <conditionalFormatting sqref="A38:H38">
    <cfRule type="cellIs" dxfId="91" priority="10" operator="equal">
      <formula>"I2S"</formula>
    </cfRule>
  </conditionalFormatting>
  <conditionalFormatting sqref="A40:H40">
    <cfRule type="cellIs" dxfId="90" priority="9" operator="equal">
      <formula>"I2S"</formula>
    </cfRule>
  </conditionalFormatting>
  <conditionalFormatting sqref="A42:H42">
    <cfRule type="cellIs" dxfId="89" priority="8" operator="equal">
      <formula>"I2S"</formula>
    </cfRule>
  </conditionalFormatting>
  <conditionalFormatting sqref="A44:H44">
    <cfRule type="cellIs" dxfId="88" priority="7" operator="equal">
      <formula>"I2S"</formula>
    </cfRule>
  </conditionalFormatting>
  <conditionalFormatting sqref="A46:H46">
    <cfRule type="cellIs" dxfId="87" priority="6" operator="equal">
      <formula>"I2S"</formula>
    </cfRule>
  </conditionalFormatting>
  <conditionalFormatting sqref="A48:H48">
    <cfRule type="cellIs" dxfId="86" priority="5" operator="equal">
      <formula>"I2S"</formula>
    </cfRule>
  </conditionalFormatting>
  <conditionalFormatting sqref="A50:H50">
    <cfRule type="cellIs" dxfId="85" priority="4" operator="equal">
      <formula>"I2S"</formula>
    </cfRule>
  </conditionalFormatting>
  <conditionalFormatting sqref="G28">
    <cfRule type="cellIs" dxfId="2" priority="3" operator="equal">
      <formula>"I2S"</formula>
    </cfRule>
  </conditionalFormatting>
  <conditionalFormatting sqref="G26">
    <cfRule type="cellIs" dxfId="1" priority="2" operator="equal">
      <formula>"I2S"</formula>
    </cfRule>
  </conditionalFormatting>
  <conditionalFormatting sqref="G24">
    <cfRule type="cellIs" dxfId="0" priority="1" operator="equal">
      <formula>"I2S"</formula>
    </cfRule>
  </conditionalFormatting>
  <dataValidations count="2">
    <dataValidation type="list" allowBlank="1" showInputMessage="1" showErrorMessage="1" errorTitle="/!\" error="saisir :  I2S ou EXT" promptTitle="!!!" prompt="saisir :  I2S ou EXT" sqref="D52 D24 D12 D14 D16 D18 D20 D22 D26 D28 D30 D32 D34 D36 D38 D40 D42 D44 D46 D48 D50" xr:uid="{A5D8BECC-5455-48B4-AD51-D896178BA98C}">
      <formula1>"I2S,EXT"</formula1>
    </dataValidation>
    <dataValidation type="list" errorStyle="information" allowBlank="1" showErrorMessage="1" error="Saisie hors liste des Groupes" sqref="G75:H75" xr:uid="{9B092887-A9B5-4EA7-B1F5-2D35D00A24E7}">
      <formula1>$K$71:$AE$71</formula1>
    </dataValidation>
  </dataValidations>
  <pageMargins left="0.7" right="0.7" top="0.75" bottom="0.75" header="0.3" footer="0.3"/>
  <pageSetup paperSize="9" orientation="portrait" r:id="rId1"/>
  <headerFooter>
    <oddFooter>&amp;L&amp;"Calibri"&amp;11&amp;K000000</oddFooter>
  </headerFooter>
  <ignoredErrors>
    <ignoredError sqref="IU60:NJ62" formulaRange="1"/>
  </ignoredErrors>
  <drawing r:id="rId2"/>
  <legacyDrawing r:id="rId3"/>
  <controls>
    <mc:AlternateContent xmlns:mc="http://schemas.openxmlformats.org/markup-compatibility/2006">
      <mc:Choice Requires="x14">
        <control shapeId="1670" r:id="rId4" name="L_Collab">
          <controlPr defaultSize="0" autoLine="0" r:id="rId5">
            <anchor moveWithCells="1">
              <from>
                <xdr:col>1</xdr:col>
                <xdr:colOff>25400</xdr:colOff>
                <xdr:row>8</xdr:row>
                <xdr:rowOff>114300</xdr:rowOff>
              </from>
              <to>
                <xdr:col>10</xdr:col>
                <xdr:colOff>184150</xdr:colOff>
                <xdr:row>12</xdr:row>
                <xdr:rowOff>95250</xdr:rowOff>
              </to>
            </anchor>
          </controlPr>
        </control>
      </mc:Choice>
      <mc:Fallback>
        <control shapeId="1670" r:id="rId4" name="L_Collab"/>
      </mc:Fallback>
    </mc:AlternateContent>
    <mc:AlternateContent xmlns:mc="http://schemas.openxmlformats.org/markup-compatibility/2006">
      <mc:Choice Requires="x14">
        <control shapeId="1671" r:id="rId6" name="L_mois">
          <controlPr defaultSize="0" autoLine="0" r:id="rId7">
            <anchor moveWithCells="1">
              <from>
                <xdr:col>3</xdr:col>
                <xdr:colOff>25400</xdr:colOff>
                <xdr:row>8</xdr:row>
                <xdr:rowOff>107950</xdr:rowOff>
              </from>
              <to>
                <xdr:col>4</xdr:col>
                <xdr:colOff>279400</xdr:colOff>
                <xdr:row>10</xdr:row>
                <xdr:rowOff>146050</xdr:rowOff>
              </to>
            </anchor>
          </controlPr>
        </control>
      </mc:Choice>
      <mc:Fallback>
        <control shapeId="1671" r:id="rId6" name="L_mois"/>
      </mc:Fallback>
    </mc:AlternateContent>
    <mc:AlternateContent xmlns:mc="http://schemas.openxmlformats.org/markup-compatibility/2006">
      <mc:Choice Requires="x14">
        <control shapeId="1672" r:id="rId8" name="BT_Recharge">
          <controlPr defaultSize="0" print="0" autoFill="0" autoLine="0" r:id="rId9">
            <anchor moveWithCells="1">
              <from>
                <xdr:col>0</xdr:col>
                <xdr:colOff>215900</xdr:colOff>
                <xdr:row>8</xdr:row>
                <xdr:rowOff>114300</xdr:rowOff>
              </from>
              <to>
                <xdr:col>1</xdr:col>
                <xdr:colOff>127000</xdr:colOff>
                <xdr:row>10</xdr:row>
                <xdr:rowOff>127000</xdr:rowOff>
              </to>
            </anchor>
          </controlPr>
        </control>
      </mc:Choice>
      <mc:Fallback>
        <control shapeId="1672" r:id="rId8" name="BT_Recharge"/>
      </mc:Fallback>
    </mc:AlternateContent>
    <mc:AlternateContent xmlns:mc="http://schemas.openxmlformats.org/markup-compatibility/2006">
      <mc:Choice Requires="x14">
        <control shapeId="1673" r:id="rId10" name="BT_Ajout_Collab">
          <controlPr defaultSize="0" print="0" autoFill="0" autoLine="0" r:id="rId11">
            <anchor moveWithCells="1">
              <from>
                <xdr:col>0</xdr:col>
                <xdr:colOff>0</xdr:colOff>
                <xdr:row>8</xdr:row>
                <xdr:rowOff>114300</xdr:rowOff>
              </from>
              <to>
                <xdr:col>0</xdr:col>
                <xdr:colOff>317500</xdr:colOff>
                <xdr:row>10</xdr:row>
                <xdr:rowOff>127000</xdr:rowOff>
              </to>
            </anchor>
          </controlPr>
        </control>
      </mc:Choice>
      <mc:Fallback>
        <control shapeId="1673" r:id="rId10" name="BT_Ajout_Collab"/>
      </mc:Fallback>
    </mc:AlternateContent>
    <mc:AlternateContent xmlns:mc="http://schemas.openxmlformats.org/markup-compatibility/2006">
      <mc:Choice Requires="x14">
        <control shapeId="1750" r:id="rId12" name="BT_commentaire">
          <controlPr defaultSize="0" autoLine="0" r:id="rId13">
            <anchor moveWithCells="1">
              <from>
                <xdr:col>5</xdr:col>
                <xdr:colOff>266700</xdr:colOff>
                <xdr:row>8</xdr:row>
                <xdr:rowOff>107950</xdr:rowOff>
              </from>
              <to>
                <xdr:col>6</xdr:col>
                <xdr:colOff>349250</xdr:colOff>
                <xdr:row>9</xdr:row>
                <xdr:rowOff>177800</xdr:rowOff>
              </to>
            </anchor>
          </controlPr>
        </control>
      </mc:Choice>
      <mc:Fallback>
        <control shapeId="1750" r:id="rId12" name="BT_commentaire"/>
      </mc:Fallback>
    </mc:AlternateContent>
    <mc:AlternateContent xmlns:mc="http://schemas.openxmlformats.org/markup-compatibility/2006">
      <mc:Choice Requires="x14">
        <control shapeId="11424" r:id="rId14" name="Bt_Protect_OnOff">
          <controlPr defaultSize="0" print="0" autoFill="0" autoLine="0" r:id="rId15">
            <anchor moveWithCells="1">
              <from>
                <xdr:col>4</xdr:col>
                <xdr:colOff>368300</xdr:colOff>
                <xdr:row>8</xdr:row>
                <xdr:rowOff>107950</xdr:rowOff>
              </from>
              <to>
                <xdr:col>5</xdr:col>
                <xdr:colOff>38100</xdr:colOff>
                <xdr:row>9</xdr:row>
                <xdr:rowOff>177800</xdr:rowOff>
              </to>
            </anchor>
          </controlPr>
        </control>
      </mc:Choice>
      <mc:Fallback>
        <control shapeId="11424" r:id="rId14" name="Bt_Protect_OnOff"/>
      </mc:Fallback>
    </mc:AlternateContent>
    <mc:AlternateContent xmlns:mc="http://schemas.openxmlformats.org/markup-compatibility/2006">
      <mc:Choice Requires="x14">
        <control shapeId="22959" r:id="rId16" name="MAJ_NOTE_Ex">
          <controlPr defaultSize="0" autoLine="0" r:id="rId17">
            <anchor moveWithCells="1">
              <from>
                <xdr:col>6</xdr:col>
                <xdr:colOff>368300</xdr:colOff>
                <xdr:row>8</xdr:row>
                <xdr:rowOff>107950</xdr:rowOff>
              </from>
              <to>
                <xdr:col>8</xdr:col>
                <xdr:colOff>0</xdr:colOff>
                <xdr:row>9</xdr:row>
                <xdr:rowOff>177800</xdr:rowOff>
              </to>
            </anchor>
          </controlPr>
        </control>
      </mc:Choice>
      <mc:Fallback>
        <control shapeId="22959" r:id="rId16" name="MAJ_NOTE_Ex"/>
      </mc:Fallback>
    </mc:AlternateContent>
    <mc:AlternateContent xmlns:mc="http://schemas.openxmlformats.org/markup-compatibility/2006">
      <mc:Choice Requires="x14">
        <control shapeId="33713" r:id="rId18" name="BT_TRI">
          <controlPr defaultSize="0" print="0" autoFill="0" autoLine="0" r:id="rId19">
            <anchor moveWithCells="1">
              <from>
                <xdr:col>5</xdr:col>
                <xdr:colOff>50800</xdr:colOff>
                <xdr:row>8</xdr:row>
                <xdr:rowOff>107950</xdr:rowOff>
              </from>
              <to>
                <xdr:col>5</xdr:col>
                <xdr:colOff>254000</xdr:colOff>
                <xdr:row>9</xdr:row>
                <xdr:rowOff>177800</xdr:rowOff>
              </to>
            </anchor>
          </controlPr>
        </control>
      </mc:Choice>
      <mc:Fallback>
        <control shapeId="33713" r:id="rId18" name="BT_TRI"/>
      </mc:Fallback>
    </mc:AlternateContent>
    <mc:AlternateContent xmlns:mc="http://schemas.openxmlformats.org/markup-compatibility/2006">
      <mc:Choice Requires="x14">
        <control shapeId="45604" r:id="rId20" name="Bt_masque_F">
          <controlPr defaultSize="0" autoLine="0" r:id="rId21">
            <anchor moveWithCells="1">
              <from>
                <xdr:col>4</xdr:col>
                <xdr:colOff>25400</xdr:colOff>
                <xdr:row>8</xdr:row>
                <xdr:rowOff>107950</xdr:rowOff>
              </from>
              <to>
                <xdr:col>4</xdr:col>
                <xdr:colOff>368300</xdr:colOff>
                <xdr:row>9</xdr:row>
                <xdr:rowOff>177800</xdr:rowOff>
              </to>
            </anchor>
          </controlPr>
        </control>
      </mc:Choice>
      <mc:Fallback>
        <control shapeId="45604" r:id="rId20" name="Bt_masque_F"/>
      </mc:Fallback>
    </mc:AlternateContent>
    <mc:AlternateContent xmlns:mc="http://schemas.openxmlformats.org/markup-compatibility/2006">
      <mc:Choice Requires="x14">
        <control shapeId="1113" r:id="rId22" name="Check Box 89">
          <controlPr defaultSize="0" print="0" autoFill="0" autoLine="0" autoPict="0" altText="SU">
            <anchor moveWithCells="1">
              <from>
                <xdr:col>6</xdr:col>
                <xdr:colOff>25400</xdr:colOff>
                <xdr:row>1</xdr:row>
                <xdr:rowOff>6350</xdr:rowOff>
              </from>
              <to>
                <xdr:col>6</xdr:col>
                <xdr:colOff>482600</xdr:colOff>
                <xdr:row>1</xdr:row>
                <xdr:rowOff>120650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4" r:id="rId23" name="Check Box 90">
          <controlPr defaultSize="0" print="0" autoFill="0" autoLine="0" autoPict="0">
            <anchor moveWithCells="1">
              <from>
                <xdr:col>6</xdr:col>
                <xdr:colOff>25400</xdr:colOff>
                <xdr:row>2</xdr:row>
                <xdr:rowOff>0</xdr:rowOff>
              </from>
              <to>
                <xdr:col>6</xdr:col>
                <xdr:colOff>482600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5" r:id="rId24" name="Check Box 91">
          <controlPr defaultSize="0" print="0" autoFill="0" autoLine="0" autoPict="0">
            <anchor moveWithCells="1">
              <from>
                <xdr:col>6</xdr:col>
                <xdr:colOff>25400</xdr:colOff>
                <xdr:row>3</xdr:row>
                <xdr:rowOff>6350</xdr:rowOff>
              </from>
              <to>
                <xdr:col>6</xdr:col>
                <xdr:colOff>482600</xdr:colOff>
                <xdr:row>3</xdr:row>
                <xdr:rowOff>120650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6" r:id="rId25" name="Check Box 92">
          <controlPr defaultSize="0" print="0" autoFill="0" autoLine="0" autoPict="0">
            <anchor moveWithCells="1">
              <from>
                <xdr:col>6</xdr:col>
                <xdr:colOff>25400</xdr:colOff>
                <xdr:row>4</xdr:row>
                <xdr:rowOff>6350</xdr:rowOff>
              </from>
              <to>
                <xdr:col>6</xdr:col>
                <xdr:colOff>482600</xdr:colOff>
                <xdr:row>4</xdr:row>
                <xdr:rowOff>120650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7" r:id="rId26" name="Check Box 93">
          <controlPr defaultSize="0" print="0" autoFill="0" autoLine="0" autoPict="0">
            <anchor moveWithCells="1">
              <from>
                <xdr:col>6</xdr:col>
                <xdr:colOff>25400</xdr:colOff>
                <xdr:row>6</xdr:row>
                <xdr:rowOff>6350</xdr:rowOff>
              </from>
              <to>
                <xdr:col>6</xdr:col>
                <xdr:colOff>482600</xdr:colOff>
                <xdr:row>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18" r:id="rId27" name="Check Box 394">
          <controlPr defaultSize="0" print="0" autoFill="0" autoLine="0" autoPict="0">
            <anchor moveWithCells="1">
              <from>
                <xdr:col>6</xdr:col>
                <xdr:colOff>25400</xdr:colOff>
                <xdr:row>5</xdr:row>
                <xdr:rowOff>6350</xdr:rowOff>
              </from>
              <to>
                <xdr:col>6</xdr:col>
                <xdr:colOff>482600</xdr:colOff>
                <xdr:row>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6399F-6265-42A2-B4F6-85EFD30E5BC9}">
  <sheetPr codeName="Feuil6">
    <tabColor theme="7" tint="-0.249977111117893"/>
    <outlinePr summaryRight="0"/>
  </sheetPr>
  <dimension ref="A1:DP166"/>
  <sheetViews>
    <sheetView workbookViewId="0">
      <pane xSplit="20" ySplit="4" topLeftCell="U5" activePane="bottomRight" state="frozen"/>
      <selection activeCell="W60" sqref="W60:W61"/>
      <selection pane="topRight" activeCell="W60" sqref="W60:W61"/>
      <selection pane="bottomLeft" activeCell="W60" sqref="W60:W61"/>
      <selection pane="bottomRight" activeCell="K43" sqref="K43"/>
    </sheetView>
  </sheetViews>
  <sheetFormatPr baseColWidth="10" defaultColWidth="11.453125" defaultRowHeight="14.5" outlineLevelCol="1" x14ac:dyDescent="0.35"/>
  <cols>
    <col min="1" max="1" width="8.54296875" style="457" customWidth="1"/>
    <col min="2" max="2" width="19.453125" style="457" customWidth="1"/>
    <col min="3" max="3" width="8.54296875" style="457" customWidth="1"/>
    <col min="4" max="4" width="9.54296875" style="457" customWidth="1"/>
    <col min="5" max="6" width="8" style="457" customWidth="1"/>
    <col min="7" max="7" width="3" style="457" customWidth="1"/>
    <col min="8" max="19" width="6.36328125" style="457" customWidth="1" outlineLevel="1"/>
    <col min="20" max="20" width="3" style="457" customWidth="1"/>
    <col min="21" max="32" width="6.36328125" style="457" customWidth="1" outlineLevel="1"/>
    <col min="33" max="33" width="3" style="457" customWidth="1"/>
    <col min="34" max="45" width="6.36328125" style="457" customWidth="1" outlineLevel="1"/>
    <col min="46" max="46" width="3" style="457" customWidth="1"/>
    <col min="47" max="58" width="6.36328125" style="457" customWidth="1" outlineLevel="1"/>
    <col min="59" max="59" width="1.90625" style="457" customWidth="1" collapsed="1"/>
    <col min="60" max="60" width="3" style="457" customWidth="1"/>
    <col min="61" max="64" width="6.90625" style="457" customWidth="1" outlineLevel="1"/>
    <col min="65" max="65" width="2.6328125" style="457" customWidth="1" outlineLevel="1"/>
    <col min="66" max="69" width="6.90625" style="457" customWidth="1" outlineLevel="1"/>
    <col min="70" max="70" width="2.6328125" style="457" customWidth="1" outlineLevel="1"/>
    <col min="71" max="74" width="6.90625" style="457" customWidth="1" outlineLevel="1"/>
    <col min="75" max="75" width="2.6328125" style="457" customWidth="1" outlineLevel="1"/>
    <col min="76" max="79" width="6.90625" style="457" customWidth="1" outlineLevel="1"/>
    <col min="80" max="80" width="2.6328125" style="457" customWidth="1" outlineLevel="1"/>
    <col min="81" max="84" width="6.90625" style="457" customWidth="1" outlineLevel="1"/>
    <col min="85" max="85" width="2.6328125" style="457" customWidth="1" outlineLevel="1"/>
    <col min="86" max="89" width="6.90625" style="457" customWidth="1" outlineLevel="1"/>
    <col min="90" max="90" width="2.6328125" style="457" customWidth="1" outlineLevel="1"/>
    <col min="91" max="94" width="6.90625" style="457" customWidth="1" outlineLevel="1"/>
    <col min="95" max="95" width="2.6328125" style="457" customWidth="1" outlineLevel="1"/>
    <col min="96" max="99" width="6.90625" style="457" customWidth="1" outlineLevel="1"/>
    <col min="100" max="100" width="2.6328125" style="457" customWidth="1" outlineLevel="1"/>
    <col min="101" max="104" width="6.90625" style="457" customWidth="1" outlineLevel="1"/>
    <col min="105" max="105" width="2.6328125" style="457" customWidth="1" outlineLevel="1"/>
    <col min="106" max="109" width="6.90625" style="457" customWidth="1" outlineLevel="1"/>
    <col min="110" max="110" width="2.6328125" style="457" customWidth="1" outlineLevel="1"/>
    <col min="111" max="114" width="6.90625" style="457" customWidth="1" outlineLevel="1"/>
    <col min="115" max="115" width="2.6328125" style="457" customWidth="1" outlineLevel="1"/>
    <col min="116" max="117" width="6.90625" style="457" customWidth="1" outlineLevel="1"/>
    <col min="118" max="119" width="7.453125" style="457" customWidth="1" outlineLevel="1"/>
    <col min="120" max="120" width="3.54296875" style="457" customWidth="1" collapsed="1"/>
    <col min="121" max="16384" width="11.453125" style="457"/>
  </cols>
  <sheetData>
    <row r="1" spans="1:120" ht="15.5" x14ac:dyDescent="0.35">
      <c r="A1" s="448">
        <f>Planning!C3</f>
        <v>44927</v>
      </c>
      <c r="B1" s="449" t="s">
        <v>50</v>
      </c>
      <c r="C1" s="449"/>
      <c r="D1" s="449"/>
      <c r="E1" s="129"/>
      <c r="F1" s="129"/>
      <c r="G1" s="406"/>
      <c r="H1" s="407" t="s">
        <v>51</v>
      </c>
      <c r="I1" s="407"/>
      <c r="J1" s="407"/>
      <c r="K1" s="407"/>
      <c r="L1" s="407"/>
      <c r="M1" s="407"/>
      <c r="N1" s="407"/>
      <c r="O1" s="407"/>
      <c r="P1" s="407"/>
      <c r="Q1" s="407"/>
      <c r="R1" s="407"/>
      <c r="S1" s="407"/>
      <c r="T1" s="408"/>
      <c r="U1" s="409" t="s">
        <v>452</v>
      </c>
      <c r="V1" s="409"/>
      <c r="W1" s="409"/>
      <c r="X1" s="409"/>
      <c r="Y1" s="409"/>
      <c r="Z1" s="409"/>
      <c r="AA1" s="409"/>
      <c r="AB1" s="409"/>
      <c r="AC1" s="409"/>
      <c r="AD1" s="409"/>
      <c r="AE1" s="409"/>
      <c r="AF1" s="409"/>
      <c r="AG1" s="406"/>
      <c r="AH1" s="410" t="s">
        <v>453</v>
      </c>
      <c r="AI1" s="410"/>
      <c r="AJ1" s="410"/>
      <c r="AK1" s="410"/>
      <c r="AL1" s="410"/>
      <c r="AM1" s="410"/>
      <c r="AN1" s="410"/>
      <c r="AO1" s="410"/>
      <c r="AP1" s="410"/>
      <c r="AQ1" s="410"/>
      <c r="AR1" s="410"/>
      <c r="AS1" s="410"/>
      <c r="AT1" s="406"/>
      <c r="AU1" s="411" t="s">
        <v>454</v>
      </c>
      <c r="AV1" s="411"/>
      <c r="AW1" s="411"/>
      <c r="AX1" s="411"/>
      <c r="AY1" s="411"/>
      <c r="AZ1" s="411"/>
      <c r="BA1" s="411"/>
      <c r="BB1" s="411"/>
      <c r="BC1" s="411"/>
      <c r="BD1" s="411"/>
      <c r="BE1" s="411"/>
      <c r="BF1" s="411"/>
      <c r="BG1" s="406"/>
      <c r="BH1" s="453"/>
      <c r="BI1" s="453"/>
      <c r="BJ1" s="453"/>
      <c r="BK1" s="453"/>
      <c r="BL1" s="453"/>
      <c r="BM1" s="453"/>
      <c r="BN1" s="453"/>
      <c r="BO1" s="453"/>
      <c r="BP1" s="453"/>
      <c r="BQ1" s="453"/>
      <c r="BR1" s="453"/>
      <c r="BS1" s="453"/>
      <c r="BT1" s="453"/>
      <c r="BU1" s="453"/>
      <c r="BV1" s="453"/>
      <c r="BW1" s="453"/>
      <c r="BX1" s="453"/>
      <c r="BY1" s="453"/>
      <c r="BZ1" s="453"/>
      <c r="CA1" s="453"/>
      <c r="CB1" s="453"/>
      <c r="CC1" s="453"/>
      <c r="CD1" s="453"/>
      <c r="CE1" s="453"/>
      <c r="CF1" s="453"/>
      <c r="CG1" s="453"/>
      <c r="CH1" s="453"/>
      <c r="CI1" s="453"/>
      <c r="CJ1" s="453"/>
      <c r="CK1" s="453"/>
      <c r="CL1" s="453"/>
      <c r="CM1" s="453"/>
      <c r="CN1" s="453"/>
      <c r="CO1" s="453"/>
      <c r="CP1" s="453"/>
      <c r="CQ1" s="453"/>
      <c r="CR1" s="453"/>
      <c r="CS1" s="453"/>
      <c r="CT1" s="453"/>
      <c r="CU1" s="453"/>
      <c r="CV1" s="453"/>
      <c r="CW1" s="453"/>
      <c r="CX1" s="453"/>
      <c r="CY1" s="453"/>
      <c r="CZ1" s="453"/>
      <c r="DA1" s="453"/>
      <c r="DB1" s="453"/>
      <c r="DC1" s="453"/>
      <c r="DD1" s="453"/>
      <c r="DE1" s="453"/>
      <c r="DF1" s="453"/>
      <c r="DG1" s="453"/>
      <c r="DH1" s="453"/>
      <c r="DI1" s="453"/>
      <c r="DJ1" s="453"/>
      <c r="DK1" s="453"/>
      <c r="DL1" s="453"/>
      <c r="DM1" s="453"/>
      <c r="DN1" s="453"/>
      <c r="DO1" s="453"/>
      <c r="DP1" s="453"/>
    </row>
    <row r="2" spans="1:120" ht="9.65" customHeight="1" x14ac:dyDescent="0.35">
      <c r="A2" s="129"/>
      <c r="B2" s="129"/>
      <c r="C2" s="129"/>
      <c r="D2" s="129"/>
      <c r="E2" s="129"/>
      <c r="F2" s="129"/>
      <c r="G2" s="406"/>
      <c r="H2" s="412" t="str">
        <f ca="1">IF(MONTH(TODAY())&lt;&gt;MONTH(H3),"","↓")</f>
        <v>↓</v>
      </c>
      <c r="I2" s="412" t="str">
        <f t="shared" ref="I2:S2" ca="1" si="0">IF(MONTH(TODAY())&lt;&gt;MONTH(I3),"","↓")</f>
        <v/>
      </c>
      <c r="J2" s="412" t="str">
        <f t="shared" ca="1" si="0"/>
        <v/>
      </c>
      <c r="K2" s="412" t="str">
        <f t="shared" ca="1" si="0"/>
        <v/>
      </c>
      <c r="L2" s="412" t="str">
        <f t="shared" ca="1" si="0"/>
        <v/>
      </c>
      <c r="M2" s="412" t="str">
        <f t="shared" ca="1" si="0"/>
        <v/>
      </c>
      <c r="N2" s="412" t="str">
        <f t="shared" ca="1" si="0"/>
        <v/>
      </c>
      <c r="O2" s="412" t="str">
        <f t="shared" ca="1" si="0"/>
        <v/>
      </c>
      <c r="P2" s="412" t="str">
        <f t="shared" ca="1" si="0"/>
        <v/>
      </c>
      <c r="Q2" s="412" t="str">
        <f t="shared" ca="1" si="0"/>
        <v/>
      </c>
      <c r="R2" s="413" t="str">
        <f t="shared" ca="1" si="0"/>
        <v/>
      </c>
      <c r="S2" s="412" t="str">
        <f t="shared" ca="1" si="0"/>
        <v/>
      </c>
      <c r="T2" s="406"/>
      <c r="U2" s="414" t="str">
        <f t="shared" ref="U2:AF2" ca="1" si="1">IF(MONTH(TODAY())&lt;&gt;MONTH(U3),"","↓")</f>
        <v>↓</v>
      </c>
      <c r="V2" s="414" t="str">
        <f t="shared" ca="1" si="1"/>
        <v/>
      </c>
      <c r="W2" s="414" t="str">
        <f t="shared" ca="1" si="1"/>
        <v/>
      </c>
      <c r="X2" s="414" t="str">
        <f t="shared" ca="1" si="1"/>
        <v/>
      </c>
      <c r="Y2" s="414" t="str">
        <f t="shared" ca="1" si="1"/>
        <v/>
      </c>
      <c r="Z2" s="414" t="str">
        <f t="shared" ca="1" si="1"/>
        <v/>
      </c>
      <c r="AA2" s="414" t="str">
        <f t="shared" ca="1" si="1"/>
        <v/>
      </c>
      <c r="AB2" s="414" t="str">
        <f t="shared" ca="1" si="1"/>
        <v/>
      </c>
      <c r="AC2" s="414" t="str">
        <f t="shared" ca="1" si="1"/>
        <v/>
      </c>
      <c r="AD2" s="414" t="str">
        <f t="shared" ca="1" si="1"/>
        <v/>
      </c>
      <c r="AE2" s="414" t="str">
        <f t="shared" ca="1" si="1"/>
        <v/>
      </c>
      <c r="AF2" s="414" t="str">
        <f t="shared" ca="1" si="1"/>
        <v/>
      </c>
      <c r="AG2" s="406"/>
      <c r="AH2" s="415" t="str">
        <f ca="1">IF(MONTH(TODAY())&lt;&gt;MONTH(AH3),"","↓")</f>
        <v>↓</v>
      </c>
      <c r="AI2" s="415" t="str">
        <f t="shared" ref="AI2:AS2" ca="1" si="2">IF(MONTH(TODAY())&lt;&gt;MONTH(AI3),"","↓")</f>
        <v/>
      </c>
      <c r="AJ2" s="415" t="str">
        <f t="shared" ca="1" si="2"/>
        <v/>
      </c>
      <c r="AK2" s="415" t="str">
        <f t="shared" ca="1" si="2"/>
        <v/>
      </c>
      <c r="AL2" s="415" t="str">
        <f t="shared" ca="1" si="2"/>
        <v/>
      </c>
      <c r="AM2" s="415" t="str">
        <f t="shared" ca="1" si="2"/>
        <v/>
      </c>
      <c r="AN2" s="415" t="str">
        <f t="shared" ca="1" si="2"/>
        <v/>
      </c>
      <c r="AO2" s="415" t="str">
        <f t="shared" ca="1" si="2"/>
        <v/>
      </c>
      <c r="AP2" s="415" t="str">
        <f t="shared" ca="1" si="2"/>
        <v/>
      </c>
      <c r="AQ2" s="415" t="str">
        <f t="shared" ca="1" si="2"/>
        <v/>
      </c>
      <c r="AR2" s="415" t="str">
        <f t="shared" ca="1" si="2"/>
        <v/>
      </c>
      <c r="AS2" s="415" t="str">
        <f t="shared" ca="1" si="2"/>
        <v/>
      </c>
      <c r="AT2" s="406"/>
      <c r="AU2" s="416" t="str">
        <f ca="1">IF(MONTH(TODAY())&lt;&gt;MONTH(AU3),"","↓")</f>
        <v>↓</v>
      </c>
      <c r="AV2" s="416" t="str">
        <f t="shared" ref="AV2:BF2" ca="1" si="3">IF(MONTH(TODAY())&lt;&gt;MONTH(AV3),"","↓")</f>
        <v/>
      </c>
      <c r="AW2" s="416" t="str">
        <f t="shared" ca="1" si="3"/>
        <v/>
      </c>
      <c r="AX2" s="416" t="str">
        <f t="shared" ca="1" si="3"/>
        <v/>
      </c>
      <c r="AY2" s="416" t="str">
        <f t="shared" ca="1" si="3"/>
        <v/>
      </c>
      <c r="AZ2" s="416" t="str">
        <f t="shared" ca="1" si="3"/>
        <v/>
      </c>
      <c r="BA2" s="416" t="str">
        <f t="shared" ca="1" si="3"/>
        <v/>
      </c>
      <c r="BB2" s="416" t="str">
        <f t="shared" ca="1" si="3"/>
        <v/>
      </c>
      <c r="BC2" s="416" t="str">
        <f t="shared" ca="1" si="3"/>
        <v/>
      </c>
      <c r="BD2" s="416" t="str">
        <f t="shared" ca="1" si="3"/>
        <v/>
      </c>
      <c r="BE2" s="416" t="str">
        <f t="shared" ca="1" si="3"/>
        <v/>
      </c>
      <c r="BF2" s="416" t="str">
        <f t="shared" ca="1" si="3"/>
        <v/>
      </c>
      <c r="BG2" s="406"/>
      <c r="BH2" s="453"/>
      <c r="BI2" s="453"/>
      <c r="BJ2" s="453"/>
      <c r="BK2" s="453"/>
      <c r="BL2" s="453"/>
      <c r="BM2" s="453"/>
      <c r="BN2" s="453"/>
      <c r="BO2" s="453"/>
      <c r="BP2" s="453"/>
      <c r="BQ2" s="453"/>
      <c r="BR2" s="453"/>
      <c r="BS2" s="453"/>
      <c r="BT2" s="453"/>
      <c r="BU2" s="453"/>
      <c r="BV2" s="453"/>
      <c r="BW2" s="453"/>
      <c r="BX2" s="453"/>
      <c r="BY2" s="453"/>
      <c r="BZ2" s="453"/>
      <c r="CA2" s="453"/>
      <c r="CB2" s="453"/>
      <c r="CC2" s="453"/>
      <c r="CD2" s="453"/>
      <c r="CE2" s="453"/>
      <c r="CF2" s="453"/>
      <c r="CG2" s="453"/>
      <c r="CH2" s="453"/>
      <c r="CI2" s="453"/>
      <c r="CJ2" s="453"/>
      <c r="CK2" s="453"/>
      <c r="CL2" s="453"/>
      <c r="CM2" s="453"/>
      <c r="CN2" s="453"/>
      <c r="CO2" s="453"/>
      <c r="CP2" s="453"/>
      <c r="CQ2" s="453"/>
      <c r="CR2" s="453"/>
      <c r="CS2" s="453"/>
      <c r="CT2" s="453"/>
      <c r="CU2" s="453"/>
      <c r="CV2" s="453"/>
      <c r="CW2" s="453"/>
      <c r="CX2" s="453"/>
      <c r="CY2" s="453"/>
      <c r="CZ2" s="453"/>
      <c r="DA2" s="453"/>
      <c r="DB2" s="453"/>
      <c r="DC2" s="453"/>
      <c r="DD2" s="453"/>
      <c r="DE2" s="453"/>
      <c r="DF2" s="453"/>
      <c r="DG2" s="453"/>
      <c r="DH2" s="453"/>
      <c r="DI2" s="453"/>
      <c r="DJ2" s="453"/>
      <c r="DK2" s="453"/>
      <c r="DL2" s="453"/>
      <c r="DM2" s="453"/>
      <c r="DN2" s="453"/>
      <c r="DO2" s="453"/>
      <c r="DP2" s="453"/>
    </row>
    <row r="3" spans="1:120" ht="18.5" x14ac:dyDescent="0.35">
      <c r="A3" s="450" t="s">
        <v>8</v>
      </c>
      <c r="B3" s="450" t="s">
        <v>52</v>
      </c>
      <c r="C3" s="450" t="s">
        <v>53</v>
      </c>
      <c r="D3" s="450" t="s">
        <v>54</v>
      </c>
      <c r="E3" s="450" t="s">
        <v>55</v>
      </c>
      <c r="F3" s="451" t="s">
        <v>56</v>
      </c>
      <c r="G3" s="406" t="s">
        <v>57</v>
      </c>
      <c r="H3" s="417">
        <f>$A$1</f>
        <v>44927</v>
      </c>
      <c r="I3" s="417">
        <f>EOMONTH(H3,0)+1</f>
        <v>44958</v>
      </c>
      <c r="J3" s="417">
        <f>EOMONTH(I3,0)+1</f>
        <v>44986</v>
      </c>
      <c r="K3" s="417">
        <f>EOMONTH(J3,0)+1</f>
        <v>45017</v>
      </c>
      <c r="L3" s="417">
        <f>EOMONTH(K3,0)+1</f>
        <v>45047</v>
      </c>
      <c r="M3" s="417">
        <f t="shared" ref="M3:S3" si="4">EOMONTH(L3,0)+1</f>
        <v>45078</v>
      </c>
      <c r="N3" s="417">
        <f t="shared" si="4"/>
        <v>45108</v>
      </c>
      <c r="O3" s="417">
        <f t="shared" si="4"/>
        <v>45139</v>
      </c>
      <c r="P3" s="417">
        <f t="shared" si="4"/>
        <v>45170</v>
      </c>
      <c r="Q3" s="417">
        <f t="shared" si="4"/>
        <v>45200</v>
      </c>
      <c r="R3" s="417">
        <f t="shared" si="4"/>
        <v>45231</v>
      </c>
      <c r="S3" s="417">
        <f t="shared" si="4"/>
        <v>45261</v>
      </c>
      <c r="T3" s="418"/>
      <c r="U3" s="419">
        <f>$A$1</f>
        <v>44927</v>
      </c>
      <c r="V3" s="419">
        <v>44593</v>
      </c>
      <c r="W3" s="419">
        <v>44621</v>
      </c>
      <c r="X3" s="419">
        <v>44652</v>
      </c>
      <c r="Y3" s="419">
        <v>44682</v>
      </c>
      <c r="Z3" s="419">
        <v>44713</v>
      </c>
      <c r="AA3" s="419">
        <v>44743</v>
      </c>
      <c r="AB3" s="419">
        <v>44774</v>
      </c>
      <c r="AC3" s="419">
        <v>44805</v>
      </c>
      <c r="AD3" s="419">
        <v>44835</v>
      </c>
      <c r="AE3" s="419">
        <v>44866</v>
      </c>
      <c r="AF3" s="419">
        <v>44896</v>
      </c>
      <c r="AG3" s="406"/>
      <c r="AH3" s="420">
        <f>$A$1</f>
        <v>44927</v>
      </c>
      <c r="AI3" s="420">
        <v>44593</v>
      </c>
      <c r="AJ3" s="420">
        <v>44621</v>
      </c>
      <c r="AK3" s="420">
        <v>44652</v>
      </c>
      <c r="AL3" s="420">
        <v>44682</v>
      </c>
      <c r="AM3" s="420">
        <v>44713</v>
      </c>
      <c r="AN3" s="420">
        <v>44743</v>
      </c>
      <c r="AO3" s="420">
        <v>44774</v>
      </c>
      <c r="AP3" s="420">
        <v>44805</v>
      </c>
      <c r="AQ3" s="420">
        <v>44835</v>
      </c>
      <c r="AR3" s="420">
        <v>44866</v>
      </c>
      <c r="AS3" s="420">
        <v>44896</v>
      </c>
      <c r="AT3" s="406"/>
      <c r="AU3" s="421">
        <f>$A$1</f>
        <v>44927</v>
      </c>
      <c r="AV3" s="421">
        <v>44593</v>
      </c>
      <c r="AW3" s="421">
        <v>44621</v>
      </c>
      <c r="AX3" s="421">
        <v>44652</v>
      </c>
      <c r="AY3" s="421">
        <v>44682</v>
      </c>
      <c r="AZ3" s="421">
        <v>44713</v>
      </c>
      <c r="BA3" s="421">
        <v>44743</v>
      </c>
      <c r="BB3" s="421">
        <v>44774</v>
      </c>
      <c r="BC3" s="421">
        <v>44805</v>
      </c>
      <c r="BD3" s="421">
        <v>44835</v>
      </c>
      <c r="BE3" s="421">
        <v>44866</v>
      </c>
      <c r="BF3" s="421">
        <v>44896</v>
      </c>
      <c r="BG3" s="406"/>
      <c r="BH3" s="453"/>
      <c r="BI3" s="422">
        <f>$A$1</f>
        <v>44927</v>
      </c>
      <c r="BJ3" s="423">
        <f>DAY(EOMONTH(BI3,0))</f>
        <v>31</v>
      </c>
      <c r="BK3" s="424">
        <v>2</v>
      </c>
      <c r="BL3" s="425"/>
      <c r="BM3" s="406"/>
      <c r="BN3" s="422">
        <f>EOMONTH(BI3,0)+1</f>
        <v>44958</v>
      </c>
      <c r="BO3" s="423">
        <f>DAY(EOMONTH(BN3,0))</f>
        <v>28</v>
      </c>
      <c r="BP3" s="424">
        <f>BK3+2</f>
        <v>4</v>
      </c>
      <c r="BQ3" s="425"/>
      <c r="BR3" s="406"/>
      <c r="BS3" s="422">
        <f>EOMONTH(BN3,0)+1</f>
        <v>44986</v>
      </c>
      <c r="BT3" s="423">
        <f>DAY(EOMONTH(BS3,0))</f>
        <v>31</v>
      </c>
      <c r="BU3" s="424">
        <f>BP3+2</f>
        <v>6</v>
      </c>
      <c r="BV3" s="425"/>
      <c r="BW3" s="406"/>
      <c r="BX3" s="422">
        <f>EOMONTH(BS3,0)+1</f>
        <v>45017</v>
      </c>
      <c r="BY3" s="423">
        <f>DAY(EOMONTH(BX3,0))</f>
        <v>30</v>
      </c>
      <c r="BZ3" s="424">
        <f>BU3+2</f>
        <v>8</v>
      </c>
      <c r="CA3" s="425"/>
      <c r="CB3" s="406"/>
      <c r="CC3" s="422">
        <f>EOMONTH(BX3,0)+1</f>
        <v>45047</v>
      </c>
      <c r="CD3" s="423">
        <f>DAY(EOMONTH(CC3,0))</f>
        <v>31</v>
      </c>
      <c r="CE3" s="424">
        <f>BZ3+2</f>
        <v>10</v>
      </c>
      <c r="CF3" s="425"/>
      <c r="CG3" s="406"/>
      <c r="CH3" s="422">
        <f>EOMONTH(CC3,0)+1</f>
        <v>45078</v>
      </c>
      <c r="CI3" s="423">
        <f>DAY(EOMONTH(CH3,0))</f>
        <v>30</v>
      </c>
      <c r="CJ3" s="424">
        <f>CE3+2</f>
        <v>12</v>
      </c>
      <c r="CK3" s="425"/>
      <c r="CL3" s="406"/>
      <c r="CM3" s="422">
        <f>EOMONTH(CH3,0)+1</f>
        <v>45108</v>
      </c>
      <c r="CN3" s="423">
        <f>DAY(EOMONTH(CM3,0))</f>
        <v>31</v>
      </c>
      <c r="CO3" s="424">
        <f>CJ3+2</f>
        <v>14</v>
      </c>
      <c r="CP3" s="425"/>
      <c r="CQ3" s="406"/>
      <c r="CR3" s="422">
        <f>EOMONTH(CM3,0)+1</f>
        <v>45139</v>
      </c>
      <c r="CS3" s="423">
        <f>DAY(EOMONTH(CR3,0))</f>
        <v>31</v>
      </c>
      <c r="CT3" s="424">
        <f>CO3+2</f>
        <v>16</v>
      </c>
      <c r="CU3" s="425"/>
      <c r="CV3" s="406"/>
      <c r="CW3" s="422">
        <f>EOMONTH(CR3,0)+1</f>
        <v>45170</v>
      </c>
      <c r="CX3" s="423">
        <f>DAY(EOMONTH(CW3,0))</f>
        <v>30</v>
      </c>
      <c r="CY3" s="424">
        <f>CT3+2</f>
        <v>18</v>
      </c>
      <c r="CZ3" s="425"/>
      <c r="DA3" s="406"/>
      <c r="DB3" s="422">
        <f>EOMONTH(CW3,0)+1</f>
        <v>45200</v>
      </c>
      <c r="DC3" s="423">
        <f>DAY(EOMONTH(DB3,0))</f>
        <v>31</v>
      </c>
      <c r="DD3" s="424">
        <f>CY3+2</f>
        <v>20</v>
      </c>
      <c r="DE3" s="425"/>
      <c r="DF3" s="406"/>
      <c r="DG3" s="422">
        <f>EOMONTH(DB3,0)+1</f>
        <v>45231</v>
      </c>
      <c r="DH3" s="423">
        <f>DAY(EOMONTH(DG3,0))</f>
        <v>30</v>
      </c>
      <c r="DI3" s="424">
        <f>DD3+2</f>
        <v>22</v>
      </c>
      <c r="DJ3" s="425"/>
      <c r="DK3" s="406"/>
      <c r="DL3" s="422">
        <f>EOMONTH(DG3,0)+1</f>
        <v>45261</v>
      </c>
      <c r="DM3" s="423">
        <f>DAY(EOMONTH(DL3,0))</f>
        <v>31</v>
      </c>
      <c r="DN3" s="424">
        <f>DI3+2</f>
        <v>24</v>
      </c>
      <c r="DO3" s="425"/>
      <c r="DP3" s="453"/>
    </row>
    <row r="4" spans="1:120" x14ac:dyDescent="0.35">
      <c r="A4" s="129"/>
      <c r="B4" s="129"/>
      <c r="C4" s="129"/>
      <c r="D4" s="129"/>
      <c r="E4" s="129"/>
      <c r="F4" s="129"/>
      <c r="G4" s="406"/>
      <c r="H4" s="426">
        <f t="shared" ref="H4:S4" si="5">NETWORKDAYS(H3,EOMONTH(H3,0),ferie)</f>
        <v>22</v>
      </c>
      <c r="I4" s="426">
        <f t="shared" si="5"/>
        <v>20</v>
      </c>
      <c r="J4" s="426">
        <f t="shared" si="5"/>
        <v>23</v>
      </c>
      <c r="K4" s="426">
        <f t="shared" si="5"/>
        <v>19</v>
      </c>
      <c r="L4" s="426">
        <f t="shared" si="5"/>
        <v>19</v>
      </c>
      <c r="M4" s="426">
        <f t="shared" si="5"/>
        <v>22</v>
      </c>
      <c r="N4" s="426">
        <f t="shared" si="5"/>
        <v>20</v>
      </c>
      <c r="O4" s="426">
        <f t="shared" si="5"/>
        <v>22</v>
      </c>
      <c r="P4" s="426">
        <f t="shared" si="5"/>
        <v>21</v>
      </c>
      <c r="Q4" s="426">
        <f t="shared" si="5"/>
        <v>22</v>
      </c>
      <c r="R4" s="426">
        <f t="shared" si="5"/>
        <v>21</v>
      </c>
      <c r="S4" s="426">
        <f t="shared" si="5"/>
        <v>20</v>
      </c>
      <c r="T4" s="427"/>
      <c r="U4" s="428">
        <f t="shared" ref="U4:AF4" si="6">NETWORKDAYS(U3,EOMONTH(U3,0),ferie)</f>
        <v>22</v>
      </c>
      <c r="V4" s="428">
        <f t="shared" si="6"/>
        <v>20</v>
      </c>
      <c r="W4" s="428">
        <f t="shared" si="6"/>
        <v>23</v>
      </c>
      <c r="X4" s="428">
        <f t="shared" si="6"/>
        <v>21</v>
      </c>
      <c r="Y4" s="428">
        <f t="shared" si="6"/>
        <v>22</v>
      </c>
      <c r="Z4" s="428">
        <f t="shared" si="6"/>
        <v>22</v>
      </c>
      <c r="AA4" s="428">
        <f t="shared" si="6"/>
        <v>21</v>
      </c>
      <c r="AB4" s="428">
        <f t="shared" si="6"/>
        <v>23</v>
      </c>
      <c r="AC4" s="428">
        <f t="shared" si="6"/>
        <v>22</v>
      </c>
      <c r="AD4" s="428">
        <f t="shared" si="6"/>
        <v>21</v>
      </c>
      <c r="AE4" s="428">
        <f t="shared" si="6"/>
        <v>22</v>
      </c>
      <c r="AF4" s="428">
        <f t="shared" si="6"/>
        <v>22</v>
      </c>
      <c r="AG4" s="406"/>
      <c r="AH4" s="429">
        <f t="shared" ref="AH4:AS4" si="7">NETWORKDAYS(AH3,EOMONTH(AH3,0),ferie)</f>
        <v>22</v>
      </c>
      <c r="AI4" s="429">
        <f t="shared" si="7"/>
        <v>20</v>
      </c>
      <c r="AJ4" s="429">
        <f t="shared" si="7"/>
        <v>23</v>
      </c>
      <c r="AK4" s="429">
        <f t="shared" si="7"/>
        <v>21</v>
      </c>
      <c r="AL4" s="429">
        <f t="shared" si="7"/>
        <v>22</v>
      </c>
      <c r="AM4" s="429">
        <f t="shared" si="7"/>
        <v>22</v>
      </c>
      <c r="AN4" s="429">
        <f t="shared" si="7"/>
        <v>21</v>
      </c>
      <c r="AO4" s="429">
        <f t="shared" si="7"/>
        <v>23</v>
      </c>
      <c r="AP4" s="429">
        <f t="shared" si="7"/>
        <v>22</v>
      </c>
      <c r="AQ4" s="429">
        <f t="shared" si="7"/>
        <v>21</v>
      </c>
      <c r="AR4" s="429">
        <f t="shared" si="7"/>
        <v>22</v>
      </c>
      <c r="AS4" s="429">
        <f t="shared" si="7"/>
        <v>22</v>
      </c>
      <c r="AT4" s="406"/>
      <c r="AU4" s="430">
        <f t="shared" ref="AU4:BF4" si="8">NETWORKDAYS(AU3,EOMONTH(AU3,0),ferie)</f>
        <v>22</v>
      </c>
      <c r="AV4" s="430">
        <f t="shared" si="8"/>
        <v>20</v>
      </c>
      <c r="AW4" s="430">
        <f t="shared" si="8"/>
        <v>23</v>
      </c>
      <c r="AX4" s="430">
        <f t="shared" si="8"/>
        <v>21</v>
      </c>
      <c r="AY4" s="430">
        <f t="shared" si="8"/>
        <v>22</v>
      </c>
      <c r="AZ4" s="430">
        <f t="shared" si="8"/>
        <v>22</v>
      </c>
      <c r="BA4" s="430">
        <f t="shared" si="8"/>
        <v>21</v>
      </c>
      <c r="BB4" s="430">
        <f t="shared" si="8"/>
        <v>23</v>
      </c>
      <c r="BC4" s="430">
        <f t="shared" si="8"/>
        <v>22</v>
      </c>
      <c r="BD4" s="430">
        <f t="shared" si="8"/>
        <v>21</v>
      </c>
      <c r="BE4" s="430">
        <f t="shared" si="8"/>
        <v>22</v>
      </c>
      <c r="BF4" s="430">
        <f t="shared" si="8"/>
        <v>22</v>
      </c>
      <c r="BG4" s="406"/>
      <c r="BH4" s="453"/>
      <c r="BI4" s="431" t="s">
        <v>20</v>
      </c>
      <c r="BJ4" s="432" t="s">
        <v>58</v>
      </c>
      <c r="BK4" s="433" t="s">
        <v>59</v>
      </c>
      <c r="BL4" s="433" t="s">
        <v>60</v>
      </c>
      <c r="BM4" s="406"/>
      <c r="BN4" s="431" t="s">
        <v>20</v>
      </c>
      <c r="BO4" s="432" t="s">
        <v>58</v>
      </c>
      <c r="BP4" s="433" t="s">
        <v>59</v>
      </c>
      <c r="BQ4" s="433" t="s">
        <v>60</v>
      </c>
      <c r="BR4" s="406"/>
      <c r="BS4" s="431" t="s">
        <v>20</v>
      </c>
      <c r="BT4" s="432" t="s">
        <v>58</v>
      </c>
      <c r="BU4" s="433" t="s">
        <v>59</v>
      </c>
      <c r="BV4" s="433" t="s">
        <v>60</v>
      </c>
      <c r="BW4" s="406"/>
      <c r="BX4" s="431" t="s">
        <v>20</v>
      </c>
      <c r="BY4" s="432" t="s">
        <v>58</v>
      </c>
      <c r="BZ4" s="433" t="s">
        <v>59</v>
      </c>
      <c r="CA4" s="433" t="s">
        <v>60</v>
      </c>
      <c r="CB4" s="406"/>
      <c r="CC4" s="431" t="s">
        <v>20</v>
      </c>
      <c r="CD4" s="432" t="s">
        <v>58</v>
      </c>
      <c r="CE4" s="434" t="s">
        <v>59</v>
      </c>
      <c r="CF4" s="434" t="s">
        <v>60</v>
      </c>
      <c r="CG4" s="406"/>
      <c r="CH4" s="431" t="s">
        <v>20</v>
      </c>
      <c r="CI4" s="432" t="s">
        <v>58</v>
      </c>
      <c r="CJ4" s="433" t="s">
        <v>59</v>
      </c>
      <c r="CK4" s="433" t="s">
        <v>60</v>
      </c>
      <c r="CL4" s="406"/>
      <c r="CM4" s="431" t="s">
        <v>20</v>
      </c>
      <c r="CN4" s="432" t="s">
        <v>58</v>
      </c>
      <c r="CO4" s="433" t="s">
        <v>59</v>
      </c>
      <c r="CP4" s="433" t="s">
        <v>60</v>
      </c>
      <c r="CQ4" s="406"/>
      <c r="CR4" s="431" t="s">
        <v>20</v>
      </c>
      <c r="CS4" s="432" t="s">
        <v>58</v>
      </c>
      <c r="CT4" s="433" t="s">
        <v>59</v>
      </c>
      <c r="CU4" s="433" t="s">
        <v>60</v>
      </c>
      <c r="CV4" s="406"/>
      <c r="CW4" s="431" t="s">
        <v>20</v>
      </c>
      <c r="CX4" s="432" t="s">
        <v>58</v>
      </c>
      <c r="CY4" s="433" t="s">
        <v>59</v>
      </c>
      <c r="CZ4" s="433" t="s">
        <v>60</v>
      </c>
      <c r="DA4" s="406"/>
      <c r="DB4" s="431" t="s">
        <v>20</v>
      </c>
      <c r="DC4" s="432" t="s">
        <v>58</v>
      </c>
      <c r="DD4" s="433" t="s">
        <v>59</v>
      </c>
      <c r="DE4" s="433" t="s">
        <v>60</v>
      </c>
      <c r="DF4" s="406"/>
      <c r="DG4" s="431" t="s">
        <v>20</v>
      </c>
      <c r="DH4" s="432" t="s">
        <v>58</v>
      </c>
      <c r="DI4" s="433" t="s">
        <v>59</v>
      </c>
      <c r="DJ4" s="433" t="s">
        <v>60</v>
      </c>
      <c r="DK4" s="406"/>
      <c r="DL4" s="431" t="s">
        <v>20</v>
      </c>
      <c r="DM4" s="432" t="s">
        <v>58</v>
      </c>
      <c r="DN4" s="433" t="s">
        <v>59</v>
      </c>
      <c r="DO4" s="433" t="s">
        <v>60</v>
      </c>
      <c r="DP4" s="453"/>
    </row>
    <row r="5" spans="1:120" x14ac:dyDescent="0.35">
      <c r="A5" s="52">
        <v>930994</v>
      </c>
      <c r="B5" s="54" t="str">
        <f>IF(ISERROR(VLOOKUP(A5,Planning!$A$12:$B$53,2,0)),"",VLOOKUP(A5,Planning!$A$12:$B$53,2,0))</f>
        <v>RACLOT.Jerome</v>
      </c>
      <c r="C5" s="96" t="str">
        <f>IF(ISERROR(VLOOKUP(A5,Planning!$A$12:$E$53,4,0)),"",VLOOKUP(A5,Planning!$A$12:$E53,4,0))</f>
        <v>I2S</v>
      </c>
      <c r="D5" s="96" t="str">
        <f>IF(ISERROR(VLOOKUP(A5,Planning!$A$12:$E$53,5,0)),"",VLOOKUP(A5,Planning!$A$12:$E53,5,0))</f>
        <v>ITG</v>
      </c>
      <c r="E5" s="157">
        <f ca="1">IF(A5="","",SUM(H5:S5))</f>
        <v>0</v>
      </c>
      <c r="F5" s="93">
        <f ca="1">IF(A5="","",SUM(U5:AF5))</f>
        <v>0</v>
      </c>
      <c r="G5" s="406"/>
      <c r="H5" s="435">
        <f ca="1">BI5</f>
        <v>0</v>
      </c>
      <c r="I5" s="435">
        <f ca="1">BN5</f>
        <v>0</v>
      </c>
      <c r="J5" s="435">
        <f ca="1">BS5</f>
        <v>0</v>
      </c>
      <c r="K5" s="435">
        <f ca="1">BX5</f>
        <v>0</v>
      </c>
      <c r="L5" s="435">
        <f ca="1">CC5</f>
        <v>0</v>
      </c>
      <c r="M5" s="435">
        <f ca="1">CH5</f>
        <v>0</v>
      </c>
      <c r="N5" s="435">
        <f ca="1">CM5</f>
        <v>0</v>
      </c>
      <c r="O5" s="435">
        <f ca="1">CR5</f>
        <v>0</v>
      </c>
      <c r="P5" s="435">
        <f ca="1">CW5</f>
        <v>0</v>
      </c>
      <c r="Q5" s="435">
        <f ca="1">DB5</f>
        <v>0</v>
      </c>
      <c r="R5" s="435">
        <f ca="1">DG5</f>
        <v>0</v>
      </c>
      <c r="S5" s="435">
        <f ca="1">DL5</f>
        <v>0</v>
      </c>
      <c r="T5" s="406"/>
      <c r="U5" s="436" t="str">
        <f ca="1">IF(BJ5=0,"",BJ5)</f>
        <v/>
      </c>
      <c r="V5" s="436" t="str">
        <f ca="1">IF(BO5=0,"",BO5)</f>
        <v/>
      </c>
      <c r="W5" s="436" t="str">
        <f ca="1">IF(BT5=0,"",BT5)</f>
        <v/>
      </c>
      <c r="X5" s="436" t="str">
        <f ca="1">IF(BY5=0,"",BY5)</f>
        <v/>
      </c>
      <c r="Y5" s="436" t="str">
        <f ca="1">IF(CD5=0,"",CD5)</f>
        <v/>
      </c>
      <c r="Z5" s="436" t="str">
        <f ca="1">IF(CI5=0,"",CI5)</f>
        <v/>
      </c>
      <c r="AA5" s="436" t="str">
        <f ca="1">IF(CN5=0,"",CN5)</f>
        <v/>
      </c>
      <c r="AB5" s="436" t="str">
        <f ca="1">IF(CS5=0,"",CS5)</f>
        <v/>
      </c>
      <c r="AC5" s="436" t="str">
        <f ca="1">IF(CX5=0,"",CX5)</f>
        <v/>
      </c>
      <c r="AD5" s="436" t="str">
        <f ca="1">IF(DC5=0,"",DC5)</f>
        <v/>
      </c>
      <c r="AE5" s="436" t="str">
        <f ca="1">IF(DH5=0,"",DH5)</f>
        <v/>
      </c>
      <c r="AF5" s="436" t="str">
        <f ca="1">IF(DM5=0,"",DM5)</f>
        <v/>
      </c>
      <c r="AG5" s="406"/>
      <c r="AH5" s="436" t="str">
        <f ca="1">IF(BK5=0,"",BK5)</f>
        <v/>
      </c>
      <c r="AI5" s="436" t="str">
        <f ca="1">IF(BP5=0,"",BP5)</f>
        <v/>
      </c>
      <c r="AJ5" s="436" t="str">
        <f ca="1">IF(BU5=0,"",BU5)</f>
        <v/>
      </c>
      <c r="AK5" s="436" t="str">
        <f ca="1">IF(BZ5=0,"",BZ5)</f>
        <v/>
      </c>
      <c r="AL5" s="436" t="str">
        <f ca="1">IF(CE5=0,"",CE5)</f>
        <v/>
      </c>
      <c r="AM5" s="436" t="str">
        <f ca="1">IF(CJ5=0,"",CJ5)</f>
        <v/>
      </c>
      <c r="AN5" s="436" t="str">
        <f ca="1">IF(CO5=0,"",CO5)</f>
        <v/>
      </c>
      <c r="AO5" s="436" t="str">
        <f ca="1">IF(CT5=0,"",CT5)</f>
        <v/>
      </c>
      <c r="AP5" s="436" t="str">
        <f ca="1">IF(CY5=0,"",CY5)</f>
        <v/>
      </c>
      <c r="AQ5" s="436" t="str">
        <f ca="1">IF(DD5=0,"",DD5)</f>
        <v/>
      </c>
      <c r="AR5" s="436" t="str">
        <f ca="1">IF(DI5=0,"",DI5)</f>
        <v/>
      </c>
      <c r="AS5" s="436" t="str">
        <f ca="1">IF(DN5=0,"",DN5)</f>
        <v/>
      </c>
      <c r="AT5" s="406"/>
      <c r="AU5" s="436" t="str">
        <f ca="1">IF(BL5=0,"",BL5)</f>
        <v/>
      </c>
      <c r="AV5" s="436" t="str">
        <f ca="1">IF(BQ5=0,"",BQ5)</f>
        <v/>
      </c>
      <c r="AW5" s="436" t="str">
        <f ca="1">IF(BV5=0,"",BV5)</f>
        <v/>
      </c>
      <c r="AX5" s="436" t="str">
        <f ca="1">IF(CA5=0,"",CA5)</f>
        <v/>
      </c>
      <c r="AY5" s="436" t="str">
        <f ca="1">IF(CF5=0,"",CF5)</f>
        <v/>
      </c>
      <c r="AZ5" s="436" t="str">
        <f ca="1">IF(CK5=0,"",CK5)</f>
        <v/>
      </c>
      <c r="BA5" s="436" t="str">
        <f ca="1">IF(CP5=0,"",CP5)</f>
        <v/>
      </c>
      <c r="BB5" s="436" t="str">
        <f ca="1">IF(CU5=0,"",CU5)</f>
        <v/>
      </c>
      <c r="BC5" s="436" t="str">
        <f ca="1">IF(CZ5=0,"",CZ5)</f>
        <v/>
      </c>
      <c r="BD5" s="436" t="str">
        <f ca="1">IF(DE5=0,"",DE5)</f>
        <v/>
      </c>
      <c r="BE5" s="436" t="str">
        <f ca="1">IF(DJ5=0,"",DJ5)</f>
        <v/>
      </c>
      <c r="BF5" s="436" t="str">
        <f ca="1">IF(DO5=0,"",DO5)</f>
        <v/>
      </c>
      <c r="BG5" s="406"/>
      <c r="BH5" s="453"/>
      <c r="BI5" s="437">
        <f t="shared" ref="BI5" ca="1" si="9">IF(ISERROR(VLOOKUP($A5,DONNEES,BK$3+1,0)),"",VLOOKUP($A5,DONNEES,BK$3+1,0))</f>
        <v>0</v>
      </c>
      <c r="BJ5" s="438">
        <f t="shared" ref="BJ5" ca="1" si="10">IF(ISERROR(VLOOKUP($A5,DONNEES,BK$3,0)),"",VLOOKUP($A5,DONNEES,BK$3,0))</f>
        <v>0</v>
      </c>
      <c r="BK5" s="439" t="str">
        <f t="shared" ref="BK5:BK38" ca="1" si="11">IF(ISERROR(VLOOKUP($A5&amp;".b",DONNEES,BK$3,0)),"",VLOOKUP($A5&amp;".b",DONNEES,BK$3,0))</f>
        <v/>
      </c>
      <c r="BL5" s="440" t="str">
        <f t="shared" ref="BL5" ca="1" si="12">IF(ISERROR(VLOOKUP($A5&amp;".b",DONNEES,BK$3+1,0)),"",VLOOKUP($A5&amp;".b",DONNEES,BK$3+1,0))</f>
        <v/>
      </c>
      <c r="BM5" s="441"/>
      <c r="BN5" s="437">
        <f t="shared" ref="BN5" ca="1" si="13">IF(ISERROR(VLOOKUP($A5,DONNEES,BP$3+1,0)),"",VLOOKUP($A5,DONNEES,BP$3+1,0))</f>
        <v>0</v>
      </c>
      <c r="BO5" s="438">
        <f t="shared" ref="BO5" ca="1" si="14">IF(ISERROR(VLOOKUP($A5,DONNEES,BP$3,0)),"",VLOOKUP($A5,DONNEES,BP$3,0))</f>
        <v>0</v>
      </c>
      <c r="BP5" s="439" t="str">
        <f t="shared" ref="BP5:BP38" ca="1" si="15">IF(ISERROR(VLOOKUP($A5&amp;".b",DONNEES,BP$3,0)),"",VLOOKUP($A5&amp;".b",DONNEES,BP$3,0))</f>
        <v/>
      </c>
      <c r="BQ5" s="440" t="str">
        <f t="shared" ref="BQ5" ca="1" si="16">IF(ISERROR(VLOOKUP($A5&amp;".b",DONNEES,BP$3+1,0)),"",VLOOKUP($A5&amp;".b",DONNEES,BP$3+1,0))</f>
        <v/>
      </c>
      <c r="BR5" s="441"/>
      <c r="BS5" s="437">
        <f t="shared" ref="BS5" ca="1" si="17">IF(ISERROR(VLOOKUP($A5,DONNEES,BU$3+1,0)),"",VLOOKUP($A5,DONNEES,BU$3+1,0))</f>
        <v>0</v>
      </c>
      <c r="BT5" s="438">
        <f t="shared" ref="BT5" ca="1" si="18">IF(ISERROR(VLOOKUP($A5,DONNEES,BU$3,0)),"",VLOOKUP($A5,DONNEES,BU$3,0))</f>
        <v>0</v>
      </c>
      <c r="BU5" s="439" t="str">
        <f t="shared" ref="BU5:BU38" ca="1" si="19">IF(ISERROR(VLOOKUP($A5&amp;".b",DONNEES,BU$3,0)),"",VLOOKUP($A5&amp;".b",DONNEES,BU$3,0))</f>
        <v/>
      </c>
      <c r="BV5" s="440" t="str">
        <f t="shared" ref="BV5" ca="1" si="20">IF(ISERROR(VLOOKUP($A5&amp;".b",DONNEES,BU$3+1,0)),"",VLOOKUP($A5&amp;".b",DONNEES,BU$3+1,0))</f>
        <v/>
      </c>
      <c r="BW5" s="441"/>
      <c r="BX5" s="437">
        <f t="shared" ref="BX5" ca="1" si="21">IF(ISERROR(VLOOKUP($A5,DONNEES,BZ$3+1,0)),"",VLOOKUP($A5,DONNEES,BZ$3+1,0))</f>
        <v>0</v>
      </c>
      <c r="BY5" s="438">
        <f t="shared" ref="BY5" ca="1" si="22">IF(ISERROR(VLOOKUP($A5,DONNEES,BZ$3,0)),"",VLOOKUP($A5,DONNEES,BZ$3,0))</f>
        <v>0</v>
      </c>
      <c r="BZ5" s="439" t="str">
        <f t="shared" ref="BZ5:BZ38" ca="1" si="23">IF(ISERROR(VLOOKUP($A5&amp;".b",DONNEES,BZ$3,0)),"",VLOOKUP($A5&amp;".b",DONNEES,BZ$3,0))</f>
        <v/>
      </c>
      <c r="CA5" s="440" t="str">
        <f t="shared" ref="CA5" ca="1" si="24">IF(ISERROR(VLOOKUP($A5&amp;".b",DONNEES,BZ$3+1,0)),"",VLOOKUP($A5&amp;".b",DONNEES,BZ$3+1,0))</f>
        <v/>
      </c>
      <c r="CB5" s="441"/>
      <c r="CC5" s="437">
        <f t="shared" ref="CC5:CC38" ca="1" si="25">IF(ISERROR(VLOOKUP($A5,DONNEES,CE$3+1,0)),"",VLOOKUP($A5,DONNEES,CE$3+1,0))</f>
        <v>0</v>
      </c>
      <c r="CD5" s="438">
        <f t="shared" ref="CD5" ca="1" si="26">IF(ISERROR(VLOOKUP($A5,DONNEES,CE$3,0)),"",VLOOKUP($A5,DONNEES,CE$3,0))</f>
        <v>0</v>
      </c>
      <c r="CE5" s="439" t="str">
        <f t="shared" ref="CE5:CE38" ca="1" si="27">IF(ISERROR(VLOOKUP($A5&amp;".b",DONNEES,CE$3,0)),"",VLOOKUP($A5&amp;".b",DONNEES,CE$3,0))</f>
        <v/>
      </c>
      <c r="CF5" s="440" t="str">
        <f t="shared" ref="CF5" ca="1" si="28">IF(ISERROR(VLOOKUP($A5&amp;".b",DONNEES,CE$3+1,0)),"",VLOOKUP($A5&amp;".b",DONNEES,CE$3+1,0))</f>
        <v/>
      </c>
      <c r="CG5" s="441"/>
      <c r="CH5" s="437">
        <f t="shared" ref="CH5" ca="1" si="29">IF(ISERROR(VLOOKUP($A5,DONNEES,CJ$3+1,0)),"",VLOOKUP($A5,DONNEES,CJ$3+1,0))</f>
        <v>0</v>
      </c>
      <c r="CI5" s="438">
        <f t="shared" ref="CI5" ca="1" si="30">IF(ISERROR(VLOOKUP($A5,DONNEES,CJ$3,0)),"",VLOOKUP($A5,DONNEES,CJ$3,0))</f>
        <v>0</v>
      </c>
      <c r="CJ5" s="439" t="str">
        <f t="shared" ref="CJ5:CJ38" ca="1" si="31">IF(ISERROR(VLOOKUP($A5&amp;".b",DONNEES,CJ$3,0)),"",VLOOKUP($A5&amp;".b",DONNEES,CJ$3,0))</f>
        <v/>
      </c>
      <c r="CK5" s="440" t="str">
        <f t="shared" ref="CK5" ca="1" si="32">IF(ISERROR(VLOOKUP($A5&amp;".b",DONNEES,CJ$3+1,0)),"",VLOOKUP($A5&amp;".b",DONNEES,CJ$3+1,0))</f>
        <v/>
      </c>
      <c r="CL5" s="441"/>
      <c r="CM5" s="437">
        <f t="shared" ref="CM5" ca="1" si="33">IF(ISERROR(VLOOKUP($A5,DONNEES,CO$3+1,0)),"",VLOOKUP($A5,DONNEES,CO$3+1,0))</f>
        <v>0</v>
      </c>
      <c r="CN5" s="438">
        <f t="shared" ref="CN5" ca="1" si="34">IF(ISERROR(VLOOKUP($A5,DONNEES,CO$3,0)),"",VLOOKUP($A5,DONNEES,CO$3,0))</f>
        <v>0</v>
      </c>
      <c r="CO5" s="439" t="str">
        <f t="shared" ref="CO5:CO38" ca="1" si="35">IF(ISERROR(VLOOKUP($A5&amp;".b",DONNEES,CO$3,0)),"",VLOOKUP($A5&amp;".b",DONNEES,CO$3,0))</f>
        <v/>
      </c>
      <c r="CP5" s="440" t="str">
        <f t="shared" ref="CP5" ca="1" si="36">IF(ISERROR(VLOOKUP($A5&amp;".b",DONNEES,CO$3+1,0)),"",VLOOKUP($A5&amp;".b",DONNEES,CO$3+1,0))</f>
        <v/>
      </c>
      <c r="CQ5" s="441"/>
      <c r="CR5" s="437">
        <f t="shared" ref="CR5" ca="1" si="37">IF(ISERROR(VLOOKUP($A5,DONNEES,CT$3+1,0)),"",VLOOKUP($A5,DONNEES,CT$3+1,0))</f>
        <v>0</v>
      </c>
      <c r="CS5" s="438">
        <f t="shared" ref="CS5" ca="1" si="38">IF(ISERROR(VLOOKUP($A5,DONNEES,CT$3,0)),"",VLOOKUP($A5,DONNEES,CT$3,0))</f>
        <v>0</v>
      </c>
      <c r="CT5" s="439" t="str">
        <f t="shared" ref="CT5:CT38" ca="1" si="39">IF(ISERROR(VLOOKUP($A5&amp;".b",DONNEES,CT$3,0)),"",VLOOKUP($A5&amp;".b",DONNEES,CT$3,0))</f>
        <v/>
      </c>
      <c r="CU5" s="440" t="str">
        <f t="shared" ref="CU5" ca="1" si="40">IF(ISERROR(VLOOKUP($A5&amp;".b",DONNEES,CT$3+1,0)),"",VLOOKUP($A5&amp;".b",DONNEES,CT$3+1,0))</f>
        <v/>
      </c>
      <c r="CV5" s="441"/>
      <c r="CW5" s="437">
        <f t="shared" ref="CW5" ca="1" si="41">IF(ISERROR(VLOOKUP($A5,DONNEES,CY$3+1,0)),"",VLOOKUP($A5,DONNEES,CY$3+1,0))</f>
        <v>0</v>
      </c>
      <c r="CX5" s="438">
        <f t="shared" ref="CX5" ca="1" si="42">IF(ISERROR(VLOOKUP($A5,DONNEES,CY$3,0)),"",VLOOKUP($A5,DONNEES,CY$3,0))</f>
        <v>0</v>
      </c>
      <c r="CY5" s="439" t="str">
        <f t="shared" ref="CY5:CY38" ca="1" si="43">IF(ISERROR(VLOOKUP($A5&amp;".b",DONNEES,CY$3,0)),"",VLOOKUP($A5&amp;".b",DONNEES,CY$3,0))</f>
        <v/>
      </c>
      <c r="CZ5" s="440" t="str">
        <f t="shared" ref="CZ5" ca="1" si="44">IF(ISERROR(VLOOKUP($A5&amp;".b",DONNEES,CY$3+1,0)),"",VLOOKUP($A5&amp;".b",DONNEES,CY$3+1,0))</f>
        <v/>
      </c>
      <c r="DA5" s="441"/>
      <c r="DB5" s="437">
        <f t="shared" ref="DB5" ca="1" si="45">IF(ISERROR(VLOOKUP($A5,DONNEES,DD$3+1,0)),"",VLOOKUP($A5,DONNEES,DD$3+1,0))</f>
        <v>0</v>
      </c>
      <c r="DC5" s="438">
        <f t="shared" ref="DC5" ca="1" si="46">IF(ISERROR(VLOOKUP($A5,DONNEES,DD$3,0)),"",VLOOKUP($A5,DONNEES,DD$3,0))</f>
        <v>0</v>
      </c>
      <c r="DD5" s="439" t="str">
        <f t="shared" ref="DD5:DD38" ca="1" si="47">IF(ISERROR(VLOOKUP($A5&amp;".b",DONNEES,DD$3,0)),"",VLOOKUP($A5&amp;".b",DONNEES,DD$3,0))</f>
        <v/>
      </c>
      <c r="DE5" s="440" t="str">
        <f t="shared" ref="DE5" ca="1" si="48">IF(ISERROR(VLOOKUP($A5&amp;".b",DONNEES,DD$3+1,0)),"",VLOOKUP($A5&amp;".b",DONNEES,DD$3+1,0))</f>
        <v/>
      </c>
      <c r="DF5" s="441"/>
      <c r="DG5" s="437">
        <f t="shared" ref="DG5" ca="1" si="49">IF(ISERROR(VLOOKUP($A5,DONNEES,DI$3+1,0)),"",VLOOKUP($A5,DONNEES,DI$3+1,0))</f>
        <v>0</v>
      </c>
      <c r="DH5" s="438">
        <f t="shared" ref="DH5" ca="1" si="50">IF(ISERROR(VLOOKUP($A5,DONNEES,DI$3,0)),"",VLOOKUP($A5,DONNEES,DI$3,0))</f>
        <v>0</v>
      </c>
      <c r="DI5" s="439" t="str">
        <f t="shared" ref="DI5:DI38" ca="1" si="51">IF(ISERROR(VLOOKUP($A5&amp;".b",DONNEES,DI$3,0)),"",VLOOKUP($A5&amp;".b",DONNEES,DI$3,0))</f>
        <v/>
      </c>
      <c r="DJ5" s="440" t="str">
        <f t="shared" ref="DJ5" ca="1" si="52">IF(ISERROR(VLOOKUP($A5&amp;".b",DONNEES,DI$3+1,0)),"",VLOOKUP($A5&amp;".b",DONNEES,DI$3+1,0))</f>
        <v/>
      </c>
      <c r="DK5" s="441"/>
      <c r="DL5" s="437">
        <f t="shared" ref="DL5" ca="1" si="53">IF(ISERROR(VLOOKUP($A5,DONNEES,DN$3+1,0)),"",VLOOKUP($A5,DONNEES,DN$3+1,0))</f>
        <v>0</v>
      </c>
      <c r="DM5" s="438">
        <f t="shared" ref="DM5" ca="1" si="54">IF(ISERROR(VLOOKUP($A5,DONNEES,DN$3,0)),"",VLOOKUP($A5,DONNEES,DN$3,0))</f>
        <v>0</v>
      </c>
      <c r="DN5" s="439" t="str">
        <f t="shared" ref="DN5:DN38" ca="1" si="55">IF(ISERROR(VLOOKUP($A5&amp;".b",DONNEES,DN$3,0)),"",VLOOKUP($A5&amp;".b",DONNEES,DN$3,0))</f>
        <v/>
      </c>
      <c r="DO5" s="440" t="str">
        <f t="shared" ref="DO5" ca="1" si="56">IF(ISERROR(VLOOKUP($A5&amp;".b",DONNEES,DN$3+1,0)),"",VLOOKUP($A5&amp;".b",DONNEES,DN$3+1,0))</f>
        <v/>
      </c>
      <c r="DP5" s="453"/>
    </row>
    <row r="6" spans="1:120" x14ac:dyDescent="0.35">
      <c r="A6" s="52">
        <v>932163</v>
      </c>
      <c r="B6" s="54" t="str">
        <f>IF(ISERROR(VLOOKUP(A6,Planning!$A$12:$B$53,2,0)),"",VLOOKUP(A6,Planning!$A$12:$B$53,2,0))</f>
        <v>DEVEAUX.Emilie</v>
      </c>
      <c r="C6" s="96" t="str">
        <f>IF(ISERROR(VLOOKUP(A6,Planning!$A$12:$E$53,4,0)),"",VLOOKUP(A6,Planning!$A$12:$E54,4,0))</f>
        <v>I2S</v>
      </c>
      <c r="D6" s="96" t="str">
        <f>IF(ISERROR(VLOOKUP(A6,Planning!$A$12:$E$53,5,0)),"",VLOOKUP(A6,Planning!$A$12:$E54,5,0))</f>
        <v>ITG</v>
      </c>
      <c r="E6" s="157">
        <f ca="1">IF(A6="","",SUM(H6:S6))</f>
        <v>0</v>
      </c>
      <c r="F6" s="93">
        <f ca="1">IF(A6="","",SUM(U6:AF6))</f>
        <v>60</v>
      </c>
      <c r="G6" s="406"/>
      <c r="H6" s="435">
        <f t="shared" ref="H6:H38" ca="1" si="57">BI6</f>
        <v>0</v>
      </c>
      <c r="I6" s="435">
        <f t="shared" ref="I6:I38" ca="1" si="58">BN6</f>
        <v>0</v>
      </c>
      <c r="J6" s="435">
        <f t="shared" ref="J6:J38" ca="1" si="59">BS6</f>
        <v>0</v>
      </c>
      <c r="K6" s="435">
        <f t="shared" ref="K6:K38" ca="1" si="60">BX6</f>
        <v>0</v>
      </c>
      <c r="L6" s="435">
        <f t="shared" ref="L6:L38" ca="1" si="61">CC6</f>
        <v>0</v>
      </c>
      <c r="M6" s="435">
        <f t="shared" ref="M6:M38" ca="1" si="62">CH6</f>
        <v>0</v>
      </c>
      <c r="N6" s="435">
        <f t="shared" ref="N6:N38" ca="1" si="63">CM6</f>
        <v>0</v>
      </c>
      <c r="O6" s="435">
        <f t="shared" ref="O6:O38" ca="1" si="64">CR6</f>
        <v>0</v>
      </c>
      <c r="P6" s="435">
        <f t="shared" ref="P6:P38" ca="1" si="65">CW6</f>
        <v>0</v>
      </c>
      <c r="Q6" s="435">
        <f t="shared" ref="Q6:Q38" ca="1" si="66">DB6</f>
        <v>0</v>
      </c>
      <c r="R6" s="435">
        <f t="shared" ref="R6:R38" ca="1" si="67">DG6</f>
        <v>0</v>
      </c>
      <c r="S6" s="435">
        <f t="shared" ref="S6:S38" ca="1" si="68">DL6</f>
        <v>0</v>
      </c>
      <c r="T6" s="406"/>
      <c r="U6" s="436">
        <f t="shared" ref="U6:U38" ca="1" si="69">IF(BJ6=0,"",BJ6)</f>
        <v>17</v>
      </c>
      <c r="V6" s="436">
        <f t="shared" ref="V6:V38" ca="1" si="70">IF(BO6=0,"",BO6)</f>
        <v>20</v>
      </c>
      <c r="W6" s="436">
        <f t="shared" ref="W6:W38" ca="1" si="71">IF(BT6=0,"",BT6)</f>
        <v>23</v>
      </c>
      <c r="X6" s="436" t="str">
        <f t="shared" ref="X6:X38" ca="1" si="72">IF(BY6=0,"",BY6)</f>
        <v/>
      </c>
      <c r="Y6" s="436" t="str">
        <f t="shared" ref="Y6:Y38" ca="1" si="73">IF(CD6=0,"",CD6)</f>
        <v/>
      </c>
      <c r="Z6" s="436" t="str">
        <f t="shared" ref="Z6:Z38" ca="1" si="74">IF(CI6=0,"",CI6)</f>
        <v/>
      </c>
      <c r="AA6" s="436" t="str">
        <f t="shared" ref="AA6:AA38" ca="1" si="75">IF(CN6=0,"",CN6)</f>
        <v/>
      </c>
      <c r="AB6" s="436" t="str">
        <f t="shared" ref="AB6:AB38" ca="1" si="76">IF(CS6=0,"",CS6)</f>
        <v/>
      </c>
      <c r="AC6" s="436" t="str">
        <f t="shared" ref="AC6:AC38" ca="1" si="77">IF(CX6=0,"",CX6)</f>
        <v/>
      </c>
      <c r="AD6" s="436" t="str">
        <f t="shared" ref="AD6:AD38" ca="1" si="78">IF(DC6=0,"",DC6)</f>
        <v/>
      </c>
      <c r="AE6" s="436" t="str">
        <f t="shared" ref="AE6:AE38" ca="1" si="79">IF(DH6=0,"",DH6)</f>
        <v/>
      </c>
      <c r="AF6" s="436" t="str">
        <f t="shared" ref="AF6:AF38" ca="1" si="80">IF(DM6=0,"",DM6)</f>
        <v/>
      </c>
      <c r="AG6" s="406"/>
      <c r="AH6" s="436">
        <f t="shared" ref="AH6:AH38" ca="1" si="81">IF(BK6=0,"",BK6)</f>
        <v>17</v>
      </c>
      <c r="AI6" s="436">
        <f t="shared" ref="AI6:AI38" ca="1" si="82">IF(BP6=0,"",BP6)</f>
        <v>20</v>
      </c>
      <c r="AJ6" s="436">
        <f t="shared" ref="AJ6:AJ38" ca="1" si="83">IF(BU6=0,"",BU6)</f>
        <v>23</v>
      </c>
      <c r="AK6" s="436" t="str">
        <f t="shared" ref="AK6:AK38" ca="1" si="84">IF(BZ6=0,"",BZ6)</f>
        <v/>
      </c>
      <c r="AL6" s="436" t="str">
        <f t="shared" ref="AL6:AL38" ca="1" si="85">IF(CE6=0,"",CE6)</f>
        <v/>
      </c>
      <c r="AM6" s="436" t="str">
        <f t="shared" ref="AM6:AM38" ca="1" si="86">IF(CJ6=0,"",CJ6)</f>
        <v/>
      </c>
      <c r="AN6" s="436" t="str">
        <f t="shared" ref="AN6:AN38" ca="1" si="87">IF(CO6=0,"",CO6)</f>
        <v/>
      </c>
      <c r="AO6" s="436" t="str">
        <f t="shared" ref="AO6:AO38" ca="1" si="88">IF(CT6=0,"",CT6)</f>
        <v/>
      </c>
      <c r="AP6" s="436" t="str">
        <f t="shared" ref="AP6:AP38" ca="1" si="89">IF(CY6=0,"",CY6)</f>
        <v/>
      </c>
      <c r="AQ6" s="436" t="str">
        <f t="shared" ref="AQ6:AQ38" ca="1" si="90">IF(DD6=0,"",DD6)</f>
        <v/>
      </c>
      <c r="AR6" s="436" t="str">
        <f t="shared" ref="AR6:AR38" ca="1" si="91">IF(DI6=0,"",DI6)</f>
        <v/>
      </c>
      <c r="AS6" s="436" t="str">
        <f t="shared" ref="AS6:AS38" ca="1" si="92">IF(DN6=0,"",DN6)</f>
        <v/>
      </c>
      <c r="AT6" s="406"/>
      <c r="AU6" s="436" t="str">
        <f t="shared" ref="AU6:AU38" ca="1" si="93">IF(BL6=0,"",BL6)</f>
        <v/>
      </c>
      <c r="AV6" s="436" t="str">
        <f t="shared" ref="AV6:AV38" ca="1" si="94">IF(BQ6=0,"",BQ6)</f>
        <v/>
      </c>
      <c r="AW6" s="436" t="str">
        <f t="shared" ref="AW6:AW38" ca="1" si="95">IF(BV6=0,"",BV6)</f>
        <v/>
      </c>
      <c r="AX6" s="436" t="str">
        <f t="shared" ref="AX6:AX38" ca="1" si="96">IF(CA6=0,"",CA6)</f>
        <v/>
      </c>
      <c r="AY6" s="436" t="str">
        <f t="shared" ref="AY6:AY38" ca="1" si="97">IF(CF6=0,"",CF6)</f>
        <v/>
      </c>
      <c r="AZ6" s="436" t="str">
        <f t="shared" ref="AZ6:AZ38" ca="1" si="98">IF(CK6=0,"",CK6)</f>
        <v/>
      </c>
      <c r="BA6" s="436" t="str">
        <f t="shared" ref="BA6:BA38" ca="1" si="99">IF(CP6=0,"",CP6)</f>
        <v/>
      </c>
      <c r="BB6" s="436" t="str">
        <f t="shared" ref="BB6:BB38" ca="1" si="100">IF(CU6=0,"",CU6)</f>
        <v/>
      </c>
      <c r="BC6" s="436" t="str">
        <f t="shared" ref="BC6:BC38" ca="1" si="101">IF(CZ6=0,"",CZ6)</f>
        <v/>
      </c>
      <c r="BD6" s="436" t="str">
        <f t="shared" ref="BD6:BD38" ca="1" si="102">IF(DE6=0,"",DE6)</f>
        <v/>
      </c>
      <c r="BE6" s="436" t="str">
        <f t="shared" ref="BE6:BE38" ca="1" si="103">IF(DJ6=0,"",DJ6)</f>
        <v/>
      </c>
      <c r="BF6" s="436" t="str">
        <f t="shared" ref="BF6:BF38" ca="1" si="104">IF(DO6=0,"",DO6)</f>
        <v/>
      </c>
      <c r="BG6" s="406"/>
      <c r="BH6" s="453"/>
      <c r="BI6" s="437">
        <f t="shared" ref="BI6:BI38" ca="1" si="105">IF(ISERROR(VLOOKUP($A6,DONNEES,BK$3+1,0)),"",VLOOKUP($A6,DONNEES,BK$3+1,0))</f>
        <v>0</v>
      </c>
      <c r="BJ6" s="438">
        <f t="shared" ref="BJ6:BJ38" ca="1" si="106">IF(ISERROR(VLOOKUP($A6,DONNEES,BK$3,0)),"",VLOOKUP($A6,DONNEES,BK$3,0))</f>
        <v>17</v>
      </c>
      <c r="BK6" s="442">
        <f t="shared" ca="1" si="11"/>
        <v>17</v>
      </c>
      <c r="BL6" s="443" t="str">
        <f t="shared" ref="BL6:BL38" ca="1" si="107">IF(ISERROR(VLOOKUP($A6&amp;".b",DONNEES,BK$3+1,0)),"",VLOOKUP($A6&amp;".b",DONNEES,BK$3+1,0))</f>
        <v/>
      </c>
      <c r="BM6" s="441"/>
      <c r="BN6" s="437">
        <f t="shared" ref="BN6:BN38" ca="1" si="108">IF(ISERROR(VLOOKUP($A6,DONNEES,BP$3+1,0)),"",VLOOKUP($A6,DONNEES,BP$3+1,0))</f>
        <v>0</v>
      </c>
      <c r="BO6" s="438">
        <f t="shared" ref="BO6:BO38" ca="1" si="109">IF(ISERROR(VLOOKUP($A6,DONNEES,BP$3,0)),"",VLOOKUP($A6,DONNEES,BP$3,0))</f>
        <v>20</v>
      </c>
      <c r="BP6" s="442">
        <f t="shared" ca="1" si="15"/>
        <v>20</v>
      </c>
      <c r="BQ6" s="443" t="str">
        <f t="shared" ref="BQ6:BQ38" ca="1" si="110">IF(ISERROR(VLOOKUP($A6&amp;".b",DONNEES,BP$3+1,0)),"",VLOOKUP($A6&amp;".b",DONNEES,BP$3+1,0))</f>
        <v/>
      </c>
      <c r="BR6" s="441"/>
      <c r="BS6" s="437">
        <f t="shared" ref="BS6:BS38" ca="1" si="111">IF(ISERROR(VLOOKUP($A6,DONNEES,BU$3+1,0)),"",VLOOKUP($A6,DONNEES,BU$3+1,0))</f>
        <v>0</v>
      </c>
      <c r="BT6" s="438">
        <f t="shared" ref="BT6:BT38" ca="1" si="112">IF(ISERROR(VLOOKUP($A6,DONNEES,BU$3,0)),"",VLOOKUP($A6,DONNEES,BU$3,0))</f>
        <v>23</v>
      </c>
      <c r="BU6" s="442">
        <f t="shared" ca="1" si="19"/>
        <v>23</v>
      </c>
      <c r="BV6" s="443" t="str">
        <f t="shared" ref="BV6:BV38" ca="1" si="113">IF(ISERROR(VLOOKUP($A6&amp;".b",DONNEES,BU$3+1,0)),"",VLOOKUP($A6&amp;".b",DONNEES,BU$3+1,0))</f>
        <v/>
      </c>
      <c r="BW6" s="441"/>
      <c r="BX6" s="437">
        <f t="shared" ref="BX6:BX38" ca="1" si="114">IF(ISERROR(VLOOKUP($A6,DONNEES,BZ$3+1,0)),"",VLOOKUP($A6,DONNEES,BZ$3+1,0))</f>
        <v>0</v>
      </c>
      <c r="BY6" s="438">
        <f t="shared" ref="BY6:BY38" ca="1" si="115">IF(ISERROR(VLOOKUP($A6,DONNEES,BZ$3,0)),"",VLOOKUP($A6,DONNEES,BZ$3,0))</f>
        <v>0</v>
      </c>
      <c r="BZ6" s="442" t="str">
        <f t="shared" ca="1" si="23"/>
        <v/>
      </c>
      <c r="CA6" s="443" t="str">
        <f t="shared" ref="CA6:CA38" ca="1" si="116">IF(ISERROR(VLOOKUP($A6&amp;".b",DONNEES,BZ$3+1,0)),"",VLOOKUP($A6&amp;".b",DONNEES,BZ$3+1,0))</f>
        <v/>
      </c>
      <c r="CB6" s="441"/>
      <c r="CC6" s="437">
        <f t="shared" ca="1" si="25"/>
        <v>0</v>
      </c>
      <c r="CD6" s="438">
        <f t="shared" ref="CD6:CD38" ca="1" si="117">IF(ISERROR(VLOOKUP($A6,DONNEES,CE$3,0)),"",VLOOKUP($A6,DONNEES,CE$3,0))</f>
        <v>0</v>
      </c>
      <c r="CE6" s="442" t="str">
        <f t="shared" ca="1" si="27"/>
        <v/>
      </c>
      <c r="CF6" s="443" t="str">
        <f t="shared" ref="CF6:CF38" ca="1" si="118">IF(ISERROR(VLOOKUP($A6&amp;".b",DONNEES,CE$3+1,0)),"",VLOOKUP($A6&amp;".b",DONNEES,CE$3+1,0))</f>
        <v/>
      </c>
      <c r="CG6" s="441"/>
      <c r="CH6" s="437">
        <f t="shared" ref="CH6:CH38" ca="1" si="119">IF(ISERROR(VLOOKUP($A6,DONNEES,CJ$3+1,0)),"",VLOOKUP($A6,DONNEES,CJ$3+1,0))</f>
        <v>0</v>
      </c>
      <c r="CI6" s="438">
        <f t="shared" ref="CI6:CI38" ca="1" si="120">IF(ISERROR(VLOOKUP($A6,DONNEES,CJ$3,0)),"",VLOOKUP($A6,DONNEES,CJ$3,0))</f>
        <v>0</v>
      </c>
      <c r="CJ6" s="442" t="str">
        <f t="shared" ca="1" si="31"/>
        <v/>
      </c>
      <c r="CK6" s="443" t="str">
        <f t="shared" ref="CK6:CK38" ca="1" si="121">IF(ISERROR(VLOOKUP($A6&amp;".b",DONNEES,CJ$3+1,0)),"",VLOOKUP($A6&amp;".b",DONNEES,CJ$3+1,0))</f>
        <v/>
      </c>
      <c r="CL6" s="441"/>
      <c r="CM6" s="437">
        <f t="shared" ref="CM6:CM38" ca="1" si="122">IF(ISERROR(VLOOKUP($A6,DONNEES,CO$3+1,0)),"",VLOOKUP($A6,DONNEES,CO$3+1,0))</f>
        <v>0</v>
      </c>
      <c r="CN6" s="438">
        <f t="shared" ref="CN6:CN38" ca="1" si="123">IF(ISERROR(VLOOKUP($A6,DONNEES,CO$3,0)),"",VLOOKUP($A6,DONNEES,CO$3,0))</f>
        <v>0</v>
      </c>
      <c r="CO6" s="442" t="str">
        <f t="shared" ca="1" si="35"/>
        <v/>
      </c>
      <c r="CP6" s="443" t="str">
        <f t="shared" ref="CP6:CP38" ca="1" si="124">IF(ISERROR(VLOOKUP($A6&amp;".b",DONNEES,CO$3+1,0)),"",VLOOKUP($A6&amp;".b",DONNEES,CO$3+1,0))</f>
        <v/>
      </c>
      <c r="CQ6" s="441"/>
      <c r="CR6" s="437">
        <f t="shared" ref="CR6:CR38" ca="1" si="125">IF(ISERROR(VLOOKUP($A6,DONNEES,CT$3+1,0)),"",VLOOKUP($A6,DONNEES,CT$3+1,0))</f>
        <v>0</v>
      </c>
      <c r="CS6" s="438">
        <f t="shared" ref="CS6:CS38" ca="1" si="126">IF(ISERROR(VLOOKUP($A6,DONNEES,CT$3,0)),"",VLOOKUP($A6,DONNEES,CT$3,0))</f>
        <v>0</v>
      </c>
      <c r="CT6" s="442" t="str">
        <f t="shared" ca="1" si="39"/>
        <v/>
      </c>
      <c r="CU6" s="443" t="str">
        <f t="shared" ref="CU6:CU38" ca="1" si="127">IF(ISERROR(VLOOKUP($A6&amp;".b",DONNEES,CT$3+1,0)),"",VLOOKUP($A6&amp;".b",DONNEES,CT$3+1,0))</f>
        <v/>
      </c>
      <c r="CV6" s="441"/>
      <c r="CW6" s="437">
        <f t="shared" ref="CW6:CW38" ca="1" si="128">IF(ISERROR(VLOOKUP($A6,DONNEES,CY$3+1,0)),"",VLOOKUP($A6,DONNEES,CY$3+1,0))</f>
        <v>0</v>
      </c>
      <c r="CX6" s="438">
        <f t="shared" ref="CX6:CX38" ca="1" si="129">IF(ISERROR(VLOOKUP($A6,DONNEES,CY$3,0)),"",VLOOKUP($A6,DONNEES,CY$3,0))</f>
        <v>0</v>
      </c>
      <c r="CY6" s="442" t="str">
        <f t="shared" ca="1" si="43"/>
        <v/>
      </c>
      <c r="CZ6" s="443" t="str">
        <f t="shared" ref="CZ6:CZ38" ca="1" si="130">IF(ISERROR(VLOOKUP($A6&amp;".b",DONNEES,CY$3+1,0)),"",VLOOKUP($A6&amp;".b",DONNEES,CY$3+1,0))</f>
        <v/>
      </c>
      <c r="DA6" s="441"/>
      <c r="DB6" s="437">
        <f t="shared" ref="DB6:DB38" ca="1" si="131">IF(ISERROR(VLOOKUP($A6,DONNEES,DD$3+1,0)),"",VLOOKUP($A6,DONNEES,DD$3+1,0))</f>
        <v>0</v>
      </c>
      <c r="DC6" s="438">
        <f t="shared" ref="DC6:DC38" ca="1" si="132">IF(ISERROR(VLOOKUP($A6,DONNEES,DD$3,0)),"",VLOOKUP($A6,DONNEES,DD$3,0))</f>
        <v>0</v>
      </c>
      <c r="DD6" s="442" t="str">
        <f t="shared" ca="1" si="47"/>
        <v/>
      </c>
      <c r="DE6" s="443" t="str">
        <f t="shared" ref="DE6:DE38" ca="1" si="133">IF(ISERROR(VLOOKUP($A6&amp;".b",DONNEES,DD$3+1,0)),"",VLOOKUP($A6&amp;".b",DONNEES,DD$3+1,0))</f>
        <v/>
      </c>
      <c r="DF6" s="441"/>
      <c r="DG6" s="437">
        <f t="shared" ref="DG6:DG38" ca="1" si="134">IF(ISERROR(VLOOKUP($A6,DONNEES,DI$3+1,0)),"",VLOOKUP($A6,DONNEES,DI$3+1,0))</f>
        <v>0</v>
      </c>
      <c r="DH6" s="438">
        <f t="shared" ref="DH6:DH38" ca="1" si="135">IF(ISERROR(VLOOKUP($A6,DONNEES,DI$3,0)),"",VLOOKUP($A6,DONNEES,DI$3,0))</f>
        <v>0</v>
      </c>
      <c r="DI6" s="442" t="str">
        <f t="shared" ca="1" si="51"/>
        <v/>
      </c>
      <c r="DJ6" s="443" t="str">
        <f t="shared" ref="DJ6:DJ38" ca="1" si="136">IF(ISERROR(VLOOKUP($A6&amp;".b",DONNEES,DI$3+1,0)),"",VLOOKUP($A6&amp;".b",DONNEES,DI$3+1,0))</f>
        <v/>
      </c>
      <c r="DK6" s="441"/>
      <c r="DL6" s="437">
        <f t="shared" ref="DL6:DL38" ca="1" si="137">IF(ISERROR(VLOOKUP($A6,DONNEES,DN$3+1,0)),"",VLOOKUP($A6,DONNEES,DN$3+1,0))</f>
        <v>0</v>
      </c>
      <c r="DM6" s="438">
        <f t="shared" ref="DM6:DM38" ca="1" si="138">IF(ISERROR(VLOOKUP($A6,DONNEES,DN$3,0)),"",VLOOKUP($A6,DONNEES,DN$3,0))</f>
        <v>0</v>
      </c>
      <c r="DN6" s="442" t="str">
        <f t="shared" ca="1" si="55"/>
        <v/>
      </c>
      <c r="DO6" s="443" t="str">
        <f t="shared" ref="DO6:DO38" ca="1" si="139">IF(ISERROR(VLOOKUP($A6&amp;".b",DONNEES,DN$3+1,0)),"",VLOOKUP($A6&amp;".b",DONNEES,DN$3+1,0))</f>
        <v/>
      </c>
      <c r="DP6" s="453"/>
    </row>
    <row r="7" spans="1:120" x14ac:dyDescent="0.35">
      <c r="A7" s="52">
        <v>504394</v>
      </c>
      <c r="B7" s="54" t="str">
        <f>IF(ISERROR(VLOOKUP(A7,Planning!$A$12:$B$53,2,0)),"",VLOOKUP(A7,Planning!$A$12:$B$53,2,0))</f>
        <v>LECA.Perrine</v>
      </c>
      <c r="C7" s="96" t="str">
        <f>IF(ISERROR(VLOOKUP(A7,Planning!$A$12:$E$53,4,0)),"",VLOOKUP(A7,Planning!$A$12:$E55,4,0))</f>
        <v>I2S</v>
      </c>
      <c r="D7" s="96" t="str">
        <f>IF(ISERROR(VLOOKUP(A7,Planning!$A$12:$E$53,5,0)),"",VLOOKUP(A7,Planning!$A$12:$E55,5,0))</f>
        <v>ITG</v>
      </c>
      <c r="E7" s="157">
        <f t="shared" ref="E7:E38" ca="1" si="140">IF(A7="","",SUM(H7:S7))</f>
        <v>0</v>
      </c>
      <c r="F7" s="93">
        <f t="shared" ref="F7:F38" ca="1" si="141">IF(A7="","",SUM(U7:AF7))</f>
        <v>40</v>
      </c>
      <c r="G7" s="406"/>
      <c r="H7" s="435">
        <f t="shared" ca="1" si="57"/>
        <v>0</v>
      </c>
      <c r="I7" s="435">
        <f t="shared" ca="1" si="58"/>
        <v>0</v>
      </c>
      <c r="J7" s="435">
        <f t="shared" ca="1" si="59"/>
        <v>0</v>
      </c>
      <c r="K7" s="435">
        <f t="shared" ca="1" si="60"/>
        <v>0</v>
      </c>
      <c r="L7" s="435">
        <f t="shared" ca="1" si="61"/>
        <v>0</v>
      </c>
      <c r="M7" s="435">
        <f t="shared" ca="1" si="62"/>
        <v>0</v>
      </c>
      <c r="N7" s="435">
        <f t="shared" ca="1" si="63"/>
        <v>0</v>
      </c>
      <c r="O7" s="435">
        <f t="shared" ca="1" si="64"/>
        <v>0</v>
      </c>
      <c r="P7" s="435">
        <f t="shared" ca="1" si="65"/>
        <v>0</v>
      </c>
      <c r="Q7" s="435">
        <f t="shared" ca="1" si="66"/>
        <v>0</v>
      </c>
      <c r="R7" s="435">
        <f t="shared" ca="1" si="67"/>
        <v>0</v>
      </c>
      <c r="S7" s="435">
        <f t="shared" ca="1" si="68"/>
        <v>0</v>
      </c>
      <c r="T7" s="406"/>
      <c r="U7" s="436" t="str">
        <f t="shared" ca="1" si="69"/>
        <v/>
      </c>
      <c r="V7" s="436">
        <f t="shared" ca="1" si="70"/>
        <v>17</v>
      </c>
      <c r="W7" s="436">
        <f t="shared" ca="1" si="71"/>
        <v>23</v>
      </c>
      <c r="X7" s="436" t="str">
        <f t="shared" ca="1" si="72"/>
        <v/>
      </c>
      <c r="Y7" s="436" t="str">
        <f t="shared" ca="1" si="73"/>
        <v/>
      </c>
      <c r="Z7" s="436" t="str">
        <f t="shared" ca="1" si="74"/>
        <v/>
      </c>
      <c r="AA7" s="436" t="str">
        <f t="shared" ca="1" si="75"/>
        <v/>
      </c>
      <c r="AB7" s="436" t="str">
        <f t="shared" ca="1" si="76"/>
        <v/>
      </c>
      <c r="AC7" s="436" t="str">
        <f t="shared" ca="1" si="77"/>
        <v/>
      </c>
      <c r="AD7" s="436" t="str">
        <f t="shared" ca="1" si="78"/>
        <v/>
      </c>
      <c r="AE7" s="436" t="str">
        <f t="shared" ca="1" si="79"/>
        <v/>
      </c>
      <c r="AF7" s="436" t="str">
        <f t="shared" ca="1" si="80"/>
        <v/>
      </c>
      <c r="AG7" s="406"/>
      <c r="AH7" s="436" t="str">
        <f t="shared" ca="1" si="81"/>
        <v/>
      </c>
      <c r="AI7" s="436">
        <f t="shared" ca="1" si="82"/>
        <v>17</v>
      </c>
      <c r="AJ7" s="436">
        <f t="shared" ca="1" si="83"/>
        <v>23</v>
      </c>
      <c r="AK7" s="436" t="str">
        <f t="shared" ca="1" si="84"/>
        <v/>
      </c>
      <c r="AL7" s="436" t="str">
        <f t="shared" ca="1" si="85"/>
        <v/>
      </c>
      <c r="AM7" s="436" t="str">
        <f t="shared" ca="1" si="86"/>
        <v/>
      </c>
      <c r="AN7" s="436" t="str">
        <f t="shared" ca="1" si="87"/>
        <v/>
      </c>
      <c r="AO7" s="436" t="str">
        <f t="shared" ca="1" si="88"/>
        <v/>
      </c>
      <c r="AP7" s="436" t="str">
        <f t="shared" ca="1" si="89"/>
        <v/>
      </c>
      <c r="AQ7" s="436" t="str">
        <f t="shared" ca="1" si="90"/>
        <v/>
      </c>
      <c r="AR7" s="436" t="str">
        <f t="shared" ca="1" si="91"/>
        <v/>
      </c>
      <c r="AS7" s="436" t="str">
        <f t="shared" ca="1" si="92"/>
        <v/>
      </c>
      <c r="AT7" s="406"/>
      <c r="AU7" s="436" t="str">
        <f t="shared" ca="1" si="93"/>
        <v/>
      </c>
      <c r="AV7" s="436" t="str">
        <f t="shared" ca="1" si="94"/>
        <v/>
      </c>
      <c r="AW7" s="436" t="str">
        <f t="shared" ca="1" si="95"/>
        <v/>
      </c>
      <c r="AX7" s="436" t="str">
        <f t="shared" ca="1" si="96"/>
        <v/>
      </c>
      <c r="AY7" s="436" t="str">
        <f t="shared" ca="1" si="97"/>
        <v/>
      </c>
      <c r="AZ7" s="436" t="str">
        <f t="shared" ca="1" si="98"/>
        <v/>
      </c>
      <c r="BA7" s="436" t="str">
        <f t="shared" ca="1" si="99"/>
        <v/>
      </c>
      <c r="BB7" s="436" t="str">
        <f t="shared" ca="1" si="100"/>
        <v/>
      </c>
      <c r="BC7" s="436" t="str">
        <f t="shared" ca="1" si="101"/>
        <v/>
      </c>
      <c r="BD7" s="436" t="str">
        <f t="shared" ca="1" si="102"/>
        <v/>
      </c>
      <c r="BE7" s="436" t="str">
        <f t="shared" ca="1" si="103"/>
        <v/>
      </c>
      <c r="BF7" s="436" t="str">
        <f t="shared" ca="1" si="104"/>
        <v/>
      </c>
      <c r="BG7" s="406"/>
      <c r="BH7" s="453"/>
      <c r="BI7" s="437">
        <f t="shared" ca="1" si="105"/>
        <v>0</v>
      </c>
      <c r="BJ7" s="438">
        <f t="shared" ca="1" si="106"/>
        <v>0</v>
      </c>
      <c r="BK7" s="442" t="str">
        <f t="shared" ca="1" si="11"/>
        <v/>
      </c>
      <c r="BL7" s="443" t="str">
        <f t="shared" ca="1" si="107"/>
        <v/>
      </c>
      <c r="BM7" s="441"/>
      <c r="BN7" s="437">
        <f t="shared" ca="1" si="108"/>
        <v>0</v>
      </c>
      <c r="BO7" s="438">
        <f t="shared" ca="1" si="109"/>
        <v>17</v>
      </c>
      <c r="BP7" s="442">
        <f t="shared" ca="1" si="15"/>
        <v>17</v>
      </c>
      <c r="BQ7" s="443" t="str">
        <f t="shared" ca="1" si="110"/>
        <v/>
      </c>
      <c r="BR7" s="441"/>
      <c r="BS7" s="437">
        <f t="shared" ca="1" si="111"/>
        <v>0</v>
      </c>
      <c r="BT7" s="438">
        <f t="shared" ca="1" si="112"/>
        <v>23</v>
      </c>
      <c r="BU7" s="442">
        <f t="shared" ca="1" si="19"/>
        <v>23</v>
      </c>
      <c r="BV7" s="443" t="str">
        <f t="shared" ca="1" si="113"/>
        <v/>
      </c>
      <c r="BW7" s="441"/>
      <c r="BX7" s="437">
        <f t="shared" ca="1" si="114"/>
        <v>0</v>
      </c>
      <c r="BY7" s="438">
        <f t="shared" ca="1" si="115"/>
        <v>0</v>
      </c>
      <c r="BZ7" s="442" t="str">
        <f t="shared" ca="1" si="23"/>
        <v/>
      </c>
      <c r="CA7" s="443" t="str">
        <f t="shared" ca="1" si="116"/>
        <v/>
      </c>
      <c r="CB7" s="441"/>
      <c r="CC7" s="437">
        <f t="shared" ca="1" si="25"/>
        <v>0</v>
      </c>
      <c r="CD7" s="438">
        <f t="shared" ca="1" si="117"/>
        <v>0</v>
      </c>
      <c r="CE7" s="442" t="str">
        <f t="shared" ca="1" si="27"/>
        <v/>
      </c>
      <c r="CF7" s="443" t="str">
        <f t="shared" ca="1" si="118"/>
        <v/>
      </c>
      <c r="CG7" s="441"/>
      <c r="CH7" s="437">
        <f t="shared" ca="1" si="119"/>
        <v>0</v>
      </c>
      <c r="CI7" s="438">
        <f t="shared" ca="1" si="120"/>
        <v>0</v>
      </c>
      <c r="CJ7" s="442" t="str">
        <f t="shared" ca="1" si="31"/>
        <v/>
      </c>
      <c r="CK7" s="443" t="str">
        <f t="shared" ca="1" si="121"/>
        <v/>
      </c>
      <c r="CL7" s="441"/>
      <c r="CM7" s="437">
        <f t="shared" ca="1" si="122"/>
        <v>0</v>
      </c>
      <c r="CN7" s="438">
        <f t="shared" ca="1" si="123"/>
        <v>0</v>
      </c>
      <c r="CO7" s="442" t="str">
        <f t="shared" ca="1" si="35"/>
        <v/>
      </c>
      <c r="CP7" s="443" t="str">
        <f t="shared" ca="1" si="124"/>
        <v/>
      </c>
      <c r="CQ7" s="441"/>
      <c r="CR7" s="437">
        <f t="shared" ca="1" si="125"/>
        <v>0</v>
      </c>
      <c r="CS7" s="438">
        <f t="shared" ca="1" si="126"/>
        <v>0</v>
      </c>
      <c r="CT7" s="442" t="str">
        <f t="shared" ca="1" si="39"/>
        <v/>
      </c>
      <c r="CU7" s="443" t="str">
        <f t="shared" ca="1" si="127"/>
        <v/>
      </c>
      <c r="CV7" s="441"/>
      <c r="CW7" s="437">
        <f t="shared" ca="1" si="128"/>
        <v>0</v>
      </c>
      <c r="CX7" s="438">
        <f t="shared" ca="1" si="129"/>
        <v>0</v>
      </c>
      <c r="CY7" s="442" t="str">
        <f t="shared" ca="1" si="43"/>
        <v/>
      </c>
      <c r="CZ7" s="443" t="str">
        <f t="shared" ca="1" si="130"/>
        <v/>
      </c>
      <c r="DA7" s="441"/>
      <c r="DB7" s="437">
        <f t="shared" ca="1" si="131"/>
        <v>0</v>
      </c>
      <c r="DC7" s="438">
        <f t="shared" ca="1" si="132"/>
        <v>0</v>
      </c>
      <c r="DD7" s="442" t="str">
        <f t="shared" ca="1" si="47"/>
        <v/>
      </c>
      <c r="DE7" s="443" t="str">
        <f t="shared" ca="1" si="133"/>
        <v/>
      </c>
      <c r="DF7" s="441"/>
      <c r="DG7" s="437">
        <f t="shared" ca="1" si="134"/>
        <v>0</v>
      </c>
      <c r="DH7" s="438">
        <f t="shared" ca="1" si="135"/>
        <v>0</v>
      </c>
      <c r="DI7" s="442" t="str">
        <f t="shared" ca="1" si="51"/>
        <v/>
      </c>
      <c r="DJ7" s="443" t="str">
        <f t="shared" ca="1" si="136"/>
        <v/>
      </c>
      <c r="DK7" s="441"/>
      <c r="DL7" s="437">
        <f t="shared" ca="1" si="137"/>
        <v>0</v>
      </c>
      <c r="DM7" s="438">
        <f t="shared" ca="1" si="138"/>
        <v>0</v>
      </c>
      <c r="DN7" s="442" t="str">
        <f t="shared" ca="1" si="55"/>
        <v/>
      </c>
      <c r="DO7" s="443" t="str">
        <f t="shared" ca="1" si="139"/>
        <v/>
      </c>
      <c r="DP7" s="453"/>
    </row>
    <row r="8" spans="1:120" x14ac:dyDescent="0.35">
      <c r="A8" s="52">
        <v>111480</v>
      </c>
      <c r="B8" s="54" t="str">
        <f>IF(ISERROR(VLOOKUP(A8,Planning!$A$12:$B$53,2,0)),"",VLOOKUP(A8,Planning!$A$12:$B$53,2,0))</f>
        <v>QUIOC.Clotilde</v>
      </c>
      <c r="C8" s="96" t="str">
        <f>IF(ISERROR(VLOOKUP(A8,Planning!$A$12:$E$53,4,0)),"",VLOOKUP(A8,Planning!$A$12:$E56,4,0))</f>
        <v>I2S</v>
      </c>
      <c r="D8" s="96" t="str">
        <f>IF(ISERROR(VLOOKUP(A8,Planning!$A$12:$E$53,5,0)),"",VLOOKUP(A8,Planning!$A$12:$E56,5,0))</f>
        <v>ITG</v>
      </c>
      <c r="E8" s="157">
        <f t="shared" ca="1" si="140"/>
        <v>0</v>
      </c>
      <c r="F8" s="93">
        <f t="shared" ca="1" si="141"/>
        <v>25</v>
      </c>
      <c r="G8" s="406"/>
      <c r="H8" s="435">
        <f t="shared" ca="1" si="57"/>
        <v>0</v>
      </c>
      <c r="I8" s="435">
        <f t="shared" ca="1" si="58"/>
        <v>0</v>
      </c>
      <c r="J8" s="435">
        <f t="shared" ca="1" si="59"/>
        <v>0</v>
      </c>
      <c r="K8" s="435">
        <f t="shared" ca="1" si="60"/>
        <v>0</v>
      </c>
      <c r="L8" s="435">
        <f t="shared" ca="1" si="61"/>
        <v>0</v>
      </c>
      <c r="M8" s="435">
        <f t="shared" ca="1" si="62"/>
        <v>0</v>
      </c>
      <c r="N8" s="435">
        <f t="shared" ca="1" si="63"/>
        <v>0</v>
      </c>
      <c r="O8" s="435">
        <f t="shared" ca="1" si="64"/>
        <v>0</v>
      </c>
      <c r="P8" s="435">
        <f t="shared" ca="1" si="65"/>
        <v>0</v>
      </c>
      <c r="Q8" s="435">
        <f t="shared" ca="1" si="66"/>
        <v>0</v>
      </c>
      <c r="R8" s="435">
        <f t="shared" ca="1" si="67"/>
        <v>0</v>
      </c>
      <c r="S8" s="435">
        <f t="shared" ca="1" si="68"/>
        <v>0</v>
      </c>
      <c r="T8" s="406"/>
      <c r="U8" s="436" t="str">
        <f t="shared" ca="1" si="69"/>
        <v/>
      </c>
      <c r="V8" s="436">
        <f t="shared" ca="1" si="70"/>
        <v>2</v>
      </c>
      <c r="W8" s="436">
        <f t="shared" ca="1" si="71"/>
        <v>23</v>
      </c>
      <c r="X8" s="436" t="str">
        <f t="shared" ca="1" si="72"/>
        <v/>
      </c>
      <c r="Y8" s="436" t="str">
        <f t="shared" ca="1" si="73"/>
        <v/>
      </c>
      <c r="Z8" s="436" t="str">
        <f t="shared" ca="1" si="74"/>
        <v/>
      </c>
      <c r="AA8" s="436" t="str">
        <f t="shared" ca="1" si="75"/>
        <v/>
      </c>
      <c r="AB8" s="436" t="str">
        <f t="shared" ca="1" si="76"/>
        <v/>
      </c>
      <c r="AC8" s="436" t="str">
        <f t="shared" ca="1" si="77"/>
        <v/>
      </c>
      <c r="AD8" s="436" t="str">
        <f t="shared" ca="1" si="78"/>
        <v/>
      </c>
      <c r="AE8" s="436" t="str">
        <f t="shared" ca="1" si="79"/>
        <v/>
      </c>
      <c r="AF8" s="436" t="str">
        <f t="shared" ca="1" si="80"/>
        <v/>
      </c>
      <c r="AG8" s="406"/>
      <c r="AH8" s="436" t="str">
        <f t="shared" ca="1" si="81"/>
        <v/>
      </c>
      <c r="AI8" s="436">
        <f t="shared" ca="1" si="82"/>
        <v>2</v>
      </c>
      <c r="AJ8" s="436">
        <f t="shared" ca="1" si="83"/>
        <v>23</v>
      </c>
      <c r="AK8" s="436" t="str">
        <f t="shared" ca="1" si="84"/>
        <v/>
      </c>
      <c r="AL8" s="436" t="str">
        <f t="shared" ca="1" si="85"/>
        <v/>
      </c>
      <c r="AM8" s="436" t="str">
        <f t="shared" ca="1" si="86"/>
        <v/>
      </c>
      <c r="AN8" s="436" t="str">
        <f t="shared" ca="1" si="87"/>
        <v/>
      </c>
      <c r="AO8" s="436" t="str">
        <f t="shared" ca="1" si="88"/>
        <v/>
      </c>
      <c r="AP8" s="436" t="str">
        <f t="shared" ca="1" si="89"/>
        <v/>
      </c>
      <c r="AQ8" s="436" t="str">
        <f t="shared" ca="1" si="90"/>
        <v/>
      </c>
      <c r="AR8" s="436" t="str">
        <f t="shared" ca="1" si="91"/>
        <v/>
      </c>
      <c r="AS8" s="436" t="str">
        <f t="shared" ca="1" si="92"/>
        <v/>
      </c>
      <c r="AT8" s="406"/>
      <c r="AU8" s="436" t="str">
        <f t="shared" ca="1" si="93"/>
        <v/>
      </c>
      <c r="AV8" s="436" t="str">
        <f t="shared" ca="1" si="94"/>
        <v/>
      </c>
      <c r="AW8" s="436" t="str">
        <f t="shared" ca="1" si="95"/>
        <v/>
      </c>
      <c r="AX8" s="436" t="str">
        <f t="shared" ca="1" si="96"/>
        <v/>
      </c>
      <c r="AY8" s="436" t="str">
        <f t="shared" ca="1" si="97"/>
        <v/>
      </c>
      <c r="AZ8" s="436" t="str">
        <f t="shared" ca="1" si="98"/>
        <v/>
      </c>
      <c r="BA8" s="436" t="str">
        <f t="shared" ca="1" si="99"/>
        <v/>
      </c>
      <c r="BB8" s="436" t="str">
        <f t="shared" ca="1" si="100"/>
        <v/>
      </c>
      <c r="BC8" s="436" t="str">
        <f t="shared" ca="1" si="101"/>
        <v/>
      </c>
      <c r="BD8" s="436" t="str">
        <f t="shared" ca="1" si="102"/>
        <v/>
      </c>
      <c r="BE8" s="436" t="str">
        <f t="shared" ca="1" si="103"/>
        <v/>
      </c>
      <c r="BF8" s="436" t="str">
        <f t="shared" ca="1" si="104"/>
        <v/>
      </c>
      <c r="BG8" s="406"/>
      <c r="BH8" s="453"/>
      <c r="BI8" s="437">
        <f t="shared" ca="1" si="105"/>
        <v>0</v>
      </c>
      <c r="BJ8" s="438">
        <f t="shared" ca="1" si="106"/>
        <v>0</v>
      </c>
      <c r="BK8" s="442" t="str">
        <f t="shared" ca="1" si="11"/>
        <v/>
      </c>
      <c r="BL8" s="443" t="str">
        <f t="shared" ca="1" si="107"/>
        <v/>
      </c>
      <c r="BM8" s="441"/>
      <c r="BN8" s="437">
        <f t="shared" ca="1" si="108"/>
        <v>0</v>
      </c>
      <c r="BO8" s="438">
        <f t="shared" ca="1" si="109"/>
        <v>2</v>
      </c>
      <c r="BP8" s="442">
        <f t="shared" ca="1" si="15"/>
        <v>2</v>
      </c>
      <c r="BQ8" s="443" t="str">
        <f t="shared" ca="1" si="110"/>
        <v/>
      </c>
      <c r="BR8" s="441"/>
      <c r="BS8" s="437">
        <f t="shared" ca="1" si="111"/>
        <v>0</v>
      </c>
      <c r="BT8" s="438">
        <f t="shared" ca="1" si="112"/>
        <v>23</v>
      </c>
      <c r="BU8" s="442">
        <f t="shared" ca="1" si="19"/>
        <v>23</v>
      </c>
      <c r="BV8" s="443" t="str">
        <f t="shared" ca="1" si="113"/>
        <v/>
      </c>
      <c r="BW8" s="441"/>
      <c r="BX8" s="437">
        <f t="shared" ca="1" si="114"/>
        <v>0</v>
      </c>
      <c r="BY8" s="438">
        <f t="shared" ca="1" si="115"/>
        <v>0</v>
      </c>
      <c r="BZ8" s="442" t="str">
        <f t="shared" ca="1" si="23"/>
        <v/>
      </c>
      <c r="CA8" s="443" t="str">
        <f t="shared" ca="1" si="116"/>
        <v/>
      </c>
      <c r="CB8" s="441"/>
      <c r="CC8" s="437">
        <f t="shared" ca="1" si="25"/>
        <v>0</v>
      </c>
      <c r="CD8" s="438">
        <f t="shared" ca="1" si="117"/>
        <v>0</v>
      </c>
      <c r="CE8" s="442" t="str">
        <f t="shared" ca="1" si="27"/>
        <v/>
      </c>
      <c r="CF8" s="443" t="str">
        <f t="shared" ca="1" si="118"/>
        <v/>
      </c>
      <c r="CG8" s="441"/>
      <c r="CH8" s="437">
        <f t="shared" ca="1" si="119"/>
        <v>0</v>
      </c>
      <c r="CI8" s="438">
        <f t="shared" ca="1" si="120"/>
        <v>0</v>
      </c>
      <c r="CJ8" s="442" t="str">
        <f t="shared" ca="1" si="31"/>
        <v/>
      </c>
      <c r="CK8" s="443" t="str">
        <f t="shared" ca="1" si="121"/>
        <v/>
      </c>
      <c r="CL8" s="441"/>
      <c r="CM8" s="437">
        <f t="shared" ca="1" si="122"/>
        <v>0</v>
      </c>
      <c r="CN8" s="438">
        <f t="shared" ca="1" si="123"/>
        <v>0</v>
      </c>
      <c r="CO8" s="442" t="str">
        <f t="shared" ca="1" si="35"/>
        <v/>
      </c>
      <c r="CP8" s="443" t="str">
        <f t="shared" ca="1" si="124"/>
        <v/>
      </c>
      <c r="CQ8" s="441"/>
      <c r="CR8" s="437">
        <f t="shared" ca="1" si="125"/>
        <v>0</v>
      </c>
      <c r="CS8" s="438">
        <f t="shared" ca="1" si="126"/>
        <v>0</v>
      </c>
      <c r="CT8" s="442" t="str">
        <f t="shared" ca="1" si="39"/>
        <v/>
      </c>
      <c r="CU8" s="443" t="str">
        <f t="shared" ca="1" si="127"/>
        <v/>
      </c>
      <c r="CV8" s="441"/>
      <c r="CW8" s="437">
        <f t="shared" ca="1" si="128"/>
        <v>0</v>
      </c>
      <c r="CX8" s="438">
        <f t="shared" ca="1" si="129"/>
        <v>0</v>
      </c>
      <c r="CY8" s="442" t="str">
        <f t="shared" ca="1" si="43"/>
        <v/>
      </c>
      <c r="CZ8" s="443" t="str">
        <f t="shared" ca="1" si="130"/>
        <v/>
      </c>
      <c r="DA8" s="441"/>
      <c r="DB8" s="437">
        <f t="shared" ca="1" si="131"/>
        <v>0</v>
      </c>
      <c r="DC8" s="438">
        <f t="shared" ca="1" si="132"/>
        <v>0</v>
      </c>
      <c r="DD8" s="442" t="str">
        <f t="shared" ca="1" si="47"/>
        <v/>
      </c>
      <c r="DE8" s="443" t="str">
        <f t="shared" ca="1" si="133"/>
        <v/>
      </c>
      <c r="DF8" s="441"/>
      <c r="DG8" s="437">
        <f t="shared" ca="1" si="134"/>
        <v>0</v>
      </c>
      <c r="DH8" s="438">
        <f t="shared" ca="1" si="135"/>
        <v>0</v>
      </c>
      <c r="DI8" s="442" t="str">
        <f t="shared" ca="1" si="51"/>
        <v/>
      </c>
      <c r="DJ8" s="443" t="str">
        <f t="shared" ca="1" si="136"/>
        <v/>
      </c>
      <c r="DK8" s="441"/>
      <c r="DL8" s="437">
        <f t="shared" ca="1" si="137"/>
        <v>0</v>
      </c>
      <c r="DM8" s="438">
        <f t="shared" ca="1" si="138"/>
        <v>0</v>
      </c>
      <c r="DN8" s="442" t="str">
        <f t="shared" ca="1" si="55"/>
        <v/>
      </c>
      <c r="DO8" s="443" t="str">
        <f t="shared" ca="1" si="139"/>
        <v/>
      </c>
      <c r="DP8" s="453"/>
    </row>
    <row r="9" spans="1:120" x14ac:dyDescent="0.35">
      <c r="A9" s="52">
        <v>930755</v>
      </c>
      <c r="B9" s="54" t="str">
        <f>IF(ISERROR(VLOOKUP(A9,Planning!$A$12:$B$53,2,0)),"",VLOOKUP(A9,Planning!$A$12:$B$53,2,0))</f>
        <v>OUACHEK.Fatma</v>
      </c>
      <c r="C9" s="96" t="str">
        <f>IF(ISERROR(VLOOKUP(A9,Planning!$A$12:$E$53,4,0)),"",VLOOKUP(A9,Planning!$A$12:$E57,4,0))</f>
        <v>I2S</v>
      </c>
      <c r="D9" s="96" t="str">
        <f>IF(ISERROR(VLOOKUP(A9,Planning!$A$12:$E$53,5,0)),"",VLOOKUP(A9,Planning!$A$12:$E57,5,0))</f>
        <v>ITG</v>
      </c>
      <c r="E9" s="157">
        <f t="shared" ca="1" si="140"/>
        <v>0</v>
      </c>
      <c r="F9" s="93">
        <f t="shared" ca="1" si="141"/>
        <v>25</v>
      </c>
      <c r="G9" s="406"/>
      <c r="H9" s="435">
        <f t="shared" ca="1" si="57"/>
        <v>0</v>
      </c>
      <c r="I9" s="435">
        <f t="shared" ca="1" si="58"/>
        <v>0</v>
      </c>
      <c r="J9" s="435">
        <f t="shared" ca="1" si="59"/>
        <v>0</v>
      </c>
      <c r="K9" s="435">
        <f t="shared" ca="1" si="60"/>
        <v>0</v>
      </c>
      <c r="L9" s="435">
        <f t="shared" ca="1" si="61"/>
        <v>0</v>
      </c>
      <c r="M9" s="435">
        <f t="shared" ca="1" si="62"/>
        <v>0</v>
      </c>
      <c r="N9" s="435">
        <f t="shared" ca="1" si="63"/>
        <v>0</v>
      </c>
      <c r="O9" s="435">
        <f t="shared" ca="1" si="64"/>
        <v>0</v>
      </c>
      <c r="P9" s="435">
        <f t="shared" ca="1" si="65"/>
        <v>0</v>
      </c>
      <c r="Q9" s="435">
        <f t="shared" ca="1" si="66"/>
        <v>0</v>
      </c>
      <c r="R9" s="435">
        <f t="shared" ca="1" si="67"/>
        <v>0</v>
      </c>
      <c r="S9" s="435">
        <f t="shared" ca="1" si="68"/>
        <v>0</v>
      </c>
      <c r="T9" s="406"/>
      <c r="U9" s="436" t="str">
        <f t="shared" ca="1" si="69"/>
        <v/>
      </c>
      <c r="V9" s="436">
        <f t="shared" ca="1" si="70"/>
        <v>2</v>
      </c>
      <c r="W9" s="436">
        <f t="shared" ca="1" si="71"/>
        <v>23</v>
      </c>
      <c r="X9" s="436" t="str">
        <f t="shared" ca="1" si="72"/>
        <v/>
      </c>
      <c r="Y9" s="436" t="str">
        <f t="shared" ca="1" si="73"/>
        <v/>
      </c>
      <c r="Z9" s="436" t="str">
        <f t="shared" ca="1" si="74"/>
        <v/>
      </c>
      <c r="AA9" s="436" t="str">
        <f t="shared" ca="1" si="75"/>
        <v/>
      </c>
      <c r="AB9" s="436" t="str">
        <f t="shared" ca="1" si="76"/>
        <v/>
      </c>
      <c r="AC9" s="436" t="str">
        <f t="shared" ca="1" si="77"/>
        <v/>
      </c>
      <c r="AD9" s="436" t="str">
        <f t="shared" ca="1" si="78"/>
        <v/>
      </c>
      <c r="AE9" s="436" t="str">
        <f t="shared" ca="1" si="79"/>
        <v/>
      </c>
      <c r="AF9" s="436" t="str">
        <f t="shared" ca="1" si="80"/>
        <v/>
      </c>
      <c r="AG9" s="406"/>
      <c r="AH9" s="436" t="str">
        <f t="shared" ca="1" si="81"/>
        <v/>
      </c>
      <c r="AI9" s="436">
        <f t="shared" ca="1" si="82"/>
        <v>2</v>
      </c>
      <c r="AJ9" s="436">
        <f t="shared" ca="1" si="83"/>
        <v>23</v>
      </c>
      <c r="AK9" s="436" t="str">
        <f t="shared" ca="1" si="84"/>
        <v/>
      </c>
      <c r="AL9" s="436" t="str">
        <f t="shared" ca="1" si="85"/>
        <v/>
      </c>
      <c r="AM9" s="436" t="str">
        <f t="shared" ca="1" si="86"/>
        <v/>
      </c>
      <c r="AN9" s="436" t="str">
        <f t="shared" ca="1" si="87"/>
        <v/>
      </c>
      <c r="AO9" s="436" t="str">
        <f t="shared" ca="1" si="88"/>
        <v/>
      </c>
      <c r="AP9" s="436" t="str">
        <f t="shared" ca="1" si="89"/>
        <v/>
      </c>
      <c r="AQ9" s="436" t="str">
        <f t="shared" ca="1" si="90"/>
        <v/>
      </c>
      <c r="AR9" s="436" t="str">
        <f t="shared" ca="1" si="91"/>
        <v/>
      </c>
      <c r="AS9" s="436" t="str">
        <f t="shared" ca="1" si="92"/>
        <v/>
      </c>
      <c r="AT9" s="406"/>
      <c r="AU9" s="436" t="str">
        <f t="shared" ca="1" si="93"/>
        <v/>
      </c>
      <c r="AV9" s="436" t="str">
        <f t="shared" ca="1" si="94"/>
        <v/>
      </c>
      <c r="AW9" s="436" t="str">
        <f t="shared" ca="1" si="95"/>
        <v/>
      </c>
      <c r="AX9" s="436" t="str">
        <f t="shared" ca="1" si="96"/>
        <v/>
      </c>
      <c r="AY9" s="436" t="str">
        <f t="shared" ca="1" si="97"/>
        <v/>
      </c>
      <c r="AZ9" s="436" t="str">
        <f t="shared" ca="1" si="98"/>
        <v/>
      </c>
      <c r="BA9" s="436" t="str">
        <f t="shared" ca="1" si="99"/>
        <v/>
      </c>
      <c r="BB9" s="436" t="str">
        <f t="shared" ca="1" si="100"/>
        <v/>
      </c>
      <c r="BC9" s="436" t="str">
        <f t="shared" ca="1" si="101"/>
        <v/>
      </c>
      <c r="BD9" s="436" t="str">
        <f t="shared" ca="1" si="102"/>
        <v/>
      </c>
      <c r="BE9" s="436" t="str">
        <f t="shared" ca="1" si="103"/>
        <v/>
      </c>
      <c r="BF9" s="436" t="str">
        <f t="shared" ca="1" si="104"/>
        <v/>
      </c>
      <c r="BG9" s="406"/>
      <c r="BH9" s="453"/>
      <c r="BI9" s="437">
        <f t="shared" ca="1" si="105"/>
        <v>0</v>
      </c>
      <c r="BJ9" s="438">
        <f t="shared" ca="1" si="106"/>
        <v>0</v>
      </c>
      <c r="BK9" s="442" t="str">
        <f t="shared" ca="1" si="11"/>
        <v/>
      </c>
      <c r="BL9" s="443" t="str">
        <f t="shared" ca="1" si="107"/>
        <v/>
      </c>
      <c r="BM9" s="441"/>
      <c r="BN9" s="437">
        <f t="shared" ca="1" si="108"/>
        <v>0</v>
      </c>
      <c r="BO9" s="438">
        <f t="shared" ca="1" si="109"/>
        <v>2</v>
      </c>
      <c r="BP9" s="442">
        <f t="shared" ca="1" si="15"/>
        <v>2</v>
      </c>
      <c r="BQ9" s="443" t="str">
        <f t="shared" ca="1" si="110"/>
        <v/>
      </c>
      <c r="BR9" s="441"/>
      <c r="BS9" s="437">
        <f t="shared" ca="1" si="111"/>
        <v>0</v>
      </c>
      <c r="BT9" s="438">
        <f t="shared" ca="1" si="112"/>
        <v>23</v>
      </c>
      <c r="BU9" s="442">
        <f t="shared" ca="1" si="19"/>
        <v>23</v>
      </c>
      <c r="BV9" s="443" t="str">
        <f t="shared" ca="1" si="113"/>
        <v/>
      </c>
      <c r="BW9" s="441"/>
      <c r="BX9" s="437">
        <f t="shared" ca="1" si="114"/>
        <v>0</v>
      </c>
      <c r="BY9" s="438">
        <f t="shared" ca="1" si="115"/>
        <v>0</v>
      </c>
      <c r="BZ9" s="442" t="str">
        <f t="shared" ca="1" si="23"/>
        <v/>
      </c>
      <c r="CA9" s="443" t="str">
        <f t="shared" ca="1" si="116"/>
        <v/>
      </c>
      <c r="CB9" s="441"/>
      <c r="CC9" s="437">
        <f t="shared" ca="1" si="25"/>
        <v>0</v>
      </c>
      <c r="CD9" s="438">
        <f t="shared" ca="1" si="117"/>
        <v>0</v>
      </c>
      <c r="CE9" s="442" t="str">
        <f t="shared" ca="1" si="27"/>
        <v/>
      </c>
      <c r="CF9" s="443" t="str">
        <f t="shared" ca="1" si="118"/>
        <v/>
      </c>
      <c r="CG9" s="441"/>
      <c r="CH9" s="437">
        <f t="shared" ca="1" si="119"/>
        <v>0</v>
      </c>
      <c r="CI9" s="438">
        <f t="shared" ca="1" si="120"/>
        <v>0</v>
      </c>
      <c r="CJ9" s="442" t="str">
        <f t="shared" ca="1" si="31"/>
        <v/>
      </c>
      <c r="CK9" s="443" t="str">
        <f t="shared" ca="1" si="121"/>
        <v/>
      </c>
      <c r="CL9" s="441"/>
      <c r="CM9" s="437">
        <f t="shared" ca="1" si="122"/>
        <v>0</v>
      </c>
      <c r="CN9" s="438">
        <f t="shared" ca="1" si="123"/>
        <v>0</v>
      </c>
      <c r="CO9" s="442" t="str">
        <f t="shared" ca="1" si="35"/>
        <v/>
      </c>
      <c r="CP9" s="443" t="str">
        <f t="shared" ca="1" si="124"/>
        <v/>
      </c>
      <c r="CQ9" s="441"/>
      <c r="CR9" s="437">
        <f t="shared" ca="1" si="125"/>
        <v>0</v>
      </c>
      <c r="CS9" s="438">
        <f t="shared" ca="1" si="126"/>
        <v>0</v>
      </c>
      <c r="CT9" s="442" t="str">
        <f t="shared" ca="1" si="39"/>
        <v/>
      </c>
      <c r="CU9" s="443" t="str">
        <f t="shared" ca="1" si="127"/>
        <v/>
      </c>
      <c r="CV9" s="441"/>
      <c r="CW9" s="437">
        <f t="shared" ca="1" si="128"/>
        <v>0</v>
      </c>
      <c r="CX9" s="438">
        <f t="shared" ca="1" si="129"/>
        <v>0</v>
      </c>
      <c r="CY9" s="442" t="str">
        <f t="shared" ca="1" si="43"/>
        <v/>
      </c>
      <c r="CZ9" s="443" t="str">
        <f t="shared" ca="1" si="130"/>
        <v/>
      </c>
      <c r="DA9" s="441"/>
      <c r="DB9" s="437">
        <f t="shared" ca="1" si="131"/>
        <v>0</v>
      </c>
      <c r="DC9" s="438">
        <f t="shared" ca="1" si="132"/>
        <v>0</v>
      </c>
      <c r="DD9" s="442" t="str">
        <f t="shared" ca="1" si="47"/>
        <v/>
      </c>
      <c r="DE9" s="443" t="str">
        <f t="shared" ca="1" si="133"/>
        <v/>
      </c>
      <c r="DF9" s="441"/>
      <c r="DG9" s="437">
        <f t="shared" ca="1" si="134"/>
        <v>0</v>
      </c>
      <c r="DH9" s="438">
        <f t="shared" ca="1" si="135"/>
        <v>0</v>
      </c>
      <c r="DI9" s="442" t="str">
        <f t="shared" ca="1" si="51"/>
        <v/>
      </c>
      <c r="DJ9" s="443" t="str">
        <f t="shared" ca="1" si="136"/>
        <v/>
      </c>
      <c r="DK9" s="441"/>
      <c r="DL9" s="437">
        <f t="shared" ca="1" si="137"/>
        <v>0</v>
      </c>
      <c r="DM9" s="438">
        <f t="shared" ca="1" si="138"/>
        <v>0</v>
      </c>
      <c r="DN9" s="442" t="str">
        <f t="shared" ca="1" si="55"/>
        <v/>
      </c>
      <c r="DO9" s="443" t="str">
        <f t="shared" ca="1" si="139"/>
        <v/>
      </c>
      <c r="DP9" s="453"/>
    </row>
    <row r="10" spans="1:120" x14ac:dyDescent="0.35">
      <c r="A10" s="52">
        <v>111480</v>
      </c>
      <c r="B10" s="54" t="str">
        <f>IF(ISERROR(VLOOKUP(A10,Planning!$A$12:$B$53,2,0)),"",VLOOKUP(A10,Planning!$A$12:$B$53,2,0))</f>
        <v>QUIOC.Clotilde</v>
      </c>
      <c r="C10" s="96" t="str">
        <f>IF(ISERROR(VLOOKUP(A10,Planning!$A$12:$E$53,4,0)),"",VLOOKUP(A10,Planning!$A$12:$E58,4,0))</f>
        <v>I2S</v>
      </c>
      <c r="D10" s="96" t="str">
        <f>IF(ISERROR(VLOOKUP(A10,Planning!$A$12:$E$53,5,0)),"",VLOOKUP(A10,Planning!$A$12:$E58,5,0))</f>
        <v>ITG</v>
      </c>
      <c r="E10" s="157">
        <f t="shared" ca="1" si="140"/>
        <v>0</v>
      </c>
      <c r="F10" s="93">
        <f t="shared" ca="1" si="141"/>
        <v>25</v>
      </c>
      <c r="G10" s="406"/>
      <c r="H10" s="435">
        <f t="shared" ca="1" si="57"/>
        <v>0</v>
      </c>
      <c r="I10" s="435">
        <f t="shared" ca="1" si="58"/>
        <v>0</v>
      </c>
      <c r="J10" s="435">
        <f t="shared" ca="1" si="59"/>
        <v>0</v>
      </c>
      <c r="K10" s="435">
        <f t="shared" ca="1" si="60"/>
        <v>0</v>
      </c>
      <c r="L10" s="435">
        <f t="shared" ca="1" si="61"/>
        <v>0</v>
      </c>
      <c r="M10" s="435">
        <f t="shared" ca="1" si="62"/>
        <v>0</v>
      </c>
      <c r="N10" s="435">
        <f t="shared" ca="1" si="63"/>
        <v>0</v>
      </c>
      <c r="O10" s="435">
        <f t="shared" ca="1" si="64"/>
        <v>0</v>
      </c>
      <c r="P10" s="435">
        <f t="shared" ca="1" si="65"/>
        <v>0</v>
      </c>
      <c r="Q10" s="435">
        <f t="shared" ca="1" si="66"/>
        <v>0</v>
      </c>
      <c r="R10" s="435">
        <f t="shared" ca="1" si="67"/>
        <v>0</v>
      </c>
      <c r="S10" s="435">
        <f t="shared" ca="1" si="68"/>
        <v>0</v>
      </c>
      <c r="T10" s="406"/>
      <c r="U10" s="436" t="str">
        <f t="shared" ca="1" si="69"/>
        <v/>
      </c>
      <c r="V10" s="436">
        <f t="shared" ca="1" si="70"/>
        <v>2</v>
      </c>
      <c r="W10" s="436">
        <f t="shared" ca="1" si="71"/>
        <v>23</v>
      </c>
      <c r="X10" s="436" t="str">
        <f t="shared" ca="1" si="72"/>
        <v/>
      </c>
      <c r="Y10" s="436" t="str">
        <f t="shared" ca="1" si="73"/>
        <v/>
      </c>
      <c r="Z10" s="436" t="str">
        <f t="shared" ca="1" si="74"/>
        <v/>
      </c>
      <c r="AA10" s="436" t="str">
        <f t="shared" ca="1" si="75"/>
        <v/>
      </c>
      <c r="AB10" s="436" t="str">
        <f t="shared" ca="1" si="76"/>
        <v/>
      </c>
      <c r="AC10" s="436" t="str">
        <f t="shared" ca="1" si="77"/>
        <v/>
      </c>
      <c r="AD10" s="436" t="str">
        <f t="shared" ca="1" si="78"/>
        <v/>
      </c>
      <c r="AE10" s="436" t="str">
        <f t="shared" ca="1" si="79"/>
        <v/>
      </c>
      <c r="AF10" s="436" t="str">
        <f t="shared" ca="1" si="80"/>
        <v/>
      </c>
      <c r="AG10" s="406"/>
      <c r="AH10" s="436" t="str">
        <f t="shared" ca="1" si="81"/>
        <v/>
      </c>
      <c r="AI10" s="436">
        <f t="shared" ca="1" si="82"/>
        <v>2</v>
      </c>
      <c r="AJ10" s="436">
        <f t="shared" ca="1" si="83"/>
        <v>23</v>
      </c>
      <c r="AK10" s="436" t="str">
        <f t="shared" ca="1" si="84"/>
        <v/>
      </c>
      <c r="AL10" s="436" t="str">
        <f t="shared" ca="1" si="85"/>
        <v/>
      </c>
      <c r="AM10" s="436" t="str">
        <f t="shared" ca="1" si="86"/>
        <v/>
      </c>
      <c r="AN10" s="436" t="str">
        <f t="shared" ca="1" si="87"/>
        <v/>
      </c>
      <c r="AO10" s="436" t="str">
        <f t="shared" ca="1" si="88"/>
        <v/>
      </c>
      <c r="AP10" s="436" t="str">
        <f t="shared" ca="1" si="89"/>
        <v/>
      </c>
      <c r="AQ10" s="436" t="str">
        <f t="shared" ca="1" si="90"/>
        <v/>
      </c>
      <c r="AR10" s="436" t="str">
        <f t="shared" ca="1" si="91"/>
        <v/>
      </c>
      <c r="AS10" s="436" t="str">
        <f t="shared" ca="1" si="92"/>
        <v/>
      </c>
      <c r="AT10" s="406"/>
      <c r="AU10" s="436" t="str">
        <f t="shared" ca="1" si="93"/>
        <v/>
      </c>
      <c r="AV10" s="436" t="str">
        <f t="shared" ca="1" si="94"/>
        <v/>
      </c>
      <c r="AW10" s="436" t="str">
        <f t="shared" ca="1" si="95"/>
        <v/>
      </c>
      <c r="AX10" s="436" t="str">
        <f t="shared" ca="1" si="96"/>
        <v/>
      </c>
      <c r="AY10" s="436" t="str">
        <f t="shared" ca="1" si="97"/>
        <v/>
      </c>
      <c r="AZ10" s="436" t="str">
        <f t="shared" ca="1" si="98"/>
        <v/>
      </c>
      <c r="BA10" s="436" t="str">
        <f t="shared" ca="1" si="99"/>
        <v/>
      </c>
      <c r="BB10" s="436" t="str">
        <f t="shared" ca="1" si="100"/>
        <v/>
      </c>
      <c r="BC10" s="436" t="str">
        <f t="shared" ca="1" si="101"/>
        <v/>
      </c>
      <c r="BD10" s="436" t="str">
        <f t="shared" ca="1" si="102"/>
        <v/>
      </c>
      <c r="BE10" s="436" t="str">
        <f t="shared" ca="1" si="103"/>
        <v/>
      </c>
      <c r="BF10" s="436" t="str">
        <f t="shared" ca="1" si="104"/>
        <v/>
      </c>
      <c r="BG10" s="406"/>
      <c r="BH10" s="453"/>
      <c r="BI10" s="437">
        <f t="shared" ca="1" si="105"/>
        <v>0</v>
      </c>
      <c r="BJ10" s="438">
        <f t="shared" ca="1" si="106"/>
        <v>0</v>
      </c>
      <c r="BK10" s="442" t="str">
        <f t="shared" ca="1" si="11"/>
        <v/>
      </c>
      <c r="BL10" s="443" t="str">
        <f t="shared" ca="1" si="107"/>
        <v/>
      </c>
      <c r="BM10" s="441"/>
      <c r="BN10" s="437">
        <f t="shared" ca="1" si="108"/>
        <v>0</v>
      </c>
      <c r="BO10" s="438">
        <f t="shared" ca="1" si="109"/>
        <v>2</v>
      </c>
      <c r="BP10" s="442">
        <f t="shared" ca="1" si="15"/>
        <v>2</v>
      </c>
      <c r="BQ10" s="443" t="str">
        <f t="shared" ca="1" si="110"/>
        <v/>
      </c>
      <c r="BR10" s="441"/>
      <c r="BS10" s="437">
        <f t="shared" ca="1" si="111"/>
        <v>0</v>
      </c>
      <c r="BT10" s="438">
        <f t="shared" ca="1" si="112"/>
        <v>23</v>
      </c>
      <c r="BU10" s="442">
        <f t="shared" ca="1" si="19"/>
        <v>23</v>
      </c>
      <c r="BV10" s="443" t="str">
        <f t="shared" ca="1" si="113"/>
        <v/>
      </c>
      <c r="BW10" s="441"/>
      <c r="BX10" s="437">
        <f t="shared" ca="1" si="114"/>
        <v>0</v>
      </c>
      <c r="BY10" s="438">
        <f t="shared" ca="1" si="115"/>
        <v>0</v>
      </c>
      <c r="BZ10" s="442" t="str">
        <f t="shared" ca="1" si="23"/>
        <v/>
      </c>
      <c r="CA10" s="443" t="str">
        <f t="shared" ca="1" si="116"/>
        <v/>
      </c>
      <c r="CB10" s="441"/>
      <c r="CC10" s="437">
        <f t="shared" ca="1" si="25"/>
        <v>0</v>
      </c>
      <c r="CD10" s="438">
        <f t="shared" ca="1" si="117"/>
        <v>0</v>
      </c>
      <c r="CE10" s="442" t="str">
        <f t="shared" ca="1" si="27"/>
        <v/>
      </c>
      <c r="CF10" s="443" t="str">
        <f t="shared" ca="1" si="118"/>
        <v/>
      </c>
      <c r="CG10" s="441"/>
      <c r="CH10" s="437">
        <f t="shared" ca="1" si="119"/>
        <v>0</v>
      </c>
      <c r="CI10" s="438">
        <f t="shared" ca="1" si="120"/>
        <v>0</v>
      </c>
      <c r="CJ10" s="442" t="str">
        <f t="shared" ca="1" si="31"/>
        <v/>
      </c>
      <c r="CK10" s="443" t="str">
        <f t="shared" ca="1" si="121"/>
        <v/>
      </c>
      <c r="CL10" s="441"/>
      <c r="CM10" s="437">
        <f t="shared" ca="1" si="122"/>
        <v>0</v>
      </c>
      <c r="CN10" s="438">
        <f t="shared" ca="1" si="123"/>
        <v>0</v>
      </c>
      <c r="CO10" s="442" t="str">
        <f t="shared" ca="1" si="35"/>
        <v/>
      </c>
      <c r="CP10" s="443" t="str">
        <f t="shared" ca="1" si="124"/>
        <v/>
      </c>
      <c r="CQ10" s="441"/>
      <c r="CR10" s="437">
        <f t="shared" ca="1" si="125"/>
        <v>0</v>
      </c>
      <c r="CS10" s="438">
        <f t="shared" ca="1" si="126"/>
        <v>0</v>
      </c>
      <c r="CT10" s="442" t="str">
        <f t="shared" ca="1" si="39"/>
        <v/>
      </c>
      <c r="CU10" s="443" t="str">
        <f t="shared" ca="1" si="127"/>
        <v/>
      </c>
      <c r="CV10" s="441"/>
      <c r="CW10" s="437">
        <f t="shared" ca="1" si="128"/>
        <v>0</v>
      </c>
      <c r="CX10" s="438">
        <f t="shared" ca="1" si="129"/>
        <v>0</v>
      </c>
      <c r="CY10" s="442" t="str">
        <f t="shared" ca="1" si="43"/>
        <v/>
      </c>
      <c r="CZ10" s="443" t="str">
        <f t="shared" ca="1" si="130"/>
        <v/>
      </c>
      <c r="DA10" s="441"/>
      <c r="DB10" s="437">
        <f t="shared" ca="1" si="131"/>
        <v>0</v>
      </c>
      <c r="DC10" s="438">
        <f t="shared" ca="1" si="132"/>
        <v>0</v>
      </c>
      <c r="DD10" s="442" t="str">
        <f t="shared" ca="1" si="47"/>
        <v/>
      </c>
      <c r="DE10" s="443" t="str">
        <f t="shared" ca="1" si="133"/>
        <v/>
      </c>
      <c r="DF10" s="441"/>
      <c r="DG10" s="437">
        <f t="shared" ca="1" si="134"/>
        <v>0</v>
      </c>
      <c r="DH10" s="438">
        <f t="shared" ca="1" si="135"/>
        <v>0</v>
      </c>
      <c r="DI10" s="442" t="str">
        <f t="shared" ca="1" si="51"/>
        <v/>
      </c>
      <c r="DJ10" s="443" t="str">
        <f t="shared" ca="1" si="136"/>
        <v/>
      </c>
      <c r="DK10" s="441"/>
      <c r="DL10" s="437">
        <f t="shared" ca="1" si="137"/>
        <v>0</v>
      </c>
      <c r="DM10" s="438">
        <f t="shared" ca="1" si="138"/>
        <v>0</v>
      </c>
      <c r="DN10" s="442" t="str">
        <f t="shared" ca="1" si="55"/>
        <v/>
      </c>
      <c r="DO10" s="443" t="str">
        <f t="shared" ca="1" si="139"/>
        <v/>
      </c>
      <c r="DP10" s="453"/>
    </row>
    <row r="11" spans="1:120" x14ac:dyDescent="0.35">
      <c r="A11" s="52">
        <v>930755</v>
      </c>
      <c r="B11" s="54" t="str">
        <f>IF(ISERROR(VLOOKUP(A11,Planning!$A$12:$B$53,2,0)),"",VLOOKUP(A11,Planning!$A$12:$B$53,2,0))</f>
        <v>OUACHEK.Fatma</v>
      </c>
      <c r="C11" s="96" t="str">
        <f>IF(ISERROR(VLOOKUP(A11,Planning!$A$12:$E$53,4,0)),"",VLOOKUP(A11,Planning!$A$12:$E59,4,0))</f>
        <v>I2S</v>
      </c>
      <c r="D11" s="96" t="str">
        <f>IF(ISERROR(VLOOKUP(A11,Planning!$A$12:$E$53,5,0)),"",VLOOKUP(A11,Planning!$A$12:$E59,5,0))</f>
        <v>ITG</v>
      </c>
      <c r="E11" s="157">
        <f t="shared" ca="1" si="140"/>
        <v>0</v>
      </c>
      <c r="F11" s="93">
        <f t="shared" ca="1" si="141"/>
        <v>25</v>
      </c>
      <c r="G11" s="406"/>
      <c r="H11" s="435">
        <f t="shared" ca="1" si="57"/>
        <v>0</v>
      </c>
      <c r="I11" s="435">
        <f t="shared" ca="1" si="58"/>
        <v>0</v>
      </c>
      <c r="J11" s="435">
        <f t="shared" ca="1" si="59"/>
        <v>0</v>
      </c>
      <c r="K11" s="435">
        <f t="shared" ca="1" si="60"/>
        <v>0</v>
      </c>
      <c r="L11" s="435">
        <f t="shared" ca="1" si="61"/>
        <v>0</v>
      </c>
      <c r="M11" s="435">
        <f t="shared" ca="1" si="62"/>
        <v>0</v>
      </c>
      <c r="N11" s="435">
        <f t="shared" ca="1" si="63"/>
        <v>0</v>
      </c>
      <c r="O11" s="435">
        <f t="shared" ca="1" si="64"/>
        <v>0</v>
      </c>
      <c r="P11" s="435">
        <f t="shared" ca="1" si="65"/>
        <v>0</v>
      </c>
      <c r="Q11" s="435">
        <f t="shared" ca="1" si="66"/>
        <v>0</v>
      </c>
      <c r="R11" s="435">
        <f t="shared" ca="1" si="67"/>
        <v>0</v>
      </c>
      <c r="S11" s="435">
        <f t="shared" ca="1" si="68"/>
        <v>0</v>
      </c>
      <c r="T11" s="406"/>
      <c r="U11" s="436" t="str">
        <f t="shared" ca="1" si="69"/>
        <v/>
      </c>
      <c r="V11" s="436">
        <f t="shared" ca="1" si="70"/>
        <v>2</v>
      </c>
      <c r="W11" s="436">
        <f t="shared" ca="1" si="71"/>
        <v>23</v>
      </c>
      <c r="X11" s="436" t="str">
        <f t="shared" ca="1" si="72"/>
        <v/>
      </c>
      <c r="Y11" s="436" t="str">
        <f t="shared" ca="1" si="73"/>
        <v/>
      </c>
      <c r="Z11" s="436" t="str">
        <f t="shared" ca="1" si="74"/>
        <v/>
      </c>
      <c r="AA11" s="436" t="str">
        <f t="shared" ca="1" si="75"/>
        <v/>
      </c>
      <c r="AB11" s="436" t="str">
        <f t="shared" ca="1" si="76"/>
        <v/>
      </c>
      <c r="AC11" s="436" t="str">
        <f t="shared" ca="1" si="77"/>
        <v/>
      </c>
      <c r="AD11" s="436" t="str">
        <f t="shared" ca="1" si="78"/>
        <v/>
      </c>
      <c r="AE11" s="436" t="str">
        <f t="shared" ca="1" si="79"/>
        <v/>
      </c>
      <c r="AF11" s="436" t="str">
        <f t="shared" ca="1" si="80"/>
        <v/>
      </c>
      <c r="AG11" s="406"/>
      <c r="AH11" s="436" t="str">
        <f t="shared" ca="1" si="81"/>
        <v/>
      </c>
      <c r="AI11" s="436">
        <f t="shared" ca="1" si="82"/>
        <v>2</v>
      </c>
      <c r="AJ11" s="436">
        <f t="shared" ca="1" si="83"/>
        <v>23</v>
      </c>
      <c r="AK11" s="436" t="str">
        <f t="shared" ca="1" si="84"/>
        <v/>
      </c>
      <c r="AL11" s="436" t="str">
        <f t="shared" ca="1" si="85"/>
        <v/>
      </c>
      <c r="AM11" s="436" t="str">
        <f t="shared" ca="1" si="86"/>
        <v/>
      </c>
      <c r="AN11" s="436" t="str">
        <f t="shared" ca="1" si="87"/>
        <v/>
      </c>
      <c r="AO11" s="436" t="str">
        <f t="shared" ca="1" si="88"/>
        <v/>
      </c>
      <c r="AP11" s="436" t="str">
        <f t="shared" ca="1" si="89"/>
        <v/>
      </c>
      <c r="AQ11" s="436" t="str">
        <f t="shared" ca="1" si="90"/>
        <v/>
      </c>
      <c r="AR11" s="436" t="str">
        <f t="shared" ca="1" si="91"/>
        <v/>
      </c>
      <c r="AS11" s="436" t="str">
        <f t="shared" ca="1" si="92"/>
        <v/>
      </c>
      <c r="AT11" s="406"/>
      <c r="AU11" s="436" t="str">
        <f t="shared" ca="1" si="93"/>
        <v/>
      </c>
      <c r="AV11" s="436" t="str">
        <f t="shared" ca="1" si="94"/>
        <v/>
      </c>
      <c r="AW11" s="436" t="str">
        <f t="shared" ca="1" si="95"/>
        <v/>
      </c>
      <c r="AX11" s="436" t="str">
        <f t="shared" ca="1" si="96"/>
        <v/>
      </c>
      <c r="AY11" s="436" t="str">
        <f t="shared" ca="1" si="97"/>
        <v/>
      </c>
      <c r="AZ11" s="436" t="str">
        <f t="shared" ca="1" si="98"/>
        <v/>
      </c>
      <c r="BA11" s="436" t="str">
        <f t="shared" ca="1" si="99"/>
        <v/>
      </c>
      <c r="BB11" s="436" t="str">
        <f t="shared" ca="1" si="100"/>
        <v/>
      </c>
      <c r="BC11" s="436" t="str">
        <f t="shared" ca="1" si="101"/>
        <v/>
      </c>
      <c r="BD11" s="436" t="str">
        <f t="shared" ca="1" si="102"/>
        <v/>
      </c>
      <c r="BE11" s="436" t="str">
        <f t="shared" ca="1" si="103"/>
        <v/>
      </c>
      <c r="BF11" s="436" t="str">
        <f t="shared" ca="1" si="104"/>
        <v/>
      </c>
      <c r="BG11" s="406"/>
      <c r="BH11" s="453"/>
      <c r="BI11" s="437">
        <f t="shared" ca="1" si="105"/>
        <v>0</v>
      </c>
      <c r="BJ11" s="438">
        <f t="shared" ca="1" si="106"/>
        <v>0</v>
      </c>
      <c r="BK11" s="442" t="str">
        <f t="shared" ca="1" si="11"/>
        <v/>
      </c>
      <c r="BL11" s="443" t="str">
        <f t="shared" ca="1" si="107"/>
        <v/>
      </c>
      <c r="BM11" s="441"/>
      <c r="BN11" s="437">
        <f t="shared" ca="1" si="108"/>
        <v>0</v>
      </c>
      <c r="BO11" s="438">
        <f t="shared" ca="1" si="109"/>
        <v>2</v>
      </c>
      <c r="BP11" s="442">
        <f t="shared" ca="1" si="15"/>
        <v>2</v>
      </c>
      <c r="BQ11" s="443" t="str">
        <f t="shared" ca="1" si="110"/>
        <v/>
      </c>
      <c r="BR11" s="441"/>
      <c r="BS11" s="437">
        <f t="shared" ca="1" si="111"/>
        <v>0</v>
      </c>
      <c r="BT11" s="438">
        <f t="shared" ca="1" si="112"/>
        <v>23</v>
      </c>
      <c r="BU11" s="442">
        <f t="shared" ca="1" si="19"/>
        <v>23</v>
      </c>
      <c r="BV11" s="443" t="str">
        <f t="shared" ca="1" si="113"/>
        <v/>
      </c>
      <c r="BW11" s="441"/>
      <c r="BX11" s="437">
        <f t="shared" ca="1" si="114"/>
        <v>0</v>
      </c>
      <c r="BY11" s="438">
        <f t="shared" ca="1" si="115"/>
        <v>0</v>
      </c>
      <c r="BZ11" s="442" t="str">
        <f t="shared" ca="1" si="23"/>
        <v/>
      </c>
      <c r="CA11" s="443" t="str">
        <f t="shared" ca="1" si="116"/>
        <v/>
      </c>
      <c r="CB11" s="441"/>
      <c r="CC11" s="437">
        <f t="shared" ca="1" si="25"/>
        <v>0</v>
      </c>
      <c r="CD11" s="438">
        <f t="shared" ca="1" si="117"/>
        <v>0</v>
      </c>
      <c r="CE11" s="442" t="str">
        <f t="shared" ca="1" si="27"/>
        <v/>
      </c>
      <c r="CF11" s="443" t="str">
        <f t="shared" ca="1" si="118"/>
        <v/>
      </c>
      <c r="CG11" s="441"/>
      <c r="CH11" s="437">
        <f t="shared" ca="1" si="119"/>
        <v>0</v>
      </c>
      <c r="CI11" s="438">
        <f t="shared" ca="1" si="120"/>
        <v>0</v>
      </c>
      <c r="CJ11" s="442" t="str">
        <f t="shared" ca="1" si="31"/>
        <v/>
      </c>
      <c r="CK11" s="443" t="str">
        <f t="shared" ca="1" si="121"/>
        <v/>
      </c>
      <c r="CL11" s="441"/>
      <c r="CM11" s="437">
        <f t="shared" ca="1" si="122"/>
        <v>0</v>
      </c>
      <c r="CN11" s="438">
        <f t="shared" ca="1" si="123"/>
        <v>0</v>
      </c>
      <c r="CO11" s="442" t="str">
        <f t="shared" ca="1" si="35"/>
        <v/>
      </c>
      <c r="CP11" s="443" t="str">
        <f t="shared" ca="1" si="124"/>
        <v/>
      </c>
      <c r="CQ11" s="441"/>
      <c r="CR11" s="437">
        <f t="shared" ca="1" si="125"/>
        <v>0</v>
      </c>
      <c r="CS11" s="438">
        <f t="shared" ca="1" si="126"/>
        <v>0</v>
      </c>
      <c r="CT11" s="442" t="str">
        <f t="shared" ca="1" si="39"/>
        <v/>
      </c>
      <c r="CU11" s="443" t="str">
        <f t="shared" ca="1" si="127"/>
        <v/>
      </c>
      <c r="CV11" s="441"/>
      <c r="CW11" s="437">
        <f t="shared" ca="1" si="128"/>
        <v>0</v>
      </c>
      <c r="CX11" s="438">
        <f t="shared" ca="1" si="129"/>
        <v>0</v>
      </c>
      <c r="CY11" s="442" t="str">
        <f t="shared" ca="1" si="43"/>
        <v/>
      </c>
      <c r="CZ11" s="443" t="str">
        <f t="shared" ca="1" si="130"/>
        <v/>
      </c>
      <c r="DA11" s="441"/>
      <c r="DB11" s="437">
        <f t="shared" ca="1" si="131"/>
        <v>0</v>
      </c>
      <c r="DC11" s="438">
        <f t="shared" ca="1" si="132"/>
        <v>0</v>
      </c>
      <c r="DD11" s="442" t="str">
        <f t="shared" ca="1" si="47"/>
        <v/>
      </c>
      <c r="DE11" s="443" t="str">
        <f t="shared" ca="1" si="133"/>
        <v/>
      </c>
      <c r="DF11" s="441"/>
      <c r="DG11" s="437">
        <f t="shared" ca="1" si="134"/>
        <v>0</v>
      </c>
      <c r="DH11" s="438">
        <f t="shared" ca="1" si="135"/>
        <v>0</v>
      </c>
      <c r="DI11" s="442" t="str">
        <f t="shared" ca="1" si="51"/>
        <v/>
      </c>
      <c r="DJ11" s="443" t="str">
        <f t="shared" ca="1" si="136"/>
        <v/>
      </c>
      <c r="DK11" s="441"/>
      <c r="DL11" s="437">
        <f t="shared" ca="1" si="137"/>
        <v>0</v>
      </c>
      <c r="DM11" s="438">
        <f t="shared" ca="1" si="138"/>
        <v>0</v>
      </c>
      <c r="DN11" s="442" t="str">
        <f t="shared" ca="1" si="55"/>
        <v/>
      </c>
      <c r="DO11" s="443" t="str">
        <f t="shared" ca="1" si="139"/>
        <v/>
      </c>
      <c r="DP11" s="453"/>
    </row>
    <row r="12" spans="1:120" x14ac:dyDescent="0.35">
      <c r="A12" s="52">
        <v>114720</v>
      </c>
      <c r="B12" s="54" t="str">
        <f>IF(ISERROR(VLOOKUP(A12,Planning!$A$12:$B$53,2,0)),"",VLOOKUP(A12,Planning!$A$12:$B$53,2,0))</f>
        <v>GOURDON.Candice</v>
      </c>
      <c r="C12" s="96" t="str">
        <f>IF(ISERROR(VLOOKUP(A12,Planning!$A$12:$E$53,4,0)),"",VLOOKUP(A12,Planning!$A$12:$E60,4,0))</f>
        <v>I2S</v>
      </c>
      <c r="D12" s="96" t="str">
        <f>IF(ISERROR(VLOOKUP(A12,Planning!$A$12:$E$53,5,0)),"",VLOOKUP(A12,Planning!$A$12:$E60,5,0))</f>
        <v>ITG</v>
      </c>
      <c r="E12" s="157">
        <f t="shared" ca="1" si="140"/>
        <v>0</v>
      </c>
      <c r="F12" s="93">
        <f t="shared" ca="1" si="141"/>
        <v>15</v>
      </c>
      <c r="G12" s="406"/>
      <c r="H12" s="435">
        <f t="shared" ca="1" si="57"/>
        <v>0</v>
      </c>
      <c r="I12" s="435">
        <f t="shared" ca="1" si="58"/>
        <v>0</v>
      </c>
      <c r="J12" s="435">
        <f t="shared" ca="1" si="59"/>
        <v>0</v>
      </c>
      <c r="K12" s="435">
        <f t="shared" ca="1" si="60"/>
        <v>0</v>
      </c>
      <c r="L12" s="435">
        <f t="shared" ca="1" si="61"/>
        <v>0</v>
      </c>
      <c r="M12" s="435">
        <f t="shared" ca="1" si="62"/>
        <v>0</v>
      </c>
      <c r="N12" s="435">
        <f t="shared" ca="1" si="63"/>
        <v>0</v>
      </c>
      <c r="O12" s="435">
        <f t="shared" ca="1" si="64"/>
        <v>0</v>
      </c>
      <c r="P12" s="435">
        <f t="shared" ca="1" si="65"/>
        <v>0</v>
      </c>
      <c r="Q12" s="435">
        <f t="shared" ca="1" si="66"/>
        <v>0</v>
      </c>
      <c r="R12" s="435">
        <f t="shared" ca="1" si="67"/>
        <v>0</v>
      </c>
      <c r="S12" s="435">
        <f t="shared" ca="1" si="68"/>
        <v>0</v>
      </c>
      <c r="T12" s="406"/>
      <c r="U12" s="436" t="str">
        <f t="shared" ca="1" si="69"/>
        <v/>
      </c>
      <c r="V12" s="436" t="str">
        <f t="shared" ca="1" si="70"/>
        <v/>
      </c>
      <c r="W12" s="436">
        <f t="shared" ca="1" si="71"/>
        <v>15</v>
      </c>
      <c r="X12" s="436" t="str">
        <f t="shared" ca="1" si="72"/>
        <v/>
      </c>
      <c r="Y12" s="436" t="str">
        <f t="shared" ca="1" si="73"/>
        <v/>
      </c>
      <c r="Z12" s="436" t="str">
        <f t="shared" ca="1" si="74"/>
        <v/>
      </c>
      <c r="AA12" s="436" t="str">
        <f t="shared" ca="1" si="75"/>
        <v/>
      </c>
      <c r="AB12" s="436" t="str">
        <f t="shared" ca="1" si="76"/>
        <v/>
      </c>
      <c r="AC12" s="436" t="str">
        <f t="shared" ca="1" si="77"/>
        <v/>
      </c>
      <c r="AD12" s="436" t="str">
        <f t="shared" ca="1" si="78"/>
        <v/>
      </c>
      <c r="AE12" s="436" t="str">
        <f t="shared" ca="1" si="79"/>
        <v/>
      </c>
      <c r="AF12" s="436" t="str">
        <f t="shared" ca="1" si="80"/>
        <v/>
      </c>
      <c r="AG12" s="406"/>
      <c r="AH12" s="436" t="str">
        <f t="shared" ca="1" si="81"/>
        <v/>
      </c>
      <c r="AI12" s="436" t="str">
        <f t="shared" ca="1" si="82"/>
        <v/>
      </c>
      <c r="AJ12" s="436">
        <f t="shared" ca="1" si="83"/>
        <v>15</v>
      </c>
      <c r="AK12" s="436" t="str">
        <f t="shared" ca="1" si="84"/>
        <v/>
      </c>
      <c r="AL12" s="436" t="str">
        <f t="shared" ca="1" si="85"/>
        <v/>
      </c>
      <c r="AM12" s="436" t="str">
        <f t="shared" ca="1" si="86"/>
        <v/>
      </c>
      <c r="AN12" s="436" t="str">
        <f t="shared" ca="1" si="87"/>
        <v/>
      </c>
      <c r="AO12" s="436" t="str">
        <f t="shared" ca="1" si="88"/>
        <v/>
      </c>
      <c r="AP12" s="436" t="str">
        <f t="shared" ca="1" si="89"/>
        <v/>
      </c>
      <c r="AQ12" s="436" t="str">
        <f t="shared" ca="1" si="90"/>
        <v/>
      </c>
      <c r="AR12" s="436" t="str">
        <f t="shared" ca="1" si="91"/>
        <v/>
      </c>
      <c r="AS12" s="436" t="str">
        <f t="shared" ca="1" si="92"/>
        <v/>
      </c>
      <c r="AT12" s="406"/>
      <c r="AU12" s="436" t="str">
        <f t="shared" ca="1" si="93"/>
        <v/>
      </c>
      <c r="AV12" s="436" t="str">
        <f t="shared" ca="1" si="94"/>
        <v/>
      </c>
      <c r="AW12" s="436" t="str">
        <f t="shared" ca="1" si="95"/>
        <v/>
      </c>
      <c r="AX12" s="436" t="str">
        <f t="shared" ca="1" si="96"/>
        <v/>
      </c>
      <c r="AY12" s="436" t="str">
        <f t="shared" ca="1" si="97"/>
        <v/>
      </c>
      <c r="AZ12" s="436" t="str">
        <f t="shared" ca="1" si="98"/>
        <v/>
      </c>
      <c r="BA12" s="436" t="str">
        <f t="shared" ca="1" si="99"/>
        <v/>
      </c>
      <c r="BB12" s="436" t="str">
        <f t="shared" ca="1" si="100"/>
        <v/>
      </c>
      <c r="BC12" s="436" t="str">
        <f t="shared" ca="1" si="101"/>
        <v/>
      </c>
      <c r="BD12" s="436" t="str">
        <f t="shared" ca="1" si="102"/>
        <v/>
      </c>
      <c r="BE12" s="436" t="str">
        <f t="shared" ca="1" si="103"/>
        <v/>
      </c>
      <c r="BF12" s="436" t="str">
        <f t="shared" ca="1" si="104"/>
        <v/>
      </c>
      <c r="BG12" s="406"/>
      <c r="BH12" s="453"/>
      <c r="BI12" s="437">
        <f t="shared" ca="1" si="105"/>
        <v>0</v>
      </c>
      <c r="BJ12" s="438">
        <f t="shared" ca="1" si="106"/>
        <v>0</v>
      </c>
      <c r="BK12" s="442" t="str">
        <f t="shared" ca="1" si="11"/>
        <v/>
      </c>
      <c r="BL12" s="443" t="str">
        <f t="shared" ca="1" si="107"/>
        <v/>
      </c>
      <c r="BM12" s="441"/>
      <c r="BN12" s="437">
        <f t="shared" ca="1" si="108"/>
        <v>0</v>
      </c>
      <c r="BO12" s="438">
        <f t="shared" ca="1" si="109"/>
        <v>0</v>
      </c>
      <c r="BP12" s="442" t="str">
        <f t="shared" ca="1" si="15"/>
        <v/>
      </c>
      <c r="BQ12" s="443" t="str">
        <f t="shared" ca="1" si="110"/>
        <v/>
      </c>
      <c r="BR12" s="441"/>
      <c r="BS12" s="437">
        <f t="shared" ca="1" si="111"/>
        <v>0</v>
      </c>
      <c r="BT12" s="438">
        <f t="shared" ca="1" si="112"/>
        <v>15</v>
      </c>
      <c r="BU12" s="442">
        <f t="shared" ca="1" si="19"/>
        <v>15</v>
      </c>
      <c r="BV12" s="443" t="str">
        <f t="shared" ca="1" si="113"/>
        <v/>
      </c>
      <c r="BW12" s="441"/>
      <c r="BX12" s="437">
        <f t="shared" ca="1" si="114"/>
        <v>0</v>
      </c>
      <c r="BY12" s="438">
        <f t="shared" ca="1" si="115"/>
        <v>0</v>
      </c>
      <c r="BZ12" s="442" t="str">
        <f t="shared" ca="1" si="23"/>
        <v/>
      </c>
      <c r="CA12" s="443" t="str">
        <f t="shared" ca="1" si="116"/>
        <v/>
      </c>
      <c r="CB12" s="441"/>
      <c r="CC12" s="437">
        <f t="shared" ca="1" si="25"/>
        <v>0</v>
      </c>
      <c r="CD12" s="438">
        <f t="shared" ca="1" si="117"/>
        <v>0</v>
      </c>
      <c r="CE12" s="442" t="str">
        <f t="shared" ca="1" si="27"/>
        <v/>
      </c>
      <c r="CF12" s="443" t="str">
        <f t="shared" ca="1" si="118"/>
        <v/>
      </c>
      <c r="CG12" s="441"/>
      <c r="CH12" s="437">
        <f t="shared" ca="1" si="119"/>
        <v>0</v>
      </c>
      <c r="CI12" s="438">
        <f t="shared" ca="1" si="120"/>
        <v>0</v>
      </c>
      <c r="CJ12" s="442" t="str">
        <f t="shared" ca="1" si="31"/>
        <v/>
      </c>
      <c r="CK12" s="443" t="str">
        <f t="shared" ca="1" si="121"/>
        <v/>
      </c>
      <c r="CL12" s="441"/>
      <c r="CM12" s="437">
        <f t="shared" ca="1" si="122"/>
        <v>0</v>
      </c>
      <c r="CN12" s="438">
        <f t="shared" ca="1" si="123"/>
        <v>0</v>
      </c>
      <c r="CO12" s="442" t="str">
        <f t="shared" ca="1" si="35"/>
        <v/>
      </c>
      <c r="CP12" s="443" t="str">
        <f t="shared" ca="1" si="124"/>
        <v/>
      </c>
      <c r="CQ12" s="441"/>
      <c r="CR12" s="437">
        <f t="shared" ca="1" si="125"/>
        <v>0</v>
      </c>
      <c r="CS12" s="438">
        <f t="shared" ca="1" si="126"/>
        <v>0</v>
      </c>
      <c r="CT12" s="442" t="str">
        <f t="shared" ca="1" si="39"/>
        <v/>
      </c>
      <c r="CU12" s="443" t="str">
        <f t="shared" ca="1" si="127"/>
        <v/>
      </c>
      <c r="CV12" s="441"/>
      <c r="CW12" s="437">
        <f t="shared" ca="1" si="128"/>
        <v>0</v>
      </c>
      <c r="CX12" s="438">
        <f t="shared" ca="1" si="129"/>
        <v>0</v>
      </c>
      <c r="CY12" s="442" t="str">
        <f t="shared" ca="1" si="43"/>
        <v/>
      </c>
      <c r="CZ12" s="443" t="str">
        <f t="shared" ca="1" si="130"/>
        <v/>
      </c>
      <c r="DA12" s="441"/>
      <c r="DB12" s="437">
        <f t="shared" ca="1" si="131"/>
        <v>0</v>
      </c>
      <c r="DC12" s="438">
        <f t="shared" ca="1" si="132"/>
        <v>0</v>
      </c>
      <c r="DD12" s="442" t="str">
        <f t="shared" ca="1" si="47"/>
        <v/>
      </c>
      <c r="DE12" s="443" t="str">
        <f t="shared" ca="1" si="133"/>
        <v/>
      </c>
      <c r="DF12" s="441"/>
      <c r="DG12" s="437">
        <f t="shared" ca="1" si="134"/>
        <v>0</v>
      </c>
      <c r="DH12" s="438">
        <f t="shared" ca="1" si="135"/>
        <v>0</v>
      </c>
      <c r="DI12" s="442" t="str">
        <f t="shared" ca="1" si="51"/>
        <v/>
      </c>
      <c r="DJ12" s="443" t="str">
        <f t="shared" ca="1" si="136"/>
        <v/>
      </c>
      <c r="DK12" s="441"/>
      <c r="DL12" s="437">
        <f t="shared" ca="1" si="137"/>
        <v>0</v>
      </c>
      <c r="DM12" s="438">
        <f t="shared" ca="1" si="138"/>
        <v>0</v>
      </c>
      <c r="DN12" s="442" t="str">
        <f t="shared" ca="1" si="55"/>
        <v/>
      </c>
      <c r="DO12" s="443" t="str">
        <f t="shared" ca="1" si="139"/>
        <v/>
      </c>
      <c r="DP12" s="453"/>
    </row>
    <row r="13" spans="1:120" x14ac:dyDescent="0.35">
      <c r="A13" s="52">
        <v>160295</v>
      </c>
      <c r="B13" s="54" t="str">
        <f>IF(ISERROR(VLOOKUP(A13,Planning!$A$12:$B$53,2,0)),"",VLOOKUP(A13,Planning!$A$12:$B$53,2,0))</f>
        <v>DINET.Clement</v>
      </c>
      <c r="C13" s="96" t="str">
        <f>IF(ISERROR(VLOOKUP(A13,Planning!$A$12:$E$53,4,0)),"",VLOOKUP(A13,Planning!$A$12:$E61,4,0))</f>
        <v>EXT</v>
      </c>
      <c r="D13" s="96" t="str">
        <f>IF(ISERROR(VLOOKUP(A13,Planning!$A$12:$E$53,5,0)),"",VLOOKUP(A13,Planning!$A$12:$E61,5,0))</f>
        <v>ITG</v>
      </c>
      <c r="E13" s="157">
        <f t="shared" ca="1" si="140"/>
        <v>0</v>
      </c>
      <c r="F13" s="93">
        <f t="shared" ca="1" si="141"/>
        <v>60</v>
      </c>
      <c r="G13" s="406"/>
      <c r="H13" s="435">
        <f t="shared" ca="1" si="57"/>
        <v>0</v>
      </c>
      <c r="I13" s="435">
        <f t="shared" ca="1" si="58"/>
        <v>0</v>
      </c>
      <c r="J13" s="435">
        <f t="shared" ca="1" si="59"/>
        <v>0</v>
      </c>
      <c r="K13" s="435">
        <f t="shared" ca="1" si="60"/>
        <v>0</v>
      </c>
      <c r="L13" s="435">
        <f t="shared" ca="1" si="61"/>
        <v>0</v>
      </c>
      <c r="M13" s="435">
        <f t="shared" ca="1" si="62"/>
        <v>0</v>
      </c>
      <c r="N13" s="435">
        <f t="shared" ca="1" si="63"/>
        <v>0</v>
      </c>
      <c r="O13" s="435">
        <f t="shared" ca="1" si="64"/>
        <v>0</v>
      </c>
      <c r="P13" s="435">
        <f t="shared" ca="1" si="65"/>
        <v>0</v>
      </c>
      <c r="Q13" s="435">
        <f t="shared" ca="1" si="66"/>
        <v>0</v>
      </c>
      <c r="R13" s="435">
        <f t="shared" ca="1" si="67"/>
        <v>0</v>
      </c>
      <c r="S13" s="435">
        <f t="shared" ca="1" si="68"/>
        <v>0</v>
      </c>
      <c r="T13" s="406"/>
      <c r="U13" s="436">
        <f t="shared" ca="1" si="69"/>
        <v>17</v>
      </c>
      <c r="V13" s="436">
        <f t="shared" ca="1" si="70"/>
        <v>20</v>
      </c>
      <c r="W13" s="436">
        <f t="shared" ca="1" si="71"/>
        <v>23</v>
      </c>
      <c r="X13" s="436" t="str">
        <f t="shared" ca="1" si="72"/>
        <v/>
      </c>
      <c r="Y13" s="436" t="str">
        <f t="shared" ca="1" si="73"/>
        <v/>
      </c>
      <c r="Z13" s="436" t="str">
        <f t="shared" ca="1" si="74"/>
        <v/>
      </c>
      <c r="AA13" s="436" t="str">
        <f t="shared" ca="1" si="75"/>
        <v/>
      </c>
      <c r="AB13" s="436" t="str">
        <f t="shared" ca="1" si="76"/>
        <v/>
      </c>
      <c r="AC13" s="436" t="str">
        <f t="shared" ca="1" si="77"/>
        <v/>
      </c>
      <c r="AD13" s="436" t="str">
        <f t="shared" ca="1" si="78"/>
        <v/>
      </c>
      <c r="AE13" s="436" t="str">
        <f t="shared" ca="1" si="79"/>
        <v/>
      </c>
      <c r="AF13" s="436" t="str">
        <f t="shared" ca="1" si="80"/>
        <v/>
      </c>
      <c r="AG13" s="406"/>
      <c r="AH13" s="436">
        <f t="shared" ca="1" si="81"/>
        <v>17</v>
      </c>
      <c r="AI13" s="436">
        <f t="shared" ca="1" si="82"/>
        <v>20</v>
      </c>
      <c r="AJ13" s="436">
        <f t="shared" ca="1" si="83"/>
        <v>23</v>
      </c>
      <c r="AK13" s="436" t="str">
        <f t="shared" ca="1" si="84"/>
        <v/>
      </c>
      <c r="AL13" s="436" t="str">
        <f t="shared" ca="1" si="85"/>
        <v/>
      </c>
      <c r="AM13" s="436" t="str">
        <f t="shared" ca="1" si="86"/>
        <v/>
      </c>
      <c r="AN13" s="436" t="str">
        <f t="shared" ca="1" si="87"/>
        <v/>
      </c>
      <c r="AO13" s="436" t="str">
        <f t="shared" ca="1" si="88"/>
        <v/>
      </c>
      <c r="AP13" s="436" t="str">
        <f t="shared" ca="1" si="89"/>
        <v/>
      </c>
      <c r="AQ13" s="436" t="str">
        <f t="shared" ca="1" si="90"/>
        <v/>
      </c>
      <c r="AR13" s="436" t="str">
        <f t="shared" ca="1" si="91"/>
        <v/>
      </c>
      <c r="AS13" s="436" t="str">
        <f t="shared" ca="1" si="92"/>
        <v/>
      </c>
      <c r="AT13" s="406"/>
      <c r="AU13" s="436" t="str">
        <f t="shared" ca="1" si="93"/>
        <v/>
      </c>
      <c r="AV13" s="436" t="str">
        <f t="shared" ca="1" si="94"/>
        <v/>
      </c>
      <c r="AW13" s="436" t="str">
        <f t="shared" ca="1" si="95"/>
        <v/>
      </c>
      <c r="AX13" s="436" t="str">
        <f t="shared" ca="1" si="96"/>
        <v/>
      </c>
      <c r="AY13" s="436" t="str">
        <f t="shared" ca="1" si="97"/>
        <v/>
      </c>
      <c r="AZ13" s="436" t="str">
        <f t="shared" ca="1" si="98"/>
        <v/>
      </c>
      <c r="BA13" s="436" t="str">
        <f t="shared" ca="1" si="99"/>
        <v/>
      </c>
      <c r="BB13" s="436" t="str">
        <f t="shared" ca="1" si="100"/>
        <v/>
      </c>
      <c r="BC13" s="436" t="str">
        <f t="shared" ca="1" si="101"/>
        <v/>
      </c>
      <c r="BD13" s="436" t="str">
        <f t="shared" ca="1" si="102"/>
        <v/>
      </c>
      <c r="BE13" s="436" t="str">
        <f t="shared" ca="1" si="103"/>
        <v/>
      </c>
      <c r="BF13" s="436" t="str">
        <f t="shared" ca="1" si="104"/>
        <v/>
      </c>
      <c r="BG13" s="406"/>
      <c r="BH13" s="453"/>
      <c r="BI13" s="437">
        <f t="shared" ca="1" si="105"/>
        <v>0</v>
      </c>
      <c r="BJ13" s="438">
        <f t="shared" ca="1" si="106"/>
        <v>17</v>
      </c>
      <c r="BK13" s="442">
        <f t="shared" ca="1" si="11"/>
        <v>17</v>
      </c>
      <c r="BL13" s="443" t="str">
        <f t="shared" ca="1" si="107"/>
        <v/>
      </c>
      <c r="BM13" s="441"/>
      <c r="BN13" s="437">
        <f t="shared" ca="1" si="108"/>
        <v>0</v>
      </c>
      <c r="BO13" s="438">
        <f t="shared" ca="1" si="109"/>
        <v>20</v>
      </c>
      <c r="BP13" s="442">
        <f t="shared" ca="1" si="15"/>
        <v>20</v>
      </c>
      <c r="BQ13" s="443" t="str">
        <f t="shared" ca="1" si="110"/>
        <v/>
      </c>
      <c r="BR13" s="441"/>
      <c r="BS13" s="437">
        <f t="shared" ca="1" si="111"/>
        <v>0</v>
      </c>
      <c r="BT13" s="438">
        <f t="shared" ca="1" si="112"/>
        <v>23</v>
      </c>
      <c r="BU13" s="442">
        <f t="shared" ca="1" si="19"/>
        <v>23</v>
      </c>
      <c r="BV13" s="443" t="str">
        <f t="shared" ca="1" si="113"/>
        <v/>
      </c>
      <c r="BW13" s="441"/>
      <c r="BX13" s="437">
        <f t="shared" ca="1" si="114"/>
        <v>0</v>
      </c>
      <c r="BY13" s="438">
        <f t="shared" ca="1" si="115"/>
        <v>0</v>
      </c>
      <c r="BZ13" s="442" t="str">
        <f t="shared" ca="1" si="23"/>
        <v/>
      </c>
      <c r="CA13" s="443" t="str">
        <f t="shared" ca="1" si="116"/>
        <v/>
      </c>
      <c r="CB13" s="441"/>
      <c r="CC13" s="437">
        <f t="shared" ca="1" si="25"/>
        <v>0</v>
      </c>
      <c r="CD13" s="438">
        <f t="shared" ca="1" si="117"/>
        <v>0</v>
      </c>
      <c r="CE13" s="442" t="str">
        <f t="shared" ca="1" si="27"/>
        <v/>
      </c>
      <c r="CF13" s="443" t="str">
        <f t="shared" ca="1" si="118"/>
        <v/>
      </c>
      <c r="CG13" s="441"/>
      <c r="CH13" s="437">
        <f t="shared" ca="1" si="119"/>
        <v>0</v>
      </c>
      <c r="CI13" s="438">
        <f t="shared" ca="1" si="120"/>
        <v>0</v>
      </c>
      <c r="CJ13" s="442" t="str">
        <f t="shared" ca="1" si="31"/>
        <v/>
      </c>
      <c r="CK13" s="443" t="str">
        <f t="shared" ca="1" si="121"/>
        <v/>
      </c>
      <c r="CL13" s="441"/>
      <c r="CM13" s="437">
        <f t="shared" ca="1" si="122"/>
        <v>0</v>
      </c>
      <c r="CN13" s="438">
        <f t="shared" ca="1" si="123"/>
        <v>0</v>
      </c>
      <c r="CO13" s="442" t="str">
        <f t="shared" ca="1" si="35"/>
        <v/>
      </c>
      <c r="CP13" s="443" t="str">
        <f t="shared" ca="1" si="124"/>
        <v/>
      </c>
      <c r="CQ13" s="441"/>
      <c r="CR13" s="437">
        <f t="shared" ca="1" si="125"/>
        <v>0</v>
      </c>
      <c r="CS13" s="438">
        <f t="shared" ca="1" si="126"/>
        <v>0</v>
      </c>
      <c r="CT13" s="442" t="str">
        <f t="shared" ca="1" si="39"/>
        <v/>
      </c>
      <c r="CU13" s="443" t="str">
        <f t="shared" ca="1" si="127"/>
        <v/>
      </c>
      <c r="CV13" s="441"/>
      <c r="CW13" s="437">
        <f t="shared" ca="1" si="128"/>
        <v>0</v>
      </c>
      <c r="CX13" s="438">
        <f t="shared" ca="1" si="129"/>
        <v>0</v>
      </c>
      <c r="CY13" s="442" t="str">
        <f t="shared" ca="1" si="43"/>
        <v/>
      </c>
      <c r="CZ13" s="443" t="str">
        <f t="shared" ca="1" si="130"/>
        <v/>
      </c>
      <c r="DA13" s="441"/>
      <c r="DB13" s="437">
        <f t="shared" ca="1" si="131"/>
        <v>0</v>
      </c>
      <c r="DC13" s="438">
        <f t="shared" ca="1" si="132"/>
        <v>0</v>
      </c>
      <c r="DD13" s="442" t="str">
        <f t="shared" ca="1" si="47"/>
        <v/>
      </c>
      <c r="DE13" s="443" t="str">
        <f t="shared" ca="1" si="133"/>
        <v/>
      </c>
      <c r="DF13" s="441"/>
      <c r="DG13" s="437">
        <f t="shared" ca="1" si="134"/>
        <v>0</v>
      </c>
      <c r="DH13" s="438">
        <f t="shared" ca="1" si="135"/>
        <v>0</v>
      </c>
      <c r="DI13" s="442" t="str">
        <f t="shared" ca="1" si="51"/>
        <v/>
      </c>
      <c r="DJ13" s="443" t="str">
        <f t="shared" ca="1" si="136"/>
        <v/>
      </c>
      <c r="DK13" s="441"/>
      <c r="DL13" s="437">
        <f t="shared" ca="1" si="137"/>
        <v>0</v>
      </c>
      <c r="DM13" s="438">
        <f t="shared" ca="1" si="138"/>
        <v>0</v>
      </c>
      <c r="DN13" s="442" t="str">
        <f t="shared" ca="1" si="55"/>
        <v/>
      </c>
      <c r="DO13" s="443" t="str">
        <f t="shared" ca="1" si="139"/>
        <v/>
      </c>
      <c r="DP13" s="453"/>
    </row>
    <row r="14" spans="1:120" x14ac:dyDescent="0.35">
      <c r="A14" s="52">
        <v>132992</v>
      </c>
      <c r="B14" s="54" t="str">
        <f>IF(ISERROR(VLOOKUP(A14,Planning!$A$12:$B$53,2,0)),"",VLOOKUP(A14,Planning!$A$12:$B$53,2,0))</f>
        <v>GODARD.Virginie</v>
      </c>
      <c r="C14" s="96" t="str">
        <f>IF(ISERROR(VLOOKUP(A14,Planning!$A$12:$E$53,4,0)),"",VLOOKUP(A14,Planning!$A$12:$E62,4,0))</f>
        <v>EXT</v>
      </c>
      <c r="D14" s="96" t="str">
        <f>IF(ISERROR(VLOOKUP(A14,Planning!$A$12:$E$53,5,0)),"",VLOOKUP(A14,Planning!$A$12:$E62,5,0))</f>
        <v>ITG</v>
      </c>
      <c r="E14" s="157">
        <f t="shared" ca="1" si="140"/>
        <v>0</v>
      </c>
      <c r="F14" s="93">
        <f t="shared" ca="1" si="141"/>
        <v>66</v>
      </c>
      <c r="G14" s="406"/>
      <c r="H14" s="435">
        <f t="shared" ca="1" si="57"/>
        <v>0</v>
      </c>
      <c r="I14" s="435">
        <f t="shared" ca="1" si="58"/>
        <v>0</v>
      </c>
      <c r="J14" s="435">
        <f t="shared" ca="1" si="59"/>
        <v>0</v>
      </c>
      <c r="K14" s="435">
        <f t="shared" ca="1" si="60"/>
        <v>0</v>
      </c>
      <c r="L14" s="435">
        <f t="shared" ca="1" si="61"/>
        <v>0</v>
      </c>
      <c r="M14" s="435">
        <f t="shared" ca="1" si="62"/>
        <v>0</v>
      </c>
      <c r="N14" s="435">
        <f t="shared" ca="1" si="63"/>
        <v>0</v>
      </c>
      <c r="O14" s="435">
        <f t="shared" ca="1" si="64"/>
        <v>0</v>
      </c>
      <c r="P14" s="435">
        <f t="shared" ca="1" si="65"/>
        <v>0</v>
      </c>
      <c r="Q14" s="435">
        <f t="shared" ca="1" si="66"/>
        <v>0</v>
      </c>
      <c r="R14" s="435">
        <f t="shared" ca="1" si="67"/>
        <v>0</v>
      </c>
      <c r="S14" s="435">
        <f t="shared" ca="1" si="68"/>
        <v>0</v>
      </c>
      <c r="T14" s="406"/>
      <c r="U14" s="436">
        <f t="shared" ca="1" si="69"/>
        <v>17</v>
      </c>
      <c r="V14" s="436">
        <f t="shared" ca="1" si="70"/>
        <v>20</v>
      </c>
      <c r="W14" s="436">
        <f t="shared" ca="1" si="71"/>
        <v>23</v>
      </c>
      <c r="X14" s="436" t="str">
        <f t="shared" ca="1" si="72"/>
        <v/>
      </c>
      <c r="Y14" s="436" t="str">
        <f t="shared" ca="1" si="73"/>
        <v/>
      </c>
      <c r="Z14" s="436" t="str">
        <f t="shared" ca="1" si="74"/>
        <v/>
      </c>
      <c r="AA14" s="436" t="str">
        <f t="shared" ca="1" si="75"/>
        <v/>
      </c>
      <c r="AB14" s="436">
        <f t="shared" ca="1" si="76"/>
        <v>6</v>
      </c>
      <c r="AC14" s="436" t="str">
        <f t="shared" ca="1" si="77"/>
        <v/>
      </c>
      <c r="AD14" s="436" t="str">
        <f t="shared" ca="1" si="78"/>
        <v/>
      </c>
      <c r="AE14" s="436" t="str">
        <f t="shared" ca="1" si="79"/>
        <v/>
      </c>
      <c r="AF14" s="436" t="str">
        <f t="shared" ca="1" si="80"/>
        <v/>
      </c>
      <c r="AG14" s="406"/>
      <c r="AH14" s="436">
        <f t="shared" ca="1" si="81"/>
        <v>17</v>
      </c>
      <c r="AI14" s="436">
        <f t="shared" ca="1" si="82"/>
        <v>20</v>
      </c>
      <c r="AJ14" s="436">
        <f t="shared" ca="1" si="83"/>
        <v>23</v>
      </c>
      <c r="AK14" s="436" t="str">
        <f t="shared" ca="1" si="84"/>
        <v/>
      </c>
      <c r="AL14" s="436" t="str">
        <f t="shared" ca="1" si="85"/>
        <v/>
      </c>
      <c r="AM14" s="436" t="str">
        <f t="shared" ca="1" si="86"/>
        <v/>
      </c>
      <c r="AN14" s="436" t="str">
        <f t="shared" ca="1" si="87"/>
        <v/>
      </c>
      <c r="AO14" s="436">
        <f t="shared" ca="1" si="88"/>
        <v>6</v>
      </c>
      <c r="AP14" s="436" t="str">
        <f t="shared" ca="1" si="89"/>
        <v/>
      </c>
      <c r="AQ14" s="436" t="str">
        <f t="shared" ca="1" si="90"/>
        <v/>
      </c>
      <c r="AR14" s="436" t="str">
        <f t="shared" ca="1" si="91"/>
        <v/>
      </c>
      <c r="AS14" s="436" t="str">
        <f t="shared" ca="1" si="92"/>
        <v/>
      </c>
      <c r="AT14" s="406"/>
      <c r="AU14" s="436" t="str">
        <f t="shared" ca="1" si="93"/>
        <v/>
      </c>
      <c r="AV14" s="436" t="str">
        <f t="shared" ca="1" si="94"/>
        <v/>
      </c>
      <c r="AW14" s="436" t="str">
        <f t="shared" ca="1" si="95"/>
        <v/>
      </c>
      <c r="AX14" s="436" t="str">
        <f t="shared" ca="1" si="96"/>
        <v/>
      </c>
      <c r="AY14" s="436" t="str">
        <f t="shared" ca="1" si="97"/>
        <v/>
      </c>
      <c r="AZ14" s="436" t="str">
        <f t="shared" ca="1" si="98"/>
        <v/>
      </c>
      <c r="BA14" s="436" t="str">
        <f t="shared" ca="1" si="99"/>
        <v/>
      </c>
      <c r="BB14" s="436" t="str">
        <f t="shared" ca="1" si="100"/>
        <v/>
      </c>
      <c r="BC14" s="436" t="str">
        <f t="shared" ca="1" si="101"/>
        <v/>
      </c>
      <c r="BD14" s="436" t="str">
        <f t="shared" ca="1" si="102"/>
        <v/>
      </c>
      <c r="BE14" s="436" t="str">
        <f t="shared" ca="1" si="103"/>
        <v/>
      </c>
      <c r="BF14" s="436" t="str">
        <f t="shared" ca="1" si="104"/>
        <v/>
      </c>
      <c r="BG14" s="406"/>
      <c r="BH14" s="453"/>
      <c r="BI14" s="437">
        <f t="shared" ca="1" si="105"/>
        <v>0</v>
      </c>
      <c r="BJ14" s="438">
        <f t="shared" ca="1" si="106"/>
        <v>17</v>
      </c>
      <c r="BK14" s="442">
        <f t="shared" ca="1" si="11"/>
        <v>17</v>
      </c>
      <c r="BL14" s="443" t="str">
        <f t="shared" ca="1" si="107"/>
        <v/>
      </c>
      <c r="BM14" s="441"/>
      <c r="BN14" s="437">
        <f t="shared" ca="1" si="108"/>
        <v>0</v>
      </c>
      <c r="BO14" s="438">
        <f t="shared" ca="1" si="109"/>
        <v>20</v>
      </c>
      <c r="BP14" s="442">
        <f t="shared" ca="1" si="15"/>
        <v>20</v>
      </c>
      <c r="BQ14" s="443" t="str">
        <f t="shared" ca="1" si="110"/>
        <v/>
      </c>
      <c r="BR14" s="441"/>
      <c r="BS14" s="437">
        <f t="shared" ca="1" si="111"/>
        <v>0</v>
      </c>
      <c r="BT14" s="438">
        <f t="shared" ca="1" si="112"/>
        <v>23</v>
      </c>
      <c r="BU14" s="442">
        <f t="shared" ca="1" si="19"/>
        <v>23</v>
      </c>
      <c r="BV14" s="443" t="str">
        <f t="shared" ca="1" si="113"/>
        <v/>
      </c>
      <c r="BW14" s="441"/>
      <c r="BX14" s="437">
        <f t="shared" ca="1" si="114"/>
        <v>0</v>
      </c>
      <c r="BY14" s="438">
        <f t="shared" ca="1" si="115"/>
        <v>0</v>
      </c>
      <c r="BZ14" s="442" t="str">
        <f t="shared" ca="1" si="23"/>
        <v/>
      </c>
      <c r="CA14" s="443" t="str">
        <f t="shared" ca="1" si="116"/>
        <v/>
      </c>
      <c r="CB14" s="441"/>
      <c r="CC14" s="437">
        <f t="shared" ca="1" si="25"/>
        <v>0</v>
      </c>
      <c r="CD14" s="438">
        <f t="shared" ca="1" si="117"/>
        <v>0</v>
      </c>
      <c r="CE14" s="442" t="str">
        <f t="shared" ca="1" si="27"/>
        <v/>
      </c>
      <c r="CF14" s="443" t="str">
        <f t="shared" ca="1" si="118"/>
        <v/>
      </c>
      <c r="CG14" s="441"/>
      <c r="CH14" s="437">
        <f t="shared" ca="1" si="119"/>
        <v>0</v>
      </c>
      <c r="CI14" s="438">
        <f t="shared" ca="1" si="120"/>
        <v>0</v>
      </c>
      <c r="CJ14" s="442" t="str">
        <f t="shared" ca="1" si="31"/>
        <v/>
      </c>
      <c r="CK14" s="443" t="str">
        <f t="shared" ca="1" si="121"/>
        <v/>
      </c>
      <c r="CL14" s="441"/>
      <c r="CM14" s="437">
        <f t="shared" ca="1" si="122"/>
        <v>0</v>
      </c>
      <c r="CN14" s="438">
        <f t="shared" ca="1" si="123"/>
        <v>0</v>
      </c>
      <c r="CO14" s="442" t="str">
        <f t="shared" ca="1" si="35"/>
        <v/>
      </c>
      <c r="CP14" s="443" t="str">
        <f t="shared" ca="1" si="124"/>
        <v/>
      </c>
      <c r="CQ14" s="441"/>
      <c r="CR14" s="437">
        <f t="shared" ca="1" si="125"/>
        <v>0</v>
      </c>
      <c r="CS14" s="438">
        <f t="shared" ca="1" si="126"/>
        <v>6</v>
      </c>
      <c r="CT14" s="442">
        <f t="shared" ca="1" si="39"/>
        <v>6</v>
      </c>
      <c r="CU14" s="443" t="str">
        <f t="shared" ca="1" si="127"/>
        <v/>
      </c>
      <c r="CV14" s="441"/>
      <c r="CW14" s="437">
        <f t="shared" ca="1" si="128"/>
        <v>0</v>
      </c>
      <c r="CX14" s="438">
        <f t="shared" ca="1" si="129"/>
        <v>0</v>
      </c>
      <c r="CY14" s="442" t="str">
        <f t="shared" ca="1" si="43"/>
        <v/>
      </c>
      <c r="CZ14" s="443" t="str">
        <f t="shared" ca="1" si="130"/>
        <v/>
      </c>
      <c r="DA14" s="441"/>
      <c r="DB14" s="437">
        <f t="shared" ca="1" si="131"/>
        <v>0</v>
      </c>
      <c r="DC14" s="438">
        <f t="shared" ca="1" si="132"/>
        <v>0</v>
      </c>
      <c r="DD14" s="442" t="str">
        <f t="shared" ca="1" si="47"/>
        <v/>
      </c>
      <c r="DE14" s="443" t="str">
        <f t="shared" ca="1" si="133"/>
        <v/>
      </c>
      <c r="DF14" s="441"/>
      <c r="DG14" s="437">
        <f t="shared" ca="1" si="134"/>
        <v>0</v>
      </c>
      <c r="DH14" s="438">
        <f t="shared" ca="1" si="135"/>
        <v>0</v>
      </c>
      <c r="DI14" s="442" t="str">
        <f t="shared" ca="1" si="51"/>
        <v/>
      </c>
      <c r="DJ14" s="443" t="str">
        <f t="shared" ca="1" si="136"/>
        <v/>
      </c>
      <c r="DK14" s="441"/>
      <c r="DL14" s="437">
        <f t="shared" ca="1" si="137"/>
        <v>0</v>
      </c>
      <c r="DM14" s="438">
        <f t="shared" ca="1" si="138"/>
        <v>0</v>
      </c>
      <c r="DN14" s="442" t="str">
        <f t="shared" ca="1" si="55"/>
        <v/>
      </c>
      <c r="DO14" s="443" t="str">
        <f t="shared" ca="1" si="139"/>
        <v/>
      </c>
      <c r="DP14" s="453"/>
    </row>
    <row r="15" spans="1:120" x14ac:dyDescent="0.35">
      <c r="A15" s="52">
        <v>133764</v>
      </c>
      <c r="B15" s="54" t="str">
        <f>IF(ISERROR(VLOOKUP(A15,Planning!$A$12:$B$53,2,0)),"",VLOOKUP(A15,Planning!$A$12:$B$53,2,0))</f>
        <v>MARGOTTAT.Florian</v>
      </c>
      <c r="C15" s="96" t="str">
        <f>IF(ISERROR(VLOOKUP(A15,Planning!$A$12:$E$53,4,0)),"",VLOOKUP(A15,Planning!$A$12:$E63,4,0))</f>
        <v>EXT</v>
      </c>
      <c r="D15" s="96" t="str">
        <f>IF(ISERROR(VLOOKUP(A15,Planning!$A$12:$E$53,5,0)),"",VLOOKUP(A15,Planning!$A$12:$E63,5,0))</f>
        <v>ITG</v>
      </c>
      <c r="E15" s="157">
        <f t="shared" ca="1" si="140"/>
        <v>0</v>
      </c>
      <c r="F15" s="93">
        <f t="shared" ca="1" si="141"/>
        <v>60</v>
      </c>
      <c r="G15" s="406"/>
      <c r="H15" s="435">
        <f t="shared" ca="1" si="57"/>
        <v>0</v>
      </c>
      <c r="I15" s="435">
        <f t="shared" ca="1" si="58"/>
        <v>0</v>
      </c>
      <c r="J15" s="435">
        <f t="shared" ca="1" si="59"/>
        <v>0</v>
      </c>
      <c r="K15" s="435">
        <f t="shared" ca="1" si="60"/>
        <v>0</v>
      </c>
      <c r="L15" s="435">
        <f t="shared" ca="1" si="61"/>
        <v>0</v>
      </c>
      <c r="M15" s="435">
        <f t="shared" ca="1" si="62"/>
        <v>0</v>
      </c>
      <c r="N15" s="435">
        <f t="shared" ca="1" si="63"/>
        <v>0</v>
      </c>
      <c r="O15" s="435">
        <f t="shared" ca="1" si="64"/>
        <v>0</v>
      </c>
      <c r="P15" s="435">
        <f t="shared" ca="1" si="65"/>
        <v>0</v>
      </c>
      <c r="Q15" s="435">
        <f t="shared" ca="1" si="66"/>
        <v>0</v>
      </c>
      <c r="R15" s="435">
        <f t="shared" ca="1" si="67"/>
        <v>0</v>
      </c>
      <c r="S15" s="435">
        <f t="shared" ca="1" si="68"/>
        <v>0</v>
      </c>
      <c r="T15" s="406"/>
      <c r="U15" s="436">
        <f t="shared" ca="1" si="69"/>
        <v>17</v>
      </c>
      <c r="V15" s="436">
        <f t="shared" ca="1" si="70"/>
        <v>20</v>
      </c>
      <c r="W15" s="436">
        <f t="shared" ca="1" si="71"/>
        <v>23</v>
      </c>
      <c r="X15" s="436" t="str">
        <f t="shared" ca="1" si="72"/>
        <v/>
      </c>
      <c r="Y15" s="436" t="str">
        <f t="shared" ca="1" si="73"/>
        <v/>
      </c>
      <c r="Z15" s="436" t="str">
        <f t="shared" ca="1" si="74"/>
        <v/>
      </c>
      <c r="AA15" s="436" t="str">
        <f t="shared" ca="1" si="75"/>
        <v/>
      </c>
      <c r="AB15" s="436" t="str">
        <f t="shared" ca="1" si="76"/>
        <v/>
      </c>
      <c r="AC15" s="436" t="str">
        <f t="shared" ca="1" si="77"/>
        <v/>
      </c>
      <c r="AD15" s="436" t="str">
        <f t="shared" ca="1" si="78"/>
        <v/>
      </c>
      <c r="AE15" s="436" t="str">
        <f t="shared" ca="1" si="79"/>
        <v/>
      </c>
      <c r="AF15" s="436" t="str">
        <f t="shared" ca="1" si="80"/>
        <v/>
      </c>
      <c r="AG15" s="406"/>
      <c r="AH15" s="436">
        <f t="shared" ca="1" si="81"/>
        <v>17</v>
      </c>
      <c r="AI15" s="436">
        <f t="shared" ca="1" si="82"/>
        <v>20</v>
      </c>
      <c r="AJ15" s="436">
        <f t="shared" ca="1" si="83"/>
        <v>23</v>
      </c>
      <c r="AK15" s="436" t="str">
        <f t="shared" ca="1" si="84"/>
        <v/>
      </c>
      <c r="AL15" s="436" t="str">
        <f t="shared" ca="1" si="85"/>
        <v/>
      </c>
      <c r="AM15" s="436" t="str">
        <f t="shared" ca="1" si="86"/>
        <v/>
      </c>
      <c r="AN15" s="436" t="str">
        <f t="shared" ca="1" si="87"/>
        <v/>
      </c>
      <c r="AO15" s="436" t="str">
        <f t="shared" ca="1" si="88"/>
        <v/>
      </c>
      <c r="AP15" s="436" t="str">
        <f t="shared" ca="1" si="89"/>
        <v/>
      </c>
      <c r="AQ15" s="436" t="str">
        <f t="shared" ca="1" si="90"/>
        <v/>
      </c>
      <c r="AR15" s="436" t="str">
        <f t="shared" ca="1" si="91"/>
        <v/>
      </c>
      <c r="AS15" s="436" t="str">
        <f t="shared" ca="1" si="92"/>
        <v/>
      </c>
      <c r="AT15" s="406"/>
      <c r="AU15" s="436" t="str">
        <f t="shared" ca="1" si="93"/>
        <v/>
      </c>
      <c r="AV15" s="436" t="str">
        <f t="shared" ca="1" si="94"/>
        <v/>
      </c>
      <c r="AW15" s="436" t="str">
        <f t="shared" ca="1" si="95"/>
        <v/>
      </c>
      <c r="AX15" s="436" t="str">
        <f t="shared" ca="1" si="96"/>
        <v/>
      </c>
      <c r="AY15" s="436" t="str">
        <f t="shared" ca="1" si="97"/>
        <v/>
      </c>
      <c r="AZ15" s="436" t="str">
        <f t="shared" ca="1" si="98"/>
        <v/>
      </c>
      <c r="BA15" s="436" t="str">
        <f t="shared" ca="1" si="99"/>
        <v/>
      </c>
      <c r="BB15" s="436" t="str">
        <f t="shared" ca="1" si="100"/>
        <v/>
      </c>
      <c r="BC15" s="436" t="str">
        <f t="shared" ca="1" si="101"/>
        <v/>
      </c>
      <c r="BD15" s="436" t="str">
        <f t="shared" ca="1" si="102"/>
        <v/>
      </c>
      <c r="BE15" s="436" t="str">
        <f t="shared" ca="1" si="103"/>
        <v/>
      </c>
      <c r="BF15" s="436" t="str">
        <f t="shared" ca="1" si="104"/>
        <v/>
      </c>
      <c r="BG15" s="406"/>
      <c r="BH15" s="453"/>
      <c r="BI15" s="437">
        <f t="shared" ca="1" si="105"/>
        <v>0</v>
      </c>
      <c r="BJ15" s="438">
        <f t="shared" ca="1" si="106"/>
        <v>17</v>
      </c>
      <c r="BK15" s="442">
        <f t="shared" ca="1" si="11"/>
        <v>17</v>
      </c>
      <c r="BL15" s="443" t="str">
        <f t="shared" ca="1" si="107"/>
        <v/>
      </c>
      <c r="BM15" s="441"/>
      <c r="BN15" s="437">
        <f t="shared" ca="1" si="108"/>
        <v>0</v>
      </c>
      <c r="BO15" s="438">
        <f t="shared" ca="1" si="109"/>
        <v>20</v>
      </c>
      <c r="BP15" s="442">
        <f t="shared" ca="1" si="15"/>
        <v>20</v>
      </c>
      <c r="BQ15" s="443" t="str">
        <f t="shared" ca="1" si="110"/>
        <v/>
      </c>
      <c r="BR15" s="441"/>
      <c r="BS15" s="437">
        <f t="shared" ca="1" si="111"/>
        <v>0</v>
      </c>
      <c r="BT15" s="438">
        <f t="shared" ca="1" si="112"/>
        <v>23</v>
      </c>
      <c r="BU15" s="442">
        <f t="shared" ca="1" si="19"/>
        <v>23</v>
      </c>
      <c r="BV15" s="443" t="str">
        <f t="shared" ca="1" si="113"/>
        <v/>
      </c>
      <c r="BW15" s="441"/>
      <c r="BX15" s="437">
        <f t="shared" ca="1" si="114"/>
        <v>0</v>
      </c>
      <c r="BY15" s="438">
        <f t="shared" ca="1" si="115"/>
        <v>0</v>
      </c>
      <c r="BZ15" s="442" t="str">
        <f t="shared" ca="1" si="23"/>
        <v/>
      </c>
      <c r="CA15" s="443" t="str">
        <f t="shared" ca="1" si="116"/>
        <v/>
      </c>
      <c r="CB15" s="441"/>
      <c r="CC15" s="437">
        <f t="shared" ca="1" si="25"/>
        <v>0</v>
      </c>
      <c r="CD15" s="438">
        <f t="shared" ca="1" si="117"/>
        <v>0</v>
      </c>
      <c r="CE15" s="442" t="str">
        <f t="shared" ca="1" si="27"/>
        <v/>
      </c>
      <c r="CF15" s="443" t="str">
        <f t="shared" ca="1" si="118"/>
        <v/>
      </c>
      <c r="CG15" s="441"/>
      <c r="CH15" s="437">
        <f t="shared" ca="1" si="119"/>
        <v>0</v>
      </c>
      <c r="CI15" s="438">
        <f t="shared" ca="1" si="120"/>
        <v>0</v>
      </c>
      <c r="CJ15" s="442" t="str">
        <f t="shared" ca="1" si="31"/>
        <v/>
      </c>
      <c r="CK15" s="443" t="str">
        <f t="shared" ca="1" si="121"/>
        <v/>
      </c>
      <c r="CL15" s="441"/>
      <c r="CM15" s="437">
        <f t="shared" ca="1" si="122"/>
        <v>0</v>
      </c>
      <c r="CN15" s="438">
        <f t="shared" ca="1" si="123"/>
        <v>0</v>
      </c>
      <c r="CO15" s="442" t="str">
        <f t="shared" ca="1" si="35"/>
        <v/>
      </c>
      <c r="CP15" s="443" t="str">
        <f t="shared" ca="1" si="124"/>
        <v/>
      </c>
      <c r="CQ15" s="441"/>
      <c r="CR15" s="437">
        <f t="shared" ca="1" si="125"/>
        <v>0</v>
      </c>
      <c r="CS15" s="438">
        <f t="shared" ca="1" si="126"/>
        <v>0</v>
      </c>
      <c r="CT15" s="442" t="str">
        <f t="shared" ca="1" si="39"/>
        <v/>
      </c>
      <c r="CU15" s="443" t="str">
        <f t="shared" ca="1" si="127"/>
        <v/>
      </c>
      <c r="CV15" s="441"/>
      <c r="CW15" s="437">
        <f t="shared" ca="1" si="128"/>
        <v>0</v>
      </c>
      <c r="CX15" s="438">
        <f t="shared" ca="1" si="129"/>
        <v>0</v>
      </c>
      <c r="CY15" s="442" t="str">
        <f t="shared" ca="1" si="43"/>
        <v/>
      </c>
      <c r="CZ15" s="443" t="str">
        <f t="shared" ca="1" si="130"/>
        <v/>
      </c>
      <c r="DA15" s="441"/>
      <c r="DB15" s="437">
        <f t="shared" ca="1" si="131"/>
        <v>0</v>
      </c>
      <c r="DC15" s="438">
        <f t="shared" ca="1" si="132"/>
        <v>0</v>
      </c>
      <c r="DD15" s="442" t="str">
        <f t="shared" ca="1" si="47"/>
        <v/>
      </c>
      <c r="DE15" s="443" t="str">
        <f t="shared" ca="1" si="133"/>
        <v/>
      </c>
      <c r="DF15" s="441"/>
      <c r="DG15" s="437">
        <f t="shared" ca="1" si="134"/>
        <v>0</v>
      </c>
      <c r="DH15" s="438">
        <f t="shared" ca="1" si="135"/>
        <v>0</v>
      </c>
      <c r="DI15" s="442" t="str">
        <f t="shared" ca="1" si="51"/>
        <v/>
      </c>
      <c r="DJ15" s="443" t="str">
        <f t="shared" ca="1" si="136"/>
        <v/>
      </c>
      <c r="DK15" s="441"/>
      <c r="DL15" s="437">
        <f t="shared" ca="1" si="137"/>
        <v>0</v>
      </c>
      <c r="DM15" s="438">
        <f t="shared" ca="1" si="138"/>
        <v>0</v>
      </c>
      <c r="DN15" s="442" t="str">
        <f t="shared" ca="1" si="55"/>
        <v/>
      </c>
      <c r="DO15" s="443" t="str">
        <f t="shared" ca="1" si="139"/>
        <v/>
      </c>
      <c r="DP15" s="453"/>
    </row>
    <row r="16" spans="1:120" x14ac:dyDescent="0.35">
      <c r="A16" s="52">
        <v>134581</v>
      </c>
      <c r="B16" s="54" t="str">
        <f>IF(ISERROR(VLOOKUP(A16,Planning!$A$12:$B$53,2,0)),"",VLOOKUP(A16,Planning!$A$12:$B$53,2,0))</f>
        <v>FOUCHEYRAND.David</v>
      </c>
      <c r="C16" s="96" t="str">
        <f>IF(ISERROR(VLOOKUP(A16,Planning!$A$12:$E$53,4,0)),"",VLOOKUP(A16,Planning!$A$12:$E64,4,0))</f>
        <v>EXT</v>
      </c>
      <c r="D16" s="96" t="str">
        <f>IF(ISERROR(VLOOKUP(A16,Planning!$A$12:$E$53,5,0)),"",VLOOKUP(A16,Planning!$A$12:$E64,5,0))</f>
        <v>ITG</v>
      </c>
      <c r="E16" s="157">
        <f t="shared" ca="1" si="140"/>
        <v>0</v>
      </c>
      <c r="F16" s="93">
        <f t="shared" ca="1" si="141"/>
        <v>60</v>
      </c>
      <c r="G16" s="406"/>
      <c r="H16" s="435">
        <f t="shared" ca="1" si="57"/>
        <v>0</v>
      </c>
      <c r="I16" s="435">
        <f t="shared" ca="1" si="58"/>
        <v>0</v>
      </c>
      <c r="J16" s="435">
        <f t="shared" ca="1" si="59"/>
        <v>0</v>
      </c>
      <c r="K16" s="435">
        <f t="shared" ca="1" si="60"/>
        <v>0</v>
      </c>
      <c r="L16" s="435">
        <f t="shared" ca="1" si="61"/>
        <v>0</v>
      </c>
      <c r="M16" s="435">
        <f t="shared" ca="1" si="62"/>
        <v>0</v>
      </c>
      <c r="N16" s="435">
        <f t="shared" ca="1" si="63"/>
        <v>0</v>
      </c>
      <c r="O16" s="435">
        <f t="shared" ca="1" si="64"/>
        <v>0</v>
      </c>
      <c r="P16" s="435">
        <f t="shared" ca="1" si="65"/>
        <v>0</v>
      </c>
      <c r="Q16" s="435">
        <f t="shared" ca="1" si="66"/>
        <v>0</v>
      </c>
      <c r="R16" s="435">
        <f t="shared" ca="1" si="67"/>
        <v>0</v>
      </c>
      <c r="S16" s="435">
        <f t="shared" ca="1" si="68"/>
        <v>0</v>
      </c>
      <c r="T16" s="406"/>
      <c r="U16" s="436">
        <f t="shared" ca="1" si="69"/>
        <v>17</v>
      </c>
      <c r="V16" s="436">
        <f t="shared" ca="1" si="70"/>
        <v>20</v>
      </c>
      <c r="W16" s="436">
        <f t="shared" ca="1" si="71"/>
        <v>23</v>
      </c>
      <c r="X16" s="436" t="str">
        <f t="shared" ca="1" si="72"/>
        <v/>
      </c>
      <c r="Y16" s="436" t="str">
        <f t="shared" ca="1" si="73"/>
        <v/>
      </c>
      <c r="Z16" s="436" t="str">
        <f t="shared" ca="1" si="74"/>
        <v/>
      </c>
      <c r="AA16" s="436" t="str">
        <f t="shared" ca="1" si="75"/>
        <v/>
      </c>
      <c r="AB16" s="436" t="str">
        <f t="shared" ca="1" si="76"/>
        <v/>
      </c>
      <c r="AC16" s="436" t="str">
        <f t="shared" ca="1" si="77"/>
        <v/>
      </c>
      <c r="AD16" s="436" t="str">
        <f t="shared" ca="1" si="78"/>
        <v/>
      </c>
      <c r="AE16" s="436" t="str">
        <f t="shared" ca="1" si="79"/>
        <v/>
      </c>
      <c r="AF16" s="436" t="str">
        <f t="shared" ca="1" si="80"/>
        <v/>
      </c>
      <c r="AG16" s="406"/>
      <c r="AH16" s="436">
        <f t="shared" ca="1" si="81"/>
        <v>17</v>
      </c>
      <c r="AI16" s="436">
        <f t="shared" ca="1" si="82"/>
        <v>20</v>
      </c>
      <c r="AJ16" s="436">
        <f t="shared" ca="1" si="83"/>
        <v>23</v>
      </c>
      <c r="AK16" s="436" t="str">
        <f t="shared" ca="1" si="84"/>
        <v/>
      </c>
      <c r="AL16" s="436" t="str">
        <f t="shared" ca="1" si="85"/>
        <v/>
      </c>
      <c r="AM16" s="436" t="str">
        <f t="shared" ca="1" si="86"/>
        <v/>
      </c>
      <c r="AN16" s="436" t="str">
        <f t="shared" ca="1" si="87"/>
        <v/>
      </c>
      <c r="AO16" s="436" t="str">
        <f t="shared" ca="1" si="88"/>
        <v/>
      </c>
      <c r="AP16" s="436" t="str">
        <f t="shared" ca="1" si="89"/>
        <v/>
      </c>
      <c r="AQ16" s="436" t="str">
        <f t="shared" ca="1" si="90"/>
        <v/>
      </c>
      <c r="AR16" s="436" t="str">
        <f t="shared" ca="1" si="91"/>
        <v/>
      </c>
      <c r="AS16" s="436" t="str">
        <f t="shared" ca="1" si="92"/>
        <v/>
      </c>
      <c r="AT16" s="406"/>
      <c r="AU16" s="436" t="str">
        <f t="shared" ca="1" si="93"/>
        <v/>
      </c>
      <c r="AV16" s="436" t="str">
        <f t="shared" ca="1" si="94"/>
        <v/>
      </c>
      <c r="AW16" s="436" t="str">
        <f t="shared" ca="1" si="95"/>
        <v/>
      </c>
      <c r="AX16" s="436" t="str">
        <f t="shared" ca="1" si="96"/>
        <v/>
      </c>
      <c r="AY16" s="436" t="str">
        <f t="shared" ca="1" si="97"/>
        <v/>
      </c>
      <c r="AZ16" s="436" t="str">
        <f t="shared" ca="1" si="98"/>
        <v/>
      </c>
      <c r="BA16" s="436" t="str">
        <f t="shared" ca="1" si="99"/>
        <v/>
      </c>
      <c r="BB16" s="436" t="str">
        <f t="shared" ca="1" si="100"/>
        <v/>
      </c>
      <c r="BC16" s="436" t="str">
        <f t="shared" ca="1" si="101"/>
        <v/>
      </c>
      <c r="BD16" s="436" t="str">
        <f t="shared" ca="1" si="102"/>
        <v/>
      </c>
      <c r="BE16" s="436" t="str">
        <f t="shared" ca="1" si="103"/>
        <v/>
      </c>
      <c r="BF16" s="436" t="str">
        <f t="shared" ca="1" si="104"/>
        <v/>
      </c>
      <c r="BG16" s="406"/>
      <c r="BH16" s="453"/>
      <c r="BI16" s="437">
        <f t="shared" ca="1" si="105"/>
        <v>0</v>
      </c>
      <c r="BJ16" s="438">
        <f t="shared" ca="1" si="106"/>
        <v>17</v>
      </c>
      <c r="BK16" s="442">
        <f t="shared" ca="1" si="11"/>
        <v>17</v>
      </c>
      <c r="BL16" s="443" t="str">
        <f t="shared" ca="1" si="107"/>
        <v/>
      </c>
      <c r="BM16" s="441"/>
      <c r="BN16" s="437">
        <f t="shared" ca="1" si="108"/>
        <v>0</v>
      </c>
      <c r="BO16" s="438">
        <f t="shared" ca="1" si="109"/>
        <v>20</v>
      </c>
      <c r="BP16" s="442">
        <f t="shared" ca="1" si="15"/>
        <v>20</v>
      </c>
      <c r="BQ16" s="443" t="str">
        <f t="shared" ca="1" si="110"/>
        <v/>
      </c>
      <c r="BR16" s="441"/>
      <c r="BS16" s="437">
        <f t="shared" ca="1" si="111"/>
        <v>0</v>
      </c>
      <c r="BT16" s="438">
        <f t="shared" ca="1" si="112"/>
        <v>23</v>
      </c>
      <c r="BU16" s="442">
        <f t="shared" ca="1" si="19"/>
        <v>23</v>
      </c>
      <c r="BV16" s="443" t="str">
        <f t="shared" ca="1" si="113"/>
        <v/>
      </c>
      <c r="BW16" s="441"/>
      <c r="BX16" s="437">
        <f t="shared" ca="1" si="114"/>
        <v>0</v>
      </c>
      <c r="BY16" s="438">
        <f t="shared" ca="1" si="115"/>
        <v>0</v>
      </c>
      <c r="BZ16" s="442" t="str">
        <f t="shared" ca="1" si="23"/>
        <v/>
      </c>
      <c r="CA16" s="443" t="str">
        <f t="shared" ca="1" si="116"/>
        <v/>
      </c>
      <c r="CB16" s="441"/>
      <c r="CC16" s="437">
        <f t="shared" ca="1" si="25"/>
        <v>0</v>
      </c>
      <c r="CD16" s="438">
        <f t="shared" ca="1" si="117"/>
        <v>0</v>
      </c>
      <c r="CE16" s="442" t="str">
        <f t="shared" ca="1" si="27"/>
        <v/>
      </c>
      <c r="CF16" s="443" t="str">
        <f t="shared" ca="1" si="118"/>
        <v/>
      </c>
      <c r="CG16" s="441"/>
      <c r="CH16" s="437">
        <f t="shared" ca="1" si="119"/>
        <v>0</v>
      </c>
      <c r="CI16" s="438">
        <f t="shared" ca="1" si="120"/>
        <v>0</v>
      </c>
      <c r="CJ16" s="442" t="str">
        <f t="shared" ca="1" si="31"/>
        <v/>
      </c>
      <c r="CK16" s="443" t="str">
        <f t="shared" ca="1" si="121"/>
        <v/>
      </c>
      <c r="CL16" s="441"/>
      <c r="CM16" s="437">
        <f t="shared" ca="1" si="122"/>
        <v>0</v>
      </c>
      <c r="CN16" s="438">
        <f t="shared" ca="1" si="123"/>
        <v>0</v>
      </c>
      <c r="CO16" s="442" t="str">
        <f t="shared" ca="1" si="35"/>
        <v/>
      </c>
      <c r="CP16" s="443" t="str">
        <f t="shared" ca="1" si="124"/>
        <v/>
      </c>
      <c r="CQ16" s="441"/>
      <c r="CR16" s="437">
        <f t="shared" ca="1" si="125"/>
        <v>0</v>
      </c>
      <c r="CS16" s="438">
        <f t="shared" ca="1" si="126"/>
        <v>0</v>
      </c>
      <c r="CT16" s="442" t="str">
        <f t="shared" ca="1" si="39"/>
        <v/>
      </c>
      <c r="CU16" s="443" t="str">
        <f t="shared" ca="1" si="127"/>
        <v/>
      </c>
      <c r="CV16" s="441"/>
      <c r="CW16" s="437">
        <f t="shared" ca="1" si="128"/>
        <v>0</v>
      </c>
      <c r="CX16" s="438">
        <f t="shared" ca="1" si="129"/>
        <v>0</v>
      </c>
      <c r="CY16" s="442" t="str">
        <f t="shared" ca="1" si="43"/>
        <v/>
      </c>
      <c r="CZ16" s="443" t="str">
        <f t="shared" ca="1" si="130"/>
        <v/>
      </c>
      <c r="DA16" s="441"/>
      <c r="DB16" s="437">
        <f t="shared" ca="1" si="131"/>
        <v>0</v>
      </c>
      <c r="DC16" s="438">
        <f t="shared" ca="1" si="132"/>
        <v>0</v>
      </c>
      <c r="DD16" s="442" t="str">
        <f t="shared" ca="1" si="47"/>
        <v/>
      </c>
      <c r="DE16" s="443" t="str">
        <f t="shared" ca="1" si="133"/>
        <v/>
      </c>
      <c r="DF16" s="441"/>
      <c r="DG16" s="437">
        <f t="shared" ca="1" si="134"/>
        <v>0</v>
      </c>
      <c r="DH16" s="438">
        <f t="shared" ca="1" si="135"/>
        <v>0</v>
      </c>
      <c r="DI16" s="442" t="str">
        <f t="shared" ca="1" si="51"/>
        <v/>
      </c>
      <c r="DJ16" s="443" t="str">
        <f t="shared" ca="1" si="136"/>
        <v/>
      </c>
      <c r="DK16" s="441"/>
      <c r="DL16" s="437">
        <f t="shared" ca="1" si="137"/>
        <v>0</v>
      </c>
      <c r="DM16" s="438">
        <f t="shared" ca="1" si="138"/>
        <v>0</v>
      </c>
      <c r="DN16" s="442" t="str">
        <f t="shared" ca="1" si="55"/>
        <v/>
      </c>
      <c r="DO16" s="443" t="str">
        <f t="shared" ca="1" si="139"/>
        <v/>
      </c>
      <c r="DP16" s="453"/>
    </row>
    <row r="17" spans="1:120" x14ac:dyDescent="0.35">
      <c r="A17" s="52">
        <v>4</v>
      </c>
      <c r="B17" s="54" t="str">
        <f>IF(ISERROR(VLOOKUP(A17,Planning!$A$12:$B$53,2,0)),"",VLOOKUP(A17,Planning!$A$12:$B$53,2,0))</f>
        <v>TECH.N1</v>
      </c>
      <c r="C17" s="96" t="str">
        <f>IF(ISERROR(VLOOKUP(A17,Planning!$A$12:$E$53,4,0)),"",VLOOKUP(A17,Planning!$A$12:$E65,4,0))</f>
        <v>EXT</v>
      </c>
      <c r="D17" s="96" t="str">
        <f>IF(ISERROR(VLOOKUP(A17,Planning!$A$12:$E$53,5,0)),"",VLOOKUP(A17,Planning!$A$12:$E65,5,0))</f>
        <v>ITG</v>
      </c>
      <c r="E17" s="157">
        <f t="shared" ca="1" si="140"/>
        <v>0</v>
      </c>
      <c r="F17" s="93">
        <f t="shared" ca="1" si="141"/>
        <v>25</v>
      </c>
      <c r="G17" s="406"/>
      <c r="H17" s="435">
        <f t="shared" ca="1" si="57"/>
        <v>0</v>
      </c>
      <c r="I17" s="435">
        <f t="shared" ca="1" si="58"/>
        <v>0</v>
      </c>
      <c r="J17" s="435">
        <f t="shared" ca="1" si="59"/>
        <v>0</v>
      </c>
      <c r="K17" s="435">
        <f t="shared" ca="1" si="60"/>
        <v>0</v>
      </c>
      <c r="L17" s="435">
        <f t="shared" ca="1" si="61"/>
        <v>0</v>
      </c>
      <c r="M17" s="435">
        <f t="shared" ca="1" si="62"/>
        <v>0</v>
      </c>
      <c r="N17" s="435">
        <f t="shared" ca="1" si="63"/>
        <v>0</v>
      </c>
      <c r="O17" s="435">
        <f t="shared" ca="1" si="64"/>
        <v>0</v>
      </c>
      <c r="P17" s="435">
        <f t="shared" ca="1" si="65"/>
        <v>0</v>
      </c>
      <c r="Q17" s="435">
        <f t="shared" ca="1" si="66"/>
        <v>0</v>
      </c>
      <c r="R17" s="435">
        <f t="shared" ca="1" si="67"/>
        <v>0</v>
      </c>
      <c r="S17" s="435">
        <f t="shared" ca="1" si="68"/>
        <v>0</v>
      </c>
      <c r="T17" s="406"/>
      <c r="U17" s="436" t="str">
        <f t="shared" ca="1" si="69"/>
        <v/>
      </c>
      <c r="V17" s="436">
        <f t="shared" ca="1" si="70"/>
        <v>2</v>
      </c>
      <c r="W17" s="436">
        <f t="shared" ca="1" si="71"/>
        <v>23</v>
      </c>
      <c r="X17" s="436" t="str">
        <f t="shared" ca="1" si="72"/>
        <v/>
      </c>
      <c r="Y17" s="436" t="str">
        <f t="shared" ca="1" si="73"/>
        <v/>
      </c>
      <c r="Z17" s="436" t="str">
        <f t="shared" ca="1" si="74"/>
        <v/>
      </c>
      <c r="AA17" s="436" t="str">
        <f t="shared" ca="1" si="75"/>
        <v/>
      </c>
      <c r="AB17" s="436" t="str">
        <f t="shared" ca="1" si="76"/>
        <v/>
      </c>
      <c r="AC17" s="436" t="str">
        <f t="shared" ca="1" si="77"/>
        <v/>
      </c>
      <c r="AD17" s="436" t="str">
        <f t="shared" ca="1" si="78"/>
        <v/>
      </c>
      <c r="AE17" s="436" t="str">
        <f t="shared" ca="1" si="79"/>
        <v/>
      </c>
      <c r="AF17" s="436" t="str">
        <f t="shared" ca="1" si="80"/>
        <v/>
      </c>
      <c r="AG17" s="406"/>
      <c r="AH17" s="436" t="str">
        <f t="shared" ca="1" si="81"/>
        <v/>
      </c>
      <c r="AI17" s="436">
        <f t="shared" ca="1" si="82"/>
        <v>2</v>
      </c>
      <c r="AJ17" s="436">
        <f t="shared" ca="1" si="83"/>
        <v>23</v>
      </c>
      <c r="AK17" s="436" t="str">
        <f t="shared" ca="1" si="84"/>
        <v/>
      </c>
      <c r="AL17" s="436" t="str">
        <f t="shared" ca="1" si="85"/>
        <v/>
      </c>
      <c r="AM17" s="436" t="str">
        <f t="shared" ca="1" si="86"/>
        <v/>
      </c>
      <c r="AN17" s="436" t="str">
        <f t="shared" ca="1" si="87"/>
        <v/>
      </c>
      <c r="AO17" s="436" t="str">
        <f t="shared" ca="1" si="88"/>
        <v/>
      </c>
      <c r="AP17" s="436" t="str">
        <f t="shared" ca="1" si="89"/>
        <v/>
      </c>
      <c r="AQ17" s="436" t="str">
        <f t="shared" ca="1" si="90"/>
        <v/>
      </c>
      <c r="AR17" s="436" t="str">
        <f t="shared" ca="1" si="91"/>
        <v/>
      </c>
      <c r="AS17" s="436" t="str">
        <f t="shared" ca="1" si="92"/>
        <v/>
      </c>
      <c r="AT17" s="406"/>
      <c r="AU17" s="436" t="str">
        <f t="shared" ca="1" si="93"/>
        <v/>
      </c>
      <c r="AV17" s="436" t="str">
        <f t="shared" ca="1" si="94"/>
        <v/>
      </c>
      <c r="AW17" s="436" t="str">
        <f t="shared" ca="1" si="95"/>
        <v/>
      </c>
      <c r="AX17" s="436" t="str">
        <f t="shared" ca="1" si="96"/>
        <v/>
      </c>
      <c r="AY17" s="436" t="str">
        <f t="shared" ca="1" si="97"/>
        <v/>
      </c>
      <c r="AZ17" s="436" t="str">
        <f t="shared" ca="1" si="98"/>
        <v/>
      </c>
      <c r="BA17" s="436" t="str">
        <f t="shared" ca="1" si="99"/>
        <v/>
      </c>
      <c r="BB17" s="436" t="str">
        <f t="shared" ca="1" si="100"/>
        <v/>
      </c>
      <c r="BC17" s="436" t="str">
        <f t="shared" ca="1" si="101"/>
        <v/>
      </c>
      <c r="BD17" s="436" t="str">
        <f t="shared" ca="1" si="102"/>
        <v/>
      </c>
      <c r="BE17" s="436" t="str">
        <f t="shared" ca="1" si="103"/>
        <v/>
      </c>
      <c r="BF17" s="436" t="str">
        <f t="shared" ca="1" si="104"/>
        <v/>
      </c>
      <c r="BG17" s="406"/>
      <c r="BH17" s="453"/>
      <c r="BI17" s="437">
        <f t="shared" ca="1" si="105"/>
        <v>0</v>
      </c>
      <c r="BJ17" s="438">
        <f t="shared" ca="1" si="106"/>
        <v>0</v>
      </c>
      <c r="BK17" s="442" t="str">
        <f t="shared" ca="1" si="11"/>
        <v/>
      </c>
      <c r="BL17" s="443" t="str">
        <f t="shared" ca="1" si="107"/>
        <v/>
      </c>
      <c r="BM17" s="441"/>
      <c r="BN17" s="437">
        <f t="shared" ca="1" si="108"/>
        <v>0</v>
      </c>
      <c r="BO17" s="438">
        <f t="shared" ca="1" si="109"/>
        <v>2</v>
      </c>
      <c r="BP17" s="442">
        <f t="shared" ca="1" si="15"/>
        <v>2</v>
      </c>
      <c r="BQ17" s="443" t="str">
        <f t="shared" ca="1" si="110"/>
        <v/>
      </c>
      <c r="BR17" s="441"/>
      <c r="BS17" s="437">
        <f t="shared" ca="1" si="111"/>
        <v>0</v>
      </c>
      <c r="BT17" s="438">
        <f t="shared" ca="1" si="112"/>
        <v>23</v>
      </c>
      <c r="BU17" s="442">
        <f t="shared" ca="1" si="19"/>
        <v>23</v>
      </c>
      <c r="BV17" s="443" t="str">
        <f t="shared" ca="1" si="113"/>
        <v/>
      </c>
      <c r="BW17" s="441"/>
      <c r="BX17" s="437">
        <f t="shared" ca="1" si="114"/>
        <v>0</v>
      </c>
      <c r="BY17" s="438">
        <f t="shared" ca="1" si="115"/>
        <v>0</v>
      </c>
      <c r="BZ17" s="442" t="str">
        <f t="shared" ca="1" si="23"/>
        <v/>
      </c>
      <c r="CA17" s="443" t="str">
        <f t="shared" ca="1" si="116"/>
        <v/>
      </c>
      <c r="CB17" s="441"/>
      <c r="CC17" s="437">
        <f t="shared" ca="1" si="25"/>
        <v>0</v>
      </c>
      <c r="CD17" s="438">
        <f t="shared" ca="1" si="117"/>
        <v>0</v>
      </c>
      <c r="CE17" s="442" t="str">
        <f t="shared" ca="1" si="27"/>
        <v/>
      </c>
      <c r="CF17" s="443" t="str">
        <f t="shared" ca="1" si="118"/>
        <v/>
      </c>
      <c r="CG17" s="441"/>
      <c r="CH17" s="437">
        <f t="shared" ca="1" si="119"/>
        <v>0</v>
      </c>
      <c r="CI17" s="438">
        <f t="shared" ca="1" si="120"/>
        <v>0</v>
      </c>
      <c r="CJ17" s="442" t="str">
        <f t="shared" ca="1" si="31"/>
        <v/>
      </c>
      <c r="CK17" s="443" t="str">
        <f t="shared" ca="1" si="121"/>
        <v/>
      </c>
      <c r="CL17" s="441"/>
      <c r="CM17" s="437">
        <f t="shared" ca="1" si="122"/>
        <v>0</v>
      </c>
      <c r="CN17" s="438">
        <f t="shared" ca="1" si="123"/>
        <v>0</v>
      </c>
      <c r="CO17" s="442" t="str">
        <f t="shared" ca="1" si="35"/>
        <v/>
      </c>
      <c r="CP17" s="443" t="str">
        <f t="shared" ca="1" si="124"/>
        <v/>
      </c>
      <c r="CQ17" s="441"/>
      <c r="CR17" s="437">
        <f t="shared" ca="1" si="125"/>
        <v>0</v>
      </c>
      <c r="CS17" s="438">
        <f t="shared" ca="1" si="126"/>
        <v>0</v>
      </c>
      <c r="CT17" s="442" t="str">
        <f t="shared" ca="1" si="39"/>
        <v/>
      </c>
      <c r="CU17" s="443" t="str">
        <f t="shared" ca="1" si="127"/>
        <v/>
      </c>
      <c r="CV17" s="441"/>
      <c r="CW17" s="437">
        <f t="shared" ca="1" si="128"/>
        <v>0</v>
      </c>
      <c r="CX17" s="438">
        <f t="shared" ca="1" si="129"/>
        <v>0</v>
      </c>
      <c r="CY17" s="442" t="str">
        <f t="shared" ca="1" si="43"/>
        <v/>
      </c>
      <c r="CZ17" s="443" t="str">
        <f t="shared" ca="1" si="130"/>
        <v/>
      </c>
      <c r="DA17" s="441"/>
      <c r="DB17" s="437">
        <f t="shared" ca="1" si="131"/>
        <v>0</v>
      </c>
      <c r="DC17" s="438">
        <f t="shared" ca="1" si="132"/>
        <v>0</v>
      </c>
      <c r="DD17" s="442" t="str">
        <f t="shared" ca="1" si="47"/>
        <v/>
      </c>
      <c r="DE17" s="443" t="str">
        <f t="shared" ca="1" si="133"/>
        <v/>
      </c>
      <c r="DF17" s="441"/>
      <c r="DG17" s="437">
        <f t="shared" ca="1" si="134"/>
        <v>0</v>
      </c>
      <c r="DH17" s="438">
        <f t="shared" ca="1" si="135"/>
        <v>0</v>
      </c>
      <c r="DI17" s="442" t="str">
        <f t="shared" ca="1" si="51"/>
        <v/>
      </c>
      <c r="DJ17" s="443" t="str">
        <f t="shared" ca="1" si="136"/>
        <v/>
      </c>
      <c r="DK17" s="441"/>
      <c r="DL17" s="437">
        <f t="shared" ca="1" si="137"/>
        <v>0</v>
      </c>
      <c r="DM17" s="438">
        <f t="shared" ca="1" si="138"/>
        <v>0</v>
      </c>
      <c r="DN17" s="442" t="str">
        <f t="shared" ca="1" si="55"/>
        <v/>
      </c>
      <c r="DO17" s="443" t="str">
        <f t="shared" ca="1" si="139"/>
        <v/>
      </c>
      <c r="DP17" s="453"/>
    </row>
    <row r="18" spans="1:120" x14ac:dyDescent="0.35">
      <c r="A18" s="52">
        <v>6</v>
      </c>
      <c r="B18" s="54" t="str">
        <f>IF(ISERROR(VLOOKUP(A18,Planning!$A$12:$B$53,2,0)),"",VLOOKUP(A18,Planning!$A$12:$B$53,2,0))</f>
        <v>TECH.N1</v>
      </c>
      <c r="C18" s="96" t="str">
        <f>IF(ISERROR(VLOOKUP(A18,Planning!$A$12:$E$53,4,0)),"",VLOOKUP(A18,Planning!$A$12:$E66,4,0))</f>
        <v>EXT</v>
      </c>
      <c r="D18" s="96" t="str">
        <f>IF(ISERROR(VLOOKUP(A18,Planning!$A$12:$E$53,5,0)),"",VLOOKUP(A18,Planning!$A$12:$E66,5,0))</f>
        <v>ITG</v>
      </c>
      <c r="E18" s="157">
        <f t="shared" ca="1" si="140"/>
        <v>0</v>
      </c>
      <c r="F18" s="93">
        <f t="shared" ca="1" si="141"/>
        <v>25</v>
      </c>
      <c r="G18" s="406"/>
      <c r="H18" s="435">
        <f t="shared" ca="1" si="57"/>
        <v>0</v>
      </c>
      <c r="I18" s="435">
        <f t="shared" ca="1" si="58"/>
        <v>0</v>
      </c>
      <c r="J18" s="435">
        <f t="shared" ca="1" si="59"/>
        <v>0</v>
      </c>
      <c r="K18" s="435">
        <f t="shared" ca="1" si="60"/>
        <v>0</v>
      </c>
      <c r="L18" s="435">
        <f t="shared" ca="1" si="61"/>
        <v>0</v>
      </c>
      <c r="M18" s="435">
        <f t="shared" ca="1" si="62"/>
        <v>0</v>
      </c>
      <c r="N18" s="435">
        <f t="shared" ca="1" si="63"/>
        <v>0</v>
      </c>
      <c r="O18" s="435">
        <f t="shared" ca="1" si="64"/>
        <v>0</v>
      </c>
      <c r="P18" s="435">
        <f t="shared" ca="1" si="65"/>
        <v>0</v>
      </c>
      <c r="Q18" s="435">
        <f t="shared" ca="1" si="66"/>
        <v>0</v>
      </c>
      <c r="R18" s="435">
        <f t="shared" ca="1" si="67"/>
        <v>0</v>
      </c>
      <c r="S18" s="435">
        <f t="shared" ca="1" si="68"/>
        <v>0</v>
      </c>
      <c r="T18" s="406"/>
      <c r="U18" s="436" t="str">
        <f t="shared" ca="1" si="69"/>
        <v/>
      </c>
      <c r="V18" s="436">
        <f t="shared" ca="1" si="70"/>
        <v>2</v>
      </c>
      <c r="W18" s="436">
        <f t="shared" ca="1" si="71"/>
        <v>23</v>
      </c>
      <c r="X18" s="436" t="str">
        <f t="shared" ca="1" si="72"/>
        <v/>
      </c>
      <c r="Y18" s="436" t="str">
        <f t="shared" ca="1" si="73"/>
        <v/>
      </c>
      <c r="Z18" s="436" t="str">
        <f t="shared" ca="1" si="74"/>
        <v/>
      </c>
      <c r="AA18" s="436" t="str">
        <f t="shared" ca="1" si="75"/>
        <v/>
      </c>
      <c r="AB18" s="436" t="str">
        <f t="shared" ca="1" si="76"/>
        <v/>
      </c>
      <c r="AC18" s="436" t="str">
        <f t="shared" ca="1" si="77"/>
        <v/>
      </c>
      <c r="AD18" s="436" t="str">
        <f t="shared" ca="1" si="78"/>
        <v/>
      </c>
      <c r="AE18" s="436" t="str">
        <f t="shared" ca="1" si="79"/>
        <v/>
      </c>
      <c r="AF18" s="436" t="str">
        <f t="shared" ca="1" si="80"/>
        <v/>
      </c>
      <c r="AG18" s="406"/>
      <c r="AH18" s="436" t="str">
        <f t="shared" ca="1" si="81"/>
        <v/>
      </c>
      <c r="AI18" s="436">
        <f t="shared" ca="1" si="82"/>
        <v>2</v>
      </c>
      <c r="AJ18" s="436">
        <f t="shared" ca="1" si="83"/>
        <v>23</v>
      </c>
      <c r="AK18" s="436" t="str">
        <f t="shared" ca="1" si="84"/>
        <v/>
      </c>
      <c r="AL18" s="436" t="str">
        <f t="shared" ca="1" si="85"/>
        <v/>
      </c>
      <c r="AM18" s="436" t="str">
        <f t="shared" ca="1" si="86"/>
        <v/>
      </c>
      <c r="AN18" s="436" t="str">
        <f t="shared" ca="1" si="87"/>
        <v/>
      </c>
      <c r="AO18" s="436" t="str">
        <f t="shared" ca="1" si="88"/>
        <v/>
      </c>
      <c r="AP18" s="436" t="str">
        <f t="shared" ca="1" si="89"/>
        <v/>
      </c>
      <c r="AQ18" s="436" t="str">
        <f t="shared" ca="1" si="90"/>
        <v/>
      </c>
      <c r="AR18" s="436" t="str">
        <f t="shared" ca="1" si="91"/>
        <v/>
      </c>
      <c r="AS18" s="436" t="str">
        <f t="shared" ca="1" si="92"/>
        <v/>
      </c>
      <c r="AT18" s="406"/>
      <c r="AU18" s="436" t="str">
        <f t="shared" ca="1" si="93"/>
        <v/>
      </c>
      <c r="AV18" s="436" t="str">
        <f t="shared" ca="1" si="94"/>
        <v/>
      </c>
      <c r="AW18" s="436" t="str">
        <f t="shared" ca="1" si="95"/>
        <v/>
      </c>
      <c r="AX18" s="436" t="str">
        <f t="shared" ca="1" si="96"/>
        <v/>
      </c>
      <c r="AY18" s="436" t="str">
        <f t="shared" ca="1" si="97"/>
        <v/>
      </c>
      <c r="AZ18" s="436" t="str">
        <f t="shared" ca="1" si="98"/>
        <v/>
      </c>
      <c r="BA18" s="436" t="str">
        <f t="shared" ca="1" si="99"/>
        <v/>
      </c>
      <c r="BB18" s="436" t="str">
        <f t="shared" ca="1" si="100"/>
        <v/>
      </c>
      <c r="BC18" s="436" t="str">
        <f t="shared" ca="1" si="101"/>
        <v/>
      </c>
      <c r="BD18" s="436" t="str">
        <f t="shared" ca="1" si="102"/>
        <v/>
      </c>
      <c r="BE18" s="436" t="str">
        <f t="shared" ca="1" si="103"/>
        <v/>
      </c>
      <c r="BF18" s="436" t="str">
        <f t="shared" ca="1" si="104"/>
        <v/>
      </c>
      <c r="BG18" s="406"/>
      <c r="BH18" s="453"/>
      <c r="BI18" s="437">
        <f t="shared" ca="1" si="105"/>
        <v>0</v>
      </c>
      <c r="BJ18" s="438">
        <f t="shared" ca="1" si="106"/>
        <v>0</v>
      </c>
      <c r="BK18" s="442" t="str">
        <f t="shared" ca="1" si="11"/>
        <v/>
      </c>
      <c r="BL18" s="443" t="str">
        <f t="shared" ca="1" si="107"/>
        <v/>
      </c>
      <c r="BM18" s="441"/>
      <c r="BN18" s="437">
        <f t="shared" ca="1" si="108"/>
        <v>0</v>
      </c>
      <c r="BO18" s="438">
        <f t="shared" ca="1" si="109"/>
        <v>2</v>
      </c>
      <c r="BP18" s="442">
        <f t="shared" ca="1" si="15"/>
        <v>2</v>
      </c>
      <c r="BQ18" s="443" t="str">
        <f t="shared" ca="1" si="110"/>
        <v/>
      </c>
      <c r="BR18" s="441"/>
      <c r="BS18" s="437">
        <f t="shared" ca="1" si="111"/>
        <v>0</v>
      </c>
      <c r="BT18" s="438">
        <f t="shared" ca="1" si="112"/>
        <v>23</v>
      </c>
      <c r="BU18" s="442">
        <f t="shared" ca="1" si="19"/>
        <v>23</v>
      </c>
      <c r="BV18" s="443" t="str">
        <f t="shared" ca="1" si="113"/>
        <v/>
      </c>
      <c r="BW18" s="441"/>
      <c r="BX18" s="437">
        <f t="shared" ca="1" si="114"/>
        <v>0</v>
      </c>
      <c r="BY18" s="438">
        <f t="shared" ca="1" si="115"/>
        <v>0</v>
      </c>
      <c r="BZ18" s="442" t="str">
        <f t="shared" ca="1" si="23"/>
        <v/>
      </c>
      <c r="CA18" s="443" t="str">
        <f t="shared" ca="1" si="116"/>
        <v/>
      </c>
      <c r="CB18" s="441"/>
      <c r="CC18" s="437">
        <f t="shared" ca="1" si="25"/>
        <v>0</v>
      </c>
      <c r="CD18" s="438">
        <f t="shared" ca="1" si="117"/>
        <v>0</v>
      </c>
      <c r="CE18" s="442" t="str">
        <f t="shared" ca="1" si="27"/>
        <v/>
      </c>
      <c r="CF18" s="443" t="str">
        <f t="shared" ca="1" si="118"/>
        <v/>
      </c>
      <c r="CG18" s="441"/>
      <c r="CH18" s="437">
        <f t="shared" ca="1" si="119"/>
        <v>0</v>
      </c>
      <c r="CI18" s="438">
        <f t="shared" ca="1" si="120"/>
        <v>0</v>
      </c>
      <c r="CJ18" s="442" t="str">
        <f t="shared" ca="1" si="31"/>
        <v/>
      </c>
      <c r="CK18" s="443" t="str">
        <f t="shared" ca="1" si="121"/>
        <v/>
      </c>
      <c r="CL18" s="441"/>
      <c r="CM18" s="437">
        <f t="shared" ca="1" si="122"/>
        <v>0</v>
      </c>
      <c r="CN18" s="438">
        <f t="shared" ca="1" si="123"/>
        <v>0</v>
      </c>
      <c r="CO18" s="442" t="str">
        <f t="shared" ca="1" si="35"/>
        <v/>
      </c>
      <c r="CP18" s="443" t="str">
        <f t="shared" ca="1" si="124"/>
        <v/>
      </c>
      <c r="CQ18" s="441"/>
      <c r="CR18" s="437">
        <f t="shared" ca="1" si="125"/>
        <v>0</v>
      </c>
      <c r="CS18" s="438">
        <f t="shared" ca="1" si="126"/>
        <v>0</v>
      </c>
      <c r="CT18" s="442" t="str">
        <f t="shared" ca="1" si="39"/>
        <v/>
      </c>
      <c r="CU18" s="443" t="str">
        <f t="shared" ca="1" si="127"/>
        <v/>
      </c>
      <c r="CV18" s="441"/>
      <c r="CW18" s="437">
        <f t="shared" ca="1" si="128"/>
        <v>0</v>
      </c>
      <c r="CX18" s="438">
        <f t="shared" ca="1" si="129"/>
        <v>0</v>
      </c>
      <c r="CY18" s="442" t="str">
        <f t="shared" ca="1" si="43"/>
        <v/>
      </c>
      <c r="CZ18" s="443" t="str">
        <f t="shared" ca="1" si="130"/>
        <v/>
      </c>
      <c r="DA18" s="441"/>
      <c r="DB18" s="437">
        <f t="shared" ca="1" si="131"/>
        <v>0</v>
      </c>
      <c r="DC18" s="438">
        <f t="shared" ca="1" si="132"/>
        <v>0</v>
      </c>
      <c r="DD18" s="442" t="str">
        <f t="shared" ca="1" si="47"/>
        <v/>
      </c>
      <c r="DE18" s="443" t="str">
        <f t="shared" ca="1" si="133"/>
        <v/>
      </c>
      <c r="DF18" s="441"/>
      <c r="DG18" s="437">
        <f t="shared" ca="1" si="134"/>
        <v>0</v>
      </c>
      <c r="DH18" s="438">
        <f t="shared" ca="1" si="135"/>
        <v>0</v>
      </c>
      <c r="DI18" s="442" t="str">
        <f t="shared" ca="1" si="51"/>
        <v/>
      </c>
      <c r="DJ18" s="443" t="str">
        <f t="shared" ca="1" si="136"/>
        <v/>
      </c>
      <c r="DK18" s="441"/>
      <c r="DL18" s="437">
        <f t="shared" ca="1" si="137"/>
        <v>0</v>
      </c>
      <c r="DM18" s="438">
        <f t="shared" ca="1" si="138"/>
        <v>0</v>
      </c>
      <c r="DN18" s="442" t="str">
        <f t="shared" ca="1" si="55"/>
        <v/>
      </c>
      <c r="DO18" s="443" t="str">
        <f t="shared" ca="1" si="139"/>
        <v/>
      </c>
      <c r="DP18" s="453"/>
    </row>
    <row r="19" spans="1:120" x14ac:dyDescent="0.35">
      <c r="A19" s="52">
        <v>7</v>
      </c>
      <c r="B19" s="54" t="str">
        <f>IF(ISERROR(VLOOKUP(A19,Planning!$A$12:$B$53,2,0)),"",VLOOKUP(A19,Planning!$A$12:$B$53,2,0))</f>
        <v>TECH.N1</v>
      </c>
      <c r="C19" s="96" t="str">
        <f>IF(ISERROR(VLOOKUP(A19,Planning!$A$12:$E$53,4,0)),"",VLOOKUP(A19,Planning!$A$12:$E67,4,0))</f>
        <v>EXT</v>
      </c>
      <c r="D19" s="96" t="str">
        <f>IF(ISERROR(VLOOKUP(A19,Planning!$A$12:$E$53,5,0)),"",VLOOKUP(A19,Planning!$A$12:$E67,5,0))</f>
        <v>ITG</v>
      </c>
      <c r="E19" s="157">
        <f t="shared" ca="1" si="140"/>
        <v>0</v>
      </c>
      <c r="F19" s="93">
        <f t="shared" ca="1" si="141"/>
        <v>15</v>
      </c>
      <c r="G19" s="406"/>
      <c r="H19" s="435">
        <f t="shared" ca="1" si="57"/>
        <v>0</v>
      </c>
      <c r="I19" s="435">
        <f t="shared" ca="1" si="58"/>
        <v>0</v>
      </c>
      <c r="J19" s="435">
        <f t="shared" ca="1" si="59"/>
        <v>0</v>
      </c>
      <c r="K19" s="435">
        <f t="shared" ca="1" si="60"/>
        <v>0</v>
      </c>
      <c r="L19" s="435">
        <f t="shared" ca="1" si="61"/>
        <v>0</v>
      </c>
      <c r="M19" s="435">
        <f t="shared" ca="1" si="62"/>
        <v>0</v>
      </c>
      <c r="N19" s="435">
        <f t="shared" ca="1" si="63"/>
        <v>0</v>
      </c>
      <c r="O19" s="435">
        <f t="shared" ca="1" si="64"/>
        <v>0</v>
      </c>
      <c r="P19" s="435">
        <f t="shared" ca="1" si="65"/>
        <v>0</v>
      </c>
      <c r="Q19" s="435">
        <f t="shared" ca="1" si="66"/>
        <v>0</v>
      </c>
      <c r="R19" s="435">
        <f t="shared" ca="1" si="67"/>
        <v>0</v>
      </c>
      <c r="S19" s="435">
        <f t="shared" ca="1" si="68"/>
        <v>0</v>
      </c>
      <c r="T19" s="406"/>
      <c r="U19" s="436" t="str">
        <f t="shared" ca="1" si="69"/>
        <v/>
      </c>
      <c r="V19" s="436" t="str">
        <f t="shared" ca="1" si="70"/>
        <v/>
      </c>
      <c r="W19" s="436">
        <f t="shared" ca="1" si="71"/>
        <v>15</v>
      </c>
      <c r="X19" s="436" t="str">
        <f t="shared" ca="1" si="72"/>
        <v/>
      </c>
      <c r="Y19" s="436" t="str">
        <f t="shared" ca="1" si="73"/>
        <v/>
      </c>
      <c r="Z19" s="436" t="str">
        <f t="shared" ca="1" si="74"/>
        <v/>
      </c>
      <c r="AA19" s="436" t="str">
        <f t="shared" ca="1" si="75"/>
        <v/>
      </c>
      <c r="AB19" s="436" t="str">
        <f t="shared" ca="1" si="76"/>
        <v/>
      </c>
      <c r="AC19" s="436" t="str">
        <f t="shared" ca="1" si="77"/>
        <v/>
      </c>
      <c r="AD19" s="436" t="str">
        <f t="shared" ca="1" si="78"/>
        <v/>
      </c>
      <c r="AE19" s="436" t="str">
        <f t="shared" ca="1" si="79"/>
        <v/>
      </c>
      <c r="AF19" s="436" t="str">
        <f t="shared" ca="1" si="80"/>
        <v/>
      </c>
      <c r="AG19" s="406"/>
      <c r="AH19" s="436" t="str">
        <f t="shared" ca="1" si="81"/>
        <v/>
      </c>
      <c r="AI19" s="436" t="str">
        <f t="shared" ca="1" si="82"/>
        <v/>
      </c>
      <c r="AJ19" s="436">
        <f t="shared" ca="1" si="83"/>
        <v>15</v>
      </c>
      <c r="AK19" s="436" t="str">
        <f t="shared" ca="1" si="84"/>
        <v/>
      </c>
      <c r="AL19" s="436" t="str">
        <f t="shared" ca="1" si="85"/>
        <v/>
      </c>
      <c r="AM19" s="436" t="str">
        <f t="shared" ca="1" si="86"/>
        <v/>
      </c>
      <c r="AN19" s="436" t="str">
        <f t="shared" ca="1" si="87"/>
        <v/>
      </c>
      <c r="AO19" s="436" t="str">
        <f t="shared" ca="1" si="88"/>
        <v/>
      </c>
      <c r="AP19" s="436" t="str">
        <f t="shared" ca="1" si="89"/>
        <v/>
      </c>
      <c r="AQ19" s="436" t="str">
        <f t="shared" ca="1" si="90"/>
        <v/>
      </c>
      <c r="AR19" s="436" t="str">
        <f t="shared" ca="1" si="91"/>
        <v/>
      </c>
      <c r="AS19" s="436" t="str">
        <f t="shared" ca="1" si="92"/>
        <v/>
      </c>
      <c r="AT19" s="406"/>
      <c r="AU19" s="436" t="str">
        <f t="shared" ca="1" si="93"/>
        <v/>
      </c>
      <c r="AV19" s="436" t="str">
        <f t="shared" ca="1" si="94"/>
        <v/>
      </c>
      <c r="AW19" s="436" t="str">
        <f t="shared" ca="1" si="95"/>
        <v/>
      </c>
      <c r="AX19" s="436" t="str">
        <f t="shared" ca="1" si="96"/>
        <v/>
      </c>
      <c r="AY19" s="436" t="str">
        <f t="shared" ca="1" si="97"/>
        <v/>
      </c>
      <c r="AZ19" s="436" t="str">
        <f t="shared" ca="1" si="98"/>
        <v/>
      </c>
      <c r="BA19" s="436" t="str">
        <f t="shared" ca="1" si="99"/>
        <v/>
      </c>
      <c r="BB19" s="436" t="str">
        <f t="shared" ca="1" si="100"/>
        <v/>
      </c>
      <c r="BC19" s="436" t="str">
        <f t="shared" ca="1" si="101"/>
        <v/>
      </c>
      <c r="BD19" s="436" t="str">
        <f t="shared" ca="1" si="102"/>
        <v/>
      </c>
      <c r="BE19" s="436" t="str">
        <f t="shared" ca="1" si="103"/>
        <v/>
      </c>
      <c r="BF19" s="436" t="str">
        <f t="shared" ca="1" si="104"/>
        <v/>
      </c>
      <c r="BG19" s="406"/>
      <c r="BH19" s="453"/>
      <c r="BI19" s="437">
        <f t="shared" ca="1" si="105"/>
        <v>0</v>
      </c>
      <c r="BJ19" s="438">
        <f t="shared" ca="1" si="106"/>
        <v>0</v>
      </c>
      <c r="BK19" s="442" t="str">
        <f t="shared" ca="1" si="11"/>
        <v/>
      </c>
      <c r="BL19" s="443" t="str">
        <f t="shared" ca="1" si="107"/>
        <v/>
      </c>
      <c r="BM19" s="441"/>
      <c r="BN19" s="437">
        <f t="shared" ca="1" si="108"/>
        <v>0</v>
      </c>
      <c r="BO19" s="438">
        <f t="shared" ca="1" si="109"/>
        <v>0</v>
      </c>
      <c r="BP19" s="442" t="str">
        <f t="shared" ca="1" si="15"/>
        <v/>
      </c>
      <c r="BQ19" s="443" t="str">
        <f t="shared" ca="1" si="110"/>
        <v/>
      </c>
      <c r="BR19" s="441"/>
      <c r="BS19" s="437">
        <f t="shared" ca="1" si="111"/>
        <v>0</v>
      </c>
      <c r="BT19" s="438">
        <f t="shared" ca="1" si="112"/>
        <v>15</v>
      </c>
      <c r="BU19" s="442">
        <f t="shared" ca="1" si="19"/>
        <v>15</v>
      </c>
      <c r="BV19" s="443" t="str">
        <f t="shared" ca="1" si="113"/>
        <v/>
      </c>
      <c r="BW19" s="441"/>
      <c r="BX19" s="437">
        <f t="shared" ca="1" si="114"/>
        <v>0</v>
      </c>
      <c r="BY19" s="438">
        <f t="shared" ca="1" si="115"/>
        <v>0</v>
      </c>
      <c r="BZ19" s="442" t="str">
        <f t="shared" ca="1" si="23"/>
        <v/>
      </c>
      <c r="CA19" s="443" t="str">
        <f t="shared" ca="1" si="116"/>
        <v/>
      </c>
      <c r="CB19" s="441"/>
      <c r="CC19" s="437">
        <f t="shared" ca="1" si="25"/>
        <v>0</v>
      </c>
      <c r="CD19" s="438">
        <f t="shared" ca="1" si="117"/>
        <v>0</v>
      </c>
      <c r="CE19" s="442" t="str">
        <f t="shared" ca="1" si="27"/>
        <v/>
      </c>
      <c r="CF19" s="443" t="str">
        <f t="shared" ca="1" si="118"/>
        <v/>
      </c>
      <c r="CG19" s="441"/>
      <c r="CH19" s="437">
        <f t="shared" ca="1" si="119"/>
        <v>0</v>
      </c>
      <c r="CI19" s="438">
        <f t="shared" ca="1" si="120"/>
        <v>0</v>
      </c>
      <c r="CJ19" s="442" t="str">
        <f t="shared" ca="1" si="31"/>
        <v/>
      </c>
      <c r="CK19" s="443" t="str">
        <f t="shared" ca="1" si="121"/>
        <v/>
      </c>
      <c r="CL19" s="441"/>
      <c r="CM19" s="437">
        <f t="shared" ca="1" si="122"/>
        <v>0</v>
      </c>
      <c r="CN19" s="438">
        <f t="shared" ca="1" si="123"/>
        <v>0</v>
      </c>
      <c r="CO19" s="442" t="str">
        <f t="shared" ca="1" si="35"/>
        <v/>
      </c>
      <c r="CP19" s="443" t="str">
        <f t="shared" ca="1" si="124"/>
        <v/>
      </c>
      <c r="CQ19" s="441"/>
      <c r="CR19" s="437">
        <f t="shared" ca="1" si="125"/>
        <v>0</v>
      </c>
      <c r="CS19" s="438">
        <f t="shared" ca="1" si="126"/>
        <v>0</v>
      </c>
      <c r="CT19" s="442" t="str">
        <f t="shared" ca="1" si="39"/>
        <v/>
      </c>
      <c r="CU19" s="443" t="str">
        <f t="shared" ca="1" si="127"/>
        <v/>
      </c>
      <c r="CV19" s="441"/>
      <c r="CW19" s="437">
        <f t="shared" ca="1" si="128"/>
        <v>0</v>
      </c>
      <c r="CX19" s="438">
        <f t="shared" ca="1" si="129"/>
        <v>0</v>
      </c>
      <c r="CY19" s="442" t="str">
        <f t="shared" ca="1" si="43"/>
        <v/>
      </c>
      <c r="CZ19" s="443" t="str">
        <f t="shared" ca="1" si="130"/>
        <v/>
      </c>
      <c r="DA19" s="441"/>
      <c r="DB19" s="437">
        <f t="shared" ca="1" si="131"/>
        <v>0</v>
      </c>
      <c r="DC19" s="438">
        <f t="shared" ca="1" si="132"/>
        <v>0</v>
      </c>
      <c r="DD19" s="442" t="str">
        <f t="shared" ca="1" si="47"/>
        <v/>
      </c>
      <c r="DE19" s="443" t="str">
        <f t="shared" ca="1" si="133"/>
        <v/>
      </c>
      <c r="DF19" s="441"/>
      <c r="DG19" s="437">
        <f t="shared" ca="1" si="134"/>
        <v>0</v>
      </c>
      <c r="DH19" s="438">
        <f t="shared" ca="1" si="135"/>
        <v>0</v>
      </c>
      <c r="DI19" s="442" t="str">
        <f t="shared" ca="1" si="51"/>
        <v/>
      </c>
      <c r="DJ19" s="443" t="str">
        <f t="shared" ca="1" si="136"/>
        <v/>
      </c>
      <c r="DK19" s="441"/>
      <c r="DL19" s="437">
        <f t="shared" ca="1" si="137"/>
        <v>0</v>
      </c>
      <c r="DM19" s="438">
        <f t="shared" ca="1" si="138"/>
        <v>0</v>
      </c>
      <c r="DN19" s="442" t="str">
        <f t="shared" ca="1" si="55"/>
        <v/>
      </c>
      <c r="DO19" s="443" t="str">
        <f t="shared" ca="1" si="139"/>
        <v/>
      </c>
      <c r="DP19" s="453"/>
    </row>
    <row r="20" spans="1:120" x14ac:dyDescent="0.35">
      <c r="A20" s="52">
        <v>8</v>
      </c>
      <c r="B20" s="54" t="str">
        <f>IF(ISERROR(VLOOKUP(A20,Planning!$A$12:$B$53,2,0)),"",VLOOKUP(A20,Planning!$A$12:$B$53,2,0))</f>
        <v>TECH.N1</v>
      </c>
      <c r="C20" s="96" t="str">
        <f>IF(ISERROR(VLOOKUP(A20,Planning!$A$12:$E$53,4,0)),"",VLOOKUP(A20,Planning!$A$12:$E68,4,0))</f>
        <v>EXT</v>
      </c>
      <c r="D20" s="96" t="str">
        <f>IF(ISERROR(VLOOKUP(A20,Planning!$A$12:$E$53,5,0)),"",VLOOKUP(A20,Planning!$A$12:$E68,5,0))</f>
        <v>ITG</v>
      </c>
      <c r="E20" s="157">
        <f t="shared" ca="1" si="140"/>
        <v>0</v>
      </c>
      <c r="F20" s="93">
        <f t="shared" ca="1" si="141"/>
        <v>15</v>
      </c>
      <c r="G20" s="406"/>
      <c r="H20" s="435">
        <f t="shared" ca="1" si="57"/>
        <v>0</v>
      </c>
      <c r="I20" s="435">
        <f t="shared" ca="1" si="58"/>
        <v>0</v>
      </c>
      <c r="J20" s="435">
        <f t="shared" ca="1" si="59"/>
        <v>0</v>
      </c>
      <c r="K20" s="435">
        <f t="shared" ca="1" si="60"/>
        <v>0</v>
      </c>
      <c r="L20" s="435">
        <f t="shared" ca="1" si="61"/>
        <v>0</v>
      </c>
      <c r="M20" s="435">
        <f t="shared" ca="1" si="62"/>
        <v>0</v>
      </c>
      <c r="N20" s="435">
        <f t="shared" ca="1" si="63"/>
        <v>0</v>
      </c>
      <c r="O20" s="435">
        <f t="shared" ca="1" si="64"/>
        <v>0</v>
      </c>
      <c r="P20" s="435">
        <f t="shared" ca="1" si="65"/>
        <v>0</v>
      </c>
      <c r="Q20" s="435">
        <f t="shared" ca="1" si="66"/>
        <v>0</v>
      </c>
      <c r="R20" s="435">
        <f t="shared" ca="1" si="67"/>
        <v>0</v>
      </c>
      <c r="S20" s="435">
        <f t="shared" ca="1" si="68"/>
        <v>0</v>
      </c>
      <c r="T20" s="406"/>
      <c r="U20" s="436" t="str">
        <f t="shared" ca="1" si="69"/>
        <v/>
      </c>
      <c r="V20" s="436" t="str">
        <f t="shared" ca="1" si="70"/>
        <v/>
      </c>
      <c r="W20" s="436">
        <f t="shared" ca="1" si="71"/>
        <v>15</v>
      </c>
      <c r="X20" s="436" t="str">
        <f t="shared" ca="1" si="72"/>
        <v/>
      </c>
      <c r="Y20" s="436" t="str">
        <f t="shared" ca="1" si="73"/>
        <v/>
      </c>
      <c r="Z20" s="436" t="str">
        <f t="shared" ca="1" si="74"/>
        <v/>
      </c>
      <c r="AA20" s="436" t="str">
        <f t="shared" ca="1" si="75"/>
        <v/>
      </c>
      <c r="AB20" s="436" t="str">
        <f t="shared" ca="1" si="76"/>
        <v/>
      </c>
      <c r="AC20" s="436" t="str">
        <f t="shared" ca="1" si="77"/>
        <v/>
      </c>
      <c r="AD20" s="436" t="str">
        <f t="shared" ca="1" si="78"/>
        <v/>
      </c>
      <c r="AE20" s="436" t="str">
        <f t="shared" ca="1" si="79"/>
        <v/>
      </c>
      <c r="AF20" s="436" t="str">
        <f t="shared" ca="1" si="80"/>
        <v/>
      </c>
      <c r="AG20" s="406"/>
      <c r="AH20" s="436" t="str">
        <f t="shared" ca="1" si="81"/>
        <v/>
      </c>
      <c r="AI20" s="436" t="str">
        <f t="shared" ca="1" si="82"/>
        <v/>
      </c>
      <c r="AJ20" s="436">
        <f t="shared" ca="1" si="83"/>
        <v>15</v>
      </c>
      <c r="AK20" s="436" t="str">
        <f t="shared" ca="1" si="84"/>
        <v/>
      </c>
      <c r="AL20" s="436" t="str">
        <f t="shared" ca="1" si="85"/>
        <v/>
      </c>
      <c r="AM20" s="436" t="str">
        <f t="shared" ca="1" si="86"/>
        <v/>
      </c>
      <c r="AN20" s="436" t="str">
        <f t="shared" ca="1" si="87"/>
        <v/>
      </c>
      <c r="AO20" s="436" t="str">
        <f t="shared" ca="1" si="88"/>
        <v/>
      </c>
      <c r="AP20" s="436" t="str">
        <f t="shared" ca="1" si="89"/>
        <v/>
      </c>
      <c r="AQ20" s="436" t="str">
        <f t="shared" ca="1" si="90"/>
        <v/>
      </c>
      <c r="AR20" s="436" t="str">
        <f t="shared" ca="1" si="91"/>
        <v/>
      </c>
      <c r="AS20" s="436" t="str">
        <f t="shared" ca="1" si="92"/>
        <v/>
      </c>
      <c r="AT20" s="406"/>
      <c r="AU20" s="436" t="str">
        <f t="shared" ca="1" si="93"/>
        <v/>
      </c>
      <c r="AV20" s="436" t="str">
        <f t="shared" ca="1" si="94"/>
        <v/>
      </c>
      <c r="AW20" s="436" t="str">
        <f t="shared" ca="1" si="95"/>
        <v/>
      </c>
      <c r="AX20" s="436" t="str">
        <f t="shared" ca="1" si="96"/>
        <v/>
      </c>
      <c r="AY20" s="436" t="str">
        <f t="shared" ca="1" si="97"/>
        <v/>
      </c>
      <c r="AZ20" s="436" t="str">
        <f t="shared" ca="1" si="98"/>
        <v/>
      </c>
      <c r="BA20" s="436" t="str">
        <f t="shared" ca="1" si="99"/>
        <v/>
      </c>
      <c r="BB20" s="436" t="str">
        <f t="shared" ca="1" si="100"/>
        <v/>
      </c>
      <c r="BC20" s="436" t="str">
        <f t="shared" ca="1" si="101"/>
        <v/>
      </c>
      <c r="BD20" s="436" t="str">
        <f t="shared" ca="1" si="102"/>
        <v/>
      </c>
      <c r="BE20" s="436" t="str">
        <f t="shared" ca="1" si="103"/>
        <v/>
      </c>
      <c r="BF20" s="436" t="str">
        <f t="shared" ca="1" si="104"/>
        <v/>
      </c>
      <c r="BG20" s="406"/>
      <c r="BH20" s="453"/>
      <c r="BI20" s="437">
        <f t="shared" ca="1" si="105"/>
        <v>0</v>
      </c>
      <c r="BJ20" s="438">
        <f t="shared" ca="1" si="106"/>
        <v>0</v>
      </c>
      <c r="BK20" s="442" t="str">
        <f t="shared" ca="1" si="11"/>
        <v/>
      </c>
      <c r="BL20" s="443" t="str">
        <f t="shared" ca="1" si="107"/>
        <v/>
      </c>
      <c r="BM20" s="441"/>
      <c r="BN20" s="437">
        <f t="shared" ca="1" si="108"/>
        <v>0</v>
      </c>
      <c r="BO20" s="438">
        <f t="shared" ca="1" si="109"/>
        <v>0</v>
      </c>
      <c r="BP20" s="442" t="str">
        <f t="shared" ca="1" si="15"/>
        <v/>
      </c>
      <c r="BQ20" s="443" t="str">
        <f t="shared" ca="1" si="110"/>
        <v/>
      </c>
      <c r="BR20" s="441"/>
      <c r="BS20" s="437">
        <f t="shared" ca="1" si="111"/>
        <v>0</v>
      </c>
      <c r="BT20" s="438">
        <f t="shared" ca="1" si="112"/>
        <v>15</v>
      </c>
      <c r="BU20" s="442">
        <f t="shared" ca="1" si="19"/>
        <v>15</v>
      </c>
      <c r="BV20" s="443" t="str">
        <f t="shared" ca="1" si="113"/>
        <v/>
      </c>
      <c r="BW20" s="441"/>
      <c r="BX20" s="437">
        <f t="shared" ca="1" si="114"/>
        <v>0</v>
      </c>
      <c r="BY20" s="438">
        <f t="shared" ca="1" si="115"/>
        <v>0</v>
      </c>
      <c r="BZ20" s="442" t="str">
        <f t="shared" ca="1" si="23"/>
        <v/>
      </c>
      <c r="CA20" s="443" t="str">
        <f t="shared" ca="1" si="116"/>
        <v/>
      </c>
      <c r="CB20" s="441"/>
      <c r="CC20" s="437">
        <f t="shared" ca="1" si="25"/>
        <v>0</v>
      </c>
      <c r="CD20" s="438">
        <f t="shared" ca="1" si="117"/>
        <v>0</v>
      </c>
      <c r="CE20" s="442" t="str">
        <f t="shared" ca="1" si="27"/>
        <v/>
      </c>
      <c r="CF20" s="443" t="str">
        <f t="shared" ca="1" si="118"/>
        <v/>
      </c>
      <c r="CG20" s="441"/>
      <c r="CH20" s="437">
        <f t="shared" ca="1" si="119"/>
        <v>0</v>
      </c>
      <c r="CI20" s="438">
        <f t="shared" ca="1" si="120"/>
        <v>0</v>
      </c>
      <c r="CJ20" s="442" t="str">
        <f t="shared" ca="1" si="31"/>
        <v/>
      </c>
      <c r="CK20" s="443" t="str">
        <f t="shared" ca="1" si="121"/>
        <v/>
      </c>
      <c r="CL20" s="441"/>
      <c r="CM20" s="437">
        <f t="shared" ca="1" si="122"/>
        <v>0</v>
      </c>
      <c r="CN20" s="438">
        <f t="shared" ca="1" si="123"/>
        <v>0</v>
      </c>
      <c r="CO20" s="442" t="str">
        <f t="shared" ca="1" si="35"/>
        <v/>
      </c>
      <c r="CP20" s="443" t="str">
        <f t="shared" ca="1" si="124"/>
        <v/>
      </c>
      <c r="CQ20" s="441"/>
      <c r="CR20" s="437">
        <f t="shared" ca="1" si="125"/>
        <v>0</v>
      </c>
      <c r="CS20" s="438">
        <f t="shared" ca="1" si="126"/>
        <v>0</v>
      </c>
      <c r="CT20" s="442" t="str">
        <f t="shared" ca="1" si="39"/>
        <v/>
      </c>
      <c r="CU20" s="443" t="str">
        <f t="shared" ca="1" si="127"/>
        <v/>
      </c>
      <c r="CV20" s="441"/>
      <c r="CW20" s="437">
        <f t="shared" ca="1" si="128"/>
        <v>0</v>
      </c>
      <c r="CX20" s="438">
        <f t="shared" ca="1" si="129"/>
        <v>0</v>
      </c>
      <c r="CY20" s="442" t="str">
        <f t="shared" ca="1" si="43"/>
        <v/>
      </c>
      <c r="CZ20" s="443" t="str">
        <f t="shared" ca="1" si="130"/>
        <v/>
      </c>
      <c r="DA20" s="441"/>
      <c r="DB20" s="437">
        <f t="shared" ca="1" si="131"/>
        <v>0</v>
      </c>
      <c r="DC20" s="438">
        <f t="shared" ca="1" si="132"/>
        <v>0</v>
      </c>
      <c r="DD20" s="442" t="str">
        <f t="shared" ca="1" si="47"/>
        <v/>
      </c>
      <c r="DE20" s="443" t="str">
        <f t="shared" ca="1" si="133"/>
        <v/>
      </c>
      <c r="DF20" s="441"/>
      <c r="DG20" s="437">
        <f t="shared" ca="1" si="134"/>
        <v>0</v>
      </c>
      <c r="DH20" s="438">
        <f t="shared" ca="1" si="135"/>
        <v>0</v>
      </c>
      <c r="DI20" s="442" t="str">
        <f t="shared" ca="1" si="51"/>
        <v/>
      </c>
      <c r="DJ20" s="443" t="str">
        <f t="shared" ca="1" si="136"/>
        <v/>
      </c>
      <c r="DK20" s="441"/>
      <c r="DL20" s="437">
        <f t="shared" ca="1" si="137"/>
        <v>0</v>
      </c>
      <c r="DM20" s="438">
        <f t="shared" ca="1" si="138"/>
        <v>0</v>
      </c>
      <c r="DN20" s="442" t="str">
        <f t="shared" ca="1" si="55"/>
        <v/>
      </c>
      <c r="DO20" s="443" t="str">
        <f t="shared" ca="1" si="139"/>
        <v/>
      </c>
      <c r="DP20" s="453"/>
    </row>
    <row r="21" spans="1:120" x14ac:dyDescent="0.35">
      <c r="A21" s="52">
        <v>9</v>
      </c>
      <c r="B21" s="54" t="str">
        <f>IF(ISERROR(VLOOKUP(A21,Planning!$A$12:$B$53,2,0)),"",VLOOKUP(A21,Planning!$A$12:$B$53,2,0))</f>
        <v>TECH.N1</v>
      </c>
      <c r="C21" s="96" t="str">
        <f>IF(ISERROR(VLOOKUP(A21,Planning!$A$12:$E$53,4,0)),"",VLOOKUP(A21,Planning!$A$12:$E69,4,0))</f>
        <v>EXT</v>
      </c>
      <c r="D21" s="96" t="str">
        <f>IF(ISERROR(VLOOKUP(A21,Planning!$A$12:$E$53,5,0)),"",VLOOKUP(A21,Planning!$A$12:$E69,5,0))</f>
        <v>ITG</v>
      </c>
      <c r="E21" s="157">
        <f t="shared" ca="1" si="140"/>
        <v>0</v>
      </c>
      <c r="F21" s="93">
        <f t="shared" ca="1" si="141"/>
        <v>5</v>
      </c>
      <c r="G21" s="406"/>
      <c r="H21" s="435">
        <f t="shared" ca="1" si="57"/>
        <v>0</v>
      </c>
      <c r="I21" s="435">
        <f t="shared" ca="1" si="58"/>
        <v>0</v>
      </c>
      <c r="J21" s="435">
        <f t="shared" ca="1" si="59"/>
        <v>0</v>
      </c>
      <c r="K21" s="435">
        <f t="shared" ca="1" si="60"/>
        <v>0</v>
      </c>
      <c r="L21" s="435">
        <f t="shared" ca="1" si="61"/>
        <v>0</v>
      </c>
      <c r="M21" s="435">
        <f t="shared" ca="1" si="62"/>
        <v>0</v>
      </c>
      <c r="N21" s="435">
        <f t="shared" ca="1" si="63"/>
        <v>0</v>
      </c>
      <c r="O21" s="435">
        <f t="shared" ca="1" si="64"/>
        <v>0</v>
      </c>
      <c r="P21" s="435">
        <f t="shared" ca="1" si="65"/>
        <v>0</v>
      </c>
      <c r="Q21" s="435">
        <f t="shared" ca="1" si="66"/>
        <v>0</v>
      </c>
      <c r="R21" s="435">
        <f t="shared" ca="1" si="67"/>
        <v>0</v>
      </c>
      <c r="S21" s="435">
        <f t="shared" ca="1" si="68"/>
        <v>0</v>
      </c>
      <c r="T21" s="406"/>
      <c r="U21" s="436" t="str">
        <f t="shared" ca="1" si="69"/>
        <v/>
      </c>
      <c r="V21" s="436" t="str">
        <f t="shared" ca="1" si="70"/>
        <v/>
      </c>
      <c r="W21" s="436">
        <f t="shared" ca="1" si="71"/>
        <v>5</v>
      </c>
      <c r="X21" s="436" t="str">
        <f t="shared" ca="1" si="72"/>
        <v/>
      </c>
      <c r="Y21" s="436" t="str">
        <f t="shared" ca="1" si="73"/>
        <v/>
      </c>
      <c r="Z21" s="436" t="str">
        <f t="shared" ca="1" si="74"/>
        <v/>
      </c>
      <c r="AA21" s="436" t="str">
        <f t="shared" ca="1" si="75"/>
        <v/>
      </c>
      <c r="AB21" s="436" t="str">
        <f t="shared" ca="1" si="76"/>
        <v/>
      </c>
      <c r="AC21" s="436" t="str">
        <f t="shared" ca="1" si="77"/>
        <v/>
      </c>
      <c r="AD21" s="436" t="str">
        <f t="shared" ca="1" si="78"/>
        <v/>
      </c>
      <c r="AE21" s="436" t="str">
        <f t="shared" ca="1" si="79"/>
        <v/>
      </c>
      <c r="AF21" s="436" t="str">
        <f t="shared" ca="1" si="80"/>
        <v/>
      </c>
      <c r="AG21" s="406"/>
      <c r="AH21" s="436" t="str">
        <f t="shared" ca="1" si="81"/>
        <v/>
      </c>
      <c r="AI21" s="436" t="str">
        <f t="shared" ca="1" si="82"/>
        <v/>
      </c>
      <c r="AJ21" s="436">
        <f t="shared" ca="1" si="83"/>
        <v>5</v>
      </c>
      <c r="AK21" s="436" t="str">
        <f t="shared" ca="1" si="84"/>
        <v/>
      </c>
      <c r="AL21" s="436" t="str">
        <f t="shared" ca="1" si="85"/>
        <v/>
      </c>
      <c r="AM21" s="436" t="str">
        <f t="shared" ca="1" si="86"/>
        <v/>
      </c>
      <c r="AN21" s="436" t="str">
        <f t="shared" ca="1" si="87"/>
        <v/>
      </c>
      <c r="AO21" s="436" t="str">
        <f t="shared" ca="1" si="88"/>
        <v/>
      </c>
      <c r="AP21" s="436" t="str">
        <f t="shared" ca="1" si="89"/>
        <v/>
      </c>
      <c r="AQ21" s="436" t="str">
        <f t="shared" ca="1" si="90"/>
        <v/>
      </c>
      <c r="AR21" s="436" t="str">
        <f t="shared" ca="1" si="91"/>
        <v/>
      </c>
      <c r="AS21" s="436" t="str">
        <f t="shared" ca="1" si="92"/>
        <v/>
      </c>
      <c r="AT21" s="406"/>
      <c r="AU21" s="436" t="str">
        <f t="shared" ca="1" si="93"/>
        <v/>
      </c>
      <c r="AV21" s="436" t="str">
        <f t="shared" ca="1" si="94"/>
        <v/>
      </c>
      <c r="AW21" s="436" t="str">
        <f t="shared" ca="1" si="95"/>
        <v/>
      </c>
      <c r="AX21" s="436" t="str">
        <f t="shared" ca="1" si="96"/>
        <v/>
      </c>
      <c r="AY21" s="436" t="str">
        <f t="shared" ca="1" si="97"/>
        <v/>
      </c>
      <c r="AZ21" s="436" t="str">
        <f t="shared" ca="1" si="98"/>
        <v/>
      </c>
      <c r="BA21" s="436" t="str">
        <f t="shared" ca="1" si="99"/>
        <v/>
      </c>
      <c r="BB21" s="436" t="str">
        <f t="shared" ca="1" si="100"/>
        <v/>
      </c>
      <c r="BC21" s="436" t="str">
        <f t="shared" ca="1" si="101"/>
        <v/>
      </c>
      <c r="BD21" s="436" t="str">
        <f t="shared" ca="1" si="102"/>
        <v/>
      </c>
      <c r="BE21" s="436" t="str">
        <f t="shared" ca="1" si="103"/>
        <v/>
      </c>
      <c r="BF21" s="436" t="str">
        <f t="shared" ca="1" si="104"/>
        <v/>
      </c>
      <c r="BG21" s="406"/>
      <c r="BH21" s="453"/>
      <c r="BI21" s="437">
        <f t="shared" ca="1" si="105"/>
        <v>0</v>
      </c>
      <c r="BJ21" s="438">
        <f t="shared" ca="1" si="106"/>
        <v>0</v>
      </c>
      <c r="BK21" s="442" t="str">
        <f t="shared" ca="1" si="11"/>
        <v/>
      </c>
      <c r="BL21" s="443" t="str">
        <f t="shared" ca="1" si="107"/>
        <v/>
      </c>
      <c r="BM21" s="441"/>
      <c r="BN21" s="437">
        <f t="shared" ca="1" si="108"/>
        <v>0</v>
      </c>
      <c r="BO21" s="438">
        <f t="shared" ca="1" si="109"/>
        <v>0</v>
      </c>
      <c r="BP21" s="442" t="str">
        <f t="shared" ca="1" si="15"/>
        <v/>
      </c>
      <c r="BQ21" s="443" t="str">
        <f t="shared" ca="1" si="110"/>
        <v/>
      </c>
      <c r="BR21" s="441"/>
      <c r="BS21" s="437">
        <f t="shared" ca="1" si="111"/>
        <v>0</v>
      </c>
      <c r="BT21" s="438">
        <f t="shared" ca="1" si="112"/>
        <v>5</v>
      </c>
      <c r="BU21" s="442">
        <f t="shared" ca="1" si="19"/>
        <v>5</v>
      </c>
      <c r="BV21" s="443" t="str">
        <f t="shared" ca="1" si="113"/>
        <v/>
      </c>
      <c r="BW21" s="441"/>
      <c r="BX21" s="437">
        <f t="shared" ca="1" si="114"/>
        <v>0</v>
      </c>
      <c r="BY21" s="438">
        <f t="shared" ca="1" si="115"/>
        <v>0</v>
      </c>
      <c r="BZ21" s="442" t="str">
        <f t="shared" ca="1" si="23"/>
        <v/>
      </c>
      <c r="CA21" s="443" t="str">
        <f t="shared" ca="1" si="116"/>
        <v/>
      </c>
      <c r="CB21" s="441"/>
      <c r="CC21" s="437">
        <f t="shared" ca="1" si="25"/>
        <v>0</v>
      </c>
      <c r="CD21" s="438">
        <f t="shared" ca="1" si="117"/>
        <v>0</v>
      </c>
      <c r="CE21" s="442" t="str">
        <f t="shared" ca="1" si="27"/>
        <v/>
      </c>
      <c r="CF21" s="443" t="str">
        <f t="shared" ca="1" si="118"/>
        <v/>
      </c>
      <c r="CG21" s="441"/>
      <c r="CH21" s="437">
        <f t="shared" ca="1" si="119"/>
        <v>0</v>
      </c>
      <c r="CI21" s="438">
        <f t="shared" ca="1" si="120"/>
        <v>0</v>
      </c>
      <c r="CJ21" s="442" t="str">
        <f t="shared" ca="1" si="31"/>
        <v/>
      </c>
      <c r="CK21" s="443" t="str">
        <f t="shared" ca="1" si="121"/>
        <v/>
      </c>
      <c r="CL21" s="441"/>
      <c r="CM21" s="437">
        <f t="shared" ca="1" si="122"/>
        <v>0</v>
      </c>
      <c r="CN21" s="438">
        <f t="shared" ca="1" si="123"/>
        <v>0</v>
      </c>
      <c r="CO21" s="442" t="str">
        <f t="shared" ca="1" si="35"/>
        <v/>
      </c>
      <c r="CP21" s="443" t="str">
        <f t="shared" ca="1" si="124"/>
        <v/>
      </c>
      <c r="CQ21" s="441"/>
      <c r="CR21" s="437">
        <f t="shared" ca="1" si="125"/>
        <v>0</v>
      </c>
      <c r="CS21" s="438">
        <f t="shared" ca="1" si="126"/>
        <v>0</v>
      </c>
      <c r="CT21" s="442" t="str">
        <f t="shared" ca="1" si="39"/>
        <v/>
      </c>
      <c r="CU21" s="443" t="str">
        <f t="shared" ca="1" si="127"/>
        <v/>
      </c>
      <c r="CV21" s="441"/>
      <c r="CW21" s="437">
        <f t="shared" ca="1" si="128"/>
        <v>0</v>
      </c>
      <c r="CX21" s="438">
        <f t="shared" ca="1" si="129"/>
        <v>0</v>
      </c>
      <c r="CY21" s="442" t="str">
        <f t="shared" ca="1" si="43"/>
        <v/>
      </c>
      <c r="CZ21" s="443" t="str">
        <f t="shared" ca="1" si="130"/>
        <v/>
      </c>
      <c r="DA21" s="441"/>
      <c r="DB21" s="437">
        <f t="shared" ca="1" si="131"/>
        <v>0</v>
      </c>
      <c r="DC21" s="438">
        <f t="shared" ca="1" si="132"/>
        <v>0</v>
      </c>
      <c r="DD21" s="442" t="str">
        <f t="shared" ca="1" si="47"/>
        <v/>
      </c>
      <c r="DE21" s="443" t="str">
        <f t="shared" ca="1" si="133"/>
        <v/>
      </c>
      <c r="DF21" s="441"/>
      <c r="DG21" s="437">
        <f t="shared" ca="1" si="134"/>
        <v>0</v>
      </c>
      <c r="DH21" s="438">
        <f t="shared" ca="1" si="135"/>
        <v>0</v>
      </c>
      <c r="DI21" s="442" t="str">
        <f t="shared" ca="1" si="51"/>
        <v/>
      </c>
      <c r="DJ21" s="443" t="str">
        <f t="shared" ca="1" si="136"/>
        <v/>
      </c>
      <c r="DK21" s="441"/>
      <c r="DL21" s="437">
        <f t="shared" ca="1" si="137"/>
        <v>0</v>
      </c>
      <c r="DM21" s="438">
        <f t="shared" ca="1" si="138"/>
        <v>0</v>
      </c>
      <c r="DN21" s="442" t="str">
        <f t="shared" ca="1" si="55"/>
        <v/>
      </c>
      <c r="DO21" s="443" t="str">
        <f t="shared" ca="1" si="139"/>
        <v/>
      </c>
      <c r="DP21" s="453"/>
    </row>
    <row r="22" spans="1:120" x14ac:dyDescent="0.35">
      <c r="A22" s="52">
        <v>10</v>
      </c>
      <c r="B22" s="54" t="str">
        <f>IF(ISERROR(VLOOKUP(A22,Planning!$A$12:$B$53,2,0)),"",VLOOKUP(A22,Planning!$A$12:$B$53,2,0))</f>
        <v>TECH.N1</v>
      </c>
      <c r="C22" s="96" t="str">
        <f>IF(ISERROR(VLOOKUP(A22,Planning!$A$12:$E$53,4,0)),"",VLOOKUP(A22,Planning!$A$12:$E70,4,0))</f>
        <v>EXT</v>
      </c>
      <c r="D22" s="96" t="str">
        <f>IF(ISERROR(VLOOKUP(A22,Planning!$A$12:$E$53,5,0)),"",VLOOKUP(A22,Planning!$A$12:$E70,5,0))</f>
        <v>ITG</v>
      </c>
      <c r="E22" s="157">
        <f t="shared" ca="1" si="140"/>
        <v>0</v>
      </c>
      <c r="F22" s="93">
        <f t="shared" ca="1" si="141"/>
        <v>5</v>
      </c>
      <c r="G22" s="406"/>
      <c r="H22" s="435">
        <f t="shared" ca="1" si="57"/>
        <v>0</v>
      </c>
      <c r="I22" s="435">
        <f t="shared" ca="1" si="58"/>
        <v>0</v>
      </c>
      <c r="J22" s="435">
        <f t="shared" ca="1" si="59"/>
        <v>0</v>
      </c>
      <c r="K22" s="435">
        <f t="shared" ca="1" si="60"/>
        <v>0</v>
      </c>
      <c r="L22" s="435">
        <f t="shared" ca="1" si="61"/>
        <v>0</v>
      </c>
      <c r="M22" s="435">
        <f t="shared" ca="1" si="62"/>
        <v>0</v>
      </c>
      <c r="N22" s="435">
        <f t="shared" ca="1" si="63"/>
        <v>0</v>
      </c>
      <c r="O22" s="435">
        <f t="shared" ca="1" si="64"/>
        <v>0</v>
      </c>
      <c r="P22" s="435">
        <f t="shared" ca="1" si="65"/>
        <v>0</v>
      </c>
      <c r="Q22" s="435">
        <f t="shared" ca="1" si="66"/>
        <v>0</v>
      </c>
      <c r="R22" s="435">
        <f t="shared" ca="1" si="67"/>
        <v>0</v>
      </c>
      <c r="S22" s="435">
        <f t="shared" ca="1" si="68"/>
        <v>0</v>
      </c>
      <c r="T22" s="406"/>
      <c r="U22" s="436" t="str">
        <f t="shared" ca="1" si="69"/>
        <v/>
      </c>
      <c r="V22" s="436" t="str">
        <f t="shared" ca="1" si="70"/>
        <v/>
      </c>
      <c r="W22" s="436">
        <f t="shared" ca="1" si="71"/>
        <v>5</v>
      </c>
      <c r="X22" s="436" t="str">
        <f t="shared" ca="1" si="72"/>
        <v/>
      </c>
      <c r="Y22" s="436" t="str">
        <f t="shared" ca="1" si="73"/>
        <v/>
      </c>
      <c r="Z22" s="436" t="str">
        <f t="shared" ca="1" si="74"/>
        <v/>
      </c>
      <c r="AA22" s="436" t="str">
        <f t="shared" ca="1" si="75"/>
        <v/>
      </c>
      <c r="AB22" s="436" t="str">
        <f t="shared" ca="1" si="76"/>
        <v/>
      </c>
      <c r="AC22" s="436" t="str">
        <f t="shared" ca="1" si="77"/>
        <v/>
      </c>
      <c r="AD22" s="436" t="str">
        <f t="shared" ca="1" si="78"/>
        <v/>
      </c>
      <c r="AE22" s="436" t="str">
        <f t="shared" ca="1" si="79"/>
        <v/>
      </c>
      <c r="AF22" s="436" t="str">
        <f t="shared" ca="1" si="80"/>
        <v/>
      </c>
      <c r="AG22" s="406"/>
      <c r="AH22" s="436" t="str">
        <f t="shared" ca="1" si="81"/>
        <v/>
      </c>
      <c r="AI22" s="436" t="str">
        <f t="shared" ca="1" si="82"/>
        <v/>
      </c>
      <c r="AJ22" s="436">
        <f t="shared" ca="1" si="83"/>
        <v>5</v>
      </c>
      <c r="AK22" s="436" t="str">
        <f t="shared" ca="1" si="84"/>
        <v/>
      </c>
      <c r="AL22" s="436" t="str">
        <f t="shared" ca="1" si="85"/>
        <v/>
      </c>
      <c r="AM22" s="436" t="str">
        <f t="shared" ca="1" si="86"/>
        <v/>
      </c>
      <c r="AN22" s="436" t="str">
        <f t="shared" ca="1" si="87"/>
        <v/>
      </c>
      <c r="AO22" s="436" t="str">
        <f t="shared" ca="1" si="88"/>
        <v/>
      </c>
      <c r="AP22" s="436" t="str">
        <f t="shared" ca="1" si="89"/>
        <v/>
      </c>
      <c r="AQ22" s="436" t="str">
        <f t="shared" ca="1" si="90"/>
        <v/>
      </c>
      <c r="AR22" s="436" t="str">
        <f t="shared" ca="1" si="91"/>
        <v/>
      </c>
      <c r="AS22" s="436" t="str">
        <f t="shared" ca="1" si="92"/>
        <v/>
      </c>
      <c r="AT22" s="406"/>
      <c r="AU22" s="436" t="str">
        <f t="shared" ca="1" si="93"/>
        <v/>
      </c>
      <c r="AV22" s="436" t="str">
        <f t="shared" ca="1" si="94"/>
        <v/>
      </c>
      <c r="AW22" s="436" t="str">
        <f t="shared" ca="1" si="95"/>
        <v/>
      </c>
      <c r="AX22" s="436" t="str">
        <f t="shared" ca="1" si="96"/>
        <v/>
      </c>
      <c r="AY22" s="436" t="str">
        <f t="shared" ca="1" si="97"/>
        <v/>
      </c>
      <c r="AZ22" s="436" t="str">
        <f t="shared" ca="1" si="98"/>
        <v/>
      </c>
      <c r="BA22" s="436" t="str">
        <f t="shared" ca="1" si="99"/>
        <v/>
      </c>
      <c r="BB22" s="436" t="str">
        <f t="shared" ca="1" si="100"/>
        <v/>
      </c>
      <c r="BC22" s="436" t="str">
        <f t="shared" ca="1" si="101"/>
        <v/>
      </c>
      <c r="BD22" s="436" t="str">
        <f t="shared" ca="1" si="102"/>
        <v/>
      </c>
      <c r="BE22" s="436" t="str">
        <f t="shared" ca="1" si="103"/>
        <v/>
      </c>
      <c r="BF22" s="436" t="str">
        <f t="shared" ca="1" si="104"/>
        <v/>
      </c>
      <c r="BG22" s="406"/>
      <c r="BH22" s="453"/>
      <c r="BI22" s="437">
        <f t="shared" ca="1" si="105"/>
        <v>0</v>
      </c>
      <c r="BJ22" s="438">
        <f t="shared" ca="1" si="106"/>
        <v>0</v>
      </c>
      <c r="BK22" s="442" t="str">
        <f t="shared" ca="1" si="11"/>
        <v/>
      </c>
      <c r="BL22" s="443" t="str">
        <f t="shared" ca="1" si="107"/>
        <v/>
      </c>
      <c r="BM22" s="441"/>
      <c r="BN22" s="437">
        <f t="shared" ca="1" si="108"/>
        <v>0</v>
      </c>
      <c r="BO22" s="438">
        <f t="shared" ca="1" si="109"/>
        <v>0</v>
      </c>
      <c r="BP22" s="442" t="str">
        <f t="shared" ca="1" si="15"/>
        <v/>
      </c>
      <c r="BQ22" s="443" t="str">
        <f t="shared" ca="1" si="110"/>
        <v/>
      </c>
      <c r="BR22" s="441"/>
      <c r="BS22" s="437">
        <f t="shared" ca="1" si="111"/>
        <v>0</v>
      </c>
      <c r="BT22" s="438">
        <f t="shared" ca="1" si="112"/>
        <v>5</v>
      </c>
      <c r="BU22" s="442">
        <f t="shared" ca="1" si="19"/>
        <v>5</v>
      </c>
      <c r="BV22" s="443" t="str">
        <f t="shared" ca="1" si="113"/>
        <v/>
      </c>
      <c r="BW22" s="441"/>
      <c r="BX22" s="437">
        <f t="shared" ca="1" si="114"/>
        <v>0</v>
      </c>
      <c r="BY22" s="438">
        <f t="shared" ca="1" si="115"/>
        <v>0</v>
      </c>
      <c r="BZ22" s="442" t="str">
        <f t="shared" ca="1" si="23"/>
        <v/>
      </c>
      <c r="CA22" s="443" t="str">
        <f t="shared" ca="1" si="116"/>
        <v/>
      </c>
      <c r="CB22" s="441"/>
      <c r="CC22" s="437">
        <f t="shared" ca="1" si="25"/>
        <v>0</v>
      </c>
      <c r="CD22" s="438">
        <f t="shared" ca="1" si="117"/>
        <v>0</v>
      </c>
      <c r="CE22" s="442" t="str">
        <f t="shared" ca="1" si="27"/>
        <v/>
      </c>
      <c r="CF22" s="443" t="str">
        <f t="shared" ca="1" si="118"/>
        <v/>
      </c>
      <c r="CG22" s="441"/>
      <c r="CH22" s="437">
        <f t="shared" ca="1" si="119"/>
        <v>0</v>
      </c>
      <c r="CI22" s="438">
        <f t="shared" ca="1" si="120"/>
        <v>0</v>
      </c>
      <c r="CJ22" s="442" t="str">
        <f t="shared" ca="1" si="31"/>
        <v/>
      </c>
      <c r="CK22" s="443" t="str">
        <f t="shared" ca="1" si="121"/>
        <v/>
      </c>
      <c r="CL22" s="441"/>
      <c r="CM22" s="437">
        <f t="shared" ca="1" si="122"/>
        <v>0</v>
      </c>
      <c r="CN22" s="438">
        <f t="shared" ca="1" si="123"/>
        <v>0</v>
      </c>
      <c r="CO22" s="442" t="str">
        <f t="shared" ca="1" si="35"/>
        <v/>
      </c>
      <c r="CP22" s="443" t="str">
        <f t="shared" ca="1" si="124"/>
        <v/>
      </c>
      <c r="CQ22" s="441"/>
      <c r="CR22" s="437">
        <f t="shared" ca="1" si="125"/>
        <v>0</v>
      </c>
      <c r="CS22" s="438">
        <f t="shared" ca="1" si="126"/>
        <v>0</v>
      </c>
      <c r="CT22" s="442" t="str">
        <f t="shared" ca="1" si="39"/>
        <v/>
      </c>
      <c r="CU22" s="443" t="str">
        <f t="shared" ca="1" si="127"/>
        <v/>
      </c>
      <c r="CV22" s="441"/>
      <c r="CW22" s="437">
        <f t="shared" ca="1" si="128"/>
        <v>0</v>
      </c>
      <c r="CX22" s="438">
        <f t="shared" ca="1" si="129"/>
        <v>0</v>
      </c>
      <c r="CY22" s="442" t="str">
        <f t="shared" ca="1" si="43"/>
        <v/>
      </c>
      <c r="CZ22" s="443" t="str">
        <f t="shared" ca="1" si="130"/>
        <v/>
      </c>
      <c r="DA22" s="441"/>
      <c r="DB22" s="437">
        <f t="shared" ca="1" si="131"/>
        <v>0</v>
      </c>
      <c r="DC22" s="438">
        <f t="shared" ca="1" si="132"/>
        <v>0</v>
      </c>
      <c r="DD22" s="442" t="str">
        <f t="shared" ca="1" si="47"/>
        <v/>
      </c>
      <c r="DE22" s="443" t="str">
        <f t="shared" ca="1" si="133"/>
        <v/>
      </c>
      <c r="DF22" s="441"/>
      <c r="DG22" s="437">
        <f t="shared" ca="1" si="134"/>
        <v>0</v>
      </c>
      <c r="DH22" s="438">
        <f t="shared" ca="1" si="135"/>
        <v>0</v>
      </c>
      <c r="DI22" s="442" t="str">
        <f t="shared" ca="1" si="51"/>
        <v/>
      </c>
      <c r="DJ22" s="443" t="str">
        <f t="shared" ca="1" si="136"/>
        <v/>
      </c>
      <c r="DK22" s="441"/>
      <c r="DL22" s="437">
        <f t="shared" ca="1" si="137"/>
        <v>0</v>
      </c>
      <c r="DM22" s="438">
        <f t="shared" ca="1" si="138"/>
        <v>0</v>
      </c>
      <c r="DN22" s="442" t="str">
        <f t="shared" ca="1" si="55"/>
        <v/>
      </c>
      <c r="DO22" s="443" t="str">
        <f t="shared" ca="1" si="139"/>
        <v/>
      </c>
      <c r="DP22" s="453"/>
    </row>
    <row r="23" spans="1:120" x14ac:dyDescent="0.35">
      <c r="A23" s="52">
        <v>11</v>
      </c>
      <c r="B23" s="54" t="str">
        <f>IF(ISERROR(VLOOKUP(A23,Planning!$A$12:$B$53,2,0)),"",VLOOKUP(A23,Planning!$A$12:$B$53,2,0))</f>
        <v>IM.PM</v>
      </c>
      <c r="C23" s="96" t="str">
        <f>IF(ISERROR(VLOOKUP(A23,Planning!$A$12:$E$53,4,0)),"",VLOOKUP(A23,Planning!$A$12:$E71,4,0))</f>
        <v>I2S</v>
      </c>
      <c r="D23" s="96" t="str">
        <f>IF(ISERROR(VLOOKUP(A23,Planning!$A$12:$E$53,5,0)),"",VLOOKUP(A23,Planning!$A$12:$E71,5,0))</f>
        <v>ITG</v>
      </c>
      <c r="E23" s="157">
        <f t="shared" ca="1" si="140"/>
        <v>0</v>
      </c>
      <c r="F23" s="93">
        <f t="shared" ca="1" si="141"/>
        <v>10</v>
      </c>
      <c r="G23" s="406"/>
      <c r="H23" s="435">
        <f t="shared" ca="1" si="57"/>
        <v>0</v>
      </c>
      <c r="I23" s="435">
        <f t="shared" ca="1" si="58"/>
        <v>0</v>
      </c>
      <c r="J23" s="435">
        <f t="shared" ca="1" si="59"/>
        <v>0</v>
      </c>
      <c r="K23" s="435">
        <f t="shared" ca="1" si="60"/>
        <v>0</v>
      </c>
      <c r="L23" s="435">
        <f t="shared" ca="1" si="61"/>
        <v>0</v>
      </c>
      <c r="M23" s="435">
        <f t="shared" ca="1" si="62"/>
        <v>0</v>
      </c>
      <c r="N23" s="435">
        <f t="shared" ca="1" si="63"/>
        <v>0</v>
      </c>
      <c r="O23" s="435">
        <f t="shared" ca="1" si="64"/>
        <v>0</v>
      </c>
      <c r="P23" s="435">
        <f t="shared" ca="1" si="65"/>
        <v>0</v>
      </c>
      <c r="Q23" s="435">
        <f t="shared" ca="1" si="66"/>
        <v>0</v>
      </c>
      <c r="R23" s="435">
        <f t="shared" ca="1" si="67"/>
        <v>0</v>
      </c>
      <c r="S23" s="435">
        <f t="shared" ca="1" si="68"/>
        <v>0</v>
      </c>
      <c r="T23" s="406"/>
      <c r="U23" s="436" t="str">
        <f t="shared" ca="1" si="69"/>
        <v/>
      </c>
      <c r="V23" s="436" t="str">
        <f t="shared" ca="1" si="70"/>
        <v/>
      </c>
      <c r="W23" s="436">
        <f t="shared" ca="1" si="71"/>
        <v>10</v>
      </c>
      <c r="X23" s="436" t="str">
        <f t="shared" ca="1" si="72"/>
        <v/>
      </c>
      <c r="Y23" s="436" t="str">
        <f t="shared" ca="1" si="73"/>
        <v/>
      </c>
      <c r="Z23" s="436" t="str">
        <f t="shared" ca="1" si="74"/>
        <v/>
      </c>
      <c r="AA23" s="436" t="str">
        <f t="shared" ca="1" si="75"/>
        <v/>
      </c>
      <c r="AB23" s="436" t="str">
        <f t="shared" ca="1" si="76"/>
        <v/>
      </c>
      <c r="AC23" s="436" t="str">
        <f t="shared" ca="1" si="77"/>
        <v/>
      </c>
      <c r="AD23" s="436" t="str">
        <f t="shared" ca="1" si="78"/>
        <v/>
      </c>
      <c r="AE23" s="436" t="str">
        <f t="shared" ca="1" si="79"/>
        <v/>
      </c>
      <c r="AF23" s="436" t="str">
        <f t="shared" ca="1" si="80"/>
        <v/>
      </c>
      <c r="AG23" s="406"/>
      <c r="AH23" s="436" t="str">
        <f t="shared" ca="1" si="81"/>
        <v/>
      </c>
      <c r="AI23" s="436" t="str">
        <f t="shared" ca="1" si="82"/>
        <v/>
      </c>
      <c r="AJ23" s="436">
        <f t="shared" ca="1" si="83"/>
        <v>10</v>
      </c>
      <c r="AK23" s="436" t="str">
        <f t="shared" ca="1" si="84"/>
        <v/>
      </c>
      <c r="AL23" s="436" t="str">
        <f t="shared" ca="1" si="85"/>
        <v/>
      </c>
      <c r="AM23" s="436" t="str">
        <f t="shared" ca="1" si="86"/>
        <v/>
      </c>
      <c r="AN23" s="436" t="str">
        <f t="shared" ca="1" si="87"/>
        <v/>
      </c>
      <c r="AO23" s="436" t="str">
        <f t="shared" ca="1" si="88"/>
        <v/>
      </c>
      <c r="AP23" s="436" t="str">
        <f t="shared" ca="1" si="89"/>
        <v/>
      </c>
      <c r="AQ23" s="436" t="str">
        <f t="shared" ca="1" si="90"/>
        <v/>
      </c>
      <c r="AR23" s="436" t="str">
        <f t="shared" ca="1" si="91"/>
        <v/>
      </c>
      <c r="AS23" s="436" t="str">
        <f t="shared" ca="1" si="92"/>
        <v/>
      </c>
      <c r="AT23" s="406"/>
      <c r="AU23" s="436" t="str">
        <f t="shared" ca="1" si="93"/>
        <v/>
      </c>
      <c r="AV23" s="436" t="str">
        <f t="shared" ca="1" si="94"/>
        <v/>
      </c>
      <c r="AW23" s="436" t="str">
        <f t="shared" ca="1" si="95"/>
        <v/>
      </c>
      <c r="AX23" s="436" t="str">
        <f t="shared" ca="1" si="96"/>
        <v/>
      </c>
      <c r="AY23" s="436" t="str">
        <f t="shared" ca="1" si="97"/>
        <v/>
      </c>
      <c r="AZ23" s="436" t="str">
        <f t="shared" ca="1" si="98"/>
        <v/>
      </c>
      <c r="BA23" s="436" t="str">
        <f t="shared" ca="1" si="99"/>
        <v/>
      </c>
      <c r="BB23" s="436" t="str">
        <f t="shared" ca="1" si="100"/>
        <v/>
      </c>
      <c r="BC23" s="436" t="str">
        <f t="shared" ca="1" si="101"/>
        <v/>
      </c>
      <c r="BD23" s="436" t="str">
        <f t="shared" ca="1" si="102"/>
        <v/>
      </c>
      <c r="BE23" s="436" t="str">
        <f t="shared" ca="1" si="103"/>
        <v/>
      </c>
      <c r="BF23" s="436" t="str">
        <f t="shared" ca="1" si="104"/>
        <v/>
      </c>
      <c r="BG23" s="406"/>
      <c r="BH23" s="453"/>
      <c r="BI23" s="437">
        <f t="shared" ca="1" si="105"/>
        <v>0</v>
      </c>
      <c r="BJ23" s="438">
        <f t="shared" ca="1" si="106"/>
        <v>0</v>
      </c>
      <c r="BK23" s="442" t="str">
        <f t="shared" ca="1" si="11"/>
        <v/>
      </c>
      <c r="BL23" s="443" t="str">
        <f t="shared" ca="1" si="107"/>
        <v/>
      </c>
      <c r="BM23" s="441"/>
      <c r="BN23" s="437">
        <f t="shared" ca="1" si="108"/>
        <v>0</v>
      </c>
      <c r="BO23" s="438">
        <f t="shared" ca="1" si="109"/>
        <v>0</v>
      </c>
      <c r="BP23" s="442" t="str">
        <f t="shared" ca="1" si="15"/>
        <v/>
      </c>
      <c r="BQ23" s="443" t="str">
        <f t="shared" ca="1" si="110"/>
        <v/>
      </c>
      <c r="BR23" s="441"/>
      <c r="BS23" s="437">
        <f t="shared" ca="1" si="111"/>
        <v>0</v>
      </c>
      <c r="BT23" s="438">
        <f t="shared" ca="1" si="112"/>
        <v>10</v>
      </c>
      <c r="BU23" s="442">
        <f t="shared" ca="1" si="19"/>
        <v>10</v>
      </c>
      <c r="BV23" s="443" t="str">
        <f t="shared" ca="1" si="113"/>
        <v/>
      </c>
      <c r="BW23" s="441"/>
      <c r="BX23" s="437">
        <f t="shared" ca="1" si="114"/>
        <v>0</v>
      </c>
      <c r="BY23" s="438">
        <f t="shared" ca="1" si="115"/>
        <v>0</v>
      </c>
      <c r="BZ23" s="442" t="str">
        <f t="shared" ca="1" si="23"/>
        <v/>
      </c>
      <c r="CA23" s="443" t="str">
        <f t="shared" ca="1" si="116"/>
        <v/>
      </c>
      <c r="CB23" s="441"/>
      <c r="CC23" s="437">
        <f t="shared" ca="1" si="25"/>
        <v>0</v>
      </c>
      <c r="CD23" s="438">
        <f t="shared" ca="1" si="117"/>
        <v>0</v>
      </c>
      <c r="CE23" s="442" t="str">
        <f t="shared" ca="1" si="27"/>
        <v/>
      </c>
      <c r="CF23" s="443" t="str">
        <f t="shared" ca="1" si="118"/>
        <v/>
      </c>
      <c r="CG23" s="441"/>
      <c r="CH23" s="437">
        <f t="shared" ca="1" si="119"/>
        <v>0</v>
      </c>
      <c r="CI23" s="438">
        <f t="shared" ca="1" si="120"/>
        <v>0</v>
      </c>
      <c r="CJ23" s="442" t="str">
        <f t="shared" ca="1" si="31"/>
        <v/>
      </c>
      <c r="CK23" s="443" t="str">
        <f t="shared" ca="1" si="121"/>
        <v/>
      </c>
      <c r="CL23" s="441"/>
      <c r="CM23" s="437">
        <f t="shared" ca="1" si="122"/>
        <v>0</v>
      </c>
      <c r="CN23" s="438">
        <f t="shared" ca="1" si="123"/>
        <v>0</v>
      </c>
      <c r="CO23" s="442" t="str">
        <f t="shared" ca="1" si="35"/>
        <v/>
      </c>
      <c r="CP23" s="443" t="str">
        <f t="shared" ca="1" si="124"/>
        <v/>
      </c>
      <c r="CQ23" s="441"/>
      <c r="CR23" s="437">
        <f t="shared" ca="1" si="125"/>
        <v>0</v>
      </c>
      <c r="CS23" s="438">
        <f t="shared" ca="1" si="126"/>
        <v>0</v>
      </c>
      <c r="CT23" s="442" t="str">
        <f t="shared" ca="1" si="39"/>
        <v/>
      </c>
      <c r="CU23" s="443" t="str">
        <f t="shared" ca="1" si="127"/>
        <v/>
      </c>
      <c r="CV23" s="441"/>
      <c r="CW23" s="437">
        <f t="shared" ca="1" si="128"/>
        <v>0</v>
      </c>
      <c r="CX23" s="438">
        <f t="shared" ca="1" si="129"/>
        <v>0</v>
      </c>
      <c r="CY23" s="442" t="str">
        <f t="shared" ca="1" si="43"/>
        <v/>
      </c>
      <c r="CZ23" s="443" t="str">
        <f t="shared" ca="1" si="130"/>
        <v/>
      </c>
      <c r="DA23" s="441"/>
      <c r="DB23" s="437">
        <f t="shared" ca="1" si="131"/>
        <v>0</v>
      </c>
      <c r="DC23" s="438">
        <f t="shared" ca="1" si="132"/>
        <v>0</v>
      </c>
      <c r="DD23" s="442" t="str">
        <f t="shared" ca="1" si="47"/>
        <v/>
      </c>
      <c r="DE23" s="443" t="str">
        <f t="shared" ca="1" si="133"/>
        <v/>
      </c>
      <c r="DF23" s="441"/>
      <c r="DG23" s="437">
        <f t="shared" ca="1" si="134"/>
        <v>0</v>
      </c>
      <c r="DH23" s="438">
        <f t="shared" ca="1" si="135"/>
        <v>0</v>
      </c>
      <c r="DI23" s="442" t="str">
        <f t="shared" ca="1" si="51"/>
        <v/>
      </c>
      <c r="DJ23" s="443" t="str">
        <f t="shared" ca="1" si="136"/>
        <v/>
      </c>
      <c r="DK23" s="441"/>
      <c r="DL23" s="437">
        <f t="shared" ca="1" si="137"/>
        <v>0</v>
      </c>
      <c r="DM23" s="438">
        <f t="shared" ca="1" si="138"/>
        <v>0</v>
      </c>
      <c r="DN23" s="442" t="str">
        <f t="shared" ca="1" si="55"/>
        <v/>
      </c>
      <c r="DO23" s="443" t="str">
        <f t="shared" ca="1" si="139"/>
        <v/>
      </c>
      <c r="DP23" s="453"/>
    </row>
    <row r="24" spans="1:120" x14ac:dyDescent="0.35">
      <c r="A24" s="52"/>
      <c r="B24" s="54" t="str">
        <f>IF(ISERROR(VLOOKUP(A24,Planning!$A$12:$B$53,2,0)),"",VLOOKUP(A24,Planning!$A$12:$B$53,2,0))</f>
        <v/>
      </c>
      <c r="C24" s="96" t="str">
        <f>IF(ISERROR(VLOOKUP(A24,Planning!$A$12:$E$53,4,0)),"",VLOOKUP(A24,Planning!$A$12:$E72,4,0))</f>
        <v/>
      </c>
      <c r="D24" s="96" t="str">
        <f>IF(ISERROR(VLOOKUP(A24,Planning!$A$12:$E$53,5,0)),"",VLOOKUP(A24,Planning!$A$12:$E72,5,0))</f>
        <v/>
      </c>
      <c r="E24" s="157" t="str">
        <f t="shared" si="140"/>
        <v/>
      </c>
      <c r="F24" s="93" t="str">
        <f t="shared" si="141"/>
        <v/>
      </c>
      <c r="G24" s="406"/>
      <c r="H24" s="435" t="str">
        <f t="shared" si="57"/>
        <v/>
      </c>
      <c r="I24" s="435" t="str">
        <f t="shared" si="58"/>
        <v/>
      </c>
      <c r="J24" s="435" t="str">
        <f t="shared" si="59"/>
        <v/>
      </c>
      <c r="K24" s="435" t="str">
        <f t="shared" si="60"/>
        <v/>
      </c>
      <c r="L24" s="435" t="str">
        <f t="shared" si="61"/>
        <v/>
      </c>
      <c r="M24" s="435" t="str">
        <f t="shared" si="62"/>
        <v/>
      </c>
      <c r="N24" s="435" t="str">
        <f t="shared" si="63"/>
        <v/>
      </c>
      <c r="O24" s="435" t="str">
        <f t="shared" si="64"/>
        <v/>
      </c>
      <c r="P24" s="435" t="str">
        <f t="shared" si="65"/>
        <v/>
      </c>
      <c r="Q24" s="435" t="str">
        <f t="shared" si="66"/>
        <v/>
      </c>
      <c r="R24" s="435" t="str">
        <f t="shared" si="67"/>
        <v/>
      </c>
      <c r="S24" s="435" t="str">
        <f t="shared" si="68"/>
        <v/>
      </c>
      <c r="T24" s="406"/>
      <c r="U24" s="436" t="str">
        <f t="shared" si="69"/>
        <v/>
      </c>
      <c r="V24" s="436" t="str">
        <f t="shared" si="70"/>
        <v/>
      </c>
      <c r="W24" s="436" t="str">
        <f t="shared" si="71"/>
        <v/>
      </c>
      <c r="X24" s="436" t="str">
        <f t="shared" si="72"/>
        <v/>
      </c>
      <c r="Y24" s="436" t="str">
        <f t="shared" si="73"/>
        <v/>
      </c>
      <c r="Z24" s="436" t="str">
        <f t="shared" si="74"/>
        <v/>
      </c>
      <c r="AA24" s="436" t="str">
        <f t="shared" si="75"/>
        <v/>
      </c>
      <c r="AB24" s="436" t="str">
        <f t="shared" si="76"/>
        <v/>
      </c>
      <c r="AC24" s="436" t="str">
        <f t="shared" si="77"/>
        <v/>
      </c>
      <c r="AD24" s="436" t="str">
        <f t="shared" si="78"/>
        <v/>
      </c>
      <c r="AE24" s="436" t="str">
        <f t="shared" si="79"/>
        <v/>
      </c>
      <c r="AF24" s="436" t="str">
        <f t="shared" si="80"/>
        <v/>
      </c>
      <c r="AG24" s="406"/>
      <c r="AH24" s="436" t="str">
        <f t="shared" si="81"/>
        <v/>
      </c>
      <c r="AI24" s="436" t="str">
        <f t="shared" si="82"/>
        <v/>
      </c>
      <c r="AJ24" s="436" t="str">
        <f t="shared" si="83"/>
        <v/>
      </c>
      <c r="AK24" s="436" t="str">
        <f t="shared" si="84"/>
        <v/>
      </c>
      <c r="AL24" s="436" t="str">
        <f t="shared" si="85"/>
        <v/>
      </c>
      <c r="AM24" s="436" t="str">
        <f t="shared" si="86"/>
        <v/>
      </c>
      <c r="AN24" s="436" t="str">
        <f t="shared" si="87"/>
        <v/>
      </c>
      <c r="AO24" s="436" t="str">
        <f t="shared" si="88"/>
        <v/>
      </c>
      <c r="AP24" s="436" t="str">
        <f t="shared" si="89"/>
        <v/>
      </c>
      <c r="AQ24" s="436" t="str">
        <f t="shared" si="90"/>
        <v/>
      </c>
      <c r="AR24" s="436" t="str">
        <f t="shared" si="91"/>
        <v/>
      </c>
      <c r="AS24" s="436" t="str">
        <f t="shared" si="92"/>
        <v/>
      </c>
      <c r="AT24" s="406"/>
      <c r="AU24" s="436" t="str">
        <f t="shared" si="93"/>
        <v/>
      </c>
      <c r="AV24" s="436" t="str">
        <f t="shared" si="94"/>
        <v/>
      </c>
      <c r="AW24" s="436" t="str">
        <f t="shared" si="95"/>
        <v/>
      </c>
      <c r="AX24" s="436" t="str">
        <f t="shared" si="96"/>
        <v/>
      </c>
      <c r="AY24" s="436" t="str">
        <f t="shared" si="97"/>
        <v/>
      </c>
      <c r="AZ24" s="436" t="str">
        <f t="shared" si="98"/>
        <v/>
      </c>
      <c r="BA24" s="436" t="str">
        <f t="shared" si="99"/>
        <v/>
      </c>
      <c r="BB24" s="436" t="str">
        <f t="shared" si="100"/>
        <v/>
      </c>
      <c r="BC24" s="436" t="str">
        <f t="shared" si="101"/>
        <v/>
      </c>
      <c r="BD24" s="436" t="str">
        <f t="shared" si="102"/>
        <v/>
      </c>
      <c r="BE24" s="436" t="str">
        <f t="shared" si="103"/>
        <v/>
      </c>
      <c r="BF24" s="436" t="str">
        <f t="shared" si="104"/>
        <v/>
      </c>
      <c r="BG24" s="406"/>
      <c r="BH24" s="453"/>
      <c r="BI24" s="437" t="str">
        <f t="shared" si="105"/>
        <v/>
      </c>
      <c r="BJ24" s="438" t="str">
        <f t="shared" si="106"/>
        <v/>
      </c>
      <c r="BK24" s="442" t="str">
        <f t="shared" si="11"/>
        <v/>
      </c>
      <c r="BL24" s="443" t="str">
        <f t="shared" si="107"/>
        <v/>
      </c>
      <c r="BM24" s="441"/>
      <c r="BN24" s="437" t="str">
        <f t="shared" si="108"/>
        <v/>
      </c>
      <c r="BO24" s="438" t="str">
        <f t="shared" si="109"/>
        <v/>
      </c>
      <c r="BP24" s="442" t="str">
        <f t="shared" si="15"/>
        <v/>
      </c>
      <c r="BQ24" s="443" t="str">
        <f t="shared" si="110"/>
        <v/>
      </c>
      <c r="BR24" s="441"/>
      <c r="BS24" s="437" t="str">
        <f t="shared" si="111"/>
        <v/>
      </c>
      <c r="BT24" s="438" t="str">
        <f t="shared" si="112"/>
        <v/>
      </c>
      <c r="BU24" s="442" t="str">
        <f t="shared" si="19"/>
        <v/>
      </c>
      <c r="BV24" s="443" t="str">
        <f t="shared" si="113"/>
        <v/>
      </c>
      <c r="BW24" s="441"/>
      <c r="BX24" s="437" t="str">
        <f t="shared" si="114"/>
        <v/>
      </c>
      <c r="BY24" s="438" t="str">
        <f t="shared" si="115"/>
        <v/>
      </c>
      <c r="BZ24" s="442" t="str">
        <f t="shared" si="23"/>
        <v/>
      </c>
      <c r="CA24" s="443" t="str">
        <f t="shared" si="116"/>
        <v/>
      </c>
      <c r="CB24" s="441"/>
      <c r="CC24" s="437" t="str">
        <f t="shared" si="25"/>
        <v/>
      </c>
      <c r="CD24" s="438" t="str">
        <f t="shared" si="117"/>
        <v/>
      </c>
      <c r="CE24" s="442" t="str">
        <f t="shared" si="27"/>
        <v/>
      </c>
      <c r="CF24" s="443" t="str">
        <f t="shared" si="118"/>
        <v/>
      </c>
      <c r="CG24" s="441"/>
      <c r="CH24" s="437" t="str">
        <f t="shared" si="119"/>
        <v/>
      </c>
      <c r="CI24" s="438" t="str">
        <f t="shared" si="120"/>
        <v/>
      </c>
      <c r="CJ24" s="442" t="str">
        <f t="shared" si="31"/>
        <v/>
      </c>
      <c r="CK24" s="443" t="str">
        <f t="shared" si="121"/>
        <v/>
      </c>
      <c r="CL24" s="441"/>
      <c r="CM24" s="437" t="str">
        <f t="shared" si="122"/>
        <v/>
      </c>
      <c r="CN24" s="438" t="str">
        <f t="shared" si="123"/>
        <v/>
      </c>
      <c r="CO24" s="442" t="str">
        <f t="shared" si="35"/>
        <v/>
      </c>
      <c r="CP24" s="443" t="str">
        <f t="shared" si="124"/>
        <v/>
      </c>
      <c r="CQ24" s="441"/>
      <c r="CR24" s="437" t="str">
        <f t="shared" si="125"/>
        <v/>
      </c>
      <c r="CS24" s="438" t="str">
        <f t="shared" si="126"/>
        <v/>
      </c>
      <c r="CT24" s="442" t="str">
        <f t="shared" si="39"/>
        <v/>
      </c>
      <c r="CU24" s="443" t="str">
        <f t="shared" si="127"/>
        <v/>
      </c>
      <c r="CV24" s="441"/>
      <c r="CW24" s="437" t="str">
        <f t="shared" si="128"/>
        <v/>
      </c>
      <c r="CX24" s="438" t="str">
        <f t="shared" si="129"/>
        <v/>
      </c>
      <c r="CY24" s="442" t="str">
        <f t="shared" si="43"/>
        <v/>
      </c>
      <c r="CZ24" s="443" t="str">
        <f t="shared" si="130"/>
        <v/>
      </c>
      <c r="DA24" s="441"/>
      <c r="DB24" s="437" t="str">
        <f t="shared" si="131"/>
        <v/>
      </c>
      <c r="DC24" s="438" t="str">
        <f t="shared" si="132"/>
        <v/>
      </c>
      <c r="DD24" s="442" t="str">
        <f t="shared" si="47"/>
        <v/>
      </c>
      <c r="DE24" s="443" t="str">
        <f t="shared" si="133"/>
        <v/>
      </c>
      <c r="DF24" s="441"/>
      <c r="DG24" s="437" t="str">
        <f t="shared" si="134"/>
        <v/>
      </c>
      <c r="DH24" s="438" t="str">
        <f t="shared" si="135"/>
        <v/>
      </c>
      <c r="DI24" s="442" t="str">
        <f t="shared" si="51"/>
        <v/>
      </c>
      <c r="DJ24" s="443" t="str">
        <f t="shared" si="136"/>
        <v/>
      </c>
      <c r="DK24" s="441"/>
      <c r="DL24" s="437" t="str">
        <f t="shared" si="137"/>
        <v/>
      </c>
      <c r="DM24" s="438" t="str">
        <f t="shared" si="138"/>
        <v/>
      </c>
      <c r="DN24" s="442" t="str">
        <f t="shared" si="55"/>
        <v/>
      </c>
      <c r="DO24" s="443" t="str">
        <f t="shared" si="139"/>
        <v/>
      </c>
      <c r="DP24" s="453"/>
    </row>
    <row r="25" spans="1:120" x14ac:dyDescent="0.35">
      <c r="A25" s="52"/>
      <c r="B25" s="54" t="str">
        <f>IF(ISERROR(VLOOKUP(A25,Planning!$A$12:$B$53,2,0)),"",VLOOKUP(A25,Planning!$A$12:$B$53,2,0))</f>
        <v/>
      </c>
      <c r="C25" s="96" t="str">
        <f>IF(ISERROR(VLOOKUP(A25,Planning!$A$12:$E$53,4,0)),"",VLOOKUP(A25,Planning!$A$12:$E73,4,0))</f>
        <v/>
      </c>
      <c r="D25" s="96" t="str">
        <f>IF(ISERROR(VLOOKUP(A25,Planning!$A$12:$E$53,5,0)),"",VLOOKUP(A25,Planning!$A$12:$E73,5,0))</f>
        <v/>
      </c>
      <c r="E25" s="157" t="str">
        <f t="shared" si="140"/>
        <v/>
      </c>
      <c r="F25" s="93" t="str">
        <f t="shared" si="141"/>
        <v/>
      </c>
      <c r="G25" s="406"/>
      <c r="H25" s="435" t="str">
        <f t="shared" si="57"/>
        <v/>
      </c>
      <c r="I25" s="435" t="str">
        <f t="shared" si="58"/>
        <v/>
      </c>
      <c r="J25" s="435" t="str">
        <f t="shared" si="59"/>
        <v/>
      </c>
      <c r="K25" s="435" t="str">
        <f t="shared" si="60"/>
        <v/>
      </c>
      <c r="L25" s="435" t="str">
        <f t="shared" si="61"/>
        <v/>
      </c>
      <c r="M25" s="435" t="str">
        <f t="shared" si="62"/>
        <v/>
      </c>
      <c r="N25" s="435" t="str">
        <f t="shared" si="63"/>
        <v/>
      </c>
      <c r="O25" s="435" t="str">
        <f t="shared" si="64"/>
        <v/>
      </c>
      <c r="P25" s="435" t="str">
        <f t="shared" si="65"/>
        <v/>
      </c>
      <c r="Q25" s="435" t="str">
        <f t="shared" si="66"/>
        <v/>
      </c>
      <c r="R25" s="435" t="str">
        <f t="shared" si="67"/>
        <v/>
      </c>
      <c r="S25" s="435" t="str">
        <f t="shared" si="68"/>
        <v/>
      </c>
      <c r="T25" s="406"/>
      <c r="U25" s="436" t="str">
        <f t="shared" si="69"/>
        <v/>
      </c>
      <c r="V25" s="436" t="str">
        <f t="shared" si="70"/>
        <v/>
      </c>
      <c r="W25" s="436" t="str">
        <f t="shared" si="71"/>
        <v/>
      </c>
      <c r="X25" s="436" t="str">
        <f t="shared" si="72"/>
        <v/>
      </c>
      <c r="Y25" s="436" t="str">
        <f t="shared" si="73"/>
        <v/>
      </c>
      <c r="Z25" s="436" t="str">
        <f t="shared" si="74"/>
        <v/>
      </c>
      <c r="AA25" s="436" t="str">
        <f t="shared" si="75"/>
        <v/>
      </c>
      <c r="AB25" s="436" t="str">
        <f t="shared" si="76"/>
        <v/>
      </c>
      <c r="AC25" s="436" t="str">
        <f t="shared" si="77"/>
        <v/>
      </c>
      <c r="AD25" s="436" t="str">
        <f t="shared" si="78"/>
        <v/>
      </c>
      <c r="AE25" s="436" t="str">
        <f t="shared" si="79"/>
        <v/>
      </c>
      <c r="AF25" s="436" t="str">
        <f t="shared" si="80"/>
        <v/>
      </c>
      <c r="AG25" s="406"/>
      <c r="AH25" s="436" t="str">
        <f t="shared" si="81"/>
        <v/>
      </c>
      <c r="AI25" s="436" t="str">
        <f t="shared" si="82"/>
        <v/>
      </c>
      <c r="AJ25" s="436" t="str">
        <f t="shared" si="83"/>
        <v/>
      </c>
      <c r="AK25" s="436" t="str">
        <f t="shared" si="84"/>
        <v/>
      </c>
      <c r="AL25" s="436" t="str">
        <f t="shared" si="85"/>
        <v/>
      </c>
      <c r="AM25" s="436" t="str">
        <f t="shared" si="86"/>
        <v/>
      </c>
      <c r="AN25" s="436" t="str">
        <f t="shared" si="87"/>
        <v/>
      </c>
      <c r="AO25" s="436" t="str">
        <f t="shared" si="88"/>
        <v/>
      </c>
      <c r="AP25" s="436" t="str">
        <f t="shared" si="89"/>
        <v/>
      </c>
      <c r="AQ25" s="436" t="str">
        <f t="shared" si="90"/>
        <v/>
      </c>
      <c r="AR25" s="436" t="str">
        <f t="shared" si="91"/>
        <v/>
      </c>
      <c r="AS25" s="436" t="str">
        <f t="shared" si="92"/>
        <v/>
      </c>
      <c r="AT25" s="406"/>
      <c r="AU25" s="436" t="str">
        <f t="shared" si="93"/>
        <v/>
      </c>
      <c r="AV25" s="436" t="str">
        <f t="shared" si="94"/>
        <v/>
      </c>
      <c r="AW25" s="436" t="str">
        <f t="shared" si="95"/>
        <v/>
      </c>
      <c r="AX25" s="436" t="str">
        <f t="shared" si="96"/>
        <v/>
      </c>
      <c r="AY25" s="436" t="str">
        <f t="shared" si="97"/>
        <v/>
      </c>
      <c r="AZ25" s="436" t="str">
        <f t="shared" si="98"/>
        <v/>
      </c>
      <c r="BA25" s="436" t="str">
        <f t="shared" si="99"/>
        <v/>
      </c>
      <c r="BB25" s="436" t="str">
        <f t="shared" si="100"/>
        <v/>
      </c>
      <c r="BC25" s="436" t="str">
        <f t="shared" si="101"/>
        <v/>
      </c>
      <c r="BD25" s="436" t="str">
        <f t="shared" si="102"/>
        <v/>
      </c>
      <c r="BE25" s="436" t="str">
        <f t="shared" si="103"/>
        <v/>
      </c>
      <c r="BF25" s="436" t="str">
        <f t="shared" si="104"/>
        <v/>
      </c>
      <c r="BG25" s="406"/>
      <c r="BH25" s="453"/>
      <c r="BI25" s="437" t="str">
        <f t="shared" si="105"/>
        <v/>
      </c>
      <c r="BJ25" s="438" t="str">
        <f t="shared" si="106"/>
        <v/>
      </c>
      <c r="BK25" s="442" t="str">
        <f t="shared" si="11"/>
        <v/>
      </c>
      <c r="BL25" s="443" t="str">
        <f t="shared" si="107"/>
        <v/>
      </c>
      <c r="BM25" s="441"/>
      <c r="BN25" s="437" t="str">
        <f t="shared" si="108"/>
        <v/>
      </c>
      <c r="BO25" s="438" t="str">
        <f t="shared" si="109"/>
        <v/>
      </c>
      <c r="BP25" s="442" t="str">
        <f t="shared" si="15"/>
        <v/>
      </c>
      <c r="BQ25" s="443" t="str">
        <f t="shared" si="110"/>
        <v/>
      </c>
      <c r="BR25" s="441"/>
      <c r="BS25" s="437" t="str">
        <f t="shared" si="111"/>
        <v/>
      </c>
      <c r="BT25" s="438" t="str">
        <f t="shared" si="112"/>
        <v/>
      </c>
      <c r="BU25" s="442" t="str">
        <f t="shared" si="19"/>
        <v/>
      </c>
      <c r="BV25" s="443" t="str">
        <f t="shared" si="113"/>
        <v/>
      </c>
      <c r="BW25" s="441"/>
      <c r="BX25" s="437" t="str">
        <f t="shared" si="114"/>
        <v/>
      </c>
      <c r="BY25" s="438" t="str">
        <f t="shared" si="115"/>
        <v/>
      </c>
      <c r="BZ25" s="442" t="str">
        <f t="shared" si="23"/>
        <v/>
      </c>
      <c r="CA25" s="443" t="str">
        <f t="shared" si="116"/>
        <v/>
      </c>
      <c r="CB25" s="441"/>
      <c r="CC25" s="437" t="str">
        <f t="shared" si="25"/>
        <v/>
      </c>
      <c r="CD25" s="438" t="str">
        <f t="shared" si="117"/>
        <v/>
      </c>
      <c r="CE25" s="442" t="str">
        <f t="shared" si="27"/>
        <v/>
      </c>
      <c r="CF25" s="443" t="str">
        <f t="shared" si="118"/>
        <v/>
      </c>
      <c r="CG25" s="441"/>
      <c r="CH25" s="437" t="str">
        <f t="shared" si="119"/>
        <v/>
      </c>
      <c r="CI25" s="438" t="str">
        <f t="shared" si="120"/>
        <v/>
      </c>
      <c r="CJ25" s="442" t="str">
        <f t="shared" si="31"/>
        <v/>
      </c>
      <c r="CK25" s="443" t="str">
        <f t="shared" si="121"/>
        <v/>
      </c>
      <c r="CL25" s="441"/>
      <c r="CM25" s="437" t="str">
        <f t="shared" si="122"/>
        <v/>
      </c>
      <c r="CN25" s="438" t="str">
        <f t="shared" si="123"/>
        <v/>
      </c>
      <c r="CO25" s="442" t="str">
        <f t="shared" si="35"/>
        <v/>
      </c>
      <c r="CP25" s="443" t="str">
        <f t="shared" si="124"/>
        <v/>
      </c>
      <c r="CQ25" s="441"/>
      <c r="CR25" s="437" t="str">
        <f t="shared" si="125"/>
        <v/>
      </c>
      <c r="CS25" s="438" t="str">
        <f t="shared" si="126"/>
        <v/>
      </c>
      <c r="CT25" s="442" t="str">
        <f t="shared" si="39"/>
        <v/>
      </c>
      <c r="CU25" s="443" t="str">
        <f t="shared" si="127"/>
        <v/>
      </c>
      <c r="CV25" s="441"/>
      <c r="CW25" s="437" t="str">
        <f t="shared" si="128"/>
        <v/>
      </c>
      <c r="CX25" s="438" t="str">
        <f t="shared" si="129"/>
        <v/>
      </c>
      <c r="CY25" s="442" t="str">
        <f t="shared" si="43"/>
        <v/>
      </c>
      <c r="CZ25" s="443" t="str">
        <f t="shared" si="130"/>
        <v/>
      </c>
      <c r="DA25" s="441"/>
      <c r="DB25" s="437" t="str">
        <f t="shared" si="131"/>
        <v/>
      </c>
      <c r="DC25" s="438" t="str">
        <f t="shared" si="132"/>
        <v/>
      </c>
      <c r="DD25" s="442" t="str">
        <f t="shared" si="47"/>
        <v/>
      </c>
      <c r="DE25" s="443" t="str">
        <f t="shared" si="133"/>
        <v/>
      </c>
      <c r="DF25" s="441"/>
      <c r="DG25" s="437" t="str">
        <f t="shared" si="134"/>
        <v/>
      </c>
      <c r="DH25" s="438" t="str">
        <f t="shared" si="135"/>
        <v/>
      </c>
      <c r="DI25" s="442" t="str">
        <f t="shared" si="51"/>
        <v/>
      </c>
      <c r="DJ25" s="443" t="str">
        <f t="shared" si="136"/>
        <v/>
      </c>
      <c r="DK25" s="441"/>
      <c r="DL25" s="437" t="str">
        <f t="shared" si="137"/>
        <v/>
      </c>
      <c r="DM25" s="438" t="str">
        <f t="shared" si="138"/>
        <v/>
      </c>
      <c r="DN25" s="442" t="str">
        <f t="shared" si="55"/>
        <v/>
      </c>
      <c r="DO25" s="443" t="str">
        <f t="shared" si="139"/>
        <v/>
      </c>
      <c r="DP25" s="453"/>
    </row>
    <row r="26" spans="1:120" x14ac:dyDescent="0.35">
      <c r="A26" s="52"/>
      <c r="B26" s="54" t="str">
        <f>IF(ISERROR(VLOOKUP(A26,Planning!$A$12:$B$53,2,0)),"",VLOOKUP(A26,Planning!$A$12:$B$53,2,0))</f>
        <v/>
      </c>
      <c r="C26" s="96" t="str">
        <f>IF(ISERROR(VLOOKUP(A26,Planning!$A$12:$E$53,4,0)),"",VLOOKUP(A26,Planning!$A$12:$E73,4,0))</f>
        <v/>
      </c>
      <c r="D26" s="96" t="str">
        <f>IF(ISERROR(VLOOKUP(A26,Planning!$A$12:$E$53,5,0)),"",VLOOKUP(A26,Planning!$A$12:$E73,5,0))</f>
        <v/>
      </c>
      <c r="E26" s="157" t="str">
        <f t="shared" si="140"/>
        <v/>
      </c>
      <c r="F26" s="93" t="str">
        <f t="shared" si="141"/>
        <v/>
      </c>
      <c r="G26" s="406"/>
      <c r="H26" s="435" t="str">
        <f t="shared" si="57"/>
        <v/>
      </c>
      <c r="I26" s="435" t="str">
        <f t="shared" si="58"/>
        <v/>
      </c>
      <c r="J26" s="435" t="str">
        <f t="shared" si="59"/>
        <v/>
      </c>
      <c r="K26" s="435" t="str">
        <f t="shared" si="60"/>
        <v/>
      </c>
      <c r="L26" s="435" t="str">
        <f t="shared" si="61"/>
        <v/>
      </c>
      <c r="M26" s="435" t="str">
        <f t="shared" si="62"/>
        <v/>
      </c>
      <c r="N26" s="435" t="str">
        <f t="shared" si="63"/>
        <v/>
      </c>
      <c r="O26" s="435" t="str">
        <f t="shared" si="64"/>
        <v/>
      </c>
      <c r="P26" s="435" t="str">
        <f t="shared" si="65"/>
        <v/>
      </c>
      <c r="Q26" s="435" t="str">
        <f t="shared" si="66"/>
        <v/>
      </c>
      <c r="R26" s="435" t="str">
        <f t="shared" si="67"/>
        <v/>
      </c>
      <c r="S26" s="435" t="str">
        <f t="shared" si="68"/>
        <v/>
      </c>
      <c r="T26" s="406"/>
      <c r="U26" s="436" t="str">
        <f t="shared" si="69"/>
        <v/>
      </c>
      <c r="V26" s="436" t="str">
        <f t="shared" si="70"/>
        <v/>
      </c>
      <c r="W26" s="436" t="str">
        <f t="shared" si="71"/>
        <v/>
      </c>
      <c r="X26" s="436" t="str">
        <f t="shared" si="72"/>
        <v/>
      </c>
      <c r="Y26" s="436" t="str">
        <f t="shared" si="73"/>
        <v/>
      </c>
      <c r="Z26" s="436" t="str">
        <f t="shared" si="74"/>
        <v/>
      </c>
      <c r="AA26" s="436" t="str">
        <f t="shared" si="75"/>
        <v/>
      </c>
      <c r="AB26" s="436" t="str">
        <f t="shared" si="76"/>
        <v/>
      </c>
      <c r="AC26" s="436" t="str">
        <f t="shared" si="77"/>
        <v/>
      </c>
      <c r="AD26" s="436" t="str">
        <f t="shared" si="78"/>
        <v/>
      </c>
      <c r="AE26" s="436" t="str">
        <f t="shared" si="79"/>
        <v/>
      </c>
      <c r="AF26" s="436" t="str">
        <f t="shared" si="80"/>
        <v/>
      </c>
      <c r="AG26" s="406"/>
      <c r="AH26" s="436" t="str">
        <f t="shared" si="81"/>
        <v/>
      </c>
      <c r="AI26" s="436" t="str">
        <f t="shared" si="82"/>
        <v/>
      </c>
      <c r="AJ26" s="436" t="str">
        <f t="shared" si="83"/>
        <v/>
      </c>
      <c r="AK26" s="436" t="str">
        <f t="shared" si="84"/>
        <v/>
      </c>
      <c r="AL26" s="436" t="str">
        <f t="shared" si="85"/>
        <v/>
      </c>
      <c r="AM26" s="436" t="str">
        <f t="shared" si="86"/>
        <v/>
      </c>
      <c r="AN26" s="436" t="str">
        <f t="shared" si="87"/>
        <v/>
      </c>
      <c r="AO26" s="436" t="str">
        <f t="shared" si="88"/>
        <v/>
      </c>
      <c r="AP26" s="436" t="str">
        <f t="shared" si="89"/>
        <v/>
      </c>
      <c r="AQ26" s="436" t="str">
        <f t="shared" si="90"/>
        <v/>
      </c>
      <c r="AR26" s="436" t="str">
        <f t="shared" si="91"/>
        <v/>
      </c>
      <c r="AS26" s="436" t="str">
        <f t="shared" si="92"/>
        <v/>
      </c>
      <c r="AT26" s="406"/>
      <c r="AU26" s="436" t="str">
        <f t="shared" si="93"/>
        <v/>
      </c>
      <c r="AV26" s="436" t="str">
        <f t="shared" si="94"/>
        <v/>
      </c>
      <c r="AW26" s="436" t="str">
        <f t="shared" si="95"/>
        <v/>
      </c>
      <c r="AX26" s="436" t="str">
        <f t="shared" si="96"/>
        <v/>
      </c>
      <c r="AY26" s="436" t="str">
        <f t="shared" si="97"/>
        <v/>
      </c>
      <c r="AZ26" s="436" t="str">
        <f t="shared" si="98"/>
        <v/>
      </c>
      <c r="BA26" s="436" t="str">
        <f t="shared" si="99"/>
        <v/>
      </c>
      <c r="BB26" s="436" t="str">
        <f t="shared" si="100"/>
        <v/>
      </c>
      <c r="BC26" s="436" t="str">
        <f t="shared" si="101"/>
        <v/>
      </c>
      <c r="BD26" s="436" t="str">
        <f t="shared" si="102"/>
        <v/>
      </c>
      <c r="BE26" s="436" t="str">
        <f t="shared" si="103"/>
        <v/>
      </c>
      <c r="BF26" s="436" t="str">
        <f t="shared" si="104"/>
        <v/>
      </c>
      <c r="BG26" s="406"/>
      <c r="BH26" s="453"/>
      <c r="BI26" s="437" t="str">
        <f t="shared" si="105"/>
        <v/>
      </c>
      <c r="BJ26" s="438" t="str">
        <f t="shared" si="106"/>
        <v/>
      </c>
      <c r="BK26" s="442" t="str">
        <f t="shared" si="11"/>
        <v/>
      </c>
      <c r="BL26" s="443" t="str">
        <f t="shared" si="107"/>
        <v/>
      </c>
      <c r="BM26" s="441"/>
      <c r="BN26" s="437" t="str">
        <f t="shared" si="108"/>
        <v/>
      </c>
      <c r="BO26" s="438" t="str">
        <f t="shared" si="109"/>
        <v/>
      </c>
      <c r="BP26" s="442" t="str">
        <f t="shared" si="15"/>
        <v/>
      </c>
      <c r="BQ26" s="443" t="str">
        <f t="shared" si="110"/>
        <v/>
      </c>
      <c r="BR26" s="441"/>
      <c r="BS26" s="437" t="str">
        <f t="shared" si="111"/>
        <v/>
      </c>
      <c r="BT26" s="438" t="str">
        <f t="shared" si="112"/>
        <v/>
      </c>
      <c r="BU26" s="442" t="str">
        <f t="shared" si="19"/>
        <v/>
      </c>
      <c r="BV26" s="443" t="str">
        <f t="shared" si="113"/>
        <v/>
      </c>
      <c r="BW26" s="441"/>
      <c r="BX26" s="437" t="str">
        <f t="shared" si="114"/>
        <v/>
      </c>
      <c r="BY26" s="438" t="str">
        <f t="shared" si="115"/>
        <v/>
      </c>
      <c r="BZ26" s="442" t="str">
        <f t="shared" si="23"/>
        <v/>
      </c>
      <c r="CA26" s="443" t="str">
        <f t="shared" si="116"/>
        <v/>
      </c>
      <c r="CB26" s="441"/>
      <c r="CC26" s="437" t="str">
        <f t="shared" si="25"/>
        <v/>
      </c>
      <c r="CD26" s="438" t="str">
        <f t="shared" si="117"/>
        <v/>
      </c>
      <c r="CE26" s="442" t="str">
        <f t="shared" si="27"/>
        <v/>
      </c>
      <c r="CF26" s="443" t="str">
        <f t="shared" si="118"/>
        <v/>
      </c>
      <c r="CG26" s="441"/>
      <c r="CH26" s="437" t="str">
        <f t="shared" si="119"/>
        <v/>
      </c>
      <c r="CI26" s="438" t="str">
        <f t="shared" si="120"/>
        <v/>
      </c>
      <c r="CJ26" s="442" t="str">
        <f t="shared" si="31"/>
        <v/>
      </c>
      <c r="CK26" s="443" t="str">
        <f t="shared" si="121"/>
        <v/>
      </c>
      <c r="CL26" s="441"/>
      <c r="CM26" s="437" t="str">
        <f t="shared" si="122"/>
        <v/>
      </c>
      <c r="CN26" s="438" t="str">
        <f t="shared" si="123"/>
        <v/>
      </c>
      <c r="CO26" s="442" t="str">
        <f t="shared" si="35"/>
        <v/>
      </c>
      <c r="CP26" s="443" t="str">
        <f t="shared" si="124"/>
        <v/>
      </c>
      <c r="CQ26" s="441"/>
      <c r="CR26" s="437" t="str">
        <f t="shared" si="125"/>
        <v/>
      </c>
      <c r="CS26" s="438" t="str">
        <f t="shared" si="126"/>
        <v/>
      </c>
      <c r="CT26" s="442" t="str">
        <f t="shared" si="39"/>
        <v/>
      </c>
      <c r="CU26" s="443" t="str">
        <f t="shared" si="127"/>
        <v/>
      </c>
      <c r="CV26" s="441"/>
      <c r="CW26" s="437" t="str">
        <f t="shared" si="128"/>
        <v/>
      </c>
      <c r="CX26" s="438" t="str">
        <f t="shared" si="129"/>
        <v/>
      </c>
      <c r="CY26" s="442" t="str">
        <f t="shared" si="43"/>
        <v/>
      </c>
      <c r="CZ26" s="443" t="str">
        <f t="shared" si="130"/>
        <v/>
      </c>
      <c r="DA26" s="441"/>
      <c r="DB26" s="437" t="str">
        <f t="shared" si="131"/>
        <v/>
      </c>
      <c r="DC26" s="438" t="str">
        <f t="shared" si="132"/>
        <v/>
      </c>
      <c r="DD26" s="442" t="str">
        <f t="shared" si="47"/>
        <v/>
      </c>
      <c r="DE26" s="443" t="str">
        <f t="shared" si="133"/>
        <v/>
      </c>
      <c r="DF26" s="441"/>
      <c r="DG26" s="437" t="str">
        <f t="shared" si="134"/>
        <v/>
      </c>
      <c r="DH26" s="438" t="str">
        <f t="shared" si="135"/>
        <v/>
      </c>
      <c r="DI26" s="442" t="str">
        <f t="shared" si="51"/>
        <v/>
      </c>
      <c r="DJ26" s="443" t="str">
        <f t="shared" si="136"/>
        <v/>
      </c>
      <c r="DK26" s="441"/>
      <c r="DL26" s="437" t="str">
        <f t="shared" si="137"/>
        <v/>
      </c>
      <c r="DM26" s="438" t="str">
        <f t="shared" si="138"/>
        <v/>
      </c>
      <c r="DN26" s="442" t="str">
        <f t="shared" si="55"/>
        <v/>
      </c>
      <c r="DO26" s="443" t="str">
        <f t="shared" si="139"/>
        <v/>
      </c>
      <c r="DP26" s="453"/>
    </row>
    <row r="27" spans="1:120" x14ac:dyDescent="0.35">
      <c r="A27" s="52"/>
      <c r="B27" s="54" t="str">
        <f>IF(ISERROR(VLOOKUP(A27,Planning!$A$12:$B$53,2,0)),"",VLOOKUP(A27,Planning!$A$12:$B$53,2,0))</f>
        <v/>
      </c>
      <c r="C27" s="96" t="str">
        <f>IF(ISERROR(VLOOKUP(A27,Planning!$A$12:$E$53,4,0)),"",VLOOKUP(A27,Planning!$A$12:$E73,4,0))</f>
        <v/>
      </c>
      <c r="D27" s="96" t="str">
        <f>IF(ISERROR(VLOOKUP(A27,Planning!$A$12:$E$53,5,0)),"",VLOOKUP(A27,Planning!$A$12:$E73,5,0))</f>
        <v/>
      </c>
      <c r="E27" s="157" t="str">
        <f t="shared" si="140"/>
        <v/>
      </c>
      <c r="F27" s="93" t="str">
        <f t="shared" si="141"/>
        <v/>
      </c>
      <c r="G27" s="406"/>
      <c r="H27" s="435" t="str">
        <f t="shared" si="57"/>
        <v/>
      </c>
      <c r="I27" s="435" t="str">
        <f t="shared" si="58"/>
        <v/>
      </c>
      <c r="J27" s="435" t="str">
        <f t="shared" si="59"/>
        <v/>
      </c>
      <c r="K27" s="435" t="str">
        <f t="shared" si="60"/>
        <v/>
      </c>
      <c r="L27" s="435" t="str">
        <f t="shared" si="61"/>
        <v/>
      </c>
      <c r="M27" s="435" t="str">
        <f t="shared" si="62"/>
        <v/>
      </c>
      <c r="N27" s="435" t="str">
        <f t="shared" si="63"/>
        <v/>
      </c>
      <c r="O27" s="435" t="str">
        <f t="shared" si="64"/>
        <v/>
      </c>
      <c r="P27" s="435" t="str">
        <f t="shared" si="65"/>
        <v/>
      </c>
      <c r="Q27" s="435" t="str">
        <f t="shared" si="66"/>
        <v/>
      </c>
      <c r="R27" s="435" t="str">
        <f t="shared" si="67"/>
        <v/>
      </c>
      <c r="S27" s="435" t="str">
        <f t="shared" si="68"/>
        <v/>
      </c>
      <c r="T27" s="406"/>
      <c r="U27" s="436" t="str">
        <f t="shared" si="69"/>
        <v/>
      </c>
      <c r="V27" s="436" t="str">
        <f t="shared" si="70"/>
        <v/>
      </c>
      <c r="W27" s="436" t="str">
        <f t="shared" si="71"/>
        <v/>
      </c>
      <c r="X27" s="436" t="str">
        <f t="shared" si="72"/>
        <v/>
      </c>
      <c r="Y27" s="436" t="str">
        <f t="shared" si="73"/>
        <v/>
      </c>
      <c r="Z27" s="436" t="str">
        <f t="shared" si="74"/>
        <v/>
      </c>
      <c r="AA27" s="436" t="str">
        <f t="shared" si="75"/>
        <v/>
      </c>
      <c r="AB27" s="436" t="str">
        <f t="shared" si="76"/>
        <v/>
      </c>
      <c r="AC27" s="436" t="str">
        <f t="shared" si="77"/>
        <v/>
      </c>
      <c r="AD27" s="436" t="str">
        <f t="shared" si="78"/>
        <v/>
      </c>
      <c r="AE27" s="436" t="str">
        <f t="shared" si="79"/>
        <v/>
      </c>
      <c r="AF27" s="436" t="str">
        <f t="shared" si="80"/>
        <v/>
      </c>
      <c r="AG27" s="406"/>
      <c r="AH27" s="436" t="str">
        <f t="shared" si="81"/>
        <v/>
      </c>
      <c r="AI27" s="436" t="str">
        <f t="shared" si="82"/>
        <v/>
      </c>
      <c r="AJ27" s="436" t="str">
        <f t="shared" si="83"/>
        <v/>
      </c>
      <c r="AK27" s="436" t="str">
        <f t="shared" si="84"/>
        <v/>
      </c>
      <c r="AL27" s="436" t="str">
        <f t="shared" si="85"/>
        <v/>
      </c>
      <c r="AM27" s="436" t="str">
        <f t="shared" si="86"/>
        <v/>
      </c>
      <c r="AN27" s="436" t="str">
        <f t="shared" si="87"/>
        <v/>
      </c>
      <c r="AO27" s="436" t="str">
        <f t="shared" si="88"/>
        <v/>
      </c>
      <c r="AP27" s="436" t="str">
        <f t="shared" si="89"/>
        <v/>
      </c>
      <c r="AQ27" s="436" t="str">
        <f t="shared" si="90"/>
        <v/>
      </c>
      <c r="AR27" s="436" t="str">
        <f t="shared" si="91"/>
        <v/>
      </c>
      <c r="AS27" s="436" t="str">
        <f t="shared" si="92"/>
        <v/>
      </c>
      <c r="AT27" s="406"/>
      <c r="AU27" s="436" t="str">
        <f t="shared" si="93"/>
        <v/>
      </c>
      <c r="AV27" s="436" t="str">
        <f t="shared" si="94"/>
        <v/>
      </c>
      <c r="AW27" s="436" t="str">
        <f t="shared" si="95"/>
        <v/>
      </c>
      <c r="AX27" s="436" t="str">
        <f t="shared" si="96"/>
        <v/>
      </c>
      <c r="AY27" s="436" t="str">
        <f t="shared" si="97"/>
        <v/>
      </c>
      <c r="AZ27" s="436" t="str">
        <f t="shared" si="98"/>
        <v/>
      </c>
      <c r="BA27" s="436" t="str">
        <f t="shared" si="99"/>
        <v/>
      </c>
      <c r="BB27" s="436" t="str">
        <f t="shared" si="100"/>
        <v/>
      </c>
      <c r="BC27" s="436" t="str">
        <f t="shared" si="101"/>
        <v/>
      </c>
      <c r="BD27" s="436" t="str">
        <f t="shared" si="102"/>
        <v/>
      </c>
      <c r="BE27" s="436" t="str">
        <f t="shared" si="103"/>
        <v/>
      </c>
      <c r="BF27" s="436" t="str">
        <f t="shared" si="104"/>
        <v/>
      </c>
      <c r="BG27" s="406"/>
      <c r="BH27" s="453"/>
      <c r="BI27" s="437" t="str">
        <f t="shared" si="105"/>
        <v/>
      </c>
      <c r="BJ27" s="438" t="str">
        <f t="shared" si="106"/>
        <v/>
      </c>
      <c r="BK27" s="442" t="str">
        <f t="shared" si="11"/>
        <v/>
      </c>
      <c r="BL27" s="443" t="str">
        <f t="shared" si="107"/>
        <v/>
      </c>
      <c r="BM27" s="441"/>
      <c r="BN27" s="437" t="str">
        <f t="shared" si="108"/>
        <v/>
      </c>
      <c r="BO27" s="438" t="str">
        <f t="shared" si="109"/>
        <v/>
      </c>
      <c r="BP27" s="442" t="str">
        <f t="shared" si="15"/>
        <v/>
      </c>
      <c r="BQ27" s="443" t="str">
        <f t="shared" si="110"/>
        <v/>
      </c>
      <c r="BR27" s="441"/>
      <c r="BS27" s="437" t="str">
        <f t="shared" si="111"/>
        <v/>
      </c>
      <c r="BT27" s="438" t="str">
        <f t="shared" si="112"/>
        <v/>
      </c>
      <c r="BU27" s="442" t="str">
        <f t="shared" si="19"/>
        <v/>
      </c>
      <c r="BV27" s="443" t="str">
        <f t="shared" si="113"/>
        <v/>
      </c>
      <c r="BW27" s="441"/>
      <c r="BX27" s="437" t="str">
        <f t="shared" si="114"/>
        <v/>
      </c>
      <c r="BY27" s="438" t="str">
        <f t="shared" si="115"/>
        <v/>
      </c>
      <c r="BZ27" s="442" t="str">
        <f t="shared" si="23"/>
        <v/>
      </c>
      <c r="CA27" s="443" t="str">
        <f t="shared" si="116"/>
        <v/>
      </c>
      <c r="CB27" s="441"/>
      <c r="CC27" s="437" t="str">
        <f t="shared" si="25"/>
        <v/>
      </c>
      <c r="CD27" s="438" t="str">
        <f t="shared" si="117"/>
        <v/>
      </c>
      <c r="CE27" s="442" t="str">
        <f t="shared" si="27"/>
        <v/>
      </c>
      <c r="CF27" s="443" t="str">
        <f t="shared" si="118"/>
        <v/>
      </c>
      <c r="CG27" s="441"/>
      <c r="CH27" s="437" t="str">
        <f t="shared" si="119"/>
        <v/>
      </c>
      <c r="CI27" s="438" t="str">
        <f t="shared" si="120"/>
        <v/>
      </c>
      <c r="CJ27" s="442" t="str">
        <f t="shared" si="31"/>
        <v/>
      </c>
      <c r="CK27" s="443" t="str">
        <f t="shared" si="121"/>
        <v/>
      </c>
      <c r="CL27" s="441"/>
      <c r="CM27" s="437" t="str">
        <f t="shared" si="122"/>
        <v/>
      </c>
      <c r="CN27" s="438" t="str">
        <f t="shared" si="123"/>
        <v/>
      </c>
      <c r="CO27" s="442" t="str">
        <f t="shared" si="35"/>
        <v/>
      </c>
      <c r="CP27" s="443" t="str">
        <f t="shared" si="124"/>
        <v/>
      </c>
      <c r="CQ27" s="441"/>
      <c r="CR27" s="437" t="str">
        <f t="shared" si="125"/>
        <v/>
      </c>
      <c r="CS27" s="438" t="str">
        <f t="shared" si="126"/>
        <v/>
      </c>
      <c r="CT27" s="442" t="str">
        <f t="shared" si="39"/>
        <v/>
      </c>
      <c r="CU27" s="443" t="str">
        <f t="shared" si="127"/>
        <v/>
      </c>
      <c r="CV27" s="441"/>
      <c r="CW27" s="437" t="str">
        <f t="shared" si="128"/>
        <v/>
      </c>
      <c r="CX27" s="438" t="str">
        <f t="shared" si="129"/>
        <v/>
      </c>
      <c r="CY27" s="442" t="str">
        <f t="shared" si="43"/>
        <v/>
      </c>
      <c r="CZ27" s="443" t="str">
        <f t="shared" si="130"/>
        <v/>
      </c>
      <c r="DA27" s="441"/>
      <c r="DB27" s="437" t="str">
        <f t="shared" si="131"/>
        <v/>
      </c>
      <c r="DC27" s="438" t="str">
        <f t="shared" si="132"/>
        <v/>
      </c>
      <c r="DD27" s="442" t="str">
        <f t="shared" si="47"/>
        <v/>
      </c>
      <c r="DE27" s="443" t="str">
        <f t="shared" si="133"/>
        <v/>
      </c>
      <c r="DF27" s="441"/>
      <c r="DG27" s="437" t="str">
        <f t="shared" si="134"/>
        <v/>
      </c>
      <c r="DH27" s="438" t="str">
        <f t="shared" si="135"/>
        <v/>
      </c>
      <c r="DI27" s="442" t="str">
        <f t="shared" si="51"/>
        <v/>
      </c>
      <c r="DJ27" s="443" t="str">
        <f t="shared" si="136"/>
        <v/>
      </c>
      <c r="DK27" s="441"/>
      <c r="DL27" s="437" t="str">
        <f t="shared" si="137"/>
        <v/>
      </c>
      <c r="DM27" s="438" t="str">
        <f t="shared" si="138"/>
        <v/>
      </c>
      <c r="DN27" s="442" t="str">
        <f t="shared" si="55"/>
        <v/>
      </c>
      <c r="DO27" s="443" t="str">
        <f t="shared" si="139"/>
        <v/>
      </c>
      <c r="DP27" s="453"/>
    </row>
    <row r="28" spans="1:120" x14ac:dyDescent="0.35">
      <c r="A28" s="52"/>
      <c r="B28" s="54" t="str">
        <f>IF(ISERROR(VLOOKUP(A28,Planning!$A$12:$B$53,2,0)),"",VLOOKUP(A28,Planning!$A$12:$B$53,2,0))</f>
        <v/>
      </c>
      <c r="C28" s="96" t="str">
        <f>IF(ISERROR(VLOOKUP(A28,Planning!$A$12:$E$53,4,0)),"",VLOOKUP(A28,Planning!$A$12:$E74,4,0))</f>
        <v/>
      </c>
      <c r="D28" s="96" t="str">
        <f>IF(ISERROR(VLOOKUP(A28,Planning!$A$12:$E$53,5,0)),"",VLOOKUP(A28,Planning!$A$12:$E74,5,0))</f>
        <v/>
      </c>
      <c r="E28" s="157" t="str">
        <f t="shared" si="140"/>
        <v/>
      </c>
      <c r="F28" s="93" t="str">
        <f t="shared" si="141"/>
        <v/>
      </c>
      <c r="G28" s="406"/>
      <c r="H28" s="435" t="str">
        <f t="shared" si="57"/>
        <v/>
      </c>
      <c r="I28" s="435" t="str">
        <f t="shared" si="58"/>
        <v/>
      </c>
      <c r="J28" s="435" t="str">
        <f t="shared" si="59"/>
        <v/>
      </c>
      <c r="K28" s="435" t="str">
        <f t="shared" si="60"/>
        <v/>
      </c>
      <c r="L28" s="435" t="str">
        <f t="shared" si="61"/>
        <v/>
      </c>
      <c r="M28" s="435" t="str">
        <f t="shared" si="62"/>
        <v/>
      </c>
      <c r="N28" s="435" t="str">
        <f t="shared" si="63"/>
        <v/>
      </c>
      <c r="O28" s="435" t="str">
        <f t="shared" si="64"/>
        <v/>
      </c>
      <c r="P28" s="435" t="str">
        <f t="shared" si="65"/>
        <v/>
      </c>
      <c r="Q28" s="435" t="str">
        <f t="shared" si="66"/>
        <v/>
      </c>
      <c r="R28" s="435" t="str">
        <f t="shared" si="67"/>
        <v/>
      </c>
      <c r="S28" s="435" t="str">
        <f t="shared" si="68"/>
        <v/>
      </c>
      <c r="T28" s="406"/>
      <c r="U28" s="436" t="str">
        <f t="shared" si="69"/>
        <v/>
      </c>
      <c r="V28" s="436" t="str">
        <f t="shared" si="70"/>
        <v/>
      </c>
      <c r="W28" s="436" t="str">
        <f t="shared" si="71"/>
        <v/>
      </c>
      <c r="X28" s="436" t="str">
        <f t="shared" si="72"/>
        <v/>
      </c>
      <c r="Y28" s="436" t="str">
        <f t="shared" si="73"/>
        <v/>
      </c>
      <c r="Z28" s="436" t="str">
        <f t="shared" si="74"/>
        <v/>
      </c>
      <c r="AA28" s="436" t="str">
        <f t="shared" si="75"/>
        <v/>
      </c>
      <c r="AB28" s="436" t="str">
        <f t="shared" si="76"/>
        <v/>
      </c>
      <c r="AC28" s="436" t="str">
        <f t="shared" si="77"/>
        <v/>
      </c>
      <c r="AD28" s="436" t="str">
        <f t="shared" si="78"/>
        <v/>
      </c>
      <c r="AE28" s="436" t="str">
        <f t="shared" si="79"/>
        <v/>
      </c>
      <c r="AF28" s="436" t="str">
        <f t="shared" si="80"/>
        <v/>
      </c>
      <c r="AG28" s="406"/>
      <c r="AH28" s="436" t="str">
        <f t="shared" si="81"/>
        <v/>
      </c>
      <c r="AI28" s="436" t="str">
        <f t="shared" si="82"/>
        <v/>
      </c>
      <c r="AJ28" s="436" t="str">
        <f t="shared" si="83"/>
        <v/>
      </c>
      <c r="AK28" s="436" t="str">
        <f t="shared" si="84"/>
        <v/>
      </c>
      <c r="AL28" s="436" t="str">
        <f t="shared" si="85"/>
        <v/>
      </c>
      <c r="AM28" s="436" t="str">
        <f t="shared" si="86"/>
        <v/>
      </c>
      <c r="AN28" s="436" t="str">
        <f t="shared" si="87"/>
        <v/>
      </c>
      <c r="AO28" s="436" t="str">
        <f t="shared" si="88"/>
        <v/>
      </c>
      <c r="AP28" s="436" t="str">
        <f t="shared" si="89"/>
        <v/>
      </c>
      <c r="AQ28" s="436" t="str">
        <f t="shared" si="90"/>
        <v/>
      </c>
      <c r="AR28" s="436" t="str">
        <f t="shared" si="91"/>
        <v/>
      </c>
      <c r="AS28" s="436" t="str">
        <f t="shared" si="92"/>
        <v/>
      </c>
      <c r="AT28" s="406"/>
      <c r="AU28" s="436" t="str">
        <f t="shared" si="93"/>
        <v/>
      </c>
      <c r="AV28" s="436" t="str">
        <f t="shared" si="94"/>
        <v/>
      </c>
      <c r="AW28" s="436" t="str">
        <f t="shared" si="95"/>
        <v/>
      </c>
      <c r="AX28" s="436" t="str">
        <f t="shared" si="96"/>
        <v/>
      </c>
      <c r="AY28" s="436" t="str">
        <f t="shared" si="97"/>
        <v/>
      </c>
      <c r="AZ28" s="436" t="str">
        <f t="shared" si="98"/>
        <v/>
      </c>
      <c r="BA28" s="436" t="str">
        <f t="shared" si="99"/>
        <v/>
      </c>
      <c r="BB28" s="436" t="str">
        <f t="shared" si="100"/>
        <v/>
      </c>
      <c r="BC28" s="436" t="str">
        <f t="shared" si="101"/>
        <v/>
      </c>
      <c r="BD28" s="436" t="str">
        <f t="shared" si="102"/>
        <v/>
      </c>
      <c r="BE28" s="436" t="str">
        <f t="shared" si="103"/>
        <v/>
      </c>
      <c r="BF28" s="436" t="str">
        <f t="shared" si="104"/>
        <v/>
      </c>
      <c r="BG28" s="406"/>
      <c r="BH28" s="453"/>
      <c r="BI28" s="437" t="str">
        <f t="shared" si="105"/>
        <v/>
      </c>
      <c r="BJ28" s="438" t="str">
        <f t="shared" si="106"/>
        <v/>
      </c>
      <c r="BK28" s="442" t="str">
        <f t="shared" si="11"/>
        <v/>
      </c>
      <c r="BL28" s="443" t="str">
        <f t="shared" si="107"/>
        <v/>
      </c>
      <c r="BM28" s="441"/>
      <c r="BN28" s="437" t="str">
        <f t="shared" si="108"/>
        <v/>
      </c>
      <c r="BO28" s="438" t="str">
        <f t="shared" si="109"/>
        <v/>
      </c>
      <c r="BP28" s="442" t="str">
        <f t="shared" si="15"/>
        <v/>
      </c>
      <c r="BQ28" s="443" t="str">
        <f t="shared" si="110"/>
        <v/>
      </c>
      <c r="BR28" s="441"/>
      <c r="BS28" s="437" t="str">
        <f t="shared" si="111"/>
        <v/>
      </c>
      <c r="BT28" s="438" t="str">
        <f t="shared" si="112"/>
        <v/>
      </c>
      <c r="BU28" s="442" t="str">
        <f t="shared" si="19"/>
        <v/>
      </c>
      <c r="BV28" s="443" t="str">
        <f t="shared" si="113"/>
        <v/>
      </c>
      <c r="BW28" s="441"/>
      <c r="BX28" s="437" t="str">
        <f t="shared" si="114"/>
        <v/>
      </c>
      <c r="BY28" s="438" t="str">
        <f t="shared" si="115"/>
        <v/>
      </c>
      <c r="BZ28" s="442" t="str">
        <f t="shared" si="23"/>
        <v/>
      </c>
      <c r="CA28" s="443" t="str">
        <f t="shared" si="116"/>
        <v/>
      </c>
      <c r="CB28" s="441"/>
      <c r="CC28" s="437" t="str">
        <f t="shared" si="25"/>
        <v/>
      </c>
      <c r="CD28" s="438" t="str">
        <f t="shared" si="117"/>
        <v/>
      </c>
      <c r="CE28" s="442" t="str">
        <f t="shared" si="27"/>
        <v/>
      </c>
      <c r="CF28" s="443" t="str">
        <f t="shared" si="118"/>
        <v/>
      </c>
      <c r="CG28" s="441"/>
      <c r="CH28" s="437" t="str">
        <f t="shared" si="119"/>
        <v/>
      </c>
      <c r="CI28" s="438" t="str">
        <f t="shared" si="120"/>
        <v/>
      </c>
      <c r="CJ28" s="442" t="str">
        <f t="shared" si="31"/>
        <v/>
      </c>
      <c r="CK28" s="443" t="str">
        <f t="shared" si="121"/>
        <v/>
      </c>
      <c r="CL28" s="441"/>
      <c r="CM28" s="437" t="str">
        <f t="shared" si="122"/>
        <v/>
      </c>
      <c r="CN28" s="438" t="str">
        <f t="shared" si="123"/>
        <v/>
      </c>
      <c r="CO28" s="442" t="str">
        <f t="shared" si="35"/>
        <v/>
      </c>
      <c r="CP28" s="443" t="str">
        <f t="shared" si="124"/>
        <v/>
      </c>
      <c r="CQ28" s="441"/>
      <c r="CR28" s="437" t="str">
        <f t="shared" si="125"/>
        <v/>
      </c>
      <c r="CS28" s="438" t="str">
        <f t="shared" si="126"/>
        <v/>
      </c>
      <c r="CT28" s="442" t="str">
        <f t="shared" si="39"/>
        <v/>
      </c>
      <c r="CU28" s="443" t="str">
        <f t="shared" si="127"/>
        <v/>
      </c>
      <c r="CV28" s="441"/>
      <c r="CW28" s="437" t="str">
        <f t="shared" si="128"/>
        <v/>
      </c>
      <c r="CX28" s="438" t="str">
        <f t="shared" si="129"/>
        <v/>
      </c>
      <c r="CY28" s="442" t="str">
        <f t="shared" si="43"/>
        <v/>
      </c>
      <c r="CZ28" s="443" t="str">
        <f t="shared" si="130"/>
        <v/>
      </c>
      <c r="DA28" s="441"/>
      <c r="DB28" s="437" t="str">
        <f t="shared" si="131"/>
        <v/>
      </c>
      <c r="DC28" s="438" t="str">
        <f t="shared" si="132"/>
        <v/>
      </c>
      <c r="DD28" s="442" t="str">
        <f t="shared" si="47"/>
        <v/>
      </c>
      <c r="DE28" s="443" t="str">
        <f t="shared" si="133"/>
        <v/>
      </c>
      <c r="DF28" s="441"/>
      <c r="DG28" s="437" t="str">
        <f t="shared" si="134"/>
        <v/>
      </c>
      <c r="DH28" s="438" t="str">
        <f t="shared" si="135"/>
        <v/>
      </c>
      <c r="DI28" s="442" t="str">
        <f t="shared" si="51"/>
        <v/>
      </c>
      <c r="DJ28" s="443" t="str">
        <f t="shared" si="136"/>
        <v/>
      </c>
      <c r="DK28" s="441"/>
      <c r="DL28" s="437" t="str">
        <f t="shared" si="137"/>
        <v/>
      </c>
      <c r="DM28" s="438" t="str">
        <f t="shared" si="138"/>
        <v/>
      </c>
      <c r="DN28" s="442" t="str">
        <f t="shared" si="55"/>
        <v/>
      </c>
      <c r="DO28" s="443" t="str">
        <f t="shared" si="139"/>
        <v/>
      </c>
      <c r="DP28" s="453"/>
    </row>
    <row r="29" spans="1:120" x14ac:dyDescent="0.35">
      <c r="A29" s="52"/>
      <c r="B29" s="54" t="str">
        <f>IF(ISERROR(VLOOKUP(A29,Planning!$A$12:$B$53,2,0)),"",VLOOKUP(A29,Planning!$A$12:$B$53,2,0))</f>
        <v/>
      </c>
      <c r="C29" s="96" t="str">
        <f>IF(ISERROR(VLOOKUP(A29,Planning!$A$12:$E$53,4,0)),"",VLOOKUP(A29,Planning!$A$12:$E75,4,0))</f>
        <v/>
      </c>
      <c r="D29" s="96" t="str">
        <f>IF(ISERROR(VLOOKUP(A29,Planning!$A$12:$E$53,5,0)),"",VLOOKUP(A29,Planning!$A$12:$E75,5,0))</f>
        <v/>
      </c>
      <c r="E29" s="157" t="str">
        <f t="shared" si="140"/>
        <v/>
      </c>
      <c r="F29" s="93" t="str">
        <f t="shared" si="141"/>
        <v/>
      </c>
      <c r="G29" s="406"/>
      <c r="H29" s="435" t="str">
        <f t="shared" si="57"/>
        <v/>
      </c>
      <c r="I29" s="435" t="str">
        <f t="shared" si="58"/>
        <v/>
      </c>
      <c r="J29" s="435" t="str">
        <f t="shared" si="59"/>
        <v/>
      </c>
      <c r="K29" s="435" t="str">
        <f t="shared" si="60"/>
        <v/>
      </c>
      <c r="L29" s="435" t="str">
        <f t="shared" si="61"/>
        <v/>
      </c>
      <c r="M29" s="435" t="str">
        <f t="shared" si="62"/>
        <v/>
      </c>
      <c r="N29" s="435" t="str">
        <f t="shared" si="63"/>
        <v/>
      </c>
      <c r="O29" s="435" t="str">
        <f t="shared" si="64"/>
        <v/>
      </c>
      <c r="P29" s="435" t="str">
        <f t="shared" si="65"/>
        <v/>
      </c>
      <c r="Q29" s="435" t="str">
        <f t="shared" si="66"/>
        <v/>
      </c>
      <c r="R29" s="435" t="str">
        <f t="shared" si="67"/>
        <v/>
      </c>
      <c r="S29" s="435" t="str">
        <f t="shared" si="68"/>
        <v/>
      </c>
      <c r="T29" s="406"/>
      <c r="U29" s="436" t="str">
        <f t="shared" si="69"/>
        <v/>
      </c>
      <c r="V29" s="436" t="str">
        <f t="shared" si="70"/>
        <v/>
      </c>
      <c r="W29" s="436" t="str">
        <f t="shared" si="71"/>
        <v/>
      </c>
      <c r="X29" s="436" t="str">
        <f t="shared" si="72"/>
        <v/>
      </c>
      <c r="Y29" s="436" t="str">
        <f t="shared" si="73"/>
        <v/>
      </c>
      <c r="Z29" s="436" t="str">
        <f t="shared" si="74"/>
        <v/>
      </c>
      <c r="AA29" s="436" t="str">
        <f t="shared" si="75"/>
        <v/>
      </c>
      <c r="AB29" s="436" t="str">
        <f t="shared" si="76"/>
        <v/>
      </c>
      <c r="AC29" s="436" t="str">
        <f t="shared" si="77"/>
        <v/>
      </c>
      <c r="AD29" s="436" t="str">
        <f t="shared" si="78"/>
        <v/>
      </c>
      <c r="AE29" s="436" t="str">
        <f t="shared" si="79"/>
        <v/>
      </c>
      <c r="AF29" s="436" t="str">
        <f t="shared" si="80"/>
        <v/>
      </c>
      <c r="AG29" s="406"/>
      <c r="AH29" s="436" t="str">
        <f t="shared" si="81"/>
        <v/>
      </c>
      <c r="AI29" s="436" t="str">
        <f t="shared" si="82"/>
        <v/>
      </c>
      <c r="AJ29" s="436" t="str">
        <f t="shared" si="83"/>
        <v/>
      </c>
      <c r="AK29" s="436" t="str">
        <f t="shared" si="84"/>
        <v/>
      </c>
      <c r="AL29" s="436" t="str">
        <f t="shared" si="85"/>
        <v/>
      </c>
      <c r="AM29" s="436" t="str">
        <f t="shared" si="86"/>
        <v/>
      </c>
      <c r="AN29" s="436" t="str">
        <f t="shared" si="87"/>
        <v/>
      </c>
      <c r="AO29" s="436" t="str">
        <f t="shared" si="88"/>
        <v/>
      </c>
      <c r="AP29" s="436" t="str">
        <f t="shared" si="89"/>
        <v/>
      </c>
      <c r="AQ29" s="436" t="str">
        <f t="shared" si="90"/>
        <v/>
      </c>
      <c r="AR29" s="436" t="str">
        <f t="shared" si="91"/>
        <v/>
      </c>
      <c r="AS29" s="436" t="str">
        <f t="shared" si="92"/>
        <v/>
      </c>
      <c r="AT29" s="406"/>
      <c r="AU29" s="436" t="str">
        <f t="shared" si="93"/>
        <v/>
      </c>
      <c r="AV29" s="436" t="str">
        <f t="shared" si="94"/>
        <v/>
      </c>
      <c r="AW29" s="436" t="str">
        <f t="shared" si="95"/>
        <v/>
      </c>
      <c r="AX29" s="436" t="str">
        <f t="shared" si="96"/>
        <v/>
      </c>
      <c r="AY29" s="436" t="str">
        <f t="shared" si="97"/>
        <v/>
      </c>
      <c r="AZ29" s="436" t="str">
        <f t="shared" si="98"/>
        <v/>
      </c>
      <c r="BA29" s="436" t="str">
        <f t="shared" si="99"/>
        <v/>
      </c>
      <c r="BB29" s="436" t="str">
        <f t="shared" si="100"/>
        <v/>
      </c>
      <c r="BC29" s="436" t="str">
        <f t="shared" si="101"/>
        <v/>
      </c>
      <c r="BD29" s="436" t="str">
        <f t="shared" si="102"/>
        <v/>
      </c>
      <c r="BE29" s="436" t="str">
        <f t="shared" si="103"/>
        <v/>
      </c>
      <c r="BF29" s="436" t="str">
        <f t="shared" si="104"/>
        <v/>
      </c>
      <c r="BG29" s="406"/>
      <c r="BH29" s="453"/>
      <c r="BI29" s="437" t="str">
        <f t="shared" si="105"/>
        <v/>
      </c>
      <c r="BJ29" s="438" t="str">
        <f t="shared" si="106"/>
        <v/>
      </c>
      <c r="BK29" s="442" t="str">
        <f t="shared" si="11"/>
        <v/>
      </c>
      <c r="BL29" s="443" t="str">
        <f t="shared" si="107"/>
        <v/>
      </c>
      <c r="BM29" s="441"/>
      <c r="BN29" s="437" t="str">
        <f t="shared" si="108"/>
        <v/>
      </c>
      <c r="BO29" s="438" t="str">
        <f t="shared" si="109"/>
        <v/>
      </c>
      <c r="BP29" s="442" t="str">
        <f t="shared" si="15"/>
        <v/>
      </c>
      <c r="BQ29" s="443" t="str">
        <f t="shared" si="110"/>
        <v/>
      </c>
      <c r="BR29" s="441"/>
      <c r="BS29" s="437" t="str">
        <f t="shared" si="111"/>
        <v/>
      </c>
      <c r="BT29" s="438" t="str">
        <f t="shared" si="112"/>
        <v/>
      </c>
      <c r="BU29" s="442" t="str">
        <f t="shared" si="19"/>
        <v/>
      </c>
      <c r="BV29" s="443" t="str">
        <f t="shared" si="113"/>
        <v/>
      </c>
      <c r="BW29" s="441"/>
      <c r="BX29" s="437" t="str">
        <f t="shared" si="114"/>
        <v/>
      </c>
      <c r="BY29" s="438" t="str">
        <f t="shared" si="115"/>
        <v/>
      </c>
      <c r="BZ29" s="442" t="str">
        <f t="shared" si="23"/>
        <v/>
      </c>
      <c r="CA29" s="443" t="str">
        <f t="shared" si="116"/>
        <v/>
      </c>
      <c r="CB29" s="441"/>
      <c r="CC29" s="437" t="str">
        <f t="shared" si="25"/>
        <v/>
      </c>
      <c r="CD29" s="438" t="str">
        <f t="shared" si="117"/>
        <v/>
      </c>
      <c r="CE29" s="442" t="str">
        <f t="shared" si="27"/>
        <v/>
      </c>
      <c r="CF29" s="443" t="str">
        <f t="shared" si="118"/>
        <v/>
      </c>
      <c r="CG29" s="441"/>
      <c r="CH29" s="437" t="str">
        <f t="shared" si="119"/>
        <v/>
      </c>
      <c r="CI29" s="438" t="str">
        <f t="shared" si="120"/>
        <v/>
      </c>
      <c r="CJ29" s="442" t="str">
        <f t="shared" si="31"/>
        <v/>
      </c>
      <c r="CK29" s="443" t="str">
        <f t="shared" si="121"/>
        <v/>
      </c>
      <c r="CL29" s="441"/>
      <c r="CM29" s="437" t="str">
        <f t="shared" si="122"/>
        <v/>
      </c>
      <c r="CN29" s="438" t="str">
        <f t="shared" si="123"/>
        <v/>
      </c>
      <c r="CO29" s="442" t="str">
        <f t="shared" si="35"/>
        <v/>
      </c>
      <c r="CP29" s="443" t="str">
        <f t="shared" si="124"/>
        <v/>
      </c>
      <c r="CQ29" s="441"/>
      <c r="CR29" s="437" t="str">
        <f t="shared" si="125"/>
        <v/>
      </c>
      <c r="CS29" s="438" t="str">
        <f t="shared" si="126"/>
        <v/>
      </c>
      <c r="CT29" s="442" t="str">
        <f t="shared" si="39"/>
        <v/>
      </c>
      <c r="CU29" s="443" t="str">
        <f t="shared" si="127"/>
        <v/>
      </c>
      <c r="CV29" s="441"/>
      <c r="CW29" s="437" t="str">
        <f t="shared" si="128"/>
        <v/>
      </c>
      <c r="CX29" s="438" t="str">
        <f t="shared" si="129"/>
        <v/>
      </c>
      <c r="CY29" s="442" t="str">
        <f t="shared" si="43"/>
        <v/>
      </c>
      <c r="CZ29" s="443" t="str">
        <f t="shared" si="130"/>
        <v/>
      </c>
      <c r="DA29" s="441"/>
      <c r="DB29" s="437" t="str">
        <f t="shared" si="131"/>
        <v/>
      </c>
      <c r="DC29" s="438" t="str">
        <f t="shared" si="132"/>
        <v/>
      </c>
      <c r="DD29" s="442" t="str">
        <f t="shared" si="47"/>
        <v/>
      </c>
      <c r="DE29" s="443" t="str">
        <f t="shared" si="133"/>
        <v/>
      </c>
      <c r="DF29" s="441"/>
      <c r="DG29" s="437" t="str">
        <f t="shared" si="134"/>
        <v/>
      </c>
      <c r="DH29" s="438" t="str">
        <f t="shared" si="135"/>
        <v/>
      </c>
      <c r="DI29" s="442" t="str">
        <f t="shared" si="51"/>
        <v/>
      </c>
      <c r="DJ29" s="443" t="str">
        <f t="shared" si="136"/>
        <v/>
      </c>
      <c r="DK29" s="441"/>
      <c r="DL29" s="437" t="str">
        <f t="shared" si="137"/>
        <v/>
      </c>
      <c r="DM29" s="438" t="str">
        <f t="shared" si="138"/>
        <v/>
      </c>
      <c r="DN29" s="442" t="str">
        <f t="shared" si="55"/>
        <v/>
      </c>
      <c r="DO29" s="443" t="str">
        <f t="shared" si="139"/>
        <v/>
      </c>
      <c r="DP29" s="453"/>
    </row>
    <row r="30" spans="1:120" x14ac:dyDescent="0.35">
      <c r="A30" s="52"/>
      <c r="B30" s="54" t="str">
        <f>IF(ISERROR(VLOOKUP(A30,Planning!$A$12:$B$53,2,0)),"",VLOOKUP(A30,Planning!$A$12:$B$53,2,0))</f>
        <v/>
      </c>
      <c r="C30" s="96" t="str">
        <f>IF(ISERROR(VLOOKUP(A30,Planning!$A$12:$E$53,4,0)),"",VLOOKUP(A30,Planning!$A$12:$E76,4,0))</f>
        <v/>
      </c>
      <c r="D30" s="96" t="str">
        <f>IF(ISERROR(VLOOKUP(A30,Planning!$A$12:$E$53,5,0)),"",VLOOKUP(A30,Planning!$A$12:$E76,5,0))</f>
        <v/>
      </c>
      <c r="E30" s="157" t="str">
        <f t="shared" si="140"/>
        <v/>
      </c>
      <c r="F30" s="93" t="str">
        <f t="shared" si="141"/>
        <v/>
      </c>
      <c r="G30" s="406"/>
      <c r="H30" s="435" t="str">
        <f t="shared" si="57"/>
        <v/>
      </c>
      <c r="I30" s="435" t="str">
        <f t="shared" si="58"/>
        <v/>
      </c>
      <c r="J30" s="435" t="str">
        <f t="shared" si="59"/>
        <v/>
      </c>
      <c r="K30" s="435" t="str">
        <f t="shared" si="60"/>
        <v/>
      </c>
      <c r="L30" s="435" t="str">
        <f t="shared" si="61"/>
        <v/>
      </c>
      <c r="M30" s="435" t="str">
        <f t="shared" si="62"/>
        <v/>
      </c>
      <c r="N30" s="435" t="str">
        <f t="shared" si="63"/>
        <v/>
      </c>
      <c r="O30" s="435" t="str">
        <f t="shared" si="64"/>
        <v/>
      </c>
      <c r="P30" s="435" t="str">
        <f t="shared" si="65"/>
        <v/>
      </c>
      <c r="Q30" s="435" t="str">
        <f t="shared" si="66"/>
        <v/>
      </c>
      <c r="R30" s="435" t="str">
        <f t="shared" si="67"/>
        <v/>
      </c>
      <c r="S30" s="435" t="str">
        <f t="shared" si="68"/>
        <v/>
      </c>
      <c r="T30" s="406"/>
      <c r="U30" s="436" t="str">
        <f t="shared" si="69"/>
        <v/>
      </c>
      <c r="V30" s="436" t="str">
        <f t="shared" si="70"/>
        <v/>
      </c>
      <c r="W30" s="436" t="str">
        <f t="shared" si="71"/>
        <v/>
      </c>
      <c r="X30" s="436" t="str">
        <f t="shared" si="72"/>
        <v/>
      </c>
      <c r="Y30" s="436" t="str">
        <f t="shared" si="73"/>
        <v/>
      </c>
      <c r="Z30" s="436" t="str">
        <f t="shared" si="74"/>
        <v/>
      </c>
      <c r="AA30" s="436" t="str">
        <f t="shared" si="75"/>
        <v/>
      </c>
      <c r="AB30" s="436" t="str">
        <f t="shared" si="76"/>
        <v/>
      </c>
      <c r="AC30" s="436" t="str">
        <f t="shared" si="77"/>
        <v/>
      </c>
      <c r="AD30" s="436" t="str">
        <f t="shared" si="78"/>
        <v/>
      </c>
      <c r="AE30" s="436" t="str">
        <f t="shared" si="79"/>
        <v/>
      </c>
      <c r="AF30" s="436" t="str">
        <f t="shared" si="80"/>
        <v/>
      </c>
      <c r="AG30" s="406"/>
      <c r="AH30" s="436" t="str">
        <f t="shared" si="81"/>
        <v/>
      </c>
      <c r="AI30" s="436" t="str">
        <f t="shared" si="82"/>
        <v/>
      </c>
      <c r="AJ30" s="436" t="str">
        <f t="shared" si="83"/>
        <v/>
      </c>
      <c r="AK30" s="436" t="str">
        <f t="shared" si="84"/>
        <v/>
      </c>
      <c r="AL30" s="436" t="str">
        <f t="shared" si="85"/>
        <v/>
      </c>
      <c r="AM30" s="436" t="str">
        <f t="shared" si="86"/>
        <v/>
      </c>
      <c r="AN30" s="436" t="str">
        <f t="shared" si="87"/>
        <v/>
      </c>
      <c r="AO30" s="436" t="str">
        <f t="shared" si="88"/>
        <v/>
      </c>
      <c r="AP30" s="436" t="str">
        <f t="shared" si="89"/>
        <v/>
      </c>
      <c r="AQ30" s="436" t="str">
        <f t="shared" si="90"/>
        <v/>
      </c>
      <c r="AR30" s="436" t="str">
        <f t="shared" si="91"/>
        <v/>
      </c>
      <c r="AS30" s="436" t="str">
        <f t="shared" si="92"/>
        <v/>
      </c>
      <c r="AT30" s="406"/>
      <c r="AU30" s="436" t="str">
        <f t="shared" si="93"/>
        <v/>
      </c>
      <c r="AV30" s="436" t="str">
        <f t="shared" si="94"/>
        <v/>
      </c>
      <c r="AW30" s="436" t="str">
        <f t="shared" si="95"/>
        <v/>
      </c>
      <c r="AX30" s="436" t="str">
        <f t="shared" si="96"/>
        <v/>
      </c>
      <c r="AY30" s="436" t="str">
        <f t="shared" si="97"/>
        <v/>
      </c>
      <c r="AZ30" s="436" t="str">
        <f t="shared" si="98"/>
        <v/>
      </c>
      <c r="BA30" s="436" t="str">
        <f t="shared" si="99"/>
        <v/>
      </c>
      <c r="BB30" s="436" t="str">
        <f t="shared" si="100"/>
        <v/>
      </c>
      <c r="BC30" s="436" t="str">
        <f t="shared" si="101"/>
        <v/>
      </c>
      <c r="BD30" s="436" t="str">
        <f t="shared" si="102"/>
        <v/>
      </c>
      <c r="BE30" s="436" t="str">
        <f t="shared" si="103"/>
        <v/>
      </c>
      <c r="BF30" s="436" t="str">
        <f t="shared" si="104"/>
        <v/>
      </c>
      <c r="BG30" s="406"/>
      <c r="BH30" s="453"/>
      <c r="BI30" s="437" t="str">
        <f t="shared" si="105"/>
        <v/>
      </c>
      <c r="BJ30" s="438" t="str">
        <f t="shared" si="106"/>
        <v/>
      </c>
      <c r="BK30" s="442" t="str">
        <f t="shared" si="11"/>
        <v/>
      </c>
      <c r="BL30" s="443" t="str">
        <f t="shared" si="107"/>
        <v/>
      </c>
      <c r="BM30" s="441"/>
      <c r="BN30" s="437" t="str">
        <f t="shared" si="108"/>
        <v/>
      </c>
      <c r="BO30" s="438" t="str">
        <f t="shared" si="109"/>
        <v/>
      </c>
      <c r="BP30" s="442" t="str">
        <f t="shared" si="15"/>
        <v/>
      </c>
      <c r="BQ30" s="443" t="str">
        <f t="shared" si="110"/>
        <v/>
      </c>
      <c r="BR30" s="441"/>
      <c r="BS30" s="437" t="str">
        <f t="shared" si="111"/>
        <v/>
      </c>
      <c r="BT30" s="438" t="str">
        <f t="shared" si="112"/>
        <v/>
      </c>
      <c r="BU30" s="442" t="str">
        <f t="shared" si="19"/>
        <v/>
      </c>
      <c r="BV30" s="443" t="str">
        <f t="shared" si="113"/>
        <v/>
      </c>
      <c r="BW30" s="441"/>
      <c r="BX30" s="437" t="str">
        <f t="shared" si="114"/>
        <v/>
      </c>
      <c r="BY30" s="438" t="str">
        <f t="shared" si="115"/>
        <v/>
      </c>
      <c r="BZ30" s="442" t="str">
        <f t="shared" si="23"/>
        <v/>
      </c>
      <c r="CA30" s="443" t="str">
        <f t="shared" si="116"/>
        <v/>
      </c>
      <c r="CB30" s="441"/>
      <c r="CC30" s="437" t="str">
        <f t="shared" si="25"/>
        <v/>
      </c>
      <c r="CD30" s="438" t="str">
        <f t="shared" si="117"/>
        <v/>
      </c>
      <c r="CE30" s="442" t="str">
        <f t="shared" si="27"/>
        <v/>
      </c>
      <c r="CF30" s="443" t="str">
        <f t="shared" si="118"/>
        <v/>
      </c>
      <c r="CG30" s="441"/>
      <c r="CH30" s="437" t="str">
        <f t="shared" si="119"/>
        <v/>
      </c>
      <c r="CI30" s="438" t="str">
        <f t="shared" si="120"/>
        <v/>
      </c>
      <c r="CJ30" s="442" t="str">
        <f t="shared" si="31"/>
        <v/>
      </c>
      <c r="CK30" s="443" t="str">
        <f t="shared" si="121"/>
        <v/>
      </c>
      <c r="CL30" s="441"/>
      <c r="CM30" s="437" t="str">
        <f t="shared" si="122"/>
        <v/>
      </c>
      <c r="CN30" s="438" t="str">
        <f t="shared" si="123"/>
        <v/>
      </c>
      <c r="CO30" s="442" t="str">
        <f t="shared" si="35"/>
        <v/>
      </c>
      <c r="CP30" s="443" t="str">
        <f t="shared" si="124"/>
        <v/>
      </c>
      <c r="CQ30" s="441"/>
      <c r="CR30" s="437" t="str">
        <f t="shared" si="125"/>
        <v/>
      </c>
      <c r="CS30" s="438" t="str">
        <f t="shared" si="126"/>
        <v/>
      </c>
      <c r="CT30" s="442" t="str">
        <f t="shared" si="39"/>
        <v/>
      </c>
      <c r="CU30" s="443" t="str">
        <f t="shared" si="127"/>
        <v/>
      </c>
      <c r="CV30" s="441"/>
      <c r="CW30" s="437" t="str">
        <f t="shared" si="128"/>
        <v/>
      </c>
      <c r="CX30" s="438" t="str">
        <f t="shared" si="129"/>
        <v/>
      </c>
      <c r="CY30" s="442" t="str">
        <f t="shared" si="43"/>
        <v/>
      </c>
      <c r="CZ30" s="443" t="str">
        <f t="shared" si="130"/>
        <v/>
      </c>
      <c r="DA30" s="441"/>
      <c r="DB30" s="437" t="str">
        <f t="shared" si="131"/>
        <v/>
      </c>
      <c r="DC30" s="438" t="str">
        <f t="shared" si="132"/>
        <v/>
      </c>
      <c r="DD30" s="442" t="str">
        <f t="shared" si="47"/>
        <v/>
      </c>
      <c r="DE30" s="443" t="str">
        <f t="shared" si="133"/>
        <v/>
      </c>
      <c r="DF30" s="441"/>
      <c r="DG30" s="437" t="str">
        <f t="shared" si="134"/>
        <v/>
      </c>
      <c r="DH30" s="438" t="str">
        <f t="shared" si="135"/>
        <v/>
      </c>
      <c r="DI30" s="442" t="str">
        <f t="shared" si="51"/>
        <v/>
      </c>
      <c r="DJ30" s="443" t="str">
        <f t="shared" si="136"/>
        <v/>
      </c>
      <c r="DK30" s="441"/>
      <c r="DL30" s="437" t="str">
        <f t="shared" si="137"/>
        <v/>
      </c>
      <c r="DM30" s="438" t="str">
        <f t="shared" si="138"/>
        <v/>
      </c>
      <c r="DN30" s="442" t="str">
        <f t="shared" si="55"/>
        <v/>
      </c>
      <c r="DO30" s="443" t="str">
        <f t="shared" si="139"/>
        <v/>
      </c>
      <c r="DP30" s="453"/>
    </row>
    <row r="31" spans="1:120" x14ac:dyDescent="0.35">
      <c r="A31" s="52"/>
      <c r="B31" s="54" t="str">
        <f>IF(ISERROR(VLOOKUP(A31,Planning!$A$12:$B$53,2,0)),"",VLOOKUP(A31,Planning!$A$12:$B$53,2,0))</f>
        <v/>
      </c>
      <c r="C31" s="96" t="str">
        <f>IF(ISERROR(VLOOKUP(A31,Planning!$A$12:$E$53,4,0)),"",VLOOKUP(A31,Planning!$A$12:$E77,4,0))</f>
        <v/>
      </c>
      <c r="D31" s="96" t="str">
        <f>IF(ISERROR(VLOOKUP(A31,Planning!$A$12:$E$53,5,0)),"",VLOOKUP(A31,Planning!$A$12:$E77,5,0))</f>
        <v/>
      </c>
      <c r="E31" s="157" t="str">
        <f t="shared" si="140"/>
        <v/>
      </c>
      <c r="F31" s="93" t="str">
        <f t="shared" si="141"/>
        <v/>
      </c>
      <c r="G31" s="406"/>
      <c r="H31" s="435" t="str">
        <f t="shared" si="57"/>
        <v/>
      </c>
      <c r="I31" s="435" t="str">
        <f t="shared" si="58"/>
        <v/>
      </c>
      <c r="J31" s="435" t="str">
        <f t="shared" si="59"/>
        <v/>
      </c>
      <c r="K31" s="435" t="str">
        <f t="shared" si="60"/>
        <v/>
      </c>
      <c r="L31" s="435" t="str">
        <f t="shared" si="61"/>
        <v/>
      </c>
      <c r="M31" s="435" t="str">
        <f t="shared" si="62"/>
        <v/>
      </c>
      <c r="N31" s="435" t="str">
        <f t="shared" si="63"/>
        <v/>
      </c>
      <c r="O31" s="435" t="str">
        <f t="shared" si="64"/>
        <v/>
      </c>
      <c r="P31" s="435" t="str">
        <f t="shared" si="65"/>
        <v/>
      </c>
      <c r="Q31" s="435" t="str">
        <f t="shared" si="66"/>
        <v/>
      </c>
      <c r="R31" s="435" t="str">
        <f t="shared" si="67"/>
        <v/>
      </c>
      <c r="S31" s="435" t="str">
        <f t="shared" si="68"/>
        <v/>
      </c>
      <c r="T31" s="406"/>
      <c r="U31" s="436" t="str">
        <f t="shared" si="69"/>
        <v/>
      </c>
      <c r="V31" s="436" t="str">
        <f t="shared" si="70"/>
        <v/>
      </c>
      <c r="W31" s="436" t="str">
        <f t="shared" si="71"/>
        <v/>
      </c>
      <c r="X31" s="436" t="str">
        <f t="shared" si="72"/>
        <v/>
      </c>
      <c r="Y31" s="436" t="str">
        <f t="shared" si="73"/>
        <v/>
      </c>
      <c r="Z31" s="436" t="str">
        <f t="shared" si="74"/>
        <v/>
      </c>
      <c r="AA31" s="436" t="str">
        <f t="shared" si="75"/>
        <v/>
      </c>
      <c r="AB31" s="436" t="str">
        <f t="shared" si="76"/>
        <v/>
      </c>
      <c r="AC31" s="436" t="str">
        <f t="shared" si="77"/>
        <v/>
      </c>
      <c r="AD31" s="436" t="str">
        <f t="shared" si="78"/>
        <v/>
      </c>
      <c r="AE31" s="436" t="str">
        <f t="shared" si="79"/>
        <v/>
      </c>
      <c r="AF31" s="436" t="str">
        <f t="shared" si="80"/>
        <v/>
      </c>
      <c r="AG31" s="406"/>
      <c r="AH31" s="436" t="str">
        <f t="shared" si="81"/>
        <v/>
      </c>
      <c r="AI31" s="436" t="str">
        <f t="shared" si="82"/>
        <v/>
      </c>
      <c r="AJ31" s="436" t="str">
        <f t="shared" si="83"/>
        <v/>
      </c>
      <c r="AK31" s="436" t="str">
        <f t="shared" si="84"/>
        <v/>
      </c>
      <c r="AL31" s="436" t="str">
        <f t="shared" si="85"/>
        <v/>
      </c>
      <c r="AM31" s="436" t="str">
        <f t="shared" si="86"/>
        <v/>
      </c>
      <c r="AN31" s="436" t="str">
        <f t="shared" si="87"/>
        <v/>
      </c>
      <c r="AO31" s="436" t="str">
        <f t="shared" si="88"/>
        <v/>
      </c>
      <c r="AP31" s="436" t="str">
        <f t="shared" si="89"/>
        <v/>
      </c>
      <c r="AQ31" s="436" t="str">
        <f t="shared" si="90"/>
        <v/>
      </c>
      <c r="AR31" s="436" t="str">
        <f t="shared" si="91"/>
        <v/>
      </c>
      <c r="AS31" s="436" t="str">
        <f t="shared" si="92"/>
        <v/>
      </c>
      <c r="AT31" s="406"/>
      <c r="AU31" s="436" t="str">
        <f t="shared" si="93"/>
        <v/>
      </c>
      <c r="AV31" s="436" t="str">
        <f t="shared" si="94"/>
        <v/>
      </c>
      <c r="AW31" s="436" t="str">
        <f t="shared" si="95"/>
        <v/>
      </c>
      <c r="AX31" s="436" t="str">
        <f t="shared" si="96"/>
        <v/>
      </c>
      <c r="AY31" s="436" t="str">
        <f t="shared" si="97"/>
        <v/>
      </c>
      <c r="AZ31" s="436" t="str">
        <f t="shared" si="98"/>
        <v/>
      </c>
      <c r="BA31" s="436" t="str">
        <f t="shared" si="99"/>
        <v/>
      </c>
      <c r="BB31" s="436" t="str">
        <f t="shared" si="100"/>
        <v/>
      </c>
      <c r="BC31" s="436" t="str">
        <f t="shared" si="101"/>
        <v/>
      </c>
      <c r="BD31" s="436" t="str">
        <f t="shared" si="102"/>
        <v/>
      </c>
      <c r="BE31" s="436" t="str">
        <f t="shared" si="103"/>
        <v/>
      </c>
      <c r="BF31" s="436" t="str">
        <f t="shared" si="104"/>
        <v/>
      </c>
      <c r="BG31" s="406"/>
      <c r="BH31" s="453"/>
      <c r="BI31" s="437" t="str">
        <f t="shared" si="105"/>
        <v/>
      </c>
      <c r="BJ31" s="438" t="str">
        <f t="shared" si="106"/>
        <v/>
      </c>
      <c r="BK31" s="442" t="str">
        <f t="shared" si="11"/>
        <v/>
      </c>
      <c r="BL31" s="443" t="str">
        <f t="shared" si="107"/>
        <v/>
      </c>
      <c r="BM31" s="441"/>
      <c r="BN31" s="437" t="str">
        <f t="shared" si="108"/>
        <v/>
      </c>
      <c r="BO31" s="438" t="str">
        <f t="shared" si="109"/>
        <v/>
      </c>
      <c r="BP31" s="442" t="str">
        <f t="shared" si="15"/>
        <v/>
      </c>
      <c r="BQ31" s="443" t="str">
        <f t="shared" si="110"/>
        <v/>
      </c>
      <c r="BR31" s="441"/>
      <c r="BS31" s="437" t="str">
        <f t="shared" si="111"/>
        <v/>
      </c>
      <c r="BT31" s="438" t="str">
        <f t="shared" si="112"/>
        <v/>
      </c>
      <c r="BU31" s="442" t="str">
        <f t="shared" si="19"/>
        <v/>
      </c>
      <c r="BV31" s="443" t="str">
        <f t="shared" si="113"/>
        <v/>
      </c>
      <c r="BW31" s="441"/>
      <c r="BX31" s="437" t="str">
        <f t="shared" si="114"/>
        <v/>
      </c>
      <c r="BY31" s="438" t="str">
        <f t="shared" si="115"/>
        <v/>
      </c>
      <c r="BZ31" s="442" t="str">
        <f t="shared" si="23"/>
        <v/>
      </c>
      <c r="CA31" s="443" t="str">
        <f t="shared" si="116"/>
        <v/>
      </c>
      <c r="CB31" s="441"/>
      <c r="CC31" s="437" t="str">
        <f t="shared" si="25"/>
        <v/>
      </c>
      <c r="CD31" s="438" t="str">
        <f t="shared" si="117"/>
        <v/>
      </c>
      <c r="CE31" s="442" t="str">
        <f t="shared" si="27"/>
        <v/>
      </c>
      <c r="CF31" s="443" t="str">
        <f t="shared" si="118"/>
        <v/>
      </c>
      <c r="CG31" s="441"/>
      <c r="CH31" s="437" t="str">
        <f t="shared" si="119"/>
        <v/>
      </c>
      <c r="CI31" s="438" t="str">
        <f t="shared" si="120"/>
        <v/>
      </c>
      <c r="CJ31" s="442" t="str">
        <f t="shared" si="31"/>
        <v/>
      </c>
      <c r="CK31" s="443" t="str">
        <f t="shared" si="121"/>
        <v/>
      </c>
      <c r="CL31" s="441"/>
      <c r="CM31" s="437" t="str">
        <f t="shared" si="122"/>
        <v/>
      </c>
      <c r="CN31" s="438" t="str">
        <f t="shared" si="123"/>
        <v/>
      </c>
      <c r="CO31" s="442" t="str">
        <f t="shared" si="35"/>
        <v/>
      </c>
      <c r="CP31" s="443" t="str">
        <f t="shared" si="124"/>
        <v/>
      </c>
      <c r="CQ31" s="441"/>
      <c r="CR31" s="437" t="str">
        <f t="shared" si="125"/>
        <v/>
      </c>
      <c r="CS31" s="438" t="str">
        <f t="shared" si="126"/>
        <v/>
      </c>
      <c r="CT31" s="442" t="str">
        <f t="shared" si="39"/>
        <v/>
      </c>
      <c r="CU31" s="443" t="str">
        <f t="shared" si="127"/>
        <v/>
      </c>
      <c r="CV31" s="441"/>
      <c r="CW31" s="437" t="str">
        <f t="shared" si="128"/>
        <v/>
      </c>
      <c r="CX31" s="438" t="str">
        <f t="shared" si="129"/>
        <v/>
      </c>
      <c r="CY31" s="442" t="str">
        <f t="shared" si="43"/>
        <v/>
      </c>
      <c r="CZ31" s="443" t="str">
        <f t="shared" si="130"/>
        <v/>
      </c>
      <c r="DA31" s="441"/>
      <c r="DB31" s="437" t="str">
        <f t="shared" si="131"/>
        <v/>
      </c>
      <c r="DC31" s="438" t="str">
        <f t="shared" si="132"/>
        <v/>
      </c>
      <c r="DD31" s="442" t="str">
        <f t="shared" si="47"/>
        <v/>
      </c>
      <c r="DE31" s="443" t="str">
        <f t="shared" si="133"/>
        <v/>
      </c>
      <c r="DF31" s="441"/>
      <c r="DG31" s="437" t="str">
        <f t="shared" si="134"/>
        <v/>
      </c>
      <c r="DH31" s="438" t="str">
        <f t="shared" si="135"/>
        <v/>
      </c>
      <c r="DI31" s="442" t="str">
        <f t="shared" si="51"/>
        <v/>
      </c>
      <c r="DJ31" s="443" t="str">
        <f t="shared" si="136"/>
        <v/>
      </c>
      <c r="DK31" s="441"/>
      <c r="DL31" s="437" t="str">
        <f t="shared" si="137"/>
        <v/>
      </c>
      <c r="DM31" s="438" t="str">
        <f t="shared" si="138"/>
        <v/>
      </c>
      <c r="DN31" s="442" t="str">
        <f t="shared" si="55"/>
        <v/>
      </c>
      <c r="DO31" s="443" t="str">
        <f t="shared" si="139"/>
        <v/>
      </c>
      <c r="DP31" s="453"/>
    </row>
    <row r="32" spans="1:120" x14ac:dyDescent="0.35">
      <c r="A32" s="52"/>
      <c r="B32" s="54" t="str">
        <f>IF(ISERROR(VLOOKUP(A32,Planning!$A$12:$B$53,2,0)),"",VLOOKUP(A32,Planning!$A$12:$B$53,2,0))</f>
        <v/>
      </c>
      <c r="C32" s="96" t="str">
        <f>IF(ISERROR(VLOOKUP(A32,Planning!$A$12:$E$53,4,0)),"",VLOOKUP(A32,Planning!$A$12:$E78,4,0))</f>
        <v/>
      </c>
      <c r="D32" s="96" t="str">
        <f>IF(ISERROR(VLOOKUP(A32,Planning!$A$12:$E$53,5,0)),"",VLOOKUP(A32,Planning!$A$12:$E78,5,0))</f>
        <v/>
      </c>
      <c r="E32" s="157" t="str">
        <f t="shared" si="140"/>
        <v/>
      </c>
      <c r="F32" s="93" t="str">
        <f t="shared" si="141"/>
        <v/>
      </c>
      <c r="G32" s="406"/>
      <c r="H32" s="435" t="str">
        <f t="shared" si="57"/>
        <v/>
      </c>
      <c r="I32" s="435" t="str">
        <f t="shared" si="58"/>
        <v/>
      </c>
      <c r="J32" s="435" t="str">
        <f t="shared" si="59"/>
        <v/>
      </c>
      <c r="K32" s="435" t="str">
        <f t="shared" si="60"/>
        <v/>
      </c>
      <c r="L32" s="435" t="str">
        <f t="shared" si="61"/>
        <v/>
      </c>
      <c r="M32" s="435" t="str">
        <f t="shared" si="62"/>
        <v/>
      </c>
      <c r="N32" s="435" t="str">
        <f t="shared" si="63"/>
        <v/>
      </c>
      <c r="O32" s="435" t="str">
        <f t="shared" si="64"/>
        <v/>
      </c>
      <c r="P32" s="435" t="str">
        <f t="shared" si="65"/>
        <v/>
      </c>
      <c r="Q32" s="435" t="str">
        <f t="shared" si="66"/>
        <v/>
      </c>
      <c r="R32" s="435" t="str">
        <f t="shared" si="67"/>
        <v/>
      </c>
      <c r="S32" s="435" t="str">
        <f t="shared" si="68"/>
        <v/>
      </c>
      <c r="T32" s="406"/>
      <c r="U32" s="436" t="str">
        <f t="shared" si="69"/>
        <v/>
      </c>
      <c r="V32" s="436" t="str">
        <f t="shared" si="70"/>
        <v/>
      </c>
      <c r="W32" s="436" t="str">
        <f t="shared" si="71"/>
        <v/>
      </c>
      <c r="X32" s="436" t="str">
        <f t="shared" si="72"/>
        <v/>
      </c>
      <c r="Y32" s="436" t="str">
        <f t="shared" si="73"/>
        <v/>
      </c>
      <c r="Z32" s="436" t="str">
        <f t="shared" si="74"/>
        <v/>
      </c>
      <c r="AA32" s="436" t="str">
        <f t="shared" si="75"/>
        <v/>
      </c>
      <c r="AB32" s="436" t="str">
        <f t="shared" si="76"/>
        <v/>
      </c>
      <c r="AC32" s="436" t="str">
        <f t="shared" si="77"/>
        <v/>
      </c>
      <c r="AD32" s="436" t="str">
        <f t="shared" si="78"/>
        <v/>
      </c>
      <c r="AE32" s="436" t="str">
        <f t="shared" si="79"/>
        <v/>
      </c>
      <c r="AF32" s="436" t="str">
        <f t="shared" si="80"/>
        <v/>
      </c>
      <c r="AG32" s="406"/>
      <c r="AH32" s="436" t="str">
        <f t="shared" si="81"/>
        <v/>
      </c>
      <c r="AI32" s="436" t="str">
        <f t="shared" si="82"/>
        <v/>
      </c>
      <c r="AJ32" s="436" t="str">
        <f t="shared" si="83"/>
        <v/>
      </c>
      <c r="AK32" s="436" t="str">
        <f t="shared" si="84"/>
        <v/>
      </c>
      <c r="AL32" s="436" t="str">
        <f t="shared" si="85"/>
        <v/>
      </c>
      <c r="AM32" s="436" t="str">
        <f t="shared" si="86"/>
        <v/>
      </c>
      <c r="AN32" s="436" t="str">
        <f t="shared" si="87"/>
        <v/>
      </c>
      <c r="AO32" s="436" t="str">
        <f t="shared" si="88"/>
        <v/>
      </c>
      <c r="AP32" s="436" t="str">
        <f t="shared" si="89"/>
        <v/>
      </c>
      <c r="AQ32" s="436" t="str">
        <f t="shared" si="90"/>
        <v/>
      </c>
      <c r="AR32" s="436" t="str">
        <f t="shared" si="91"/>
        <v/>
      </c>
      <c r="AS32" s="436" t="str">
        <f t="shared" si="92"/>
        <v/>
      </c>
      <c r="AT32" s="406"/>
      <c r="AU32" s="436" t="str">
        <f t="shared" si="93"/>
        <v/>
      </c>
      <c r="AV32" s="436" t="str">
        <f t="shared" si="94"/>
        <v/>
      </c>
      <c r="AW32" s="436" t="str">
        <f t="shared" si="95"/>
        <v/>
      </c>
      <c r="AX32" s="436" t="str">
        <f t="shared" si="96"/>
        <v/>
      </c>
      <c r="AY32" s="436" t="str">
        <f t="shared" si="97"/>
        <v/>
      </c>
      <c r="AZ32" s="436" t="str">
        <f t="shared" si="98"/>
        <v/>
      </c>
      <c r="BA32" s="436" t="str">
        <f t="shared" si="99"/>
        <v/>
      </c>
      <c r="BB32" s="436" t="str">
        <f t="shared" si="100"/>
        <v/>
      </c>
      <c r="BC32" s="436" t="str">
        <f t="shared" si="101"/>
        <v/>
      </c>
      <c r="BD32" s="436" t="str">
        <f t="shared" si="102"/>
        <v/>
      </c>
      <c r="BE32" s="436" t="str">
        <f t="shared" si="103"/>
        <v/>
      </c>
      <c r="BF32" s="436" t="str">
        <f t="shared" si="104"/>
        <v/>
      </c>
      <c r="BG32" s="406"/>
      <c r="BH32" s="453"/>
      <c r="BI32" s="437" t="str">
        <f t="shared" si="105"/>
        <v/>
      </c>
      <c r="BJ32" s="438" t="str">
        <f t="shared" si="106"/>
        <v/>
      </c>
      <c r="BK32" s="442" t="str">
        <f t="shared" si="11"/>
        <v/>
      </c>
      <c r="BL32" s="443" t="str">
        <f t="shared" si="107"/>
        <v/>
      </c>
      <c r="BM32" s="441"/>
      <c r="BN32" s="437" t="str">
        <f t="shared" si="108"/>
        <v/>
      </c>
      <c r="BO32" s="438" t="str">
        <f t="shared" si="109"/>
        <v/>
      </c>
      <c r="BP32" s="442" t="str">
        <f t="shared" si="15"/>
        <v/>
      </c>
      <c r="BQ32" s="443" t="str">
        <f t="shared" si="110"/>
        <v/>
      </c>
      <c r="BR32" s="441"/>
      <c r="BS32" s="437" t="str">
        <f t="shared" si="111"/>
        <v/>
      </c>
      <c r="BT32" s="438" t="str">
        <f t="shared" si="112"/>
        <v/>
      </c>
      <c r="BU32" s="442" t="str">
        <f t="shared" si="19"/>
        <v/>
      </c>
      <c r="BV32" s="443" t="str">
        <f t="shared" si="113"/>
        <v/>
      </c>
      <c r="BW32" s="441"/>
      <c r="BX32" s="437" t="str">
        <f t="shared" si="114"/>
        <v/>
      </c>
      <c r="BY32" s="438" t="str">
        <f t="shared" si="115"/>
        <v/>
      </c>
      <c r="BZ32" s="442" t="str">
        <f t="shared" si="23"/>
        <v/>
      </c>
      <c r="CA32" s="443" t="str">
        <f t="shared" si="116"/>
        <v/>
      </c>
      <c r="CB32" s="441"/>
      <c r="CC32" s="437" t="str">
        <f t="shared" si="25"/>
        <v/>
      </c>
      <c r="CD32" s="438" t="str">
        <f t="shared" si="117"/>
        <v/>
      </c>
      <c r="CE32" s="442" t="str">
        <f t="shared" si="27"/>
        <v/>
      </c>
      <c r="CF32" s="443" t="str">
        <f t="shared" si="118"/>
        <v/>
      </c>
      <c r="CG32" s="441"/>
      <c r="CH32" s="437" t="str">
        <f t="shared" si="119"/>
        <v/>
      </c>
      <c r="CI32" s="438" t="str">
        <f t="shared" si="120"/>
        <v/>
      </c>
      <c r="CJ32" s="442" t="str">
        <f t="shared" si="31"/>
        <v/>
      </c>
      <c r="CK32" s="443" t="str">
        <f t="shared" si="121"/>
        <v/>
      </c>
      <c r="CL32" s="441"/>
      <c r="CM32" s="437" t="str">
        <f t="shared" si="122"/>
        <v/>
      </c>
      <c r="CN32" s="438" t="str">
        <f t="shared" si="123"/>
        <v/>
      </c>
      <c r="CO32" s="442" t="str">
        <f t="shared" si="35"/>
        <v/>
      </c>
      <c r="CP32" s="443" t="str">
        <f t="shared" si="124"/>
        <v/>
      </c>
      <c r="CQ32" s="441"/>
      <c r="CR32" s="437" t="str">
        <f t="shared" si="125"/>
        <v/>
      </c>
      <c r="CS32" s="438" t="str">
        <f t="shared" si="126"/>
        <v/>
      </c>
      <c r="CT32" s="442" t="str">
        <f t="shared" si="39"/>
        <v/>
      </c>
      <c r="CU32" s="443" t="str">
        <f t="shared" si="127"/>
        <v/>
      </c>
      <c r="CV32" s="441"/>
      <c r="CW32" s="437" t="str">
        <f t="shared" si="128"/>
        <v/>
      </c>
      <c r="CX32" s="438" t="str">
        <f t="shared" si="129"/>
        <v/>
      </c>
      <c r="CY32" s="442" t="str">
        <f t="shared" si="43"/>
        <v/>
      </c>
      <c r="CZ32" s="443" t="str">
        <f t="shared" si="130"/>
        <v/>
      </c>
      <c r="DA32" s="441"/>
      <c r="DB32" s="437" t="str">
        <f t="shared" si="131"/>
        <v/>
      </c>
      <c r="DC32" s="438" t="str">
        <f t="shared" si="132"/>
        <v/>
      </c>
      <c r="DD32" s="442" t="str">
        <f t="shared" si="47"/>
        <v/>
      </c>
      <c r="DE32" s="443" t="str">
        <f t="shared" si="133"/>
        <v/>
      </c>
      <c r="DF32" s="441"/>
      <c r="DG32" s="437" t="str">
        <f t="shared" si="134"/>
        <v/>
      </c>
      <c r="DH32" s="438" t="str">
        <f t="shared" si="135"/>
        <v/>
      </c>
      <c r="DI32" s="442" t="str">
        <f t="shared" si="51"/>
        <v/>
      </c>
      <c r="DJ32" s="443" t="str">
        <f t="shared" si="136"/>
        <v/>
      </c>
      <c r="DK32" s="441"/>
      <c r="DL32" s="437" t="str">
        <f t="shared" si="137"/>
        <v/>
      </c>
      <c r="DM32" s="438" t="str">
        <f t="shared" si="138"/>
        <v/>
      </c>
      <c r="DN32" s="442" t="str">
        <f t="shared" si="55"/>
        <v/>
      </c>
      <c r="DO32" s="443" t="str">
        <f t="shared" si="139"/>
        <v/>
      </c>
      <c r="DP32" s="453"/>
    </row>
    <row r="33" spans="1:120" x14ac:dyDescent="0.35">
      <c r="A33" s="52"/>
      <c r="B33" s="54" t="str">
        <f>IF(ISERROR(VLOOKUP(A33,Planning!$A$12:$B$53,2,0)),"",VLOOKUP(A33,Planning!$A$12:$B$53,2,0))</f>
        <v/>
      </c>
      <c r="C33" s="96" t="str">
        <f>IF(ISERROR(VLOOKUP(A33,Planning!$A$12:$E$53,4,0)),"",VLOOKUP(A33,Planning!$A$12:$E79,4,0))</f>
        <v/>
      </c>
      <c r="D33" s="96" t="str">
        <f>IF(ISERROR(VLOOKUP(A33,Planning!$A$12:$E$53,5,0)),"",VLOOKUP(A33,Planning!$A$12:$E79,5,0))</f>
        <v/>
      </c>
      <c r="E33" s="157" t="str">
        <f t="shared" si="140"/>
        <v/>
      </c>
      <c r="F33" s="93" t="str">
        <f t="shared" si="141"/>
        <v/>
      </c>
      <c r="G33" s="406"/>
      <c r="H33" s="435" t="str">
        <f t="shared" si="57"/>
        <v/>
      </c>
      <c r="I33" s="435" t="str">
        <f t="shared" si="58"/>
        <v/>
      </c>
      <c r="J33" s="435" t="str">
        <f t="shared" si="59"/>
        <v/>
      </c>
      <c r="K33" s="435" t="str">
        <f t="shared" si="60"/>
        <v/>
      </c>
      <c r="L33" s="435" t="str">
        <f t="shared" si="61"/>
        <v/>
      </c>
      <c r="M33" s="435" t="str">
        <f t="shared" si="62"/>
        <v/>
      </c>
      <c r="N33" s="435" t="str">
        <f t="shared" si="63"/>
        <v/>
      </c>
      <c r="O33" s="435" t="str">
        <f t="shared" si="64"/>
        <v/>
      </c>
      <c r="P33" s="435" t="str">
        <f t="shared" si="65"/>
        <v/>
      </c>
      <c r="Q33" s="435" t="str">
        <f t="shared" si="66"/>
        <v/>
      </c>
      <c r="R33" s="435" t="str">
        <f t="shared" si="67"/>
        <v/>
      </c>
      <c r="S33" s="435" t="str">
        <f t="shared" si="68"/>
        <v/>
      </c>
      <c r="T33" s="406"/>
      <c r="U33" s="436" t="str">
        <f t="shared" si="69"/>
        <v/>
      </c>
      <c r="V33" s="436" t="str">
        <f t="shared" si="70"/>
        <v/>
      </c>
      <c r="W33" s="436" t="str">
        <f t="shared" si="71"/>
        <v/>
      </c>
      <c r="X33" s="436" t="str">
        <f t="shared" si="72"/>
        <v/>
      </c>
      <c r="Y33" s="436" t="str">
        <f t="shared" si="73"/>
        <v/>
      </c>
      <c r="Z33" s="436" t="str">
        <f t="shared" si="74"/>
        <v/>
      </c>
      <c r="AA33" s="436" t="str">
        <f t="shared" si="75"/>
        <v/>
      </c>
      <c r="AB33" s="436" t="str">
        <f t="shared" si="76"/>
        <v/>
      </c>
      <c r="AC33" s="436" t="str">
        <f t="shared" si="77"/>
        <v/>
      </c>
      <c r="AD33" s="436" t="str">
        <f t="shared" si="78"/>
        <v/>
      </c>
      <c r="AE33" s="436" t="str">
        <f t="shared" si="79"/>
        <v/>
      </c>
      <c r="AF33" s="436" t="str">
        <f t="shared" si="80"/>
        <v/>
      </c>
      <c r="AG33" s="406"/>
      <c r="AH33" s="436" t="str">
        <f t="shared" si="81"/>
        <v/>
      </c>
      <c r="AI33" s="436" t="str">
        <f t="shared" si="82"/>
        <v/>
      </c>
      <c r="AJ33" s="436" t="str">
        <f t="shared" si="83"/>
        <v/>
      </c>
      <c r="AK33" s="436" t="str">
        <f t="shared" si="84"/>
        <v/>
      </c>
      <c r="AL33" s="436" t="str">
        <f t="shared" si="85"/>
        <v/>
      </c>
      <c r="AM33" s="436" t="str">
        <f t="shared" si="86"/>
        <v/>
      </c>
      <c r="AN33" s="436" t="str">
        <f t="shared" si="87"/>
        <v/>
      </c>
      <c r="AO33" s="436" t="str">
        <f t="shared" si="88"/>
        <v/>
      </c>
      <c r="AP33" s="436" t="str">
        <f t="shared" si="89"/>
        <v/>
      </c>
      <c r="AQ33" s="436" t="str">
        <f t="shared" si="90"/>
        <v/>
      </c>
      <c r="AR33" s="436" t="str">
        <f t="shared" si="91"/>
        <v/>
      </c>
      <c r="AS33" s="436" t="str">
        <f t="shared" si="92"/>
        <v/>
      </c>
      <c r="AT33" s="406"/>
      <c r="AU33" s="436" t="str">
        <f t="shared" si="93"/>
        <v/>
      </c>
      <c r="AV33" s="436" t="str">
        <f t="shared" si="94"/>
        <v/>
      </c>
      <c r="AW33" s="436" t="str">
        <f t="shared" si="95"/>
        <v/>
      </c>
      <c r="AX33" s="436" t="str">
        <f t="shared" si="96"/>
        <v/>
      </c>
      <c r="AY33" s="436" t="str">
        <f t="shared" si="97"/>
        <v/>
      </c>
      <c r="AZ33" s="436" t="str">
        <f t="shared" si="98"/>
        <v/>
      </c>
      <c r="BA33" s="436" t="str">
        <f t="shared" si="99"/>
        <v/>
      </c>
      <c r="BB33" s="436" t="str">
        <f t="shared" si="100"/>
        <v/>
      </c>
      <c r="BC33" s="436" t="str">
        <f t="shared" si="101"/>
        <v/>
      </c>
      <c r="BD33" s="436" t="str">
        <f t="shared" si="102"/>
        <v/>
      </c>
      <c r="BE33" s="436" t="str">
        <f t="shared" si="103"/>
        <v/>
      </c>
      <c r="BF33" s="436" t="str">
        <f t="shared" si="104"/>
        <v/>
      </c>
      <c r="BG33" s="406"/>
      <c r="BH33" s="453"/>
      <c r="BI33" s="437" t="str">
        <f t="shared" si="105"/>
        <v/>
      </c>
      <c r="BJ33" s="438" t="str">
        <f t="shared" si="106"/>
        <v/>
      </c>
      <c r="BK33" s="442" t="str">
        <f t="shared" si="11"/>
        <v/>
      </c>
      <c r="BL33" s="443" t="str">
        <f t="shared" si="107"/>
        <v/>
      </c>
      <c r="BM33" s="441"/>
      <c r="BN33" s="437" t="str">
        <f t="shared" si="108"/>
        <v/>
      </c>
      <c r="BO33" s="438" t="str">
        <f t="shared" si="109"/>
        <v/>
      </c>
      <c r="BP33" s="442" t="str">
        <f t="shared" si="15"/>
        <v/>
      </c>
      <c r="BQ33" s="443" t="str">
        <f t="shared" si="110"/>
        <v/>
      </c>
      <c r="BR33" s="441"/>
      <c r="BS33" s="437" t="str">
        <f t="shared" si="111"/>
        <v/>
      </c>
      <c r="BT33" s="438" t="str">
        <f t="shared" si="112"/>
        <v/>
      </c>
      <c r="BU33" s="442" t="str">
        <f t="shared" si="19"/>
        <v/>
      </c>
      <c r="BV33" s="443" t="str">
        <f t="shared" si="113"/>
        <v/>
      </c>
      <c r="BW33" s="441"/>
      <c r="BX33" s="437" t="str">
        <f t="shared" si="114"/>
        <v/>
      </c>
      <c r="BY33" s="438" t="str">
        <f t="shared" si="115"/>
        <v/>
      </c>
      <c r="BZ33" s="442" t="str">
        <f t="shared" si="23"/>
        <v/>
      </c>
      <c r="CA33" s="443" t="str">
        <f t="shared" si="116"/>
        <v/>
      </c>
      <c r="CB33" s="441"/>
      <c r="CC33" s="437" t="str">
        <f t="shared" si="25"/>
        <v/>
      </c>
      <c r="CD33" s="438" t="str">
        <f t="shared" si="117"/>
        <v/>
      </c>
      <c r="CE33" s="442" t="str">
        <f t="shared" si="27"/>
        <v/>
      </c>
      <c r="CF33" s="443" t="str">
        <f t="shared" si="118"/>
        <v/>
      </c>
      <c r="CG33" s="441"/>
      <c r="CH33" s="437" t="str">
        <f t="shared" si="119"/>
        <v/>
      </c>
      <c r="CI33" s="438" t="str">
        <f t="shared" si="120"/>
        <v/>
      </c>
      <c r="CJ33" s="442" t="str">
        <f t="shared" si="31"/>
        <v/>
      </c>
      <c r="CK33" s="443" t="str">
        <f t="shared" si="121"/>
        <v/>
      </c>
      <c r="CL33" s="441"/>
      <c r="CM33" s="437" t="str">
        <f t="shared" si="122"/>
        <v/>
      </c>
      <c r="CN33" s="438" t="str">
        <f t="shared" si="123"/>
        <v/>
      </c>
      <c r="CO33" s="442" t="str">
        <f t="shared" si="35"/>
        <v/>
      </c>
      <c r="CP33" s="443" t="str">
        <f t="shared" si="124"/>
        <v/>
      </c>
      <c r="CQ33" s="441"/>
      <c r="CR33" s="437" t="str">
        <f t="shared" si="125"/>
        <v/>
      </c>
      <c r="CS33" s="438" t="str">
        <f t="shared" si="126"/>
        <v/>
      </c>
      <c r="CT33" s="442" t="str">
        <f t="shared" si="39"/>
        <v/>
      </c>
      <c r="CU33" s="443" t="str">
        <f t="shared" si="127"/>
        <v/>
      </c>
      <c r="CV33" s="441"/>
      <c r="CW33" s="437" t="str">
        <f t="shared" si="128"/>
        <v/>
      </c>
      <c r="CX33" s="438" t="str">
        <f t="shared" si="129"/>
        <v/>
      </c>
      <c r="CY33" s="442" t="str">
        <f t="shared" si="43"/>
        <v/>
      </c>
      <c r="CZ33" s="443" t="str">
        <f t="shared" si="130"/>
        <v/>
      </c>
      <c r="DA33" s="441"/>
      <c r="DB33" s="437" t="str">
        <f t="shared" si="131"/>
        <v/>
      </c>
      <c r="DC33" s="438" t="str">
        <f t="shared" si="132"/>
        <v/>
      </c>
      <c r="DD33" s="442" t="str">
        <f t="shared" si="47"/>
        <v/>
      </c>
      <c r="DE33" s="443" t="str">
        <f t="shared" si="133"/>
        <v/>
      </c>
      <c r="DF33" s="441"/>
      <c r="DG33" s="437" t="str">
        <f t="shared" si="134"/>
        <v/>
      </c>
      <c r="DH33" s="438" t="str">
        <f t="shared" si="135"/>
        <v/>
      </c>
      <c r="DI33" s="442" t="str">
        <f t="shared" si="51"/>
        <v/>
      </c>
      <c r="DJ33" s="443" t="str">
        <f t="shared" si="136"/>
        <v/>
      </c>
      <c r="DK33" s="441"/>
      <c r="DL33" s="437" t="str">
        <f t="shared" si="137"/>
        <v/>
      </c>
      <c r="DM33" s="438" t="str">
        <f t="shared" si="138"/>
        <v/>
      </c>
      <c r="DN33" s="442" t="str">
        <f t="shared" si="55"/>
        <v/>
      </c>
      <c r="DO33" s="443" t="str">
        <f t="shared" si="139"/>
        <v/>
      </c>
      <c r="DP33" s="453"/>
    </row>
    <row r="34" spans="1:120" x14ac:dyDescent="0.35">
      <c r="A34" s="52"/>
      <c r="B34" s="54" t="str">
        <f>IF(ISERROR(VLOOKUP(A34,Planning!$A$12:$B$53,2,0)),"",VLOOKUP(A34,Planning!$A$12:$B$53,2,0))</f>
        <v/>
      </c>
      <c r="C34" s="96" t="str">
        <f>IF(ISERROR(VLOOKUP(A34,Planning!$A$12:$E$53,4,0)),"",VLOOKUP(A34,Planning!$A$12:$E80,4,0))</f>
        <v/>
      </c>
      <c r="D34" s="96" t="str">
        <f>IF(ISERROR(VLOOKUP(A34,Planning!$A$12:$E$53,5,0)),"",VLOOKUP(A34,Planning!$A$12:$E80,5,0))</f>
        <v/>
      </c>
      <c r="E34" s="157" t="str">
        <f t="shared" si="140"/>
        <v/>
      </c>
      <c r="F34" s="93" t="str">
        <f t="shared" si="141"/>
        <v/>
      </c>
      <c r="G34" s="406"/>
      <c r="H34" s="435" t="str">
        <f t="shared" si="57"/>
        <v/>
      </c>
      <c r="I34" s="435" t="str">
        <f t="shared" si="58"/>
        <v/>
      </c>
      <c r="J34" s="435" t="str">
        <f t="shared" si="59"/>
        <v/>
      </c>
      <c r="K34" s="435" t="str">
        <f t="shared" si="60"/>
        <v/>
      </c>
      <c r="L34" s="435" t="str">
        <f t="shared" si="61"/>
        <v/>
      </c>
      <c r="M34" s="435" t="str">
        <f t="shared" si="62"/>
        <v/>
      </c>
      <c r="N34" s="435" t="str">
        <f t="shared" si="63"/>
        <v/>
      </c>
      <c r="O34" s="435" t="str">
        <f t="shared" si="64"/>
        <v/>
      </c>
      <c r="P34" s="435" t="str">
        <f t="shared" si="65"/>
        <v/>
      </c>
      <c r="Q34" s="435" t="str">
        <f t="shared" si="66"/>
        <v/>
      </c>
      <c r="R34" s="435" t="str">
        <f t="shared" si="67"/>
        <v/>
      </c>
      <c r="S34" s="435" t="str">
        <f t="shared" si="68"/>
        <v/>
      </c>
      <c r="T34" s="406"/>
      <c r="U34" s="436" t="str">
        <f t="shared" si="69"/>
        <v/>
      </c>
      <c r="V34" s="436" t="str">
        <f t="shared" si="70"/>
        <v/>
      </c>
      <c r="W34" s="436" t="str">
        <f t="shared" si="71"/>
        <v/>
      </c>
      <c r="X34" s="436" t="str">
        <f t="shared" si="72"/>
        <v/>
      </c>
      <c r="Y34" s="436" t="str">
        <f t="shared" si="73"/>
        <v/>
      </c>
      <c r="Z34" s="436" t="str">
        <f t="shared" si="74"/>
        <v/>
      </c>
      <c r="AA34" s="436" t="str">
        <f t="shared" si="75"/>
        <v/>
      </c>
      <c r="AB34" s="436" t="str">
        <f t="shared" si="76"/>
        <v/>
      </c>
      <c r="AC34" s="436" t="str">
        <f t="shared" si="77"/>
        <v/>
      </c>
      <c r="AD34" s="436" t="str">
        <f t="shared" si="78"/>
        <v/>
      </c>
      <c r="AE34" s="436" t="str">
        <f t="shared" si="79"/>
        <v/>
      </c>
      <c r="AF34" s="436" t="str">
        <f t="shared" si="80"/>
        <v/>
      </c>
      <c r="AG34" s="406"/>
      <c r="AH34" s="436" t="str">
        <f t="shared" si="81"/>
        <v/>
      </c>
      <c r="AI34" s="436" t="str">
        <f t="shared" si="82"/>
        <v/>
      </c>
      <c r="AJ34" s="436" t="str">
        <f t="shared" si="83"/>
        <v/>
      </c>
      <c r="AK34" s="436" t="str">
        <f t="shared" si="84"/>
        <v/>
      </c>
      <c r="AL34" s="436" t="str">
        <f t="shared" si="85"/>
        <v/>
      </c>
      <c r="AM34" s="436" t="str">
        <f t="shared" si="86"/>
        <v/>
      </c>
      <c r="AN34" s="436" t="str">
        <f t="shared" si="87"/>
        <v/>
      </c>
      <c r="AO34" s="436" t="str">
        <f t="shared" si="88"/>
        <v/>
      </c>
      <c r="AP34" s="436" t="str">
        <f t="shared" si="89"/>
        <v/>
      </c>
      <c r="AQ34" s="436" t="str">
        <f t="shared" si="90"/>
        <v/>
      </c>
      <c r="AR34" s="436" t="str">
        <f t="shared" si="91"/>
        <v/>
      </c>
      <c r="AS34" s="436" t="str">
        <f t="shared" si="92"/>
        <v/>
      </c>
      <c r="AT34" s="406"/>
      <c r="AU34" s="436" t="str">
        <f t="shared" si="93"/>
        <v/>
      </c>
      <c r="AV34" s="436" t="str">
        <f t="shared" si="94"/>
        <v/>
      </c>
      <c r="AW34" s="436" t="str">
        <f t="shared" si="95"/>
        <v/>
      </c>
      <c r="AX34" s="436" t="str">
        <f t="shared" si="96"/>
        <v/>
      </c>
      <c r="AY34" s="436" t="str">
        <f t="shared" si="97"/>
        <v/>
      </c>
      <c r="AZ34" s="436" t="str">
        <f t="shared" si="98"/>
        <v/>
      </c>
      <c r="BA34" s="436" t="str">
        <f t="shared" si="99"/>
        <v/>
      </c>
      <c r="BB34" s="436" t="str">
        <f t="shared" si="100"/>
        <v/>
      </c>
      <c r="BC34" s="436" t="str">
        <f t="shared" si="101"/>
        <v/>
      </c>
      <c r="BD34" s="436" t="str">
        <f t="shared" si="102"/>
        <v/>
      </c>
      <c r="BE34" s="436" t="str">
        <f t="shared" si="103"/>
        <v/>
      </c>
      <c r="BF34" s="436" t="str">
        <f t="shared" si="104"/>
        <v/>
      </c>
      <c r="BG34" s="406"/>
      <c r="BH34" s="453"/>
      <c r="BI34" s="437" t="str">
        <f t="shared" si="105"/>
        <v/>
      </c>
      <c r="BJ34" s="438" t="str">
        <f t="shared" si="106"/>
        <v/>
      </c>
      <c r="BK34" s="442" t="str">
        <f t="shared" si="11"/>
        <v/>
      </c>
      <c r="BL34" s="443" t="str">
        <f t="shared" si="107"/>
        <v/>
      </c>
      <c r="BM34" s="441"/>
      <c r="BN34" s="437" t="str">
        <f t="shared" si="108"/>
        <v/>
      </c>
      <c r="BO34" s="438" t="str">
        <f t="shared" si="109"/>
        <v/>
      </c>
      <c r="BP34" s="442" t="str">
        <f t="shared" si="15"/>
        <v/>
      </c>
      <c r="BQ34" s="443" t="str">
        <f t="shared" si="110"/>
        <v/>
      </c>
      <c r="BR34" s="441"/>
      <c r="BS34" s="437" t="str">
        <f t="shared" si="111"/>
        <v/>
      </c>
      <c r="BT34" s="438" t="str">
        <f t="shared" si="112"/>
        <v/>
      </c>
      <c r="BU34" s="442" t="str">
        <f t="shared" si="19"/>
        <v/>
      </c>
      <c r="BV34" s="443" t="str">
        <f t="shared" si="113"/>
        <v/>
      </c>
      <c r="BW34" s="441"/>
      <c r="BX34" s="437" t="str">
        <f t="shared" si="114"/>
        <v/>
      </c>
      <c r="BY34" s="438" t="str">
        <f t="shared" si="115"/>
        <v/>
      </c>
      <c r="BZ34" s="442" t="str">
        <f t="shared" si="23"/>
        <v/>
      </c>
      <c r="CA34" s="443" t="str">
        <f t="shared" si="116"/>
        <v/>
      </c>
      <c r="CB34" s="441"/>
      <c r="CC34" s="437" t="str">
        <f t="shared" si="25"/>
        <v/>
      </c>
      <c r="CD34" s="438" t="str">
        <f t="shared" si="117"/>
        <v/>
      </c>
      <c r="CE34" s="442" t="str">
        <f t="shared" si="27"/>
        <v/>
      </c>
      <c r="CF34" s="443" t="str">
        <f t="shared" si="118"/>
        <v/>
      </c>
      <c r="CG34" s="441"/>
      <c r="CH34" s="437" t="str">
        <f t="shared" si="119"/>
        <v/>
      </c>
      <c r="CI34" s="438" t="str">
        <f t="shared" si="120"/>
        <v/>
      </c>
      <c r="CJ34" s="442" t="str">
        <f t="shared" si="31"/>
        <v/>
      </c>
      <c r="CK34" s="443" t="str">
        <f t="shared" si="121"/>
        <v/>
      </c>
      <c r="CL34" s="441"/>
      <c r="CM34" s="437" t="str">
        <f t="shared" si="122"/>
        <v/>
      </c>
      <c r="CN34" s="438" t="str">
        <f t="shared" si="123"/>
        <v/>
      </c>
      <c r="CO34" s="442" t="str">
        <f t="shared" si="35"/>
        <v/>
      </c>
      <c r="CP34" s="443" t="str">
        <f t="shared" si="124"/>
        <v/>
      </c>
      <c r="CQ34" s="441"/>
      <c r="CR34" s="437" t="str">
        <f t="shared" si="125"/>
        <v/>
      </c>
      <c r="CS34" s="438" t="str">
        <f t="shared" si="126"/>
        <v/>
      </c>
      <c r="CT34" s="442" t="str">
        <f t="shared" si="39"/>
        <v/>
      </c>
      <c r="CU34" s="443" t="str">
        <f t="shared" si="127"/>
        <v/>
      </c>
      <c r="CV34" s="441"/>
      <c r="CW34" s="437" t="str">
        <f t="shared" si="128"/>
        <v/>
      </c>
      <c r="CX34" s="438" t="str">
        <f t="shared" si="129"/>
        <v/>
      </c>
      <c r="CY34" s="442" t="str">
        <f t="shared" si="43"/>
        <v/>
      </c>
      <c r="CZ34" s="443" t="str">
        <f t="shared" si="130"/>
        <v/>
      </c>
      <c r="DA34" s="441"/>
      <c r="DB34" s="437" t="str">
        <f t="shared" si="131"/>
        <v/>
      </c>
      <c r="DC34" s="438" t="str">
        <f t="shared" si="132"/>
        <v/>
      </c>
      <c r="DD34" s="442" t="str">
        <f t="shared" si="47"/>
        <v/>
      </c>
      <c r="DE34" s="443" t="str">
        <f t="shared" si="133"/>
        <v/>
      </c>
      <c r="DF34" s="441"/>
      <c r="DG34" s="437" t="str">
        <f t="shared" si="134"/>
        <v/>
      </c>
      <c r="DH34" s="438" t="str">
        <f t="shared" si="135"/>
        <v/>
      </c>
      <c r="DI34" s="442" t="str">
        <f t="shared" si="51"/>
        <v/>
      </c>
      <c r="DJ34" s="443" t="str">
        <f t="shared" si="136"/>
        <v/>
      </c>
      <c r="DK34" s="441"/>
      <c r="DL34" s="437" t="str">
        <f t="shared" si="137"/>
        <v/>
      </c>
      <c r="DM34" s="438" t="str">
        <f t="shared" si="138"/>
        <v/>
      </c>
      <c r="DN34" s="442" t="str">
        <f t="shared" si="55"/>
        <v/>
      </c>
      <c r="DO34" s="443" t="str">
        <f t="shared" si="139"/>
        <v/>
      </c>
      <c r="DP34" s="453"/>
    </row>
    <row r="35" spans="1:120" x14ac:dyDescent="0.35">
      <c r="A35" s="52"/>
      <c r="B35" s="54" t="str">
        <f>IF(ISERROR(VLOOKUP(A35,Planning!$A$12:$B$53,2,0)),"",VLOOKUP(A35,Planning!$A$12:$B$53,2,0))</f>
        <v/>
      </c>
      <c r="C35" s="96" t="str">
        <f>IF(ISERROR(VLOOKUP(A35,Planning!$A$12:$E$53,4,0)),"",VLOOKUP(A35,Planning!$A$12:$E81,4,0))</f>
        <v/>
      </c>
      <c r="D35" s="96" t="str">
        <f>IF(ISERROR(VLOOKUP(A35,Planning!$A$12:$E$53,5,0)),"",VLOOKUP(A35,Planning!$A$12:$E81,5,0))</f>
        <v/>
      </c>
      <c r="E35" s="157" t="str">
        <f t="shared" si="140"/>
        <v/>
      </c>
      <c r="F35" s="93" t="str">
        <f t="shared" si="141"/>
        <v/>
      </c>
      <c r="G35" s="406"/>
      <c r="H35" s="435" t="str">
        <f t="shared" si="57"/>
        <v/>
      </c>
      <c r="I35" s="435" t="str">
        <f t="shared" si="58"/>
        <v/>
      </c>
      <c r="J35" s="435" t="str">
        <f t="shared" si="59"/>
        <v/>
      </c>
      <c r="K35" s="435" t="str">
        <f t="shared" si="60"/>
        <v/>
      </c>
      <c r="L35" s="435" t="str">
        <f t="shared" si="61"/>
        <v/>
      </c>
      <c r="M35" s="435" t="str">
        <f t="shared" si="62"/>
        <v/>
      </c>
      <c r="N35" s="435" t="str">
        <f t="shared" si="63"/>
        <v/>
      </c>
      <c r="O35" s="435" t="str">
        <f t="shared" si="64"/>
        <v/>
      </c>
      <c r="P35" s="435" t="str">
        <f t="shared" si="65"/>
        <v/>
      </c>
      <c r="Q35" s="435" t="str">
        <f t="shared" si="66"/>
        <v/>
      </c>
      <c r="R35" s="435" t="str">
        <f t="shared" si="67"/>
        <v/>
      </c>
      <c r="S35" s="435" t="str">
        <f t="shared" si="68"/>
        <v/>
      </c>
      <c r="T35" s="406"/>
      <c r="U35" s="436" t="str">
        <f t="shared" si="69"/>
        <v/>
      </c>
      <c r="V35" s="436" t="str">
        <f t="shared" si="70"/>
        <v/>
      </c>
      <c r="W35" s="436" t="str">
        <f t="shared" si="71"/>
        <v/>
      </c>
      <c r="X35" s="436" t="str">
        <f t="shared" si="72"/>
        <v/>
      </c>
      <c r="Y35" s="436" t="str">
        <f t="shared" si="73"/>
        <v/>
      </c>
      <c r="Z35" s="436" t="str">
        <f t="shared" si="74"/>
        <v/>
      </c>
      <c r="AA35" s="436" t="str">
        <f t="shared" si="75"/>
        <v/>
      </c>
      <c r="AB35" s="436" t="str">
        <f t="shared" si="76"/>
        <v/>
      </c>
      <c r="AC35" s="436" t="str">
        <f t="shared" si="77"/>
        <v/>
      </c>
      <c r="AD35" s="436" t="str">
        <f t="shared" si="78"/>
        <v/>
      </c>
      <c r="AE35" s="436" t="str">
        <f t="shared" si="79"/>
        <v/>
      </c>
      <c r="AF35" s="436" t="str">
        <f t="shared" si="80"/>
        <v/>
      </c>
      <c r="AG35" s="406"/>
      <c r="AH35" s="436" t="str">
        <f t="shared" si="81"/>
        <v/>
      </c>
      <c r="AI35" s="436" t="str">
        <f t="shared" si="82"/>
        <v/>
      </c>
      <c r="AJ35" s="436" t="str">
        <f t="shared" si="83"/>
        <v/>
      </c>
      <c r="AK35" s="436" t="str">
        <f t="shared" si="84"/>
        <v/>
      </c>
      <c r="AL35" s="436" t="str">
        <f t="shared" si="85"/>
        <v/>
      </c>
      <c r="AM35" s="436" t="str">
        <f t="shared" si="86"/>
        <v/>
      </c>
      <c r="AN35" s="436" t="str">
        <f t="shared" si="87"/>
        <v/>
      </c>
      <c r="AO35" s="436" t="str">
        <f t="shared" si="88"/>
        <v/>
      </c>
      <c r="AP35" s="436" t="str">
        <f t="shared" si="89"/>
        <v/>
      </c>
      <c r="AQ35" s="436" t="str">
        <f t="shared" si="90"/>
        <v/>
      </c>
      <c r="AR35" s="436" t="str">
        <f t="shared" si="91"/>
        <v/>
      </c>
      <c r="AS35" s="436" t="str">
        <f t="shared" si="92"/>
        <v/>
      </c>
      <c r="AT35" s="406"/>
      <c r="AU35" s="436" t="str">
        <f t="shared" si="93"/>
        <v/>
      </c>
      <c r="AV35" s="436" t="str">
        <f t="shared" si="94"/>
        <v/>
      </c>
      <c r="AW35" s="436" t="str">
        <f t="shared" si="95"/>
        <v/>
      </c>
      <c r="AX35" s="436" t="str">
        <f t="shared" si="96"/>
        <v/>
      </c>
      <c r="AY35" s="436" t="str">
        <f t="shared" si="97"/>
        <v/>
      </c>
      <c r="AZ35" s="436" t="str">
        <f t="shared" si="98"/>
        <v/>
      </c>
      <c r="BA35" s="436" t="str">
        <f t="shared" si="99"/>
        <v/>
      </c>
      <c r="BB35" s="436" t="str">
        <f t="shared" si="100"/>
        <v/>
      </c>
      <c r="BC35" s="436" t="str">
        <f t="shared" si="101"/>
        <v/>
      </c>
      <c r="BD35" s="436" t="str">
        <f t="shared" si="102"/>
        <v/>
      </c>
      <c r="BE35" s="436" t="str">
        <f t="shared" si="103"/>
        <v/>
      </c>
      <c r="BF35" s="436" t="str">
        <f t="shared" si="104"/>
        <v/>
      </c>
      <c r="BG35" s="406"/>
      <c r="BH35" s="453"/>
      <c r="BI35" s="437" t="str">
        <f t="shared" si="105"/>
        <v/>
      </c>
      <c r="BJ35" s="438" t="str">
        <f t="shared" si="106"/>
        <v/>
      </c>
      <c r="BK35" s="442" t="str">
        <f t="shared" si="11"/>
        <v/>
      </c>
      <c r="BL35" s="443" t="str">
        <f t="shared" si="107"/>
        <v/>
      </c>
      <c r="BM35" s="441"/>
      <c r="BN35" s="437" t="str">
        <f t="shared" si="108"/>
        <v/>
      </c>
      <c r="BO35" s="438" t="str">
        <f t="shared" si="109"/>
        <v/>
      </c>
      <c r="BP35" s="442" t="str">
        <f t="shared" si="15"/>
        <v/>
      </c>
      <c r="BQ35" s="443" t="str">
        <f t="shared" si="110"/>
        <v/>
      </c>
      <c r="BR35" s="441"/>
      <c r="BS35" s="437" t="str">
        <f t="shared" si="111"/>
        <v/>
      </c>
      <c r="BT35" s="438" t="str">
        <f t="shared" si="112"/>
        <v/>
      </c>
      <c r="BU35" s="442" t="str">
        <f t="shared" si="19"/>
        <v/>
      </c>
      <c r="BV35" s="443" t="str">
        <f t="shared" si="113"/>
        <v/>
      </c>
      <c r="BW35" s="441"/>
      <c r="BX35" s="437" t="str">
        <f t="shared" si="114"/>
        <v/>
      </c>
      <c r="BY35" s="438" t="str">
        <f t="shared" si="115"/>
        <v/>
      </c>
      <c r="BZ35" s="442" t="str">
        <f t="shared" si="23"/>
        <v/>
      </c>
      <c r="CA35" s="443" t="str">
        <f t="shared" si="116"/>
        <v/>
      </c>
      <c r="CB35" s="441"/>
      <c r="CC35" s="437" t="str">
        <f t="shared" si="25"/>
        <v/>
      </c>
      <c r="CD35" s="438" t="str">
        <f t="shared" si="117"/>
        <v/>
      </c>
      <c r="CE35" s="442" t="str">
        <f t="shared" si="27"/>
        <v/>
      </c>
      <c r="CF35" s="443" t="str">
        <f t="shared" si="118"/>
        <v/>
      </c>
      <c r="CG35" s="441"/>
      <c r="CH35" s="437" t="str">
        <f t="shared" si="119"/>
        <v/>
      </c>
      <c r="CI35" s="438" t="str">
        <f t="shared" si="120"/>
        <v/>
      </c>
      <c r="CJ35" s="442" t="str">
        <f t="shared" si="31"/>
        <v/>
      </c>
      <c r="CK35" s="443" t="str">
        <f t="shared" si="121"/>
        <v/>
      </c>
      <c r="CL35" s="441"/>
      <c r="CM35" s="437" t="str">
        <f t="shared" si="122"/>
        <v/>
      </c>
      <c r="CN35" s="438" t="str">
        <f t="shared" si="123"/>
        <v/>
      </c>
      <c r="CO35" s="442" t="str">
        <f t="shared" si="35"/>
        <v/>
      </c>
      <c r="CP35" s="443" t="str">
        <f t="shared" si="124"/>
        <v/>
      </c>
      <c r="CQ35" s="441"/>
      <c r="CR35" s="437" t="str">
        <f t="shared" si="125"/>
        <v/>
      </c>
      <c r="CS35" s="438" t="str">
        <f t="shared" si="126"/>
        <v/>
      </c>
      <c r="CT35" s="442" t="str">
        <f t="shared" si="39"/>
        <v/>
      </c>
      <c r="CU35" s="443" t="str">
        <f t="shared" si="127"/>
        <v/>
      </c>
      <c r="CV35" s="441"/>
      <c r="CW35" s="437" t="str">
        <f t="shared" si="128"/>
        <v/>
      </c>
      <c r="CX35" s="438" t="str">
        <f t="shared" si="129"/>
        <v/>
      </c>
      <c r="CY35" s="442" t="str">
        <f t="shared" si="43"/>
        <v/>
      </c>
      <c r="CZ35" s="443" t="str">
        <f t="shared" si="130"/>
        <v/>
      </c>
      <c r="DA35" s="441"/>
      <c r="DB35" s="437" t="str">
        <f t="shared" si="131"/>
        <v/>
      </c>
      <c r="DC35" s="438" t="str">
        <f t="shared" si="132"/>
        <v/>
      </c>
      <c r="DD35" s="442" t="str">
        <f t="shared" si="47"/>
        <v/>
      </c>
      <c r="DE35" s="443" t="str">
        <f t="shared" si="133"/>
        <v/>
      </c>
      <c r="DF35" s="441"/>
      <c r="DG35" s="437" t="str">
        <f t="shared" si="134"/>
        <v/>
      </c>
      <c r="DH35" s="438" t="str">
        <f t="shared" si="135"/>
        <v/>
      </c>
      <c r="DI35" s="442" t="str">
        <f t="shared" si="51"/>
        <v/>
      </c>
      <c r="DJ35" s="443" t="str">
        <f t="shared" si="136"/>
        <v/>
      </c>
      <c r="DK35" s="441"/>
      <c r="DL35" s="437" t="str">
        <f t="shared" si="137"/>
        <v/>
      </c>
      <c r="DM35" s="438" t="str">
        <f t="shared" si="138"/>
        <v/>
      </c>
      <c r="DN35" s="442" t="str">
        <f t="shared" si="55"/>
        <v/>
      </c>
      <c r="DO35" s="443" t="str">
        <f t="shared" si="139"/>
        <v/>
      </c>
      <c r="DP35" s="453"/>
    </row>
    <row r="36" spans="1:120" x14ac:dyDescent="0.35">
      <c r="A36" s="52"/>
      <c r="B36" s="54" t="str">
        <f>IF(ISERROR(VLOOKUP(A36,Planning!$A$12:$B$53,2,0)),"",VLOOKUP(A36,Planning!$A$12:$B$53,2,0))</f>
        <v/>
      </c>
      <c r="C36" s="96" t="str">
        <f>IF(ISERROR(VLOOKUP(A36,Planning!$A$12:$E$53,4,0)),"",VLOOKUP(A36,Planning!$A$12:$E82,4,0))</f>
        <v/>
      </c>
      <c r="D36" s="96" t="str">
        <f>IF(ISERROR(VLOOKUP(A36,Planning!$A$12:$E$53,5,0)),"",VLOOKUP(A36,Planning!$A$12:$E82,5,0))</f>
        <v/>
      </c>
      <c r="E36" s="157" t="str">
        <f t="shared" si="140"/>
        <v/>
      </c>
      <c r="F36" s="93" t="str">
        <f t="shared" si="141"/>
        <v/>
      </c>
      <c r="G36" s="406"/>
      <c r="H36" s="435" t="str">
        <f t="shared" si="57"/>
        <v/>
      </c>
      <c r="I36" s="435" t="str">
        <f t="shared" si="58"/>
        <v/>
      </c>
      <c r="J36" s="435" t="str">
        <f t="shared" si="59"/>
        <v/>
      </c>
      <c r="K36" s="435" t="str">
        <f t="shared" si="60"/>
        <v/>
      </c>
      <c r="L36" s="435" t="str">
        <f t="shared" si="61"/>
        <v/>
      </c>
      <c r="M36" s="435" t="str">
        <f t="shared" si="62"/>
        <v/>
      </c>
      <c r="N36" s="435" t="str">
        <f t="shared" si="63"/>
        <v/>
      </c>
      <c r="O36" s="435" t="str">
        <f t="shared" si="64"/>
        <v/>
      </c>
      <c r="P36" s="435" t="str">
        <f t="shared" si="65"/>
        <v/>
      </c>
      <c r="Q36" s="435" t="str">
        <f t="shared" si="66"/>
        <v/>
      </c>
      <c r="R36" s="435" t="str">
        <f t="shared" si="67"/>
        <v/>
      </c>
      <c r="S36" s="435" t="str">
        <f t="shared" si="68"/>
        <v/>
      </c>
      <c r="T36" s="406"/>
      <c r="U36" s="436" t="str">
        <f t="shared" si="69"/>
        <v/>
      </c>
      <c r="V36" s="436" t="str">
        <f t="shared" si="70"/>
        <v/>
      </c>
      <c r="W36" s="436" t="str">
        <f t="shared" si="71"/>
        <v/>
      </c>
      <c r="X36" s="436" t="str">
        <f t="shared" si="72"/>
        <v/>
      </c>
      <c r="Y36" s="436" t="str">
        <f t="shared" si="73"/>
        <v/>
      </c>
      <c r="Z36" s="436" t="str">
        <f t="shared" si="74"/>
        <v/>
      </c>
      <c r="AA36" s="436" t="str">
        <f t="shared" si="75"/>
        <v/>
      </c>
      <c r="AB36" s="436" t="str">
        <f t="shared" si="76"/>
        <v/>
      </c>
      <c r="AC36" s="436" t="str">
        <f t="shared" si="77"/>
        <v/>
      </c>
      <c r="AD36" s="436" t="str">
        <f t="shared" si="78"/>
        <v/>
      </c>
      <c r="AE36" s="436" t="str">
        <f t="shared" si="79"/>
        <v/>
      </c>
      <c r="AF36" s="436" t="str">
        <f t="shared" si="80"/>
        <v/>
      </c>
      <c r="AG36" s="406"/>
      <c r="AH36" s="436" t="str">
        <f t="shared" si="81"/>
        <v/>
      </c>
      <c r="AI36" s="436" t="str">
        <f t="shared" si="82"/>
        <v/>
      </c>
      <c r="AJ36" s="436" t="str">
        <f t="shared" si="83"/>
        <v/>
      </c>
      <c r="AK36" s="436" t="str">
        <f t="shared" si="84"/>
        <v/>
      </c>
      <c r="AL36" s="436" t="str">
        <f t="shared" si="85"/>
        <v/>
      </c>
      <c r="AM36" s="436" t="str">
        <f t="shared" si="86"/>
        <v/>
      </c>
      <c r="AN36" s="436" t="str">
        <f t="shared" si="87"/>
        <v/>
      </c>
      <c r="AO36" s="436" t="str">
        <f t="shared" si="88"/>
        <v/>
      </c>
      <c r="AP36" s="436" t="str">
        <f t="shared" si="89"/>
        <v/>
      </c>
      <c r="AQ36" s="436" t="str">
        <f t="shared" si="90"/>
        <v/>
      </c>
      <c r="AR36" s="436" t="str">
        <f t="shared" si="91"/>
        <v/>
      </c>
      <c r="AS36" s="436" t="str">
        <f t="shared" si="92"/>
        <v/>
      </c>
      <c r="AT36" s="406"/>
      <c r="AU36" s="436" t="str">
        <f t="shared" si="93"/>
        <v/>
      </c>
      <c r="AV36" s="436" t="str">
        <f t="shared" si="94"/>
        <v/>
      </c>
      <c r="AW36" s="436" t="str">
        <f t="shared" si="95"/>
        <v/>
      </c>
      <c r="AX36" s="436" t="str">
        <f t="shared" si="96"/>
        <v/>
      </c>
      <c r="AY36" s="436" t="str">
        <f t="shared" si="97"/>
        <v/>
      </c>
      <c r="AZ36" s="436" t="str">
        <f t="shared" si="98"/>
        <v/>
      </c>
      <c r="BA36" s="436" t="str">
        <f t="shared" si="99"/>
        <v/>
      </c>
      <c r="BB36" s="436" t="str">
        <f t="shared" si="100"/>
        <v/>
      </c>
      <c r="BC36" s="436" t="str">
        <f t="shared" si="101"/>
        <v/>
      </c>
      <c r="BD36" s="436" t="str">
        <f t="shared" si="102"/>
        <v/>
      </c>
      <c r="BE36" s="436" t="str">
        <f t="shared" si="103"/>
        <v/>
      </c>
      <c r="BF36" s="436" t="str">
        <f t="shared" si="104"/>
        <v/>
      </c>
      <c r="BG36" s="406"/>
      <c r="BH36" s="453"/>
      <c r="BI36" s="437" t="str">
        <f t="shared" si="105"/>
        <v/>
      </c>
      <c r="BJ36" s="438" t="str">
        <f t="shared" si="106"/>
        <v/>
      </c>
      <c r="BK36" s="442" t="str">
        <f t="shared" si="11"/>
        <v/>
      </c>
      <c r="BL36" s="443" t="str">
        <f t="shared" si="107"/>
        <v/>
      </c>
      <c r="BM36" s="441"/>
      <c r="BN36" s="437" t="str">
        <f t="shared" si="108"/>
        <v/>
      </c>
      <c r="BO36" s="438" t="str">
        <f t="shared" si="109"/>
        <v/>
      </c>
      <c r="BP36" s="442" t="str">
        <f t="shared" si="15"/>
        <v/>
      </c>
      <c r="BQ36" s="443" t="str">
        <f t="shared" si="110"/>
        <v/>
      </c>
      <c r="BR36" s="441"/>
      <c r="BS36" s="437" t="str">
        <f t="shared" si="111"/>
        <v/>
      </c>
      <c r="BT36" s="438" t="str">
        <f t="shared" si="112"/>
        <v/>
      </c>
      <c r="BU36" s="442" t="str">
        <f t="shared" si="19"/>
        <v/>
      </c>
      <c r="BV36" s="443" t="str">
        <f t="shared" si="113"/>
        <v/>
      </c>
      <c r="BW36" s="441"/>
      <c r="BX36" s="437" t="str">
        <f t="shared" si="114"/>
        <v/>
      </c>
      <c r="BY36" s="438" t="str">
        <f t="shared" si="115"/>
        <v/>
      </c>
      <c r="BZ36" s="442" t="str">
        <f t="shared" si="23"/>
        <v/>
      </c>
      <c r="CA36" s="443" t="str">
        <f t="shared" si="116"/>
        <v/>
      </c>
      <c r="CB36" s="441"/>
      <c r="CC36" s="437" t="str">
        <f t="shared" si="25"/>
        <v/>
      </c>
      <c r="CD36" s="438" t="str">
        <f t="shared" si="117"/>
        <v/>
      </c>
      <c r="CE36" s="442" t="str">
        <f t="shared" si="27"/>
        <v/>
      </c>
      <c r="CF36" s="443" t="str">
        <f t="shared" si="118"/>
        <v/>
      </c>
      <c r="CG36" s="441"/>
      <c r="CH36" s="437" t="str">
        <f t="shared" si="119"/>
        <v/>
      </c>
      <c r="CI36" s="438" t="str">
        <f t="shared" si="120"/>
        <v/>
      </c>
      <c r="CJ36" s="442" t="str">
        <f t="shared" si="31"/>
        <v/>
      </c>
      <c r="CK36" s="443" t="str">
        <f t="shared" si="121"/>
        <v/>
      </c>
      <c r="CL36" s="441"/>
      <c r="CM36" s="437" t="str">
        <f t="shared" si="122"/>
        <v/>
      </c>
      <c r="CN36" s="438" t="str">
        <f t="shared" si="123"/>
        <v/>
      </c>
      <c r="CO36" s="442" t="str">
        <f t="shared" si="35"/>
        <v/>
      </c>
      <c r="CP36" s="443" t="str">
        <f t="shared" si="124"/>
        <v/>
      </c>
      <c r="CQ36" s="441"/>
      <c r="CR36" s="437" t="str">
        <f t="shared" si="125"/>
        <v/>
      </c>
      <c r="CS36" s="438" t="str">
        <f t="shared" si="126"/>
        <v/>
      </c>
      <c r="CT36" s="442" t="str">
        <f t="shared" si="39"/>
        <v/>
      </c>
      <c r="CU36" s="443" t="str">
        <f t="shared" si="127"/>
        <v/>
      </c>
      <c r="CV36" s="441"/>
      <c r="CW36" s="437" t="str">
        <f t="shared" si="128"/>
        <v/>
      </c>
      <c r="CX36" s="438" t="str">
        <f t="shared" si="129"/>
        <v/>
      </c>
      <c r="CY36" s="442" t="str">
        <f t="shared" si="43"/>
        <v/>
      </c>
      <c r="CZ36" s="443" t="str">
        <f t="shared" si="130"/>
        <v/>
      </c>
      <c r="DA36" s="441"/>
      <c r="DB36" s="437" t="str">
        <f t="shared" si="131"/>
        <v/>
      </c>
      <c r="DC36" s="438" t="str">
        <f t="shared" si="132"/>
        <v/>
      </c>
      <c r="DD36" s="442" t="str">
        <f t="shared" si="47"/>
        <v/>
      </c>
      <c r="DE36" s="443" t="str">
        <f t="shared" si="133"/>
        <v/>
      </c>
      <c r="DF36" s="441"/>
      <c r="DG36" s="437" t="str">
        <f t="shared" si="134"/>
        <v/>
      </c>
      <c r="DH36" s="438" t="str">
        <f t="shared" si="135"/>
        <v/>
      </c>
      <c r="DI36" s="442" t="str">
        <f t="shared" si="51"/>
        <v/>
      </c>
      <c r="DJ36" s="443" t="str">
        <f t="shared" si="136"/>
        <v/>
      </c>
      <c r="DK36" s="441"/>
      <c r="DL36" s="437" t="str">
        <f t="shared" si="137"/>
        <v/>
      </c>
      <c r="DM36" s="438" t="str">
        <f t="shared" si="138"/>
        <v/>
      </c>
      <c r="DN36" s="442" t="str">
        <f t="shared" si="55"/>
        <v/>
      </c>
      <c r="DO36" s="443" t="str">
        <f t="shared" si="139"/>
        <v/>
      </c>
      <c r="DP36" s="453"/>
    </row>
    <row r="37" spans="1:120" x14ac:dyDescent="0.35">
      <c r="A37" s="52"/>
      <c r="B37" s="54" t="str">
        <f>IF(ISERROR(VLOOKUP(A37,Planning!$A$12:$B$53,2,0)),"",VLOOKUP(A37,Planning!$A$12:$B$53,2,0))</f>
        <v/>
      </c>
      <c r="C37" s="96" t="str">
        <f>IF(ISERROR(VLOOKUP(A37,Planning!$A$12:$E$53,4,0)),"",VLOOKUP(A37,Planning!$A$12:$E83,4,0))</f>
        <v/>
      </c>
      <c r="D37" s="96" t="str">
        <f>IF(ISERROR(VLOOKUP(A37,Planning!$A$12:$E$53,5,0)),"",VLOOKUP(A37,Planning!$A$12:$E83,5,0))</f>
        <v/>
      </c>
      <c r="E37" s="157" t="str">
        <f t="shared" si="140"/>
        <v/>
      </c>
      <c r="F37" s="93" t="str">
        <f t="shared" si="141"/>
        <v/>
      </c>
      <c r="G37" s="406"/>
      <c r="H37" s="435" t="str">
        <f t="shared" si="57"/>
        <v/>
      </c>
      <c r="I37" s="435" t="str">
        <f t="shared" si="58"/>
        <v/>
      </c>
      <c r="J37" s="435" t="str">
        <f t="shared" si="59"/>
        <v/>
      </c>
      <c r="K37" s="435" t="str">
        <f t="shared" si="60"/>
        <v/>
      </c>
      <c r="L37" s="435" t="str">
        <f t="shared" si="61"/>
        <v/>
      </c>
      <c r="M37" s="435" t="str">
        <f t="shared" si="62"/>
        <v/>
      </c>
      <c r="N37" s="435" t="str">
        <f t="shared" si="63"/>
        <v/>
      </c>
      <c r="O37" s="435" t="str">
        <f t="shared" si="64"/>
        <v/>
      </c>
      <c r="P37" s="435" t="str">
        <f t="shared" si="65"/>
        <v/>
      </c>
      <c r="Q37" s="435" t="str">
        <f t="shared" si="66"/>
        <v/>
      </c>
      <c r="R37" s="435" t="str">
        <f t="shared" si="67"/>
        <v/>
      </c>
      <c r="S37" s="435" t="str">
        <f t="shared" si="68"/>
        <v/>
      </c>
      <c r="T37" s="406"/>
      <c r="U37" s="436" t="str">
        <f t="shared" si="69"/>
        <v/>
      </c>
      <c r="V37" s="436" t="str">
        <f t="shared" si="70"/>
        <v/>
      </c>
      <c r="W37" s="436" t="str">
        <f t="shared" si="71"/>
        <v/>
      </c>
      <c r="X37" s="436" t="str">
        <f t="shared" si="72"/>
        <v/>
      </c>
      <c r="Y37" s="436" t="str">
        <f t="shared" si="73"/>
        <v/>
      </c>
      <c r="Z37" s="436" t="str">
        <f t="shared" si="74"/>
        <v/>
      </c>
      <c r="AA37" s="436" t="str">
        <f t="shared" si="75"/>
        <v/>
      </c>
      <c r="AB37" s="436" t="str">
        <f t="shared" si="76"/>
        <v/>
      </c>
      <c r="AC37" s="436" t="str">
        <f t="shared" si="77"/>
        <v/>
      </c>
      <c r="AD37" s="436" t="str">
        <f t="shared" si="78"/>
        <v/>
      </c>
      <c r="AE37" s="436" t="str">
        <f t="shared" si="79"/>
        <v/>
      </c>
      <c r="AF37" s="436" t="str">
        <f t="shared" si="80"/>
        <v/>
      </c>
      <c r="AG37" s="406"/>
      <c r="AH37" s="436" t="str">
        <f t="shared" si="81"/>
        <v/>
      </c>
      <c r="AI37" s="436" t="str">
        <f t="shared" si="82"/>
        <v/>
      </c>
      <c r="AJ37" s="436" t="str">
        <f t="shared" si="83"/>
        <v/>
      </c>
      <c r="AK37" s="436" t="str">
        <f t="shared" si="84"/>
        <v/>
      </c>
      <c r="AL37" s="436" t="str">
        <f t="shared" si="85"/>
        <v/>
      </c>
      <c r="AM37" s="436" t="str">
        <f t="shared" si="86"/>
        <v/>
      </c>
      <c r="AN37" s="436" t="str">
        <f t="shared" si="87"/>
        <v/>
      </c>
      <c r="AO37" s="436" t="str">
        <f t="shared" si="88"/>
        <v/>
      </c>
      <c r="AP37" s="436" t="str">
        <f t="shared" si="89"/>
        <v/>
      </c>
      <c r="AQ37" s="436" t="str">
        <f t="shared" si="90"/>
        <v/>
      </c>
      <c r="AR37" s="436" t="str">
        <f t="shared" si="91"/>
        <v/>
      </c>
      <c r="AS37" s="436" t="str">
        <f t="shared" si="92"/>
        <v/>
      </c>
      <c r="AT37" s="406"/>
      <c r="AU37" s="436" t="str">
        <f t="shared" si="93"/>
        <v/>
      </c>
      <c r="AV37" s="436" t="str">
        <f t="shared" si="94"/>
        <v/>
      </c>
      <c r="AW37" s="436" t="str">
        <f t="shared" si="95"/>
        <v/>
      </c>
      <c r="AX37" s="436" t="str">
        <f t="shared" si="96"/>
        <v/>
      </c>
      <c r="AY37" s="436" t="str">
        <f t="shared" si="97"/>
        <v/>
      </c>
      <c r="AZ37" s="436" t="str">
        <f t="shared" si="98"/>
        <v/>
      </c>
      <c r="BA37" s="436" t="str">
        <f t="shared" si="99"/>
        <v/>
      </c>
      <c r="BB37" s="436" t="str">
        <f t="shared" si="100"/>
        <v/>
      </c>
      <c r="BC37" s="436" t="str">
        <f t="shared" si="101"/>
        <v/>
      </c>
      <c r="BD37" s="436" t="str">
        <f t="shared" si="102"/>
        <v/>
      </c>
      <c r="BE37" s="436" t="str">
        <f t="shared" si="103"/>
        <v/>
      </c>
      <c r="BF37" s="436" t="str">
        <f t="shared" si="104"/>
        <v/>
      </c>
      <c r="BG37" s="406"/>
      <c r="BH37" s="453"/>
      <c r="BI37" s="437" t="str">
        <f t="shared" si="105"/>
        <v/>
      </c>
      <c r="BJ37" s="438" t="str">
        <f t="shared" si="106"/>
        <v/>
      </c>
      <c r="BK37" s="442" t="str">
        <f t="shared" si="11"/>
        <v/>
      </c>
      <c r="BL37" s="443" t="str">
        <f t="shared" si="107"/>
        <v/>
      </c>
      <c r="BM37" s="441"/>
      <c r="BN37" s="437" t="str">
        <f t="shared" si="108"/>
        <v/>
      </c>
      <c r="BO37" s="438" t="str">
        <f t="shared" si="109"/>
        <v/>
      </c>
      <c r="BP37" s="442" t="str">
        <f t="shared" si="15"/>
        <v/>
      </c>
      <c r="BQ37" s="443" t="str">
        <f t="shared" si="110"/>
        <v/>
      </c>
      <c r="BR37" s="441"/>
      <c r="BS37" s="437" t="str">
        <f t="shared" si="111"/>
        <v/>
      </c>
      <c r="BT37" s="438" t="str">
        <f t="shared" si="112"/>
        <v/>
      </c>
      <c r="BU37" s="442" t="str">
        <f t="shared" si="19"/>
        <v/>
      </c>
      <c r="BV37" s="443" t="str">
        <f t="shared" si="113"/>
        <v/>
      </c>
      <c r="BW37" s="441"/>
      <c r="BX37" s="437" t="str">
        <f t="shared" si="114"/>
        <v/>
      </c>
      <c r="BY37" s="438" t="str">
        <f t="shared" si="115"/>
        <v/>
      </c>
      <c r="BZ37" s="442" t="str">
        <f t="shared" si="23"/>
        <v/>
      </c>
      <c r="CA37" s="443" t="str">
        <f t="shared" si="116"/>
        <v/>
      </c>
      <c r="CB37" s="441"/>
      <c r="CC37" s="437" t="str">
        <f t="shared" si="25"/>
        <v/>
      </c>
      <c r="CD37" s="438" t="str">
        <f t="shared" si="117"/>
        <v/>
      </c>
      <c r="CE37" s="442" t="str">
        <f t="shared" si="27"/>
        <v/>
      </c>
      <c r="CF37" s="443" t="str">
        <f t="shared" si="118"/>
        <v/>
      </c>
      <c r="CG37" s="441"/>
      <c r="CH37" s="437" t="str">
        <f t="shared" si="119"/>
        <v/>
      </c>
      <c r="CI37" s="438" t="str">
        <f t="shared" si="120"/>
        <v/>
      </c>
      <c r="CJ37" s="442" t="str">
        <f t="shared" si="31"/>
        <v/>
      </c>
      <c r="CK37" s="443" t="str">
        <f t="shared" si="121"/>
        <v/>
      </c>
      <c r="CL37" s="441"/>
      <c r="CM37" s="437" t="str">
        <f t="shared" si="122"/>
        <v/>
      </c>
      <c r="CN37" s="438" t="str">
        <f t="shared" si="123"/>
        <v/>
      </c>
      <c r="CO37" s="442" t="str">
        <f t="shared" si="35"/>
        <v/>
      </c>
      <c r="CP37" s="443" t="str">
        <f t="shared" si="124"/>
        <v/>
      </c>
      <c r="CQ37" s="441"/>
      <c r="CR37" s="437" t="str">
        <f t="shared" si="125"/>
        <v/>
      </c>
      <c r="CS37" s="438" t="str">
        <f t="shared" si="126"/>
        <v/>
      </c>
      <c r="CT37" s="442" t="str">
        <f t="shared" si="39"/>
        <v/>
      </c>
      <c r="CU37" s="443" t="str">
        <f t="shared" si="127"/>
        <v/>
      </c>
      <c r="CV37" s="441"/>
      <c r="CW37" s="437" t="str">
        <f t="shared" si="128"/>
        <v/>
      </c>
      <c r="CX37" s="438" t="str">
        <f t="shared" si="129"/>
        <v/>
      </c>
      <c r="CY37" s="442" t="str">
        <f t="shared" si="43"/>
        <v/>
      </c>
      <c r="CZ37" s="443" t="str">
        <f t="shared" si="130"/>
        <v/>
      </c>
      <c r="DA37" s="441"/>
      <c r="DB37" s="437" t="str">
        <f t="shared" si="131"/>
        <v/>
      </c>
      <c r="DC37" s="438" t="str">
        <f t="shared" si="132"/>
        <v/>
      </c>
      <c r="DD37" s="442" t="str">
        <f t="shared" si="47"/>
        <v/>
      </c>
      <c r="DE37" s="443" t="str">
        <f t="shared" si="133"/>
        <v/>
      </c>
      <c r="DF37" s="441"/>
      <c r="DG37" s="437" t="str">
        <f t="shared" si="134"/>
        <v/>
      </c>
      <c r="DH37" s="438" t="str">
        <f t="shared" si="135"/>
        <v/>
      </c>
      <c r="DI37" s="442" t="str">
        <f t="shared" si="51"/>
        <v/>
      </c>
      <c r="DJ37" s="443" t="str">
        <f t="shared" si="136"/>
        <v/>
      </c>
      <c r="DK37" s="441"/>
      <c r="DL37" s="437" t="str">
        <f t="shared" si="137"/>
        <v/>
      </c>
      <c r="DM37" s="438" t="str">
        <f t="shared" si="138"/>
        <v/>
      </c>
      <c r="DN37" s="442" t="str">
        <f t="shared" si="55"/>
        <v/>
      </c>
      <c r="DO37" s="443" t="str">
        <f t="shared" si="139"/>
        <v/>
      </c>
      <c r="DP37" s="453"/>
    </row>
    <row r="38" spans="1:120" x14ac:dyDescent="0.35">
      <c r="A38" s="52"/>
      <c r="B38" s="54" t="str">
        <f>IF(ISERROR(VLOOKUP(A38,Planning!$A$12:$B$53,2,0)),"",VLOOKUP(A38,Planning!$A$12:$B$53,2,0))</f>
        <v/>
      </c>
      <c r="C38" s="96" t="str">
        <f>IF(ISERROR(VLOOKUP(A38,Planning!$A$12:$E$53,4,0)),"",VLOOKUP(A38,Planning!$A$12:$E84,4,0))</f>
        <v/>
      </c>
      <c r="D38" s="96" t="str">
        <f>IF(ISERROR(VLOOKUP(A38,Planning!$A$12:$E$53,5,0)),"",VLOOKUP(A38,Planning!$A$12:$E84,5,0))</f>
        <v/>
      </c>
      <c r="E38" s="157" t="str">
        <f t="shared" si="140"/>
        <v/>
      </c>
      <c r="F38" s="93" t="str">
        <f t="shared" si="141"/>
        <v/>
      </c>
      <c r="G38" s="406"/>
      <c r="H38" s="435" t="str">
        <f t="shared" si="57"/>
        <v/>
      </c>
      <c r="I38" s="435" t="str">
        <f t="shared" si="58"/>
        <v/>
      </c>
      <c r="J38" s="435" t="str">
        <f t="shared" si="59"/>
        <v/>
      </c>
      <c r="K38" s="435" t="str">
        <f t="shared" si="60"/>
        <v/>
      </c>
      <c r="L38" s="435" t="str">
        <f t="shared" si="61"/>
        <v/>
      </c>
      <c r="M38" s="435" t="str">
        <f t="shared" si="62"/>
        <v/>
      </c>
      <c r="N38" s="435" t="str">
        <f t="shared" si="63"/>
        <v/>
      </c>
      <c r="O38" s="435" t="str">
        <f t="shared" si="64"/>
        <v/>
      </c>
      <c r="P38" s="435" t="str">
        <f t="shared" si="65"/>
        <v/>
      </c>
      <c r="Q38" s="435" t="str">
        <f t="shared" si="66"/>
        <v/>
      </c>
      <c r="R38" s="435" t="str">
        <f t="shared" si="67"/>
        <v/>
      </c>
      <c r="S38" s="435" t="str">
        <f t="shared" si="68"/>
        <v/>
      </c>
      <c r="T38" s="406"/>
      <c r="U38" s="436" t="str">
        <f t="shared" si="69"/>
        <v/>
      </c>
      <c r="V38" s="436" t="str">
        <f t="shared" si="70"/>
        <v/>
      </c>
      <c r="W38" s="436" t="str">
        <f t="shared" si="71"/>
        <v/>
      </c>
      <c r="X38" s="436" t="str">
        <f t="shared" si="72"/>
        <v/>
      </c>
      <c r="Y38" s="436" t="str">
        <f t="shared" si="73"/>
        <v/>
      </c>
      <c r="Z38" s="436" t="str">
        <f t="shared" si="74"/>
        <v/>
      </c>
      <c r="AA38" s="436" t="str">
        <f t="shared" si="75"/>
        <v/>
      </c>
      <c r="AB38" s="436" t="str">
        <f t="shared" si="76"/>
        <v/>
      </c>
      <c r="AC38" s="436" t="str">
        <f t="shared" si="77"/>
        <v/>
      </c>
      <c r="AD38" s="436" t="str">
        <f t="shared" si="78"/>
        <v/>
      </c>
      <c r="AE38" s="436" t="str">
        <f t="shared" si="79"/>
        <v/>
      </c>
      <c r="AF38" s="436" t="str">
        <f t="shared" si="80"/>
        <v/>
      </c>
      <c r="AG38" s="406"/>
      <c r="AH38" s="436" t="str">
        <f t="shared" si="81"/>
        <v/>
      </c>
      <c r="AI38" s="436" t="str">
        <f t="shared" si="82"/>
        <v/>
      </c>
      <c r="AJ38" s="436" t="str">
        <f t="shared" si="83"/>
        <v/>
      </c>
      <c r="AK38" s="436" t="str">
        <f t="shared" si="84"/>
        <v/>
      </c>
      <c r="AL38" s="436" t="str">
        <f t="shared" si="85"/>
        <v/>
      </c>
      <c r="AM38" s="436" t="str">
        <f t="shared" si="86"/>
        <v/>
      </c>
      <c r="AN38" s="436" t="str">
        <f t="shared" si="87"/>
        <v/>
      </c>
      <c r="AO38" s="436" t="str">
        <f t="shared" si="88"/>
        <v/>
      </c>
      <c r="AP38" s="436" t="str">
        <f t="shared" si="89"/>
        <v/>
      </c>
      <c r="AQ38" s="436" t="str">
        <f t="shared" si="90"/>
        <v/>
      </c>
      <c r="AR38" s="436" t="str">
        <f t="shared" si="91"/>
        <v/>
      </c>
      <c r="AS38" s="436" t="str">
        <f t="shared" si="92"/>
        <v/>
      </c>
      <c r="AT38" s="406"/>
      <c r="AU38" s="436" t="str">
        <f t="shared" si="93"/>
        <v/>
      </c>
      <c r="AV38" s="436" t="str">
        <f t="shared" si="94"/>
        <v/>
      </c>
      <c r="AW38" s="436" t="str">
        <f t="shared" si="95"/>
        <v/>
      </c>
      <c r="AX38" s="436" t="str">
        <f t="shared" si="96"/>
        <v/>
      </c>
      <c r="AY38" s="436" t="str">
        <f t="shared" si="97"/>
        <v/>
      </c>
      <c r="AZ38" s="436" t="str">
        <f t="shared" si="98"/>
        <v/>
      </c>
      <c r="BA38" s="436" t="str">
        <f t="shared" si="99"/>
        <v/>
      </c>
      <c r="BB38" s="436" t="str">
        <f t="shared" si="100"/>
        <v/>
      </c>
      <c r="BC38" s="436" t="str">
        <f t="shared" si="101"/>
        <v/>
      </c>
      <c r="BD38" s="436" t="str">
        <f t="shared" si="102"/>
        <v/>
      </c>
      <c r="BE38" s="436" t="str">
        <f t="shared" si="103"/>
        <v/>
      </c>
      <c r="BF38" s="436" t="str">
        <f t="shared" si="104"/>
        <v/>
      </c>
      <c r="BG38" s="406"/>
      <c r="BH38" s="453"/>
      <c r="BI38" s="437" t="str">
        <f t="shared" si="105"/>
        <v/>
      </c>
      <c r="BJ38" s="438" t="str">
        <f t="shared" si="106"/>
        <v/>
      </c>
      <c r="BK38" s="444" t="str">
        <f t="shared" si="11"/>
        <v/>
      </c>
      <c r="BL38" s="445" t="str">
        <f t="shared" si="107"/>
        <v/>
      </c>
      <c r="BM38" s="441"/>
      <c r="BN38" s="437" t="str">
        <f t="shared" si="108"/>
        <v/>
      </c>
      <c r="BO38" s="438" t="str">
        <f t="shared" si="109"/>
        <v/>
      </c>
      <c r="BP38" s="444" t="str">
        <f t="shared" si="15"/>
        <v/>
      </c>
      <c r="BQ38" s="445" t="str">
        <f t="shared" si="110"/>
        <v/>
      </c>
      <c r="BR38" s="441"/>
      <c r="BS38" s="437" t="str">
        <f t="shared" si="111"/>
        <v/>
      </c>
      <c r="BT38" s="438" t="str">
        <f t="shared" si="112"/>
        <v/>
      </c>
      <c r="BU38" s="444" t="str">
        <f t="shared" si="19"/>
        <v/>
      </c>
      <c r="BV38" s="445" t="str">
        <f t="shared" si="113"/>
        <v/>
      </c>
      <c r="BW38" s="441"/>
      <c r="BX38" s="437" t="str">
        <f t="shared" si="114"/>
        <v/>
      </c>
      <c r="BY38" s="438" t="str">
        <f t="shared" si="115"/>
        <v/>
      </c>
      <c r="BZ38" s="444" t="str">
        <f t="shared" si="23"/>
        <v/>
      </c>
      <c r="CA38" s="445" t="str">
        <f t="shared" si="116"/>
        <v/>
      </c>
      <c r="CB38" s="441"/>
      <c r="CC38" s="437" t="str">
        <f t="shared" si="25"/>
        <v/>
      </c>
      <c r="CD38" s="438" t="str">
        <f t="shared" si="117"/>
        <v/>
      </c>
      <c r="CE38" s="444" t="str">
        <f t="shared" si="27"/>
        <v/>
      </c>
      <c r="CF38" s="445" t="str">
        <f t="shared" si="118"/>
        <v/>
      </c>
      <c r="CG38" s="441"/>
      <c r="CH38" s="437" t="str">
        <f t="shared" si="119"/>
        <v/>
      </c>
      <c r="CI38" s="438" t="str">
        <f t="shared" si="120"/>
        <v/>
      </c>
      <c r="CJ38" s="444" t="str">
        <f t="shared" si="31"/>
        <v/>
      </c>
      <c r="CK38" s="445" t="str">
        <f t="shared" si="121"/>
        <v/>
      </c>
      <c r="CL38" s="441"/>
      <c r="CM38" s="437" t="str">
        <f t="shared" si="122"/>
        <v/>
      </c>
      <c r="CN38" s="438" t="str">
        <f t="shared" si="123"/>
        <v/>
      </c>
      <c r="CO38" s="444" t="str">
        <f t="shared" si="35"/>
        <v/>
      </c>
      <c r="CP38" s="445" t="str">
        <f t="shared" si="124"/>
        <v/>
      </c>
      <c r="CQ38" s="441"/>
      <c r="CR38" s="437" t="str">
        <f t="shared" si="125"/>
        <v/>
      </c>
      <c r="CS38" s="438" t="str">
        <f t="shared" si="126"/>
        <v/>
      </c>
      <c r="CT38" s="444" t="str">
        <f t="shared" si="39"/>
        <v/>
      </c>
      <c r="CU38" s="445" t="str">
        <f t="shared" si="127"/>
        <v/>
      </c>
      <c r="CV38" s="441"/>
      <c r="CW38" s="437" t="str">
        <f t="shared" si="128"/>
        <v/>
      </c>
      <c r="CX38" s="438" t="str">
        <f t="shared" si="129"/>
        <v/>
      </c>
      <c r="CY38" s="444" t="str">
        <f t="shared" si="43"/>
        <v/>
      </c>
      <c r="CZ38" s="445" t="str">
        <f t="shared" si="130"/>
        <v/>
      </c>
      <c r="DA38" s="441"/>
      <c r="DB38" s="437" t="str">
        <f t="shared" si="131"/>
        <v/>
      </c>
      <c r="DC38" s="438" t="str">
        <f t="shared" si="132"/>
        <v/>
      </c>
      <c r="DD38" s="444" t="str">
        <f t="shared" si="47"/>
        <v/>
      </c>
      <c r="DE38" s="445" t="str">
        <f t="shared" si="133"/>
        <v/>
      </c>
      <c r="DF38" s="441"/>
      <c r="DG38" s="437" t="str">
        <f t="shared" si="134"/>
        <v/>
      </c>
      <c r="DH38" s="438" t="str">
        <f t="shared" si="135"/>
        <v/>
      </c>
      <c r="DI38" s="444" t="str">
        <f t="shared" si="51"/>
        <v/>
      </c>
      <c r="DJ38" s="445" t="str">
        <f t="shared" si="136"/>
        <v/>
      </c>
      <c r="DK38" s="441"/>
      <c r="DL38" s="437" t="str">
        <f t="shared" si="137"/>
        <v/>
      </c>
      <c r="DM38" s="438" t="str">
        <f t="shared" si="138"/>
        <v/>
      </c>
      <c r="DN38" s="444" t="str">
        <f t="shared" si="55"/>
        <v/>
      </c>
      <c r="DO38" s="445" t="str">
        <f t="shared" si="139"/>
        <v/>
      </c>
      <c r="DP38" s="453"/>
    </row>
    <row r="39" spans="1:120" x14ac:dyDescent="0.35">
      <c r="A39" s="519" t="s">
        <v>61</v>
      </c>
      <c r="B39" s="519"/>
      <c r="C39" s="519"/>
      <c r="D39" s="520"/>
      <c r="E39" s="110">
        <f ca="1">SUM(E5:E38)</f>
        <v>0</v>
      </c>
      <c r="F39" s="110">
        <f ca="1">SUM(F5:F38)</f>
        <v>561</v>
      </c>
      <c r="G39" s="406"/>
      <c r="H39" s="446">
        <f t="shared" ref="H39:S39" ca="1" si="142">SUM(H5:H38)</f>
        <v>0</v>
      </c>
      <c r="I39" s="446">
        <f t="shared" ca="1" si="142"/>
        <v>0</v>
      </c>
      <c r="J39" s="446">
        <f t="shared" ca="1" si="142"/>
        <v>0</v>
      </c>
      <c r="K39" s="446">
        <f t="shared" ca="1" si="142"/>
        <v>0</v>
      </c>
      <c r="L39" s="446">
        <f t="shared" ca="1" si="142"/>
        <v>0</v>
      </c>
      <c r="M39" s="446">
        <f t="shared" ca="1" si="142"/>
        <v>0</v>
      </c>
      <c r="N39" s="446">
        <f t="shared" ca="1" si="142"/>
        <v>0</v>
      </c>
      <c r="O39" s="446">
        <f t="shared" ca="1" si="142"/>
        <v>0</v>
      </c>
      <c r="P39" s="446">
        <f t="shared" ca="1" si="142"/>
        <v>0</v>
      </c>
      <c r="Q39" s="446">
        <f t="shared" ca="1" si="142"/>
        <v>0</v>
      </c>
      <c r="R39" s="446">
        <f t="shared" ca="1" si="142"/>
        <v>0</v>
      </c>
      <c r="S39" s="446">
        <f t="shared" ca="1" si="142"/>
        <v>0</v>
      </c>
      <c r="T39" s="406"/>
      <c r="U39" s="446">
        <f t="shared" ref="U39:AF39" ca="1" si="143">SUM(U5:U38)</f>
        <v>85</v>
      </c>
      <c r="V39" s="446">
        <f t="shared" ca="1" si="143"/>
        <v>129</v>
      </c>
      <c r="W39" s="446">
        <f t="shared" ca="1" si="143"/>
        <v>341</v>
      </c>
      <c r="X39" s="446">
        <f t="shared" ca="1" si="143"/>
        <v>0</v>
      </c>
      <c r="Y39" s="446">
        <f t="shared" ca="1" si="143"/>
        <v>0</v>
      </c>
      <c r="Z39" s="446">
        <f t="shared" ca="1" si="143"/>
        <v>0</v>
      </c>
      <c r="AA39" s="446">
        <f t="shared" ca="1" si="143"/>
        <v>0</v>
      </c>
      <c r="AB39" s="446">
        <f t="shared" ca="1" si="143"/>
        <v>6</v>
      </c>
      <c r="AC39" s="446">
        <f t="shared" ca="1" si="143"/>
        <v>0</v>
      </c>
      <c r="AD39" s="446">
        <f t="shared" ca="1" si="143"/>
        <v>0</v>
      </c>
      <c r="AE39" s="446">
        <f t="shared" ca="1" si="143"/>
        <v>0</v>
      </c>
      <c r="AF39" s="446">
        <f t="shared" ca="1" si="143"/>
        <v>0</v>
      </c>
      <c r="AG39" s="406"/>
      <c r="AH39" s="446">
        <f t="shared" ref="AH39:AS39" ca="1" si="144">SUM(AH5:AH38)</f>
        <v>85</v>
      </c>
      <c r="AI39" s="446">
        <f t="shared" ca="1" si="144"/>
        <v>129</v>
      </c>
      <c r="AJ39" s="446">
        <f t="shared" ca="1" si="144"/>
        <v>341</v>
      </c>
      <c r="AK39" s="446">
        <f t="shared" ca="1" si="144"/>
        <v>0</v>
      </c>
      <c r="AL39" s="446">
        <f t="shared" ca="1" si="144"/>
        <v>0</v>
      </c>
      <c r="AM39" s="446">
        <f t="shared" ca="1" si="144"/>
        <v>0</v>
      </c>
      <c r="AN39" s="446">
        <f t="shared" ca="1" si="144"/>
        <v>0</v>
      </c>
      <c r="AO39" s="446">
        <f t="shared" ca="1" si="144"/>
        <v>6</v>
      </c>
      <c r="AP39" s="446">
        <f t="shared" ca="1" si="144"/>
        <v>0</v>
      </c>
      <c r="AQ39" s="446">
        <f t="shared" ca="1" si="144"/>
        <v>0</v>
      </c>
      <c r="AR39" s="446">
        <f t="shared" ca="1" si="144"/>
        <v>0</v>
      </c>
      <c r="AS39" s="446">
        <f t="shared" ca="1" si="144"/>
        <v>0</v>
      </c>
      <c r="AT39" s="406"/>
      <c r="AU39" s="446">
        <f t="shared" ref="AU39:BF39" ca="1" si="145">SUM(AU5:AU38)</f>
        <v>0</v>
      </c>
      <c r="AV39" s="446">
        <f t="shared" ca="1" si="145"/>
        <v>0</v>
      </c>
      <c r="AW39" s="446">
        <f t="shared" ca="1" si="145"/>
        <v>0</v>
      </c>
      <c r="AX39" s="446">
        <f t="shared" ca="1" si="145"/>
        <v>0</v>
      </c>
      <c r="AY39" s="446">
        <f t="shared" ca="1" si="145"/>
        <v>0</v>
      </c>
      <c r="AZ39" s="446">
        <f t="shared" ca="1" si="145"/>
        <v>0</v>
      </c>
      <c r="BA39" s="446">
        <f t="shared" ca="1" si="145"/>
        <v>0</v>
      </c>
      <c r="BB39" s="446">
        <f t="shared" ca="1" si="145"/>
        <v>0</v>
      </c>
      <c r="BC39" s="446">
        <f t="shared" ca="1" si="145"/>
        <v>0</v>
      </c>
      <c r="BD39" s="446">
        <f t="shared" ca="1" si="145"/>
        <v>0</v>
      </c>
      <c r="BE39" s="446">
        <f t="shared" ca="1" si="145"/>
        <v>0</v>
      </c>
      <c r="BF39" s="446">
        <f t="shared" ca="1" si="145"/>
        <v>0</v>
      </c>
      <c r="BG39" s="406"/>
      <c r="BH39" s="453"/>
      <c r="BI39" s="446">
        <f ca="1">SUM(BI5:BI38)</f>
        <v>0</v>
      </c>
      <c r="BJ39" s="446">
        <f ca="1">SUM(BJ5:BJ38)</f>
        <v>85</v>
      </c>
      <c r="BK39" s="446">
        <f ca="1">SUM(BK5:BK38)</f>
        <v>85</v>
      </c>
      <c r="BL39" s="446">
        <f ca="1">SUM(BL5:BL38)</f>
        <v>0</v>
      </c>
      <c r="BM39" s="406"/>
      <c r="BN39" s="446">
        <f ca="1">SUM(BN5:BN38)</f>
        <v>0</v>
      </c>
      <c r="BO39" s="446">
        <f ca="1">SUM(BO5:BO38)</f>
        <v>129</v>
      </c>
      <c r="BP39" s="446">
        <f ca="1">SUM(BP5:BP38)</f>
        <v>129</v>
      </c>
      <c r="BQ39" s="446">
        <f ca="1">SUM(BQ5:BQ38)</f>
        <v>0</v>
      </c>
      <c r="BR39" s="406"/>
      <c r="BS39" s="446">
        <f ca="1">SUM(BS5:BS38)</f>
        <v>0</v>
      </c>
      <c r="BT39" s="446">
        <f ca="1">SUM(BT5:BT38)</f>
        <v>341</v>
      </c>
      <c r="BU39" s="446">
        <f ca="1">SUM(BU5:BU38)</f>
        <v>341</v>
      </c>
      <c r="BV39" s="446">
        <f ca="1">SUM(BV5:BV38)</f>
        <v>0</v>
      </c>
      <c r="BW39" s="406"/>
      <c r="BX39" s="446">
        <f ca="1">SUM(BX5:BX38)</f>
        <v>0</v>
      </c>
      <c r="BY39" s="446">
        <f ca="1">SUM(BY5:BY38)</f>
        <v>0</v>
      </c>
      <c r="BZ39" s="446">
        <f ca="1">SUM(BZ5:BZ38)</f>
        <v>0</v>
      </c>
      <c r="CA39" s="446">
        <f ca="1">SUM(CA5:CA38)</f>
        <v>0</v>
      </c>
      <c r="CB39" s="406"/>
      <c r="CC39" s="446">
        <f ca="1">SUM(CC5:CC38)</f>
        <v>0</v>
      </c>
      <c r="CD39" s="446">
        <f ca="1">SUM(CD5:CD38)</f>
        <v>0</v>
      </c>
      <c r="CE39" s="446">
        <f ca="1">SUM(CE5:CE38)</f>
        <v>0</v>
      </c>
      <c r="CF39" s="446">
        <f ca="1">SUM(CF5:CF38)</f>
        <v>0</v>
      </c>
      <c r="CG39" s="406"/>
      <c r="CH39" s="446">
        <f ca="1">SUM(CH5:CH38)</f>
        <v>0</v>
      </c>
      <c r="CI39" s="446">
        <f ca="1">SUM(CI5:CI38)</f>
        <v>0</v>
      </c>
      <c r="CJ39" s="446">
        <f ca="1">SUM(CJ5:CJ38)</f>
        <v>0</v>
      </c>
      <c r="CK39" s="446">
        <f ca="1">SUM(CK5:CK38)</f>
        <v>0</v>
      </c>
      <c r="CL39" s="406"/>
      <c r="CM39" s="446">
        <f ca="1">SUM(CM5:CM38)</f>
        <v>0</v>
      </c>
      <c r="CN39" s="446">
        <f ca="1">SUM(CN5:CN38)</f>
        <v>0</v>
      </c>
      <c r="CO39" s="446">
        <f ca="1">SUM(CO5:CO38)</f>
        <v>0</v>
      </c>
      <c r="CP39" s="446">
        <f ca="1">SUM(CP5:CP38)</f>
        <v>0</v>
      </c>
      <c r="CQ39" s="406"/>
      <c r="CR39" s="446">
        <f ca="1">SUM(CR5:CR38)</f>
        <v>0</v>
      </c>
      <c r="CS39" s="446">
        <f ca="1">SUM(CS5:CS38)</f>
        <v>6</v>
      </c>
      <c r="CT39" s="446">
        <f ca="1">SUM(CT5:CT38)</f>
        <v>6</v>
      </c>
      <c r="CU39" s="446">
        <f ca="1">SUM(CU5:CU38)</f>
        <v>0</v>
      </c>
      <c r="CV39" s="406"/>
      <c r="CW39" s="446">
        <f ca="1">SUM(CW5:CW38)</f>
        <v>0</v>
      </c>
      <c r="CX39" s="446">
        <f ca="1">SUM(CX5:CX38)</f>
        <v>0</v>
      </c>
      <c r="CY39" s="446">
        <f ca="1">SUM(CY5:CY38)</f>
        <v>0</v>
      </c>
      <c r="CZ39" s="446">
        <f ca="1">SUM(CZ5:CZ38)</f>
        <v>0</v>
      </c>
      <c r="DA39" s="406"/>
      <c r="DB39" s="446">
        <f ca="1">SUM(DB5:DB38)</f>
        <v>0</v>
      </c>
      <c r="DC39" s="446">
        <f ca="1">SUM(DC5:DC38)</f>
        <v>0</v>
      </c>
      <c r="DD39" s="446">
        <f ca="1">SUM(DD5:DD38)</f>
        <v>0</v>
      </c>
      <c r="DE39" s="446">
        <f ca="1">SUM(DE5:DE38)</f>
        <v>0</v>
      </c>
      <c r="DF39" s="406"/>
      <c r="DG39" s="446">
        <f ca="1">SUM(DG5:DG38)</f>
        <v>0</v>
      </c>
      <c r="DH39" s="446">
        <f ca="1">SUM(DH5:DH38)</f>
        <v>0</v>
      </c>
      <c r="DI39" s="446">
        <f ca="1">SUM(DI5:DI38)</f>
        <v>0</v>
      </c>
      <c r="DJ39" s="446">
        <f ca="1">SUM(DJ5:DJ38)</f>
        <v>0</v>
      </c>
      <c r="DK39" s="406"/>
      <c r="DL39" s="446">
        <f ca="1">SUM(DL5:DL38)</f>
        <v>0</v>
      </c>
      <c r="DM39" s="446">
        <f ca="1">SUM(DM5:DM38)</f>
        <v>0</v>
      </c>
      <c r="DN39" s="446">
        <f ca="1">SUM(DN5:DN38)</f>
        <v>0</v>
      </c>
      <c r="DO39" s="446">
        <f ca="1">SUM(DO5:DO38)</f>
        <v>0</v>
      </c>
      <c r="DP39" s="453"/>
    </row>
    <row r="40" spans="1:120" x14ac:dyDescent="0.35">
      <c r="A40" s="521" t="s">
        <v>62</v>
      </c>
      <c r="B40" s="521"/>
      <c r="C40" s="521"/>
      <c r="D40" s="522"/>
      <c r="E40" s="111">
        <f ca="1">AVERAGE(E5:E38)</f>
        <v>0</v>
      </c>
      <c r="F40" s="111">
        <f ca="1">AVERAGE(F5:F38)</f>
        <v>29.526315789473685</v>
      </c>
      <c r="G40" s="406"/>
      <c r="H40" s="447">
        <f t="shared" ref="H40:S40" ca="1" si="146">AVERAGE(H5:H38)</f>
        <v>0</v>
      </c>
      <c r="I40" s="447">
        <f t="shared" ca="1" si="146"/>
        <v>0</v>
      </c>
      <c r="J40" s="447">
        <f t="shared" ca="1" si="146"/>
        <v>0</v>
      </c>
      <c r="K40" s="447">
        <f t="shared" ca="1" si="146"/>
        <v>0</v>
      </c>
      <c r="L40" s="447">
        <f t="shared" ca="1" si="146"/>
        <v>0</v>
      </c>
      <c r="M40" s="447">
        <f t="shared" ca="1" si="146"/>
        <v>0</v>
      </c>
      <c r="N40" s="447">
        <f t="shared" ca="1" si="146"/>
        <v>0</v>
      </c>
      <c r="O40" s="447">
        <f t="shared" ca="1" si="146"/>
        <v>0</v>
      </c>
      <c r="P40" s="447">
        <f t="shared" ca="1" si="146"/>
        <v>0</v>
      </c>
      <c r="Q40" s="447">
        <f t="shared" ca="1" si="146"/>
        <v>0</v>
      </c>
      <c r="R40" s="447">
        <f t="shared" ca="1" si="146"/>
        <v>0</v>
      </c>
      <c r="S40" s="447">
        <f t="shared" ca="1" si="146"/>
        <v>0</v>
      </c>
      <c r="T40" s="406"/>
      <c r="U40" s="447">
        <f t="shared" ref="U40:AF40" ca="1" si="147">AVERAGE(U5:U38)</f>
        <v>17</v>
      </c>
      <c r="V40" s="447">
        <f t="shared" ca="1" si="147"/>
        <v>10.75</v>
      </c>
      <c r="W40" s="447">
        <f t="shared" ca="1" si="147"/>
        <v>18.944444444444443</v>
      </c>
      <c r="X40" s="447" t="e">
        <f t="shared" ca="1" si="147"/>
        <v>#DIV/0!</v>
      </c>
      <c r="Y40" s="447" t="e">
        <f t="shared" ca="1" si="147"/>
        <v>#DIV/0!</v>
      </c>
      <c r="Z40" s="447" t="e">
        <f t="shared" ca="1" si="147"/>
        <v>#DIV/0!</v>
      </c>
      <c r="AA40" s="447" t="e">
        <f t="shared" ca="1" si="147"/>
        <v>#DIV/0!</v>
      </c>
      <c r="AB40" s="447">
        <f t="shared" ca="1" si="147"/>
        <v>6</v>
      </c>
      <c r="AC40" s="447" t="e">
        <f t="shared" ca="1" si="147"/>
        <v>#DIV/0!</v>
      </c>
      <c r="AD40" s="447" t="e">
        <f t="shared" ca="1" si="147"/>
        <v>#DIV/0!</v>
      </c>
      <c r="AE40" s="447" t="e">
        <f t="shared" ca="1" si="147"/>
        <v>#DIV/0!</v>
      </c>
      <c r="AF40" s="447" t="e">
        <f t="shared" ca="1" si="147"/>
        <v>#DIV/0!</v>
      </c>
      <c r="AG40" s="406"/>
      <c r="AH40" s="447">
        <f t="shared" ref="AH40:AS40" ca="1" si="148">AVERAGE(AH5:AH38)</f>
        <v>17</v>
      </c>
      <c r="AI40" s="447">
        <f t="shared" ca="1" si="148"/>
        <v>10.75</v>
      </c>
      <c r="AJ40" s="447">
        <f t="shared" ca="1" si="148"/>
        <v>18.944444444444443</v>
      </c>
      <c r="AK40" s="447" t="e">
        <f t="shared" ca="1" si="148"/>
        <v>#DIV/0!</v>
      </c>
      <c r="AL40" s="447" t="e">
        <f t="shared" ca="1" si="148"/>
        <v>#DIV/0!</v>
      </c>
      <c r="AM40" s="447" t="e">
        <f t="shared" ca="1" si="148"/>
        <v>#DIV/0!</v>
      </c>
      <c r="AN40" s="447" t="e">
        <f t="shared" ca="1" si="148"/>
        <v>#DIV/0!</v>
      </c>
      <c r="AO40" s="447">
        <f t="shared" ca="1" si="148"/>
        <v>6</v>
      </c>
      <c r="AP40" s="447" t="e">
        <f t="shared" ca="1" si="148"/>
        <v>#DIV/0!</v>
      </c>
      <c r="AQ40" s="447" t="e">
        <f t="shared" ca="1" si="148"/>
        <v>#DIV/0!</v>
      </c>
      <c r="AR40" s="447" t="e">
        <f t="shared" ca="1" si="148"/>
        <v>#DIV/0!</v>
      </c>
      <c r="AS40" s="447" t="e">
        <f t="shared" ca="1" si="148"/>
        <v>#DIV/0!</v>
      </c>
      <c r="AT40" s="406"/>
      <c r="AU40" s="447" t="e">
        <f t="shared" ref="AU40:BF40" ca="1" si="149">AVERAGE(AU5:AU38)</f>
        <v>#DIV/0!</v>
      </c>
      <c r="AV40" s="447" t="e">
        <f t="shared" ca="1" si="149"/>
        <v>#DIV/0!</v>
      </c>
      <c r="AW40" s="447" t="e">
        <f t="shared" ca="1" si="149"/>
        <v>#DIV/0!</v>
      </c>
      <c r="AX40" s="447" t="e">
        <f t="shared" ca="1" si="149"/>
        <v>#DIV/0!</v>
      </c>
      <c r="AY40" s="447" t="e">
        <f t="shared" ca="1" si="149"/>
        <v>#DIV/0!</v>
      </c>
      <c r="AZ40" s="447" t="e">
        <f t="shared" ca="1" si="149"/>
        <v>#DIV/0!</v>
      </c>
      <c r="BA40" s="447" t="e">
        <f t="shared" ca="1" si="149"/>
        <v>#DIV/0!</v>
      </c>
      <c r="BB40" s="447" t="e">
        <f t="shared" ca="1" si="149"/>
        <v>#DIV/0!</v>
      </c>
      <c r="BC40" s="447" t="e">
        <f t="shared" ca="1" si="149"/>
        <v>#DIV/0!</v>
      </c>
      <c r="BD40" s="447" t="e">
        <f t="shared" ca="1" si="149"/>
        <v>#DIV/0!</v>
      </c>
      <c r="BE40" s="447" t="e">
        <f t="shared" ca="1" si="149"/>
        <v>#DIV/0!</v>
      </c>
      <c r="BF40" s="447" t="e">
        <f t="shared" ca="1" si="149"/>
        <v>#DIV/0!</v>
      </c>
      <c r="BG40" s="406"/>
      <c r="BH40" s="453"/>
      <c r="BI40" s="447">
        <f t="shared" ref="BI40:DO40" ca="1" si="150">AVERAGE(BI5:BI38)</f>
        <v>0</v>
      </c>
      <c r="BJ40" s="447">
        <f t="shared" ca="1" si="150"/>
        <v>4.4736842105263159</v>
      </c>
      <c r="BK40" s="447">
        <f t="shared" ca="1" si="150"/>
        <v>17</v>
      </c>
      <c r="BL40" s="447" t="e">
        <f t="shared" ca="1" si="150"/>
        <v>#DIV/0!</v>
      </c>
      <c r="BM40" s="406"/>
      <c r="BN40" s="447">
        <f t="shared" ca="1" si="150"/>
        <v>0</v>
      </c>
      <c r="BO40" s="447">
        <f t="shared" ca="1" si="150"/>
        <v>6.7894736842105265</v>
      </c>
      <c r="BP40" s="447">
        <f t="shared" ca="1" si="150"/>
        <v>10.75</v>
      </c>
      <c r="BQ40" s="447" t="e">
        <f t="shared" ca="1" si="150"/>
        <v>#DIV/0!</v>
      </c>
      <c r="BR40" s="406"/>
      <c r="BS40" s="447">
        <f t="shared" ca="1" si="150"/>
        <v>0</v>
      </c>
      <c r="BT40" s="447">
        <f t="shared" ca="1" si="150"/>
        <v>17.94736842105263</v>
      </c>
      <c r="BU40" s="447">
        <f t="shared" ca="1" si="150"/>
        <v>18.944444444444443</v>
      </c>
      <c r="BV40" s="447" t="e">
        <f t="shared" ca="1" si="150"/>
        <v>#DIV/0!</v>
      </c>
      <c r="BW40" s="406"/>
      <c r="BX40" s="447">
        <f t="shared" ca="1" si="150"/>
        <v>0</v>
      </c>
      <c r="BY40" s="447">
        <f t="shared" ca="1" si="150"/>
        <v>0</v>
      </c>
      <c r="BZ40" s="447" t="e">
        <f t="shared" ca="1" si="150"/>
        <v>#DIV/0!</v>
      </c>
      <c r="CA40" s="447" t="e">
        <f t="shared" ca="1" si="150"/>
        <v>#DIV/0!</v>
      </c>
      <c r="CB40" s="406"/>
      <c r="CC40" s="447">
        <f t="shared" ca="1" si="150"/>
        <v>0</v>
      </c>
      <c r="CD40" s="447">
        <f t="shared" ca="1" si="150"/>
        <v>0</v>
      </c>
      <c r="CE40" s="447" t="e">
        <f t="shared" ca="1" si="150"/>
        <v>#DIV/0!</v>
      </c>
      <c r="CF40" s="447" t="e">
        <f t="shared" ca="1" si="150"/>
        <v>#DIV/0!</v>
      </c>
      <c r="CG40" s="406"/>
      <c r="CH40" s="447">
        <f t="shared" ca="1" si="150"/>
        <v>0</v>
      </c>
      <c r="CI40" s="447">
        <f t="shared" ca="1" si="150"/>
        <v>0</v>
      </c>
      <c r="CJ40" s="447" t="e">
        <f t="shared" ca="1" si="150"/>
        <v>#DIV/0!</v>
      </c>
      <c r="CK40" s="447" t="e">
        <f t="shared" ca="1" si="150"/>
        <v>#DIV/0!</v>
      </c>
      <c r="CL40" s="406"/>
      <c r="CM40" s="447">
        <f t="shared" ca="1" si="150"/>
        <v>0</v>
      </c>
      <c r="CN40" s="447">
        <f t="shared" ca="1" si="150"/>
        <v>0</v>
      </c>
      <c r="CO40" s="447" t="e">
        <f t="shared" ca="1" si="150"/>
        <v>#DIV/0!</v>
      </c>
      <c r="CP40" s="447" t="e">
        <f t="shared" ca="1" si="150"/>
        <v>#DIV/0!</v>
      </c>
      <c r="CQ40" s="406"/>
      <c r="CR40" s="447">
        <f t="shared" ca="1" si="150"/>
        <v>0</v>
      </c>
      <c r="CS40" s="447">
        <f t="shared" ca="1" si="150"/>
        <v>0.31578947368421051</v>
      </c>
      <c r="CT40" s="447">
        <f t="shared" ca="1" si="150"/>
        <v>6</v>
      </c>
      <c r="CU40" s="447" t="e">
        <f t="shared" ca="1" si="150"/>
        <v>#DIV/0!</v>
      </c>
      <c r="CV40" s="406"/>
      <c r="CW40" s="447">
        <f t="shared" ca="1" si="150"/>
        <v>0</v>
      </c>
      <c r="CX40" s="447">
        <f t="shared" ca="1" si="150"/>
        <v>0</v>
      </c>
      <c r="CY40" s="447" t="e">
        <f t="shared" ca="1" si="150"/>
        <v>#DIV/0!</v>
      </c>
      <c r="CZ40" s="447" t="e">
        <f t="shared" ca="1" si="150"/>
        <v>#DIV/0!</v>
      </c>
      <c r="DA40" s="406"/>
      <c r="DB40" s="447">
        <f t="shared" ca="1" si="150"/>
        <v>0</v>
      </c>
      <c r="DC40" s="447">
        <f t="shared" ca="1" si="150"/>
        <v>0</v>
      </c>
      <c r="DD40" s="447" t="e">
        <f t="shared" ca="1" si="150"/>
        <v>#DIV/0!</v>
      </c>
      <c r="DE40" s="447" t="e">
        <f t="shared" ca="1" si="150"/>
        <v>#DIV/0!</v>
      </c>
      <c r="DF40" s="406"/>
      <c r="DG40" s="447">
        <f t="shared" ca="1" si="150"/>
        <v>0</v>
      </c>
      <c r="DH40" s="447">
        <f t="shared" ca="1" si="150"/>
        <v>0</v>
      </c>
      <c r="DI40" s="447" t="e">
        <f t="shared" ca="1" si="150"/>
        <v>#DIV/0!</v>
      </c>
      <c r="DJ40" s="447" t="e">
        <f t="shared" ca="1" si="150"/>
        <v>#DIV/0!</v>
      </c>
      <c r="DK40" s="406"/>
      <c r="DL40" s="447">
        <f t="shared" ca="1" si="150"/>
        <v>0</v>
      </c>
      <c r="DM40" s="447">
        <f t="shared" ca="1" si="150"/>
        <v>0</v>
      </c>
      <c r="DN40" s="447" t="e">
        <f t="shared" ca="1" si="150"/>
        <v>#DIV/0!</v>
      </c>
      <c r="DO40" s="447" t="e">
        <f t="shared" ca="1" si="150"/>
        <v>#DIV/0!</v>
      </c>
      <c r="DP40" s="453"/>
    </row>
    <row r="41" spans="1:120" x14ac:dyDescent="0.35">
      <c r="A41" s="129"/>
      <c r="B41" s="129"/>
      <c r="C41" s="129"/>
      <c r="D41" s="129"/>
      <c r="E41" s="129"/>
      <c r="F41" s="129"/>
      <c r="G41" s="406"/>
      <c r="H41" s="406"/>
      <c r="I41" s="406"/>
      <c r="J41" s="406"/>
      <c r="K41" s="406"/>
      <c r="L41" s="406"/>
      <c r="M41" s="406"/>
      <c r="N41" s="406"/>
      <c r="O41" s="406"/>
      <c r="P41" s="406"/>
      <c r="Q41" s="406"/>
      <c r="R41" s="406"/>
      <c r="S41" s="406"/>
      <c r="T41" s="406"/>
      <c r="U41" s="406"/>
      <c r="V41" s="406"/>
      <c r="W41" s="406"/>
      <c r="X41" s="406"/>
      <c r="Y41" s="406"/>
      <c r="Z41" s="406"/>
      <c r="AA41" s="406"/>
      <c r="AB41" s="406"/>
      <c r="AC41" s="406"/>
      <c r="AD41" s="406"/>
      <c r="AE41" s="406"/>
      <c r="AF41" s="406"/>
      <c r="AG41" s="406"/>
      <c r="AH41" s="406"/>
      <c r="AI41" s="406"/>
      <c r="AJ41" s="406"/>
      <c r="AK41" s="406"/>
      <c r="AL41" s="406"/>
      <c r="AM41" s="406"/>
      <c r="AN41" s="406"/>
      <c r="AO41" s="406"/>
      <c r="AP41" s="406"/>
      <c r="AQ41" s="406"/>
      <c r="AR41" s="406"/>
      <c r="AS41" s="406"/>
      <c r="AT41" s="406"/>
      <c r="AU41" s="406"/>
      <c r="AV41" s="406"/>
      <c r="AW41" s="406"/>
      <c r="AX41" s="406"/>
      <c r="AY41" s="406"/>
      <c r="AZ41" s="406"/>
      <c r="BA41" s="406"/>
      <c r="BB41" s="406"/>
      <c r="BC41" s="406"/>
      <c r="BD41" s="406"/>
      <c r="BE41" s="406"/>
      <c r="BF41" s="406"/>
      <c r="BG41" s="406"/>
      <c r="BH41" s="453"/>
      <c r="BI41" s="406"/>
      <c r="BJ41" s="406"/>
      <c r="BK41" s="406"/>
      <c r="BL41" s="406"/>
      <c r="BM41" s="406"/>
      <c r="BN41" s="406"/>
      <c r="BO41" s="406"/>
      <c r="BP41" s="406"/>
      <c r="BQ41" s="406"/>
      <c r="BR41" s="406"/>
      <c r="BS41" s="406"/>
      <c r="BT41" s="406"/>
      <c r="BU41" s="406"/>
      <c r="BV41" s="406"/>
      <c r="BW41" s="406"/>
      <c r="BX41" s="406"/>
      <c r="BY41" s="406"/>
      <c r="BZ41" s="406"/>
      <c r="CA41" s="406"/>
      <c r="CB41" s="406"/>
      <c r="CC41" s="406"/>
      <c r="CD41" s="406"/>
      <c r="CE41" s="406"/>
      <c r="CF41" s="406"/>
      <c r="CG41" s="406"/>
      <c r="CH41" s="406"/>
      <c r="CI41" s="406"/>
      <c r="CJ41" s="406"/>
      <c r="CK41" s="406"/>
      <c r="CL41" s="406"/>
      <c r="CM41" s="406"/>
      <c r="CN41" s="406"/>
      <c r="CO41" s="406"/>
      <c r="CP41" s="406"/>
      <c r="CQ41" s="406"/>
      <c r="CR41" s="406"/>
      <c r="CS41" s="406"/>
      <c r="CT41" s="406"/>
      <c r="CU41" s="406"/>
      <c r="CV41" s="406"/>
      <c r="CW41" s="406"/>
      <c r="CX41" s="406"/>
      <c r="CY41" s="406"/>
      <c r="CZ41" s="406"/>
      <c r="DA41" s="406"/>
      <c r="DB41" s="406"/>
      <c r="DC41" s="406"/>
      <c r="DD41" s="406"/>
      <c r="DE41" s="406"/>
      <c r="DF41" s="406"/>
      <c r="DG41" s="406"/>
      <c r="DH41" s="406"/>
      <c r="DI41" s="406"/>
      <c r="DJ41" s="406"/>
      <c r="DK41" s="406"/>
      <c r="DL41" s="406"/>
      <c r="DM41" s="406"/>
      <c r="DN41" s="406"/>
      <c r="DO41" s="406"/>
      <c r="DP41" s="453"/>
    </row>
    <row r="42" spans="1:120" s="455" customFormat="1" x14ac:dyDescent="0.35">
      <c r="I42" s="456"/>
      <c r="DP42" s="457"/>
    </row>
    <row r="43" spans="1:120" s="458" customFormat="1" x14ac:dyDescent="0.35">
      <c r="A43" s="455"/>
      <c r="B43" s="458" t="s">
        <v>519</v>
      </c>
      <c r="C43" s="403" t="s">
        <v>18</v>
      </c>
      <c r="D43" s="404" t="s">
        <v>33</v>
      </c>
      <c r="E43" s="405" t="s">
        <v>49</v>
      </c>
      <c r="DP43" s="457"/>
    </row>
    <row r="44" spans="1:120" s="458" customFormat="1" ht="12" x14ac:dyDescent="0.3">
      <c r="A44" s="455"/>
      <c r="C44" s="401">
        <f>COUNTIFS(Planning!H12:H53,"1",Planning!D12:D53,"I2S")/2</f>
        <v>9</v>
      </c>
      <c r="D44" s="402">
        <f>COUNTIFS(Planning!H12:H53,"1",Planning!D12:D53,"EXT")/2</f>
        <v>4</v>
      </c>
      <c r="E44" s="459">
        <f>D44/(C44+D44)</f>
        <v>0.30769230769230771</v>
      </c>
    </row>
    <row r="45" spans="1:120" s="458" customFormat="1" ht="12" x14ac:dyDescent="0.3">
      <c r="A45" s="455"/>
    </row>
    <row r="46" spans="1:120" s="458" customFormat="1" ht="12" x14ac:dyDescent="0.3">
      <c r="A46" s="455"/>
    </row>
    <row r="47" spans="1:120" s="458" customFormat="1" ht="12" x14ac:dyDescent="0.3">
      <c r="A47" s="455"/>
    </row>
    <row r="48" spans="1:120" s="458" customFormat="1" ht="12" x14ac:dyDescent="0.3">
      <c r="A48" s="455"/>
    </row>
    <row r="49" spans="1:1" s="458" customFormat="1" ht="12" x14ac:dyDescent="0.3">
      <c r="A49" s="455"/>
    </row>
    <row r="50" spans="1:1" s="458" customFormat="1" ht="12" x14ac:dyDescent="0.3">
      <c r="A50" s="455"/>
    </row>
    <row r="51" spans="1:1" s="458" customFormat="1" ht="12" x14ac:dyDescent="0.3">
      <c r="A51" s="455"/>
    </row>
    <row r="52" spans="1:1" s="458" customFormat="1" ht="12" x14ac:dyDescent="0.3">
      <c r="A52" s="455"/>
    </row>
    <row r="53" spans="1:1" s="458" customFormat="1" ht="12" x14ac:dyDescent="0.3">
      <c r="A53" s="455"/>
    </row>
    <row r="54" spans="1:1" s="458" customFormat="1" ht="12" x14ac:dyDescent="0.3">
      <c r="A54" s="455"/>
    </row>
    <row r="55" spans="1:1" s="458" customFormat="1" ht="12" x14ac:dyDescent="0.3">
      <c r="A55" s="455"/>
    </row>
    <row r="56" spans="1:1" s="458" customFormat="1" ht="12" x14ac:dyDescent="0.3">
      <c r="A56" s="455"/>
    </row>
    <row r="57" spans="1:1" s="458" customFormat="1" ht="12" x14ac:dyDescent="0.3">
      <c r="A57" s="455"/>
    </row>
    <row r="58" spans="1:1" s="458" customFormat="1" ht="12" x14ac:dyDescent="0.3">
      <c r="A58" s="455"/>
    </row>
    <row r="59" spans="1:1" s="458" customFormat="1" ht="12" x14ac:dyDescent="0.3">
      <c r="A59" s="455"/>
    </row>
    <row r="60" spans="1:1" s="458" customFormat="1" ht="12" x14ac:dyDescent="0.3">
      <c r="A60" s="455"/>
    </row>
    <row r="61" spans="1:1" s="458" customFormat="1" ht="12" x14ac:dyDescent="0.3">
      <c r="A61" s="455"/>
    </row>
    <row r="62" spans="1:1" s="458" customFormat="1" ht="12" x14ac:dyDescent="0.3">
      <c r="A62" s="455"/>
    </row>
    <row r="63" spans="1:1" s="458" customFormat="1" ht="12" x14ac:dyDescent="0.3">
      <c r="A63" s="455"/>
    </row>
    <row r="64" spans="1:1" s="458" customFormat="1" ht="12" x14ac:dyDescent="0.3">
      <c r="A64" s="455"/>
    </row>
    <row r="65" spans="1:1" s="458" customFormat="1" ht="12" x14ac:dyDescent="0.3">
      <c r="A65" s="455"/>
    </row>
    <row r="66" spans="1:1" s="458" customFormat="1" ht="12" x14ac:dyDescent="0.3">
      <c r="A66" s="455"/>
    </row>
    <row r="67" spans="1:1" s="458" customFormat="1" ht="12" x14ac:dyDescent="0.3">
      <c r="A67" s="455"/>
    </row>
    <row r="68" spans="1:1" s="458" customFormat="1" ht="12" x14ac:dyDescent="0.3">
      <c r="A68" s="455"/>
    </row>
    <row r="69" spans="1:1" s="458" customFormat="1" ht="12" x14ac:dyDescent="0.3">
      <c r="A69" s="455"/>
    </row>
    <row r="70" spans="1:1" s="458" customFormat="1" ht="12" x14ac:dyDescent="0.3">
      <c r="A70" s="455"/>
    </row>
    <row r="71" spans="1:1" s="458" customFormat="1" ht="12" x14ac:dyDescent="0.3">
      <c r="A71" s="455"/>
    </row>
    <row r="72" spans="1:1" s="458" customFormat="1" ht="12" x14ac:dyDescent="0.3">
      <c r="A72" s="455"/>
    </row>
    <row r="73" spans="1:1" s="458" customFormat="1" ht="12" x14ac:dyDescent="0.3">
      <c r="A73" s="455"/>
    </row>
    <row r="74" spans="1:1" s="458" customFormat="1" ht="12" x14ac:dyDescent="0.3">
      <c r="A74" s="455"/>
    </row>
    <row r="75" spans="1:1" s="458" customFormat="1" ht="12" x14ac:dyDescent="0.3">
      <c r="A75" s="455"/>
    </row>
    <row r="76" spans="1:1" s="458" customFormat="1" ht="12" x14ac:dyDescent="0.3">
      <c r="A76" s="455"/>
    </row>
    <row r="77" spans="1:1" s="458" customFormat="1" ht="12" x14ac:dyDescent="0.3">
      <c r="A77" s="455"/>
    </row>
    <row r="78" spans="1:1" s="458" customFormat="1" ht="12" x14ac:dyDescent="0.3">
      <c r="A78" s="455"/>
    </row>
    <row r="79" spans="1:1" s="458" customFormat="1" ht="12" x14ac:dyDescent="0.3">
      <c r="A79" s="455"/>
    </row>
    <row r="80" spans="1:1" s="458" customFormat="1" ht="12" x14ac:dyDescent="0.3">
      <c r="A80" s="455"/>
    </row>
    <row r="81" spans="1:1" s="458" customFormat="1" ht="12" x14ac:dyDescent="0.3">
      <c r="A81" s="455"/>
    </row>
    <row r="82" spans="1:1" s="458" customFormat="1" ht="12" x14ac:dyDescent="0.3">
      <c r="A82" s="455"/>
    </row>
    <row r="83" spans="1:1" s="458" customFormat="1" ht="12" x14ac:dyDescent="0.3">
      <c r="A83" s="455"/>
    </row>
    <row r="84" spans="1:1" s="458" customFormat="1" ht="12" x14ac:dyDescent="0.3">
      <c r="A84" s="455"/>
    </row>
    <row r="85" spans="1:1" s="458" customFormat="1" ht="12" x14ac:dyDescent="0.3">
      <c r="A85" s="455"/>
    </row>
    <row r="86" spans="1:1" s="458" customFormat="1" ht="12" x14ac:dyDescent="0.3">
      <c r="A86" s="455"/>
    </row>
    <row r="87" spans="1:1" s="458" customFormat="1" ht="12" x14ac:dyDescent="0.3">
      <c r="A87" s="455"/>
    </row>
    <row r="88" spans="1:1" s="458" customFormat="1" ht="12" x14ac:dyDescent="0.3">
      <c r="A88" s="455"/>
    </row>
    <row r="89" spans="1:1" s="458" customFormat="1" ht="12" x14ac:dyDescent="0.3">
      <c r="A89" s="455"/>
    </row>
    <row r="90" spans="1:1" s="458" customFormat="1" ht="12" x14ac:dyDescent="0.3">
      <c r="A90" s="455"/>
    </row>
    <row r="91" spans="1:1" s="458" customFormat="1" ht="12" x14ac:dyDescent="0.3">
      <c r="A91" s="455"/>
    </row>
    <row r="92" spans="1:1" s="458" customFormat="1" ht="12" x14ac:dyDescent="0.3">
      <c r="A92" s="455"/>
    </row>
    <row r="93" spans="1:1" s="458" customFormat="1" ht="12" x14ac:dyDescent="0.3">
      <c r="A93" s="455"/>
    </row>
    <row r="94" spans="1:1" s="458" customFormat="1" ht="12" x14ac:dyDescent="0.3">
      <c r="A94" s="455"/>
    </row>
    <row r="95" spans="1:1" s="458" customFormat="1" ht="12" x14ac:dyDescent="0.3">
      <c r="A95" s="455"/>
    </row>
    <row r="96" spans="1:1" s="458" customFormat="1" ht="12" x14ac:dyDescent="0.3">
      <c r="A96" s="455"/>
    </row>
    <row r="97" spans="1:1" s="458" customFormat="1" ht="12" x14ac:dyDescent="0.3">
      <c r="A97" s="455"/>
    </row>
    <row r="98" spans="1:1" s="458" customFormat="1" ht="12" x14ac:dyDescent="0.3">
      <c r="A98" s="455"/>
    </row>
    <row r="99" spans="1:1" s="458" customFormat="1" ht="12" x14ac:dyDescent="0.3">
      <c r="A99" s="455"/>
    </row>
    <row r="100" spans="1:1" s="458" customFormat="1" ht="12" x14ac:dyDescent="0.3">
      <c r="A100" s="455"/>
    </row>
    <row r="101" spans="1:1" s="458" customFormat="1" ht="12" x14ac:dyDescent="0.3">
      <c r="A101" s="455"/>
    </row>
    <row r="102" spans="1:1" s="458" customFormat="1" ht="12" x14ac:dyDescent="0.3">
      <c r="A102" s="455"/>
    </row>
    <row r="103" spans="1:1" s="458" customFormat="1" ht="12" x14ac:dyDescent="0.3">
      <c r="A103" s="455"/>
    </row>
    <row r="104" spans="1:1" s="458" customFormat="1" ht="12" x14ac:dyDescent="0.3">
      <c r="A104" s="455"/>
    </row>
    <row r="105" spans="1:1" s="458" customFormat="1" ht="12" x14ac:dyDescent="0.3">
      <c r="A105" s="455"/>
    </row>
    <row r="106" spans="1:1" s="458" customFormat="1" ht="12" x14ac:dyDescent="0.3">
      <c r="A106" s="455"/>
    </row>
    <row r="107" spans="1:1" s="458" customFormat="1" ht="12" x14ac:dyDescent="0.3">
      <c r="A107" s="455"/>
    </row>
    <row r="108" spans="1:1" s="458" customFormat="1" ht="12" x14ac:dyDescent="0.3"/>
    <row r="109" spans="1:1" s="458" customFormat="1" ht="12" x14ac:dyDescent="0.3"/>
    <row r="110" spans="1:1" s="458" customFormat="1" ht="12" x14ac:dyDescent="0.3"/>
    <row r="111" spans="1:1" s="458" customFormat="1" ht="12" x14ac:dyDescent="0.3"/>
    <row r="112" spans="1:1" s="458" customFormat="1" ht="12" x14ac:dyDescent="0.3"/>
    <row r="113" s="458" customFormat="1" ht="12" x14ac:dyDescent="0.3"/>
    <row r="114" s="458" customFormat="1" ht="12" x14ac:dyDescent="0.3"/>
    <row r="115" s="458" customFormat="1" ht="12" x14ac:dyDescent="0.3"/>
    <row r="116" s="458" customFormat="1" ht="12" x14ac:dyDescent="0.3"/>
    <row r="117" s="458" customFormat="1" ht="12" x14ac:dyDescent="0.3"/>
    <row r="118" s="458" customFormat="1" ht="12" x14ac:dyDescent="0.3"/>
    <row r="119" s="458" customFormat="1" ht="12" x14ac:dyDescent="0.3"/>
    <row r="120" s="458" customFormat="1" ht="12" x14ac:dyDescent="0.3"/>
    <row r="121" s="458" customFormat="1" ht="12" x14ac:dyDescent="0.3"/>
    <row r="122" s="458" customFormat="1" ht="12" x14ac:dyDescent="0.3"/>
    <row r="123" s="458" customFormat="1" ht="12" x14ac:dyDescent="0.3"/>
    <row r="124" s="458" customFormat="1" ht="12" x14ac:dyDescent="0.3"/>
    <row r="125" s="458" customFormat="1" ht="12" x14ac:dyDescent="0.3"/>
    <row r="126" s="458" customFormat="1" ht="12" x14ac:dyDescent="0.3"/>
    <row r="127" s="458" customFormat="1" ht="12" x14ac:dyDescent="0.3"/>
    <row r="128" s="458" customFormat="1" ht="12" x14ac:dyDescent="0.3"/>
    <row r="129" s="458" customFormat="1" ht="12" x14ac:dyDescent="0.3"/>
    <row r="130" s="458" customFormat="1" ht="12" x14ac:dyDescent="0.3"/>
    <row r="131" s="458" customFormat="1" ht="12" x14ac:dyDescent="0.3"/>
    <row r="132" s="458" customFormat="1" ht="12" x14ac:dyDescent="0.3"/>
    <row r="133" s="458" customFormat="1" ht="12" x14ac:dyDescent="0.3"/>
    <row r="134" s="458" customFormat="1" ht="12" x14ac:dyDescent="0.3"/>
    <row r="135" s="458" customFormat="1" ht="12" x14ac:dyDescent="0.3"/>
    <row r="136" s="458" customFormat="1" ht="12" x14ac:dyDescent="0.3"/>
    <row r="137" s="458" customFormat="1" ht="12" x14ac:dyDescent="0.3"/>
    <row r="138" s="458" customFormat="1" ht="12" x14ac:dyDescent="0.3"/>
    <row r="139" s="458" customFormat="1" ht="12" x14ac:dyDescent="0.3"/>
    <row r="140" s="458" customFormat="1" ht="12" x14ac:dyDescent="0.3"/>
    <row r="141" s="458" customFormat="1" ht="12" x14ac:dyDescent="0.3"/>
    <row r="142" s="458" customFormat="1" ht="12" x14ac:dyDescent="0.3"/>
    <row r="143" s="458" customFormat="1" ht="12" x14ac:dyDescent="0.3"/>
    <row r="144" s="458" customFormat="1" ht="12" x14ac:dyDescent="0.3"/>
    <row r="145" s="458" customFormat="1" ht="12" x14ac:dyDescent="0.3"/>
    <row r="146" s="458" customFormat="1" ht="12" x14ac:dyDescent="0.3"/>
    <row r="147" s="458" customFormat="1" ht="12" x14ac:dyDescent="0.3"/>
    <row r="148" s="458" customFormat="1" ht="12" x14ac:dyDescent="0.3"/>
    <row r="149" s="458" customFormat="1" ht="12" x14ac:dyDescent="0.3"/>
    <row r="150" s="458" customFormat="1" ht="12" x14ac:dyDescent="0.3"/>
    <row r="151" s="458" customFormat="1" ht="12" x14ac:dyDescent="0.3"/>
    <row r="152" s="458" customFormat="1" ht="12" x14ac:dyDescent="0.3"/>
    <row r="153" s="458" customFormat="1" ht="12" x14ac:dyDescent="0.3"/>
    <row r="154" s="458" customFormat="1" ht="12" x14ac:dyDescent="0.3"/>
    <row r="155" s="458" customFormat="1" ht="12" x14ac:dyDescent="0.3"/>
    <row r="156" s="458" customFormat="1" ht="12" x14ac:dyDescent="0.3"/>
    <row r="157" s="458" customFormat="1" ht="12" x14ac:dyDescent="0.3"/>
    <row r="158" s="458" customFormat="1" ht="12" x14ac:dyDescent="0.3"/>
    <row r="159" s="458" customFormat="1" ht="12" x14ac:dyDescent="0.3"/>
    <row r="160" s="458" customFormat="1" ht="12" x14ac:dyDescent="0.3"/>
    <row r="161" s="458" customFormat="1" ht="12" x14ac:dyDescent="0.3"/>
    <row r="162" s="458" customFormat="1" ht="12" x14ac:dyDescent="0.3"/>
    <row r="163" s="458" customFormat="1" ht="12" x14ac:dyDescent="0.3"/>
    <row r="164" s="458" customFormat="1" ht="12" x14ac:dyDescent="0.3"/>
    <row r="165" s="458" customFormat="1" ht="12" x14ac:dyDescent="0.3"/>
    <row r="166" s="458" customFormat="1" ht="12" x14ac:dyDescent="0.3"/>
  </sheetData>
  <sheetProtection pivotTables="0"/>
  <autoFilter ref="A3:BF38" xr:uid="{1856399F-6265-42A2-B4F6-85EFD30E5BC9}"/>
  <mergeCells count="2">
    <mergeCell ref="A39:D39"/>
    <mergeCell ref="A40:D40"/>
  </mergeCells>
  <conditionalFormatting sqref="H5:S38 U5:AF38">
    <cfRule type="cellIs" dxfId="84" priority="90" operator="greaterThan">
      <formula>H$4</formula>
    </cfRule>
  </conditionalFormatting>
  <conditionalFormatting sqref="F5:F38">
    <cfRule type="cellIs" dxfId="83" priority="16" operator="lessThan">
      <formula>1</formula>
    </cfRule>
  </conditionalFormatting>
  <conditionalFormatting sqref="H2:S2">
    <cfRule type="notContainsBlanks" dxfId="82" priority="13">
      <formula>LEN(TRIM(H2))&gt;0</formula>
    </cfRule>
  </conditionalFormatting>
  <conditionalFormatting sqref="AH2:AS2">
    <cfRule type="notContainsBlanks" dxfId="81" priority="9">
      <formula>LEN(TRIM(AH2))&gt;0</formula>
    </cfRule>
  </conditionalFormatting>
  <conditionalFormatting sqref="AU2:BF2">
    <cfRule type="notContainsBlanks" dxfId="80" priority="4">
      <formula>LEN(TRIM(AU2))&gt;0</formula>
    </cfRule>
  </conditionalFormatting>
  <conditionalFormatting sqref="U2:AF2">
    <cfRule type="notContainsBlanks" dxfId="79" priority="3">
      <formula>LEN(TRIM(U2))&gt;0</formula>
    </cfRule>
  </conditionalFormatting>
  <conditionalFormatting sqref="AH5:AS38">
    <cfRule type="cellIs" dxfId="78" priority="2" operator="greaterThan">
      <formula>AH$4</formula>
    </cfRule>
  </conditionalFormatting>
  <conditionalFormatting sqref="AU5:BF38">
    <cfRule type="cellIs" dxfId="77" priority="1" operator="greaterThan">
      <formula>AU$4</formula>
    </cfRule>
  </conditionalFormatting>
  <dataValidations count="1">
    <dataValidation type="list" allowBlank="1" showInputMessage="1" showErrorMessage="1" promptTitle="Choisir code ou saisie manuelle" prompt=" " sqref="A5:A38" xr:uid="{472B4BF6-1592-4FA1-A60F-DC6C59906B54}">
      <formula1>p.mat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6" id="{3A0B379F-5544-4674-8CBA-77AF3F293784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$H$4</xm:f>
              </x14:cfvo>
              <x14:cfIcon iconSet="NoIcons" iconId="0"/>
              <x14:cfIcon iconSet="NoIcons" iconId="0"/>
              <x14:cfIcon iconSet="3Symbols2" iconId="1"/>
            </x14:iconSet>
          </x14:cfRule>
          <xm:sqref>H5:H38</xm:sqref>
        </x14:conditionalFormatting>
        <x14:conditionalFormatting xmlns:xm="http://schemas.microsoft.com/office/excel/2006/main">
          <x14:cfRule type="iconSet" priority="188" id="{31EBE9AE-5213-4AD4-B810-F281C8B8E0A1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$I$4</xm:f>
              </x14:cfvo>
              <x14:cfIcon iconSet="NoIcons" iconId="0"/>
              <x14:cfIcon iconSet="NoIcons" iconId="0"/>
              <x14:cfIcon iconSet="3Symbols2" iconId="1"/>
            </x14:iconSet>
          </x14:cfRule>
          <xm:sqref>I5:I38</xm:sqref>
        </x14:conditionalFormatting>
        <x14:conditionalFormatting xmlns:xm="http://schemas.microsoft.com/office/excel/2006/main">
          <x14:cfRule type="iconSet" priority="190" id="{0752B707-59E3-439D-BFA3-6248BD56D32D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$J$4</xm:f>
              </x14:cfvo>
              <x14:cfIcon iconSet="NoIcons" iconId="0"/>
              <x14:cfIcon iconSet="NoIcons" iconId="0"/>
              <x14:cfIcon iconSet="3Symbols2" iconId="1"/>
            </x14:iconSet>
          </x14:cfRule>
          <xm:sqref>J5:J38</xm:sqref>
        </x14:conditionalFormatting>
        <x14:conditionalFormatting xmlns:xm="http://schemas.microsoft.com/office/excel/2006/main">
          <x14:cfRule type="iconSet" priority="192" id="{A649811B-5DDA-42EF-96F5-CE390CC4D564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$K$4</xm:f>
              </x14:cfvo>
              <x14:cfIcon iconSet="NoIcons" iconId="0"/>
              <x14:cfIcon iconSet="NoIcons" iconId="0"/>
              <x14:cfIcon iconSet="3Symbols2" iconId="1"/>
            </x14:iconSet>
          </x14:cfRule>
          <xm:sqref>K5:K38</xm:sqref>
        </x14:conditionalFormatting>
        <x14:conditionalFormatting xmlns:xm="http://schemas.microsoft.com/office/excel/2006/main">
          <x14:cfRule type="iconSet" priority="194" id="{15A967B6-7311-411E-967B-D7A47420FDF2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$L$4</xm:f>
              </x14:cfvo>
              <x14:cfIcon iconSet="NoIcons" iconId="0"/>
              <x14:cfIcon iconSet="NoIcons" iconId="0"/>
              <x14:cfIcon iconSet="3Symbols2" iconId="1"/>
            </x14:iconSet>
          </x14:cfRule>
          <xm:sqref>L5:L38</xm:sqref>
        </x14:conditionalFormatting>
        <x14:conditionalFormatting xmlns:xm="http://schemas.microsoft.com/office/excel/2006/main">
          <x14:cfRule type="iconSet" priority="196" id="{7AF93FF6-8F96-486C-82B6-33534EEBE34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$M$4</xm:f>
              </x14:cfvo>
              <x14:cfIcon iconSet="NoIcons" iconId="0"/>
              <x14:cfIcon iconSet="NoIcons" iconId="0"/>
              <x14:cfIcon iconSet="3Symbols2" iconId="1"/>
            </x14:iconSet>
          </x14:cfRule>
          <xm:sqref>M5:M38</xm:sqref>
        </x14:conditionalFormatting>
        <x14:conditionalFormatting xmlns:xm="http://schemas.microsoft.com/office/excel/2006/main">
          <x14:cfRule type="iconSet" priority="198" id="{8197D286-BC22-4E61-BF42-3A24D1386EC5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$N$4</xm:f>
              </x14:cfvo>
              <x14:cfIcon iconSet="NoIcons" iconId="0"/>
              <x14:cfIcon iconSet="NoIcons" iconId="0"/>
              <x14:cfIcon iconSet="3Symbols2" iconId="1"/>
            </x14:iconSet>
          </x14:cfRule>
          <xm:sqref>N5:N38</xm:sqref>
        </x14:conditionalFormatting>
        <x14:conditionalFormatting xmlns:xm="http://schemas.microsoft.com/office/excel/2006/main">
          <x14:cfRule type="iconSet" priority="200" id="{33A8B28D-05DD-46CC-A3D7-B969AF3C9EA3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$O$4</xm:f>
              </x14:cfvo>
              <x14:cfIcon iconSet="NoIcons" iconId="0"/>
              <x14:cfIcon iconSet="NoIcons" iconId="0"/>
              <x14:cfIcon iconSet="3Symbols2" iconId="1"/>
            </x14:iconSet>
          </x14:cfRule>
          <xm:sqref>O5:O38</xm:sqref>
        </x14:conditionalFormatting>
        <x14:conditionalFormatting xmlns:xm="http://schemas.microsoft.com/office/excel/2006/main">
          <x14:cfRule type="iconSet" priority="202" id="{0560962B-176C-4D55-9B2C-DF6097F7878E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$P$4</xm:f>
              </x14:cfvo>
              <x14:cfIcon iconSet="NoIcons" iconId="0"/>
              <x14:cfIcon iconSet="NoIcons" iconId="0"/>
              <x14:cfIcon iconSet="3Symbols2" iconId="1"/>
            </x14:iconSet>
          </x14:cfRule>
          <xm:sqref>P5:P38</xm:sqref>
        </x14:conditionalFormatting>
        <x14:conditionalFormatting xmlns:xm="http://schemas.microsoft.com/office/excel/2006/main">
          <x14:cfRule type="iconSet" priority="204" id="{D4209D0F-090A-4C36-8DA1-4BECA463B797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$Q$4</xm:f>
              </x14:cfvo>
              <x14:cfIcon iconSet="NoIcons" iconId="0"/>
              <x14:cfIcon iconSet="NoIcons" iconId="0"/>
              <x14:cfIcon iconSet="3Symbols2" iconId="1"/>
            </x14:iconSet>
          </x14:cfRule>
          <xm:sqref>Q5:Q38</xm:sqref>
        </x14:conditionalFormatting>
        <x14:conditionalFormatting xmlns:xm="http://schemas.microsoft.com/office/excel/2006/main">
          <x14:cfRule type="iconSet" priority="206" id="{1AC565BE-678F-4008-B956-BAEB8B31E569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$R$4</xm:f>
              </x14:cfvo>
              <x14:cfIcon iconSet="NoIcons" iconId="0"/>
              <x14:cfIcon iconSet="NoIcons" iconId="0"/>
              <x14:cfIcon iconSet="3Symbols2" iconId="1"/>
            </x14:iconSet>
          </x14:cfRule>
          <xm:sqref>R5:R38</xm:sqref>
        </x14:conditionalFormatting>
        <x14:conditionalFormatting xmlns:xm="http://schemas.microsoft.com/office/excel/2006/main">
          <x14:cfRule type="iconSet" priority="208" id="{B27BDAA7-3F34-44D4-8B0D-017A613D13CF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 gte="0">
                <xm:f>$S$4</xm:f>
              </x14:cfvo>
              <x14:cfIcon iconSet="NoIcons" iconId="0"/>
              <x14:cfIcon iconSet="NoIcons" iconId="0"/>
              <x14:cfIcon iconSet="3Symbols2" iconId="1"/>
            </x14:iconSet>
          </x14:cfRule>
          <xm:sqref>S5:S38</xm:sqref>
        </x14:conditionalFormatting>
        <x14:conditionalFormatting xmlns:xm="http://schemas.microsoft.com/office/excel/2006/main">
          <x14:cfRule type="iconSet" priority="210" id="{A8893DC2-B750-4FD7-A4E3-8600F43AE701}">
            <x14:iconSet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" iconId="1"/>
              <x14:cfIcon iconSet="3Flags" iconId="1"/>
              <x14:cfIcon iconSet="5Quarters" iconId="0"/>
            </x14:iconSet>
          </x14:cfRule>
          <xm:sqref>F5:F38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20825-0F71-413A-8643-20CCCAD30F10}">
  <sheetPr codeName="Feuil3">
    <tabColor theme="7" tint="0.39997558519241921"/>
  </sheetPr>
  <dimension ref="B1:O36"/>
  <sheetViews>
    <sheetView workbookViewId="0">
      <selection activeCell="M25" sqref="M25"/>
    </sheetView>
  </sheetViews>
  <sheetFormatPr baseColWidth="10" defaultColWidth="11.453125" defaultRowHeight="14.5" x14ac:dyDescent="0.35"/>
  <cols>
    <col min="1" max="1" width="4.08984375" customWidth="1"/>
    <col min="2" max="2" width="22.54296875" customWidth="1"/>
    <col min="4" max="5" width="11.453125" style="120"/>
    <col min="6" max="7" width="15.08984375" style="120" customWidth="1"/>
    <col min="9" max="11" width="9.36328125" style="120" customWidth="1"/>
  </cols>
  <sheetData>
    <row r="1" spans="2:15" ht="29.25" customHeight="1" x14ac:dyDescent="0.35">
      <c r="B1" s="467" t="s">
        <v>80</v>
      </c>
      <c r="C1" s="467" t="s">
        <v>81</v>
      </c>
      <c r="D1" s="467" t="s">
        <v>82</v>
      </c>
      <c r="E1" s="467" t="s">
        <v>83</v>
      </c>
      <c r="F1" s="467" t="s">
        <v>84</v>
      </c>
      <c r="G1" s="467" t="s">
        <v>85</v>
      </c>
      <c r="H1" s="467" t="s">
        <v>477</v>
      </c>
      <c r="I1" s="467" t="s">
        <v>86</v>
      </c>
      <c r="J1" s="467" t="s">
        <v>87</v>
      </c>
      <c r="K1" s="467" t="s">
        <v>88</v>
      </c>
      <c r="L1" s="467" t="s">
        <v>89</v>
      </c>
    </row>
    <row r="2" spans="2:15" s="406" customFormat="1" x14ac:dyDescent="0.35">
      <c r="B2" s="468" t="s">
        <v>158</v>
      </c>
      <c r="C2" s="469" t="s">
        <v>157</v>
      </c>
      <c r="D2" s="470" t="s">
        <v>100</v>
      </c>
      <c r="E2" s="470" t="s">
        <v>107</v>
      </c>
      <c r="F2" s="470" t="s">
        <v>94</v>
      </c>
      <c r="G2" s="471">
        <v>90</v>
      </c>
      <c r="H2" s="472"/>
      <c r="I2" s="473">
        <f t="shared" ref="I2:J5" si="0">HOUR(D2)+ROUNDDOWN(MINUTE(D2)/60,2)</f>
        <v>8.5</v>
      </c>
      <c r="J2" s="473">
        <f t="shared" si="0"/>
        <v>17.36</v>
      </c>
      <c r="K2" s="474">
        <f>J2-I2-(G2/60)</f>
        <v>7.3599999999999994</v>
      </c>
      <c r="L2" s="475" t="str" cm="1">
        <f t="array" aca="1" ref="L2" ca="1">CELL("adresse",C2)</f>
        <v>$C$2</v>
      </c>
    </row>
    <row r="3" spans="2:15" s="406" customFormat="1" x14ac:dyDescent="0.35">
      <c r="B3" s="468" t="s">
        <v>161</v>
      </c>
      <c r="C3" s="469" t="s">
        <v>160</v>
      </c>
      <c r="D3" s="470" t="s">
        <v>100</v>
      </c>
      <c r="E3" s="470" t="s">
        <v>107</v>
      </c>
      <c r="F3" s="470" t="s">
        <v>94</v>
      </c>
      <c r="G3" s="471">
        <v>90</v>
      </c>
      <c r="H3" s="472"/>
      <c r="I3" s="473">
        <f t="shared" si="0"/>
        <v>8.5</v>
      </c>
      <c r="J3" s="473">
        <f t="shared" si="0"/>
        <v>17.36</v>
      </c>
      <c r="K3" s="474">
        <f>J3-I3-(G3/60)</f>
        <v>7.3599999999999994</v>
      </c>
      <c r="L3" s="475" t="str" cm="1">
        <f t="array" aca="1" ref="L3" ca="1">CELL("adresse",C3)</f>
        <v>$C$3</v>
      </c>
    </row>
    <row r="4" spans="2:15" s="406" customFormat="1" x14ac:dyDescent="0.35">
      <c r="B4" s="468" t="s">
        <v>175</v>
      </c>
      <c r="C4" s="469" t="s">
        <v>479</v>
      </c>
      <c r="D4" s="470"/>
      <c r="E4" s="470"/>
      <c r="F4" s="470"/>
      <c r="G4" s="471"/>
      <c r="H4" s="472"/>
      <c r="I4" s="473">
        <f t="shared" si="0"/>
        <v>0</v>
      </c>
      <c r="J4" s="473">
        <f t="shared" si="0"/>
        <v>0</v>
      </c>
      <c r="K4" s="474">
        <f t="shared" ref="K4" si="1">J4-I4-(G4/60)</f>
        <v>0</v>
      </c>
      <c r="L4" s="475" t="str" cm="1">
        <f t="array" aca="1" ref="L4" ca="1">CELL("adresse",C4)</f>
        <v>$C$4</v>
      </c>
      <c r="O4" s="480"/>
    </row>
    <row r="5" spans="2:15" s="129" customFormat="1" x14ac:dyDescent="0.35">
      <c r="B5" s="121" t="s">
        <v>90</v>
      </c>
      <c r="C5" s="489" t="s">
        <v>91</v>
      </c>
      <c r="D5" s="123" t="s">
        <v>92</v>
      </c>
      <c r="E5" s="123" t="s">
        <v>93</v>
      </c>
      <c r="F5" s="123" t="s">
        <v>94</v>
      </c>
      <c r="G5" s="124">
        <v>60</v>
      </c>
      <c r="H5" s="125" t="s">
        <v>24</v>
      </c>
      <c r="I5" s="126">
        <f t="shared" si="0"/>
        <v>8</v>
      </c>
      <c r="J5" s="126">
        <f t="shared" si="0"/>
        <v>16.36</v>
      </c>
      <c r="K5" s="127">
        <f>J5-I5-(G5/60)</f>
        <v>7.3599999999999994</v>
      </c>
      <c r="L5" s="128" t="str" cm="1">
        <f t="array" aca="1" ref="L5" ca="1">CELL("adresse",C5)</f>
        <v>$C$5</v>
      </c>
    </row>
    <row r="6" spans="2:15" s="129" customFormat="1" x14ac:dyDescent="0.35">
      <c r="B6" s="121" t="s">
        <v>95</v>
      </c>
      <c r="C6" s="489" t="s">
        <v>96</v>
      </c>
      <c r="D6" s="123" t="s">
        <v>97</v>
      </c>
      <c r="E6" s="123" t="s">
        <v>98</v>
      </c>
      <c r="F6" s="123" t="s">
        <v>94</v>
      </c>
      <c r="G6" s="124">
        <v>60</v>
      </c>
      <c r="H6" s="125" t="s">
        <v>24</v>
      </c>
      <c r="I6" s="126">
        <f t="shared" ref="I6:I8" si="2">HOUR(D6)+ROUNDDOWN(MINUTE(D6)/60,2)</f>
        <v>8.36</v>
      </c>
      <c r="J6" s="126">
        <f t="shared" ref="J6:J8" si="3">HOUR(E6)+ROUNDDOWN(MINUTE(E6)/60,2)</f>
        <v>16.73</v>
      </c>
      <c r="K6" s="127">
        <f t="shared" ref="K6:K8" si="4">J6-I6-(G6/60)</f>
        <v>7.370000000000001</v>
      </c>
      <c r="L6" s="128" t="str" cm="1">
        <f t="array" aca="1" ref="L6" ca="1">CELL("adresse",C6)</f>
        <v>$C$6</v>
      </c>
    </row>
    <row r="7" spans="2:15" s="129" customFormat="1" x14ac:dyDescent="0.35">
      <c r="B7" s="121" t="s">
        <v>95</v>
      </c>
      <c r="C7" s="489" t="s">
        <v>99</v>
      </c>
      <c r="D7" s="123" t="s">
        <v>100</v>
      </c>
      <c r="E7" s="123" t="s">
        <v>101</v>
      </c>
      <c r="F7" s="123" t="s">
        <v>102</v>
      </c>
      <c r="G7" s="124">
        <v>60</v>
      </c>
      <c r="H7" s="125" t="s">
        <v>24</v>
      </c>
      <c r="I7" s="126">
        <f t="shared" si="2"/>
        <v>8.5</v>
      </c>
      <c r="J7" s="126">
        <f t="shared" si="3"/>
        <v>16.86</v>
      </c>
      <c r="K7" s="127">
        <f t="shared" si="4"/>
        <v>7.3599999999999994</v>
      </c>
      <c r="L7" s="128" t="str" cm="1">
        <f t="array" aca="1" ref="L7" ca="1">CELL("adresse",C7)</f>
        <v>$C$7</v>
      </c>
    </row>
    <row r="8" spans="2:15" s="129" customFormat="1" x14ac:dyDescent="0.35">
      <c r="B8" s="121" t="s">
        <v>95</v>
      </c>
      <c r="C8" s="489" t="s">
        <v>103</v>
      </c>
      <c r="D8" s="123" t="s">
        <v>104</v>
      </c>
      <c r="E8" s="123" t="s">
        <v>105</v>
      </c>
      <c r="F8" s="123" t="s">
        <v>102</v>
      </c>
      <c r="G8" s="124">
        <v>60</v>
      </c>
      <c r="H8" s="125" t="s">
        <v>24</v>
      </c>
      <c r="I8" s="126">
        <f t="shared" si="2"/>
        <v>8.75</v>
      </c>
      <c r="J8" s="126">
        <f t="shared" si="3"/>
        <v>17.11</v>
      </c>
      <c r="K8" s="127">
        <f t="shared" si="4"/>
        <v>7.3599999999999994</v>
      </c>
      <c r="L8" s="128" t="str" cm="1">
        <f t="array" aca="1" ref="L8" ca="1">CELL("adresse",C8)</f>
        <v>$C$8</v>
      </c>
    </row>
    <row r="9" spans="2:15" s="129" customFormat="1" x14ac:dyDescent="0.35">
      <c r="B9" s="121" t="s">
        <v>95</v>
      </c>
      <c r="C9" s="490" t="s">
        <v>26</v>
      </c>
      <c r="D9" s="123" t="s">
        <v>106</v>
      </c>
      <c r="E9" s="123" t="s">
        <v>107</v>
      </c>
      <c r="F9" s="123" t="s">
        <v>108</v>
      </c>
      <c r="G9" s="124">
        <v>60</v>
      </c>
      <c r="H9" s="131" t="s">
        <v>24</v>
      </c>
      <c r="I9" s="126">
        <f t="shared" ref="I9:I19" si="5">HOUR(D9)+ROUNDDOWN(MINUTE(D9)/60,2)</f>
        <v>9</v>
      </c>
      <c r="J9" s="126">
        <f>HOUR(E9)+ROUNDDOWN(MINUTE(E9)/60,2)</f>
        <v>17.36</v>
      </c>
      <c r="K9" s="127">
        <f t="shared" ref="K9:K19" si="6">J9-I9-(G9/60)</f>
        <v>7.3599999999999994</v>
      </c>
      <c r="L9" s="128" t="str" cm="1">
        <f t="array" aca="1" ref="L9" ca="1">CELL("adresse",C9)</f>
        <v>$C$9</v>
      </c>
    </row>
    <row r="10" spans="2:15" s="129" customFormat="1" x14ac:dyDescent="0.35">
      <c r="B10" s="121" t="s">
        <v>95</v>
      </c>
      <c r="C10" s="490" t="s">
        <v>109</v>
      </c>
      <c r="D10" s="123" t="s">
        <v>110</v>
      </c>
      <c r="E10" s="123" t="s">
        <v>111</v>
      </c>
      <c r="F10" s="123" t="s">
        <v>108</v>
      </c>
      <c r="G10" s="124">
        <v>60</v>
      </c>
      <c r="H10" s="131" t="s">
        <v>24</v>
      </c>
      <c r="I10" s="126">
        <f t="shared" si="5"/>
        <v>9.36</v>
      </c>
      <c r="J10" s="126">
        <f>HOUR(E10)+ROUNDDOWN(MINUTE(E10)/60,2)</f>
        <v>17.73</v>
      </c>
      <c r="K10" s="127">
        <f t="shared" si="6"/>
        <v>7.370000000000001</v>
      </c>
      <c r="L10" s="128" t="str" cm="1">
        <f t="array" aca="1" ref="L10" ca="1">CELL("adresse",C10)</f>
        <v>$C$10</v>
      </c>
    </row>
    <row r="11" spans="2:15" s="129" customFormat="1" x14ac:dyDescent="0.35">
      <c r="B11" s="121" t="s">
        <v>95</v>
      </c>
      <c r="C11" s="490" t="s">
        <v>112</v>
      </c>
      <c r="D11" s="123" t="s">
        <v>113</v>
      </c>
      <c r="E11" s="123" t="s">
        <v>114</v>
      </c>
      <c r="F11" s="123" t="s">
        <v>115</v>
      </c>
      <c r="G11" s="124">
        <v>60</v>
      </c>
      <c r="H11" s="131" t="s">
        <v>24</v>
      </c>
      <c r="I11" s="126">
        <f t="shared" si="5"/>
        <v>9.5</v>
      </c>
      <c r="J11" s="126">
        <f t="shared" ref="J11:J19" si="7">HOUR(E11)+ROUNDDOWN(MINUTE(E11)/60,2)</f>
        <v>17.86</v>
      </c>
      <c r="K11" s="127">
        <f t="shared" si="6"/>
        <v>7.3599999999999994</v>
      </c>
      <c r="L11" s="128" t="str" cm="1">
        <f t="array" aca="1" ref="L11" ca="1">CELL("adresse",C11)</f>
        <v>$C$11</v>
      </c>
    </row>
    <row r="12" spans="2:15" s="129" customFormat="1" x14ac:dyDescent="0.35">
      <c r="B12" s="121" t="s">
        <v>95</v>
      </c>
      <c r="C12" s="491" t="s">
        <v>34</v>
      </c>
      <c r="D12" s="123" t="s">
        <v>106</v>
      </c>
      <c r="E12" s="123" t="s">
        <v>116</v>
      </c>
      <c r="F12" s="123" t="s">
        <v>108</v>
      </c>
      <c r="G12" s="124">
        <v>60</v>
      </c>
      <c r="H12" s="131" t="s">
        <v>24</v>
      </c>
      <c r="I12" s="126">
        <f t="shared" si="5"/>
        <v>9</v>
      </c>
      <c r="J12" s="126">
        <f t="shared" si="7"/>
        <v>17</v>
      </c>
      <c r="K12" s="127">
        <f t="shared" si="6"/>
        <v>7</v>
      </c>
      <c r="L12" s="128" t="str" cm="1">
        <f t="array" aca="1" ref="L12" ca="1">CELL("adresse",C12)</f>
        <v>$C$12</v>
      </c>
    </row>
    <row r="13" spans="2:15" s="129" customFormat="1" x14ac:dyDescent="0.35">
      <c r="B13" s="121" t="s">
        <v>95</v>
      </c>
      <c r="C13" s="492" t="s">
        <v>117</v>
      </c>
      <c r="D13" s="123" t="s">
        <v>100</v>
      </c>
      <c r="E13" s="123" t="s">
        <v>118</v>
      </c>
      <c r="F13" s="123"/>
      <c r="G13" s="124">
        <v>60</v>
      </c>
      <c r="H13" s="131" t="s">
        <v>24</v>
      </c>
      <c r="I13" s="126">
        <f t="shared" si="5"/>
        <v>8.5</v>
      </c>
      <c r="J13" s="126">
        <f t="shared" si="7"/>
        <v>18.11</v>
      </c>
      <c r="K13" s="127">
        <f t="shared" si="6"/>
        <v>8.61</v>
      </c>
      <c r="L13" s="128" t="str" cm="1">
        <f t="array" aca="1" ref="L13" ca="1">CELL("adresse",C13)</f>
        <v>$C$13</v>
      </c>
    </row>
    <row r="14" spans="2:15" s="129" customFormat="1" x14ac:dyDescent="0.35">
      <c r="B14" s="121" t="s">
        <v>95</v>
      </c>
      <c r="C14" s="493" t="s">
        <v>119</v>
      </c>
      <c r="D14" s="123" t="s">
        <v>106</v>
      </c>
      <c r="E14" s="123" t="s">
        <v>101</v>
      </c>
      <c r="F14" s="123"/>
      <c r="G14" s="124">
        <v>60</v>
      </c>
      <c r="H14" s="125" t="s">
        <v>24</v>
      </c>
      <c r="I14" s="126">
        <f t="shared" si="5"/>
        <v>9</v>
      </c>
      <c r="J14" s="126">
        <f t="shared" si="7"/>
        <v>16.86</v>
      </c>
      <c r="K14" s="127">
        <f t="shared" si="6"/>
        <v>6.8599999999999994</v>
      </c>
      <c r="L14" s="128" t="str" cm="1">
        <f t="array" aca="1" ref="L14" ca="1">CELL("adresse",C14)</f>
        <v>$C$14</v>
      </c>
    </row>
    <row r="15" spans="2:15" s="129" customFormat="1" x14ac:dyDescent="0.35">
      <c r="B15" s="121" t="s">
        <v>95</v>
      </c>
      <c r="C15" s="493" t="s">
        <v>120</v>
      </c>
      <c r="D15" s="123" t="s">
        <v>113</v>
      </c>
      <c r="E15" s="123" t="s">
        <v>114</v>
      </c>
      <c r="F15" s="123"/>
      <c r="G15" s="124">
        <v>60</v>
      </c>
      <c r="H15" s="125" t="s">
        <v>24</v>
      </c>
      <c r="I15" s="126">
        <f>HOUR(D15)+ROUNDDOWN(MINUTE(D15)/60,2)</f>
        <v>9.5</v>
      </c>
      <c r="J15" s="126">
        <f>HOUR(E15)+ROUNDDOWN(MINUTE(E15)/60,2)</f>
        <v>17.86</v>
      </c>
      <c r="K15" s="127">
        <f>J15-I15-(G15/60)</f>
        <v>7.3599999999999994</v>
      </c>
      <c r="L15" s="128" t="str" cm="1">
        <f t="array" aca="1" ref="L15" ca="1">CELL("adresse",C15)</f>
        <v>$C$15</v>
      </c>
    </row>
    <row r="16" spans="2:15" s="129" customFormat="1" x14ac:dyDescent="0.35">
      <c r="B16" s="121" t="s">
        <v>95</v>
      </c>
      <c r="C16" s="494" t="s">
        <v>121</v>
      </c>
      <c r="D16" s="123" t="s">
        <v>100</v>
      </c>
      <c r="E16" s="123" t="s">
        <v>101</v>
      </c>
      <c r="F16" s="123"/>
      <c r="G16" s="124">
        <v>60</v>
      </c>
      <c r="H16" s="125" t="s">
        <v>24</v>
      </c>
      <c r="I16" s="126">
        <f t="shared" si="5"/>
        <v>8.5</v>
      </c>
      <c r="J16" s="126">
        <f t="shared" si="7"/>
        <v>16.86</v>
      </c>
      <c r="K16" s="127">
        <f t="shared" si="6"/>
        <v>7.3599999999999994</v>
      </c>
      <c r="L16" s="128" t="str" cm="1">
        <f t="array" aca="1" ref="L16" ca="1">CELL("adresse",C16)</f>
        <v>$C$16</v>
      </c>
    </row>
    <row r="17" spans="2:15" s="129" customFormat="1" x14ac:dyDescent="0.35">
      <c r="B17" s="121" t="s">
        <v>95</v>
      </c>
      <c r="C17" s="494" t="s">
        <v>122</v>
      </c>
      <c r="D17" s="123" t="s">
        <v>106</v>
      </c>
      <c r="E17" s="123" t="s">
        <v>107</v>
      </c>
      <c r="F17" s="123"/>
      <c r="G17" s="124">
        <v>60</v>
      </c>
      <c r="H17" s="125" t="s">
        <v>24</v>
      </c>
      <c r="I17" s="126">
        <f t="shared" si="5"/>
        <v>9</v>
      </c>
      <c r="J17" s="126">
        <f t="shared" si="7"/>
        <v>17.36</v>
      </c>
      <c r="K17" s="127">
        <f t="shared" si="6"/>
        <v>7.3599999999999994</v>
      </c>
      <c r="L17" s="128" t="str" cm="1">
        <f t="array" aca="1" ref="L17" ca="1">CELL("adresse",C17)</f>
        <v>$C$17</v>
      </c>
      <c r="O17" s="134"/>
    </row>
    <row r="18" spans="2:15" s="129" customFormat="1" x14ac:dyDescent="0.35">
      <c r="B18" s="121" t="s">
        <v>95</v>
      </c>
      <c r="C18" s="495" t="s">
        <v>123</v>
      </c>
      <c r="D18" s="123" t="s">
        <v>106</v>
      </c>
      <c r="E18" s="123" t="s">
        <v>107</v>
      </c>
      <c r="F18" s="123"/>
      <c r="G18" s="124">
        <v>60</v>
      </c>
      <c r="H18" s="125" t="s">
        <v>124</v>
      </c>
      <c r="I18" s="126">
        <f t="shared" si="5"/>
        <v>9</v>
      </c>
      <c r="J18" s="126">
        <f t="shared" si="7"/>
        <v>17.36</v>
      </c>
      <c r="K18" s="127">
        <f t="shared" si="6"/>
        <v>7.3599999999999994</v>
      </c>
      <c r="L18" s="128" t="str" cm="1">
        <f t="array" aca="1" ref="L18" ca="1">CELL("adresse",C18)</f>
        <v>$C$18</v>
      </c>
      <c r="O18" s="134"/>
    </row>
    <row r="19" spans="2:15" s="129" customFormat="1" x14ac:dyDescent="0.35">
      <c r="B19" s="121" t="s">
        <v>125</v>
      </c>
      <c r="C19" s="98" t="s">
        <v>19</v>
      </c>
      <c r="D19" s="123"/>
      <c r="E19" s="123"/>
      <c r="F19" s="123"/>
      <c r="G19" s="124"/>
      <c r="H19" s="125"/>
      <c r="I19" s="126">
        <f t="shared" si="5"/>
        <v>0</v>
      </c>
      <c r="J19" s="126">
        <f t="shared" si="7"/>
        <v>0</v>
      </c>
      <c r="K19" s="127">
        <f t="shared" si="6"/>
        <v>0</v>
      </c>
      <c r="L19" s="128" t="str" cm="1">
        <f t="array" aca="1" ref="L19" ca="1">CELL("adresse",C19)</f>
        <v>$C$19</v>
      </c>
      <c r="O19" s="134"/>
    </row>
    <row r="20" spans="2:15" x14ac:dyDescent="0.35">
      <c r="B20" s="461" t="s">
        <v>16</v>
      </c>
      <c r="C20" s="462" t="s">
        <v>16</v>
      </c>
      <c r="D20" s="463"/>
      <c r="E20" s="463"/>
      <c r="F20" s="464"/>
      <c r="G20" s="465"/>
      <c r="H20" s="465"/>
      <c r="I20" s="465"/>
      <c r="J20" s="465"/>
      <c r="K20" s="465"/>
      <c r="L20" s="465"/>
    </row>
    <row r="21" spans="2:15" x14ac:dyDescent="0.35">
      <c r="B21" s="115"/>
      <c r="C21" s="115"/>
      <c r="D21" s="116"/>
      <c r="E21" s="116"/>
      <c r="F21" s="116"/>
      <c r="G21" s="116"/>
      <c r="H21" s="115"/>
      <c r="I21" s="116"/>
      <c r="J21" s="116"/>
      <c r="K21" s="116"/>
      <c r="L21" s="115"/>
    </row>
    <row r="22" spans="2:15" ht="18.5" x14ac:dyDescent="0.45">
      <c r="B22" s="523" t="s">
        <v>126</v>
      </c>
      <c r="C22" s="523"/>
      <c r="D22" s="523"/>
      <c r="E22" s="523"/>
      <c r="F22" s="523"/>
      <c r="G22" s="523"/>
      <c r="H22" s="523"/>
      <c r="I22" s="523"/>
      <c r="J22" s="523"/>
      <c r="K22" s="523"/>
      <c r="L22" s="523"/>
    </row>
    <row r="23" spans="2:15" x14ac:dyDescent="0.35">
      <c r="B23" s="115"/>
      <c r="C23" s="115"/>
      <c r="D23" s="116"/>
      <c r="E23" s="116"/>
      <c r="F23" s="116"/>
      <c r="G23" s="116"/>
      <c r="H23" s="115"/>
      <c r="I23" s="116"/>
      <c r="J23" s="116"/>
      <c r="K23" s="116"/>
      <c r="L23" s="115"/>
    </row>
    <row r="24" spans="2:15" x14ac:dyDescent="0.35">
      <c r="B24" s="115"/>
      <c r="C24" s="115"/>
      <c r="D24" s="116"/>
      <c r="E24" s="116"/>
      <c r="F24" s="116"/>
      <c r="G24" s="116"/>
      <c r="H24" s="115"/>
      <c r="I24" s="116"/>
      <c r="J24" s="116"/>
      <c r="K24" s="116"/>
      <c r="L24" s="115"/>
    </row>
    <row r="25" spans="2:15" x14ac:dyDescent="0.35">
      <c r="B25" s="115"/>
      <c r="C25" s="115"/>
      <c r="D25" s="116"/>
      <c r="E25" s="116"/>
      <c r="F25" s="116"/>
      <c r="G25" s="116"/>
      <c r="H25" s="115"/>
      <c r="I25" s="116"/>
      <c r="J25" s="116"/>
      <c r="K25" s="116"/>
      <c r="L25" s="115"/>
    </row>
    <row r="26" spans="2:15" x14ac:dyDescent="0.35">
      <c r="B26" s="115"/>
      <c r="C26" s="117"/>
      <c r="D26" s="116"/>
      <c r="E26" s="116"/>
      <c r="F26" s="116"/>
      <c r="G26" s="116"/>
      <c r="H26" s="115"/>
      <c r="I26" s="116"/>
      <c r="J26" s="116"/>
      <c r="K26" s="116"/>
      <c r="L26" s="115"/>
    </row>
    <row r="27" spans="2:15" x14ac:dyDescent="0.35">
      <c r="B27" s="115"/>
      <c r="C27" s="115"/>
      <c r="D27" s="116"/>
      <c r="E27" s="116"/>
      <c r="F27" s="116"/>
      <c r="G27" s="116"/>
      <c r="H27" s="115"/>
      <c r="I27" s="116"/>
      <c r="J27" s="116"/>
      <c r="K27" s="116"/>
      <c r="L27" s="115"/>
    </row>
    <row r="28" spans="2:15" x14ac:dyDescent="0.35">
      <c r="B28" s="115"/>
      <c r="C28" s="115"/>
      <c r="D28" s="116"/>
      <c r="E28" s="116"/>
      <c r="F28" s="116"/>
      <c r="G28" s="116"/>
      <c r="H28" s="115"/>
      <c r="I28" s="116"/>
      <c r="J28" s="116"/>
      <c r="K28" s="116"/>
      <c r="L28" s="115"/>
    </row>
    <row r="29" spans="2:15" x14ac:dyDescent="0.35">
      <c r="B29" s="115"/>
      <c r="C29" s="115"/>
      <c r="D29" s="116"/>
      <c r="E29" s="116"/>
      <c r="F29" s="116"/>
      <c r="G29" s="116"/>
      <c r="H29" s="115"/>
      <c r="I29" s="116"/>
      <c r="J29" s="116"/>
      <c r="K29" s="116"/>
      <c r="L29" s="115"/>
    </row>
    <row r="30" spans="2:15" x14ac:dyDescent="0.35">
      <c r="B30" s="115"/>
      <c r="C30" s="115"/>
      <c r="D30" s="116"/>
      <c r="E30" s="116"/>
      <c r="F30" s="116"/>
      <c r="G30" s="116"/>
      <c r="H30" s="115"/>
      <c r="I30" s="116"/>
      <c r="J30" s="116"/>
      <c r="K30" s="116"/>
      <c r="L30" s="115"/>
    </row>
    <row r="31" spans="2:15" x14ac:dyDescent="0.35">
      <c r="B31" s="115"/>
      <c r="C31" s="118"/>
      <c r="D31" s="116"/>
      <c r="E31" s="119"/>
      <c r="F31" s="119"/>
      <c r="G31" s="116"/>
      <c r="H31" s="115"/>
      <c r="I31" s="116"/>
      <c r="J31" s="116"/>
      <c r="K31" s="116"/>
      <c r="L31" s="115"/>
    </row>
    <row r="32" spans="2:15" x14ac:dyDescent="0.35">
      <c r="B32" s="115"/>
      <c r="C32" s="115"/>
      <c r="D32" s="116"/>
      <c r="E32" s="116"/>
      <c r="F32" s="116"/>
      <c r="G32" s="116"/>
      <c r="H32" s="115"/>
      <c r="I32" s="116"/>
      <c r="J32" s="116"/>
      <c r="K32" s="116"/>
      <c r="L32" s="115"/>
    </row>
    <row r="33" spans="2:12" x14ac:dyDescent="0.35">
      <c r="B33" s="115"/>
      <c r="C33" s="115"/>
      <c r="D33" s="116"/>
      <c r="E33" s="116"/>
      <c r="F33" s="116"/>
      <c r="G33" s="116"/>
      <c r="H33" s="115"/>
      <c r="I33" s="116"/>
      <c r="J33" s="116"/>
      <c r="K33" s="116"/>
      <c r="L33" s="115"/>
    </row>
    <row r="34" spans="2:12" x14ac:dyDescent="0.35">
      <c r="B34" s="115"/>
      <c r="C34" s="115"/>
      <c r="D34" s="116"/>
      <c r="E34" s="116"/>
      <c r="F34" s="116"/>
      <c r="G34" s="116"/>
      <c r="H34" s="115"/>
      <c r="I34" s="116"/>
      <c r="J34" s="116"/>
      <c r="K34" s="116"/>
      <c r="L34" s="115"/>
    </row>
    <row r="35" spans="2:12" x14ac:dyDescent="0.35">
      <c r="B35" s="115"/>
      <c r="C35" s="115"/>
      <c r="D35" s="116"/>
      <c r="E35" s="116"/>
      <c r="F35" s="116"/>
      <c r="G35" s="116"/>
      <c r="H35" s="115"/>
      <c r="I35" s="116"/>
      <c r="J35" s="116"/>
      <c r="K35" s="116"/>
      <c r="L35" s="115"/>
    </row>
    <row r="36" spans="2:12" x14ac:dyDescent="0.35">
      <c r="B36" s="115"/>
      <c r="C36" s="115"/>
      <c r="D36" s="116"/>
      <c r="E36" s="116"/>
      <c r="F36" s="116"/>
      <c r="G36" s="116"/>
      <c r="H36" s="115"/>
      <c r="I36" s="116"/>
      <c r="J36" s="116"/>
      <c r="K36" s="116"/>
      <c r="L36" s="115"/>
    </row>
  </sheetData>
  <sheetProtection sheet="1" formatCells="0" formatRows="0" insertRows="0" deleteRows="0" autoFilter="0" pivotTables="0"/>
  <mergeCells count="1">
    <mergeCell ref="B22:L22"/>
  </mergeCells>
  <pageMargins left="0.7" right="0.7" top="0.75" bottom="0.75" header="0.3" footer="0.3"/>
  <pageSetup paperSize="9" orientation="portrait" r:id="rId1"/>
  <headerFooter>
    <oddFooter>&amp;L&amp;1#&amp;"Tahoma"&amp;9&amp;KCF022BC2 – Usage restreint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C7E36-EA5C-4E14-A03E-24029C4E097B}">
  <sheetPr codeName="Feuil2">
    <tabColor theme="7" tint="0.39997558519241921"/>
  </sheetPr>
  <dimension ref="A1:M30"/>
  <sheetViews>
    <sheetView workbookViewId="0">
      <selection activeCell="B8" sqref="B8"/>
    </sheetView>
  </sheetViews>
  <sheetFormatPr baseColWidth="10" defaultColWidth="11.453125" defaultRowHeight="14.5" outlineLevelCol="1" x14ac:dyDescent="0.35"/>
  <cols>
    <col min="1" max="1" width="4.08984375" customWidth="1"/>
    <col min="2" max="2" width="7" bestFit="1" customWidth="1"/>
    <col min="3" max="3" width="51.90625" bestFit="1" customWidth="1"/>
    <col min="4" max="4" width="10.08984375" customWidth="1"/>
    <col min="5" max="5" width="4.54296875" customWidth="1"/>
    <col min="6" max="6" width="5.36328125" hidden="1" customWidth="1" outlineLevel="1"/>
    <col min="7" max="7" width="11.453125" hidden="1" customWidth="1" outlineLevel="1"/>
    <col min="8" max="8" width="27.6328125" hidden="1" customWidth="1" outlineLevel="1"/>
    <col min="9" max="9" width="4.54296875" hidden="1" customWidth="1" outlineLevel="1"/>
    <col min="10" max="10" width="5.36328125" hidden="1" customWidth="1" outlineLevel="1"/>
    <col min="11" max="11" width="11.453125" hidden="1" customWidth="1" outlineLevel="1"/>
    <col min="12" max="12" width="29.36328125" hidden="1" customWidth="1" outlineLevel="1"/>
    <col min="13" max="13" width="11.453125" collapsed="1"/>
  </cols>
  <sheetData>
    <row r="1" spans="1:12" x14ac:dyDescent="0.35">
      <c r="A1" s="524" t="s">
        <v>127</v>
      </c>
      <c r="B1" s="524"/>
      <c r="C1" s="524"/>
      <c r="D1" s="481"/>
      <c r="F1" s="524" t="s">
        <v>128</v>
      </c>
      <c r="G1" s="524"/>
      <c r="H1" s="524"/>
      <c r="J1" s="524" t="s">
        <v>129</v>
      </c>
      <c r="K1" s="524"/>
      <c r="L1" s="524"/>
    </row>
    <row r="2" spans="1:12" ht="15" thickBot="1" x14ac:dyDescent="0.4">
      <c r="A2" t="s">
        <v>57</v>
      </c>
      <c r="B2" t="s">
        <v>130</v>
      </c>
      <c r="C2" t="s">
        <v>131</v>
      </c>
      <c r="D2" s="135" t="s">
        <v>89</v>
      </c>
    </row>
    <row r="3" spans="1:12" x14ac:dyDescent="0.35">
      <c r="A3" s="136">
        <f t="shared" ref="A3" si="0">IF(ISERROR(VLOOKUP(B3,L.ABSP,1,0)),IF(ISERROR(VLOOKUP(B3,L.ABS.NP,1,0)),"",0),1)</f>
        <v>0</v>
      </c>
      <c r="B3" s="137" t="s">
        <v>31</v>
      </c>
      <c r="C3" s="138" t="s">
        <v>132</v>
      </c>
      <c r="D3" s="139" t="str" cm="1">
        <f t="array" aca="1" ref="D3" ca="1">CELL("adresse",B3)</f>
        <v>$B$3</v>
      </c>
      <c r="F3" s="140">
        <v>1</v>
      </c>
      <c r="G3" s="496" t="s">
        <v>36</v>
      </c>
      <c r="H3" s="141" t="s">
        <v>133</v>
      </c>
      <c r="J3" s="140">
        <v>0</v>
      </c>
      <c r="K3" s="142" t="s">
        <v>31</v>
      </c>
      <c r="L3" s="141" t="s">
        <v>132</v>
      </c>
    </row>
    <row r="4" spans="1:12" x14ac:dyDescent="0.35">
      <c r="A4" s="140">
        <f t="shared" ref="A4" si="1">IF(ISERROR(VLOOKUP(B4,L.ABSP,1,0)),IF(ISERROR(VLOOKUP(B4,L.ABS.NP,1,0)),"",0),1)</f>
        <v>0</v>
      </c>
      <c r="B4" s="497" t="s">
        <v>134</v>
      </c>
      <c r="C4" s="143" t="s">
        <v>135</v>
      </c>
      <c r="D4" s="139" t="str" cm="1">
        <f t="array" aca="1" ref="D4" ca="1">CELL("adresse",B4)</f>
        <v>$B$4</v>
      </c>
      <c r="F4" s="140">
        <v>1</v>
      </c>
      <c r="G4" s="142" t="s">
        <v>136</v>
      </c>
      <c r="H4" s="143" t="s">
        <v>137</v>
      </c>
      <c r="J4" s="140">
        <v>0</v>
      </c>
      <c r="K4" s="142" t="s">
        <v>134</v>
      </c>
      <c r="L4" s="143" t="s">
        <v>135</v>
      </c>
    </row>
    <row r="5" spans="1:12" x14ac:dyDescent="0.35">
      <c r="A5" s="140">
        <f t="shared" ref="A5" si="2">IF(ISERROR(VLOOKUP(B5,L.ABSP,1,0)),IF(ISERROR(VLOOKUP(B5,L.ABS.NP,1,0)),"",0),1)</f>
        <v>0</v>
      </c>
      <c r="B5" s="496" t="s">
        <v>35</v>
      </c>
      <c r="C5" s="143" t="s">
        <v>138</v>
      </c>
      <c r="D5" s="139" t="str" cm="1">
        <f t="array" aca="1" ref="D5" ca="1">CELL("adresse",B5)</f>
        <v>$B$5</v>
      </c>
      <c r="F5" s="140">
        <v>1</v>
      </c>
      <c r="G5" s="497" t="s">
        <v>139</v>
      </c>
      <c r="H5" s="143" t="s">
        <v>140</v>
      </c>
      <c r="J5" s="140">
        <v>0</v>
      </c>
      <c r="K5" s="496" t="s">
        <v>35</v>
      </c>
      <c r="L5" s="143" t="s">
        <v>138</v>
      </c>
    </row>
    <row r="6" spans="1:12" x14ac:dyDescent="0.35">
      <c r="A6" s="140">
        <f t="shared" ref="A6" si="3">IF(ISERROR(VLOOKUP(B6,L.ABSP,1,0)),IF(ISERROR(VLOOKUP(B6,L.ABS.NP,1,0)),"",0),1)</f>
        <v>0</v>
      </c>
      <c r="B6" s="497" t="s">
        <v>141</v>
      </c>
      <c r="C6" s="143" t="s">
        <v>142</v>
      </c>
      <c r="D6" s="139" t="str" cm="1">
        <f t="array" aca="1" ref="D6" ca="1">CELL("adresse",B6)</f>
        <v>$B$6</v>
      </c>
      <c r="F6" s="140">
        <v>1</v>
      </c>
      <c r="G6" s="142" t="s">
        <v>22</v>
      </c>
      <c r="H6" s="143" t="s">
        <v>143</v>
      </c>
      <c r="J6" s="140">
        <v>0</v>
      </c>
      <c r="K6" s="142" t="s">
        <v>141</v>
      </c>
      <c r="L6" s="143" t="s">
        <v>142</v>
      </c>
    </row>
    <row r="7" spans="1:12" x14ac:dyDescent="0.35">
      <c r="A7" s="140">
        <v>1</v>
      </c>
      <c r="B7" s="497" t="s">
        <v>29</v>
      </c>
      <c r="C7" s="143" t="s">
        <v>144</v>
      </c>
      <c r="D7" s="139" t="str" cm="1">
        <f t="array" aca="1" ref="D7" ca="1">CELL("adresse",B7)</f>
        <v>$B$7</v>
      </c>
      <c r="F7" s="140">
        <v>1</v>
      </c>
      <c r="G7" s="142" t="s">
        <v>32</v>
      </c>
      <c r="H7" s="143" t="s">
        <v>145</v>
      </c>
      <c r="J7" s="140">
        <v>0</v>
      </c>
      <c r="K7" s="142" t="s">
        <v>148</v>
      </c>
      <c r="L7" s="143" t="s">
        <v>149</v>
      </c>
    </row>
    <row r="8" spans="1:12" x14ac:dyDescent="0.35">
      <c r="A8" s="140">
        <f t="shared" ref="A8" si="4">IF(ISERROR(VLOOKUP(B8,L.ABSP,1,0)),IF(ISERROR(VLOOKUP(B8,L.ABS.NP,1,0)),"",0),1)</f>
        <v>1</v>
      </c>
      <c r="B8" s="496" t="s">
        <v>36</v>
      </c>
      <c r="C8" s="143" t="s">
        <v>133</v>
      </c>
      <c r="D8" s="139" t="str" cm="1">
        <f t="array" aca="1" ref="D8" ca="1">CELL("adresse",B8)</f>
        <v>$B$8</v>
      </c>
      <c r="F8" s="140">
        <v>1</v>
      </c>
      <c r="G8" s="142" t="s">
        <v>146</v>
      </c>
      <c r="H8" s="143" t="s">
        <v>147</v>
      </c>
      <c r="J8" s="140">
        <v>0</v>
      </c>
      <c r="K8" s="142" t="s">
        <v>153</v>
      </c>
      <c r="L8" s="143" t="s">
        <v>154</v>
      </c>
    </row>
    <row r="9" spans="1:12" x14ac:dyDescent="0.35">
      <c r="A9" s="140">
        <f t="shared" ref="A9" si="5">IF(ISERROR(VLOOKUP(B9,L.ABSP,1,0)),IF(ISERROR(VLOOKUP(B9,L.ABS.NP,1,0)),"",0),1)</f>
        <v>1</v>
      </c>
      <c r="B9" s="144" t="s">
        <v>150</v>
      </c>
      <c r="C9" s="145" t="s">
        <v>476</v>
      </c>
      <c r="D9" s="139" t="str" cm="1">
        <f t="array" aca="1" ref="D9" ca="1">CELL("adresse",B9)</f>
        <v>$B$9</v>
      </c>
      <c r="F9" s="140">
        <v>1</v>
      </c>
      <c r="G9" s="142" t="s">
        <v>151</v>
      </c>
      <c r="H9" s="143" t="s">
        <v>152</v>
      </c>
      <c r="J9" s="140">
        <v>0</v>
      </c>
      <c r="K9" s="142" t="s">
        <v>10</v>
      </c>
      <c r="L9" s="143" t="s">
        <v>156</v>
      </c>
    </row>
    <row r="10" spans="1:12" x14ac:dyDescent="0.35">
      <c r="A10" s="140">
        <f t="shared" ref="A10" si="6">IF(ISERROR(VLOOKUP(B10,L.ABSP,1,0)),IF(ISERROR(VLOOKUP(B10,L.ABS.NP,1,0)),"",0),1)</f>
        <v>0</v>
      </c>
      <c r="B10" s="497" t="s">
        <v>148</v>
      </c>
      <c r="C10" s="143" t="s">
        <v>149</v>
      </c>
      <c r="D10" s="139" t="str" cm="1">
        <f t="array" aca="1" ref="D10" ca="1">CELL("adresse",B10)</f>
        <v>$B$10</v>
      </c>
      <c r="F10" s="140">
        <v>1</v>
      </c>
      <c r="G10" s="142" t="s">
        <v>27</v>
      </c>
      <c r="H10" s="143" t="s">
        <v>155</v>
      </c>
      <c r="J10" s="140">
        <v>0</v>
      </c>
      <c r="K10" s="142" t="s">
        <v>25</v>
      </c>
      <c r="L10" s="143" t="s">
        <v>159</v>
      </c>
    </row>
    <row r="11" spans="1:12" x14ac:dyDescent="0.35">
      <c r="A11" s="140">
        <f t="shared" ref="A11" si="7">IF(ISERROR(VLOOKUP(B11,L.ABSP,1,0)),IF(ISERROR(VLOOKUP(B11,L.ABS.NP,1,0)),"",0),1)</f>
        <v>1</v>
      </c>
      <c r="B11" s="142" t="s">
        <v>136</v>
      </c>
      <c r="C11" s="143" t="s">
        <v>137</v>
      </c>
      <c r="D11" s="139" t="str" cm="1">
        <f t="array" aca="1" ref="D11" ca="1">CELL("adresse",B11)</f>
        <v>$B$11</v>
      </c>
      <c r="F11" s="140">
        <v>1</v>
      </c>
      <c r="G11" s="142" t="s">
        <v>157</v>
      </c>
      <c r="H11" s="143" t="s">
        <v>158</v>
      </c>
      <c r="J11" s="140">
        <v>0</v>
      </c>
      <c r="K11" s="142" t="s">
        <v>28</v>
      </c>
      <c r="L11" s="143" t="s">
        <v>162</v>
      </c>
    </row>
    <row r="12" spans="1:12" x14ac:dyDescent="0.35">
      <c r="A12" s="140">
        <f t="shared" ref="A12" si="8">IF(ISERROR(VLOOKUP(B12,L.ABSP,1,0)),IF(ISERROR(VLOOKUP(B12,L.ABS.NP,1,0)),"",0),1)</f>
        <v>1</v>
      </c>
      <c r="B12" s="497" t="s">
        <v>139</v>
      </c>
      <c r="C12" s="143" t="s">
        <v>140</v>
      </c>
      <c r="D12" s="139" t="str" cm="1">
        <f t="array" aca="1" ref="D12" ca="1">CELL("adresse",B12)</f>
        <v>$B$12</v>
      </c>
      <c r="F12" s="140">
        <v>1</v>
      </c>
      <c r="G12" s="142" t="s">
        <v>160</v>
      </c>
      <c r="H12" s="143" t="s">
        <v>161</v>
      </c>
      <c r="J12" s="140">
        <v>0</v>
      </c>
      <c r="K12" s="497" t="s">
        <v>164</v>
      </c>
      <c r="L12" s="143" t="s">
        <v>165</v>
      </c>
    </row>
    <row r="13" spans="1:12" x14ac:dyDescent="0.35">
      <c r="A13" s="140">
        <f t="shared" ref="A13" si="9">IF(ISERROR(VLOOKUP(B13,L.ABSP,1,0)),IF(ISERROR(VLOOKUP(B13,L.ABS.NP,1,0)),"",0),1)</f>
        <v>1</v>
      </c>
      <c r="B13" s="142" t="s">
        <v>22</v>
      </c>
      <c r="C13" s="143" t="s">
        <v>143</v>
      </c>
      <c r="D13" s="139" t="str" cm="1">
        <f t="array" aca="1" ref="D13" ca="1">CELL("adresse",B13)</f>
        <v>$B$13</v>
      </c>
      <c r="F13" s="140">
        <v>1</v>
      </c>
      <c r="G13" s="497" t="s">
        <v>20</v>
      </c>
      <c r="H13" s="143" t="s">
        <v>163</v>
      </c>
      <c r="J13" s="146"/>
      <c r="K13" s="147"/>
      <c r="L13" s="143"/>
    </row>
    <row r="14" spans="1:12" x14ac:dyDescent="0.35">
      <c r="A14" s="140">
        <f t="shared" ref="A14" si="10">IF(ISERROR(VLOOKUP(B14,L.ABSP,1,0)),IF(ISERROR(VLOOKUP(B14,L.ABS.NP,1,0)),"",0),1)</f>
        <v>1</v>
      </c>
      <c r="B14" s="142" t="s">
        <v>32</v>
      </c>
      <c r="C14" s="143" t="s">
        <v>145</v>
      </c>
      <c r="D14" s="139" t="str" cm="1">
        <f t="array" aca="1" ref="D14" ca="1">CELL("adresse",B14)</f>
        <v>$B$14</v>
      </c>
      <c r="F14" s="140">
        <v>1</v>
      </c>
      <c r="G14" s="497" t="s">
        <v>166</v>
      </c>
      <c r="H14" s="143" t="s">
        <v>167</v>
      </c>
      <c r="J14" s="146"/>
      <c r="K14" s="147"/>
      <c r="L14" s="143"/>
    </row>
    <row r="15" spans="1:12" x14ac:dyDescent="0.35">
      <c r="A15" s="140">
        <f t="shared" ref="A15" si="11">IF(ISERROR(VLOOKUP(B15,L.ABSP,1,0)),IF(ISERROR(VLOOKUP(B15,L.ABS.NP,1,0)),"",0),1)</f>
        <v>1</v>
      </c>
      <c r="B15" s="142" t="s">
        <v>146</v>
      </c>
      <c r="C15" s="143" t="s">
        <v>147</v>
      </c>
      <c r="D15" s="139" t="str" cm="1">
        <f t="array" aca="1" ref="D15" ca="1">CELL("adresse",B15)</f>
        <v>$B$15</v>
      </c>
      <c r="F15" s="140">
        <v>1</v>
      </c>
      <c r="G15" s="142" t="s">
        <v>168</v>
      </c>
      <c r="H15" s="148" t="s">
        <v>169</v>
      </c>
      <c r="J15" s="146"/>
      <c r="K15" s="147"/>
      <c r="L15" s="143"/>
    </row>
    <row r="16" spans="1:12" x14ac:dyDescent="0.35">
      <c r="A16" s="140">
        <f t="shared" ref="A16" si="12">IF(ISERROR(VLOOKUP(B16,L.ABSP,1,0)),IF(ISERROR(VLOOKUP(B16,L.ABS.NP,1,0)),"",0),1)</f>
        <v>1</v>
      </c>
      <c r="B16" s="142" t="s">
        <v>151</v>
      </c>
      <c r="C16" s="143" t="s">
        <v>152</v>
      </c>
      <c r="D16" s="139" t="str" cm="1">
        <f t="array" aca="1" ref="D16" ca="1">CELL("adresse",B16)</f>
        <v>$B$16</v>
      </c>
      <c r="F16" s="140">
        <v>1</v>
      </c>
      <c r="G16" s="142" t="s">
        <v>30</v>
      </c>
      <c r="H16" s="143" t="s">
        <v>170</v>
      </c>
      <c r="J16" s="146"/>
      <c r="K16" s="147"/>
      <c r="L16" s="143"/>
    </row>
    <row r="17" spans="1:12" x14ac:dyDescent="0.35">
      <c r="A17" s="140">
        <f t="shared" ref="A17" si="13">IF(ISERROR(VLOOKUP(B17,L.ABSP,1,0)),IF(ISERROR(VLOOKUP(B17,L.ABS.NP,1,0)),"",0),1)</f>
        <v>0</v>
      </c>
      <c r="B17" s="142" t="s">
        <v>153</v>
      </c>
      <c r="C17" s="143" t="s">
        <v>154</v>
      </c>
      <c r="D17" s="139" t="str" cm="1">
        <f t="array" aca="1" ref="D17" ca="1">CELL("adresse",B17)</f>
        <v>$B$17</v>
      </c>
      <c r="F17" s="140">
        <v>1</v>
      </c>
      <c r="G17" s="142" t="s">
        <v>21</v>
      </c>
      <c r="H17" s="143" t="s">
        <v>171</v>
      </c>
      <c r="J17" s="146"/>
      <c r="K17" s="147"/>
      <c r="L17" s="145"/>
    </row>
    <row r="18" spans="1:12" x14ac:dyDescent="0.35">
      <c r="A18" s="140">
        <f t="shared" ref="A18" si="14">IF(ISERROR(VLOOKUP(B18,L.ABSP,1,0)),IF(ISERROR(VLOOKUP(B18,L.ABS.NP,1,0)),"",0),1)</f>
        <v>0</v>
      </c>
      <c r="B18" s="142" t="s">
        <v>10</v>
      </c>
      <c r="C18" s="143" t="s">
        <v>156</v>
      </c>
      <c r="D18" s="139" t="str" cm="1">
        <f t="array" aca="1" ref="D18" ca="1">CELL("adresse",B18)</f>
        <v>$B$18</v>
      </c>
      <c r="F18" s="140">
        <v>1</v>
      </c>
      <c r="G18" s="149" t="s">
        <v>172</v>
      </c>
      <c r="H18" s="143" t="s">
        <v>173</v>
      </c>
      <c r="J18" s="146"/>
      <c r="K18" s="147"/>
      <c r="L18" s="145"/>
    </row>
    <row r="19" spans="1:12" x14ac:dyDescent="0.35">
      <c r="A19" s="140">
        <v>1</v>
      </c>
      <c r="B19" s="142" t="s">
        <v>172</v>
      </c>
      <c r="C19" s="143" t="s">
        <v>173</v>
      </c>
      <c r="D19" s="139" t="str" cm="1">
        <f t="array" aca="1" ref="D19" ca="1">CELL("adresse",B19)</f>
        <v>$B$19</v>
      </c>
      <c r="F19" s="140">
        <v>1</v>
      </c>
      <c r="G19" s="144" t="s">
        <v>150</v>
      </c>
      <c r="H19" s="145" t="s">
        <v>476</v>
      </c>
      <c r="J19" s="146"/>
      <c r="K19" s="147"/>
      <c r="L19" s="145"/>
    </row>
    <row r="20" spans="1:12" x14ac:dyDescent="0.35">
      <c r="A20" s="140">
        <f t="shared" ref="A20" si="15">IF(ISERROR(VLOOKUP(B20,L.ABSP,1,0)),IF(ISERROR(VLOOKUP(B20,L.ABS.NP,1,0)),"",0),1)</f>
        <v>1</v>
      </c>
      <c r="B20" s="142" t="s">
        <v>27</v>
      </c>
      <c r="C20" s="143" t="s">
        <v>155</v>
      </c>
      <c r="D20" s="139" t="str" cm="1">
        <f t="array" aca="1" ref="D20" ca="1">CELL("adresse",B20)</f>
        <v>$B$20</v>
      </c>
      <c r="F20" s="140">
        <v>1</v>
      </c>
      <c r="G20" s="142" t="s">
        <v>29</v>
      </c>
      <c r="H20" s="143" t="s">
        <v>144</v>
      </c>
      <c r="J20" s="146"/>
      <c r="K20" s="147"/>
      <c r="L20" s="145"/>
    </row>
    <row r="21" spans="1:12" x14ac:dyDescent="0.35">
      <c r="A21" s="140">
        <f t="shared" ref="A21" si="16">IF(ISERROR(VLOOKUP(B21,L.ABSP,1,0)),IF(ISERROR(VLOOKUP(B21,L.ABS.NP,1,0)),"",0),1)</f>
        <v>1</v>
      </c>
      <c r="B21" s="142" t="s">
        <v>157</v>
      </c>
      <c r="C21" s="143" t="s">
        <v>158</v>
      </c>
      <c r="D21" s="139" t="str" cm="1">
        <f t="array" aca="1" ref="D21" ca="1">CELL("adresse",B21)</f>
        <v>$B$21</v>
      </c>
      <c r="F21" s="146"/>
      <c r="G21" s="147"/>
      <c r="H21" s="145"/>
      <c r="J21" s="146"/>
      <c r="K21" s="147"/>
      <c r="L21" s="145"/>
    </row>
    <row r="22" spans="1:12" x14ac:dyDescent="0.35">
      <c r="A22" s="140">
        <f t="shared" ref="A22" si="17">IF(ISERROR(VLOOKUP(B22,L.ABSP,1,0)),IF(ISERROR(VLOOKUP(B22,L.ABS.NP,1,0)),"",0),1)</f>
        <v>1</v>
      </c>
      <c r="B22" s="142" t="s">
        <v>160</v>
      </c>
      <c r="C22" s="143" t="s">
        <v>161</v>
      </c>
      <c r="D22" s="139" t="str" cm="1">
        <f t="array" aca="1" ref="D22" ca="1">CELL("adresse",B22)</f>
        <v>$B$22</v>
      </c>
      <c r="F22" s="146"/>
      <c r="G22" s="147"/>
      <c r="H22" s="145"/>
      <c r="J22" s="146"/>
      <c r="K22" s="147"/>
      <c r="L22" s="145"/>
    </row>
    <row r="23" spans="1:12" x14ac:dyDescent="0.35">
      <c r="A23" s="140">
        <f t="shared" ref="A23" si="18">IF(ISERROR(VLOOKUP(B23,L.ABSP,1,0)),IF(ISERROR(VLOOKUP(B23,L.ABS.NP,1,0)),"",0),1)</f>
        <v>0</v>
      </c>
      <c r="B23" s="142" t="s">
        <v>25</v>
      </c>
      <c r="C23" s="143" t="s">
        <v>159</v>
      </c>
      <c r="D23" s="139" t="str" cm="1">
        <f t="array" aca="1" ref="D23" ca="1">CELL("adresse",B23)</f>
        <v>$B$23</v>
      </c>
      <c r="F23" s="146"/>
      <c r="G23" s="147"/>
      <c r="H23" s="145"/>
      <c r="J23" s="146"/>
      <c r="K23" s="147"/>
      <c r="L23" s="145"/>
    </row>
    <row r="24" spans="1:12" x14ac:dyDescent="0.35">
      <c r="A24" s="140">
        <f t="shared" ref="A24" si="19">IF(ISERROR(VLOOKUP(B24,L.ABSP,1,0)),IF(ISERROR(VLOOKUP(B24,L.ABS.NP,1,0)),"",0),1)</f>
        <v>1</v>
      </c>
      <c r="B24" s="497" t="s">
        <v>20</v>
      </c>
      <c r="C24" s="143" t="s">
        <v>163</v>
      </c>
      <c r="D24" s="139" t="str" cm="1">
        <f t="array" aca="1" ref="D24" ca="1">CELL("adresse",B24)</f>
        <v>$B$24</v>
      </c>
      <c r="F24" s="146"/>
      <c r="G24" s="147"/>
      <c r="H24" s="145"/>
      <c r="J24" s="146"/>
      <c r="K24" s="147"/>
      <c r="L24" s="145"/>
    </row>
    <row r="25" spans="1:12" x14ac:dyDescent="0.35">
      <c r="A25" s="140">
        <f t="shared" ref="A25" si="20">IF(ISERROR(VLOOKUP(B25,L.ABSP,1,0)),IF(ISERROR(VLOOKUP(B25,L.ABS.NP,1,0)),"",0),1)</f>
        <v>1</v>
      </c>
      <c r="B25" s="497" t="s">
        <v>166</v>
      </c>
      <c r="C25" s="143" t="s">
        <v>167</v>
      </c>
      <c r="D25" s="139" t="str" cm="1">
        <f t="array" aca="1" ref="D25" ca="1">CELL("adresse",B25)</f>
        <v>$B$25</v>
      </c>
      <c r="F25" s="146"/>
      <c r="G25" s="147"/>
      <c r="H25" s="145"/>
      <c r="J25" s="146"/>
      <c r="K25" s="147"/>
      <c r="L25" s="145"/>
    </row>
    <row r="26" spans="1:12" x14ac:dyDescent="0.35">
      <c r="A26" s="140">
        <f t="shared" ref="A26" si="21">IF(ISERROR(VLOOKUP(B26,L.ABSP,1,0)),IF(ISERROR(VLOOKUP(B26,L.ABS.NP,1,0)),"",0),1)</f>
        <v>1</v>
      </c>
      <c r="B26" s="142" t="s">
        <v>168</v>
      </c>
      <c r="C26" s="148" t="s">
        <v>169</v>
      </c>
      <c r="D26" s="139" t="str" cm="1">
        <f t="array" aca="1" ref="D26" ca="1">CELL("adresse",B26)</f>
        <v>$B$26</v>
      </c>
      <c r="F26" s="146"/>
      <c r="G26" s="147"/>
      <c r="H26" s="145"/>
      <c r="J26" s="146"/>
      <c r="K26" s="147"/>
      <c r="L26" s="145"/>
    </row>
    <row r="27" spans="1:12" x14ac:dyDescent="0.35">
      <c r="A27" s="140">
        <f t="shared" ref="A27" si="22">IF(ISERROR(VLOOKUP(B27,L.ABSP,1,0)),IF(ISERROR(VLOOKUP(B27,L.ABS.NP,1,0)),"",0),1)</f>
        <v>0</v>
      </c>
      <c r="B27" s="142" t="s">
        <v>28</v>
      </c>
      <c r="C27" s="150" t="s">
        <v>174</v>
      </c>
      <c r="D27" s="139" t="str" cm="1">
        <f t="array" aca="1" ref="D27" ca="1">CELL("adresse",B27)</f>
        <v>$B$27</v>
      </c>
      <c r="F27" s="146"/>
      <c r="G27" s="147"/>
      <c r="H27" s="145"/>
      <c r="J27" s="146"/>
      <c r="K27" s="147"/>
      <c r="L27" s="145"/>
    </row>
    <row r="28" spans="1:12" x14ac:dyDescent="0.35">
      <c r="A28" s="140">
        <f t="shared" ref="A28" si="23">IF(ISERROR(VLOOKUP(B28,L.ABSP,1,0)),IF(ISERROR(VLOOKUP(B28,L.ABS.NP,1,0)),"",0),1)</f>
        <v>1</v>
      </c>
      <c r="B28" s="142" t="s">
        <v>30</v>
      </c>
      <c r="C28" s="143" t="s">
        <v>170</v>
      </c>
      <c r="D28" s="139" t="str" cm="1">
        <f t="array" aca="1" ref="D28" ca="1">CELL("adresse",B28)</f>
        <v>$B$28</v>
      </c>
      <c r="F28" s="146"/>
      <c r="G28" s="147"/>
      <c r="H28" s="145"/>
      <c r="J28" s="146"/>
      <c r="K28" s="147"/>
      <c r="L28" s="145"/>
    </row>
    <row r="29" spans="1:12" x14ac:dyDescent="0.35">
      <c r="A29" s="140">
        <f t="shared" ref="A29" si="24">IF(ISERROR(VLOOKUP(B29,L.ABSP,1,0)),IF(ISERROR(VLOOKUP(B29,L.ABS.NP,1,0)),"",0),1)</f>
        <v>1</v>
      </c>
      <c r="B29" s="142" t="s">
        <v>21</v>
      </c>
      <c r="C29" s="143" t="s">
        <v>171</v>
      </c>
      <c r="D29" s="139" t="str" cm="1">
        <f t="array" aca="1" ref="D29" ca="1">CELL("adresse",B29)</f>
        <v>$B$29</v>
      </c>
      <c r="F29" s="146"/>
      <c r="G29" s="147"/>
      <c r="H29" s="145"/>
      <c r="J29" s="146"/>
      <c r="K29" s="147"/>
      <c r="L29" s="145"/>
    </row>
    <row r="30" spans="1:12" ht="15" thickBot="1" x14ac:dyDescent="0.4">
      <c r="A30" s="154">
        <f t="shared" ref="A30" si="25">IF(ISERROR(VLOOKUP(B30,L.ABSP,1,0)),IF(ISERROR(VLOOKUP(B30,L.ABS.NP,1,0)),"",0),1)</f>
        <v>0</v>
      </c>
      <c r="B30" s="155" t="s">
        <v>164</v>
      </c>
      <c r="C30" s="156" t="s">
        <v>165</v>
      </c>
      <c r="D30" s="139" t="str" cm="1">
        <f t="array" aca="1" ref="D30" ca="1">CELL("adresse",B30)</f>
        <v>$B$30</v>
      </c>
      <c r="F30" s="151"/>
      <c r="G30" s="152"/>
      <c r="H30" s="153"/>
      <c r="J30" s="151"/>
      <c r="K30" s="152"/>
      <c r="L30" s="153"/>
    </row>
  </sheetData>
  <sheetProtection algorithmName="SHA-512" hashValue="flTyDRDs5dh+MEtwnKbspGZMVtw2NHMPLqOV6cMQnbKMEPZgrZ6tWpYQc2i5zKCmuiljf0xfeeVTlyDFtZWjJA==" saltValue="iz6zHtGHnzwTv/+xszyqIA==" spinCount="100000" sheet="1" autoFilter="0" pivotTables="0"/>
  <autoFilter ref="A2:C30" xr:uid="{99FC7E36-EA5C-4E14-A03E-24029C4E097B}"/>
  <mergeCells count="3">
    <mergeCell ref="A1:C1"/>
    <mergeCell ref="F1:H1"/>
    <mergeCell ref="J1:L1"/>
  </mergeCells>
  <conditionalFormatting sqref="A3:A30 F3:F30 J3:J30">
    <cfRule type="colorScale" priority="1">
      <colorScale>
        <cfvo type="num" val="0"/>
        <cfvo type="num" val="1"/>
        <color theme="7" tint="0.79998168889431442"/>
        <color theme="8" tint="0.79998168889431442"/>
      </colorScale>
    </cfRule>
  </conditionalFormatting>
  <pageMargins left="0.7" right="0.7" top="0.75" bottom="0.75" header="0.3" footer="0.3"/>
  <pageSetup paperSize="9" orientation="portrait" r:id="rId1"/>
  <headerFooter>
    <oddFooter>&amp;L&amp;1#&amp;"Tahoma"&amp;9&amp;KCF022BC2 – Usage restreint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B18D6-CA5D-4BEA-8DAD-8D502592FAC2}">
  <sheetPr codeName="Feuil10">
    <tabColor rgb="FFFEFCB2"/>
  </sheetPr>
  <dimension ref="A1:AY36"/>
  <sheetViews>
    <sheetView workbookViewId="0">
      <selection activeCell="I21" sqref="I21"/>
    </sheetView>
  </sheetViews>
  <sheetFormatPr baseColWidth="10" defaultRowHeight="14.5" x14ac:dyDescent="0.35"/>
  <cols>
    <col min="1" max="1" width="2.6328125" customWidth="1"/>
    <col min="2" max="2" width="19.6328125" bestFit="1" customWidth="1"/>
    <col min="4" max="4" width="2.36328125" customWidth="1"/>
    <col min="8" max="8" width="1.54296875" customWidth="1"/>
    <col min="12" max="12" width="1.54296875" customWidth="1"/>
    <col min="16" max="16" width="1.54296875" customWidth="1"/>
    <col min="20" max="20" width="1.54296875" customWidth="1"/>
    <col min="24" max="24" width="1.54296875" customWidth="1"/>
    <col min="28" max="28" width="1.54296875" customWidth="1"/>
    <col min="32" max="32" width="1.54296875" customWidth="1"/>
    <col min="36" max="36" width="1.54296875" customWidth="1"/>
    <col min="40" max="40" width="1.54296875" customWidth="1"/>
    <col min="44" max="44" width="1.54296875" customWidth="1"/>
    <col min="48" max="48" width="1.54296875" customWidth="1"/>
  </cols>
  <sheetData>
    <row r="1" spans="1:51" x14ac:dyDescent="0.35">
      <c r="B1" t="s">
        <v>449</v>
      </c>
    </row>
    <row r="3" spans="1:51" s="120" customFormat="1" ht="18.5" x14ac:dyDescent="0.35">
      <c r="A3" s="167"/>
      <c r="B3" s="167" t="s">
        <v>63</v>
      </c>
      <c r="C3" s="167" t="s">
        <v>64</v>
      </c>
      <c r="D3" s="168"/>
      <c r="E3" s="368" t="s">
        <v>268</v>
      </c>
      <c r="F3" s="112" t="s">
        <v>66</v>
      </c>
      <c r="G3" s="112" t="s">
        <v>67</v>
      </c>
      <c r="H3" s="168"/>
      <c r="I3" s="368" t="s">
        <v>269</v>
      </c>
      <c r="J3" s="112" t="s">
        <v>66</v>
      </c>
      <c r="K3" s="112" t="s">
        <v>67</v>
      </c>
      <c r="L3" s="168"/>
      <c r="M3" s="368" t="s">
        <v>270</v>
      </c>
      <c r="N3" s="112" t="s">
        <v>66</v>
      </c>
      <c r="O3" s="112" t="s">
        <v>67</v>
      </c>
      <c r="P3" s="168"/>
      <c r="Q3" s="368" t="s">
        <v>271</v>
      </c>
      <c r="R3" s="112" t="s">
        <v>66</v>
      </c>
      <c r="S3" s="112" t="s">
        <v>67</v>
      </c>
      <c r="T3" s="168"/>
      <c r="U3" s="368" t="s">
        <v>272</v>
      </c>
      <c r="V3" s="112" t="s">
        <v>66</v>
      </c>
      <c r="W3" s="112" t="s">
        <v>67</v>
      </c>
      <c r="X3" s="168"/>
      <c r="Y3" s="368" t="s">
        <v>273</v>
      </c>
      <c r="Z3" s="112" t="s">
        <v>66</v>
      </c>
      <c r="AA3" s="112" t="s">
        <v>67</v>
      </c>
      <c r="AB3" s="168"/>
      <c r="AC3" s="368" t="s">
        <v>274</v>
      </c>
      <c r="AD3" s="112" t="s">
        <v>66</v>
      </c>
      <c r="AE3" s="112" t="s">
        <v>67</v>
      </c>
      <c r="AF3" s="168"/>
      <c r="AG3" s="368" t="s">
        <v>275</v>
      </c>
      <c r="AH3" s="112" t="s">
        <v>66</v>
      </c>
      <c r="AI3" s="112" t="s">
        <v>67</v>
      </c>
      <c r="AJ3" s="168"/>
      <c r="AK3" s="165" t="s">
        <v>65</v>
      </c>
      <c r="AL3" s="112" t="s">
        <v>66</v>
      </c>
      <c r="AM3" s="112" t="s">
        <v>67</v>
      </c>
      <c r="AN3" s="168"/>
      <c r="AO3" s="165" t="s">
        <v>68</v>
      </c>
      <c r="AP3" s="112" t="s">
        <v>66</v>
      </c>
      <c r="AQ3" s="112" t="s">
        <v>67</v>
      </c>
      <c r="AR3" s="168"/>
      <c r="AS3" s="165" t="s">
        <v>69</v>
      </c>
      <c r="AT3" s="112" t="s">
        <v>66</v>
      </c>
      <c r="AU3" s="112" t="s">
        <v>67</v>
      </c>
      <c r="AV3" s="168"/>
      <c r="AW3" s="165" t="s">
        <v>70</v>
      </c>
      <c r="AX3" s="112" t="s">
        <v>66</v>
      </c>
      <c r="AY3" s="112" t="s">
        <v>67</v>
      </c>
    </row>
    <row r="4" spans="1:51" x14ac:dyDescent="0.35">
      <c r="A4" s="52"/>
      <c r="B4" s="54"/>
      <c r="C4" s="96"/>
      <c r="D4" s="169"/>
      <c r="E4" s="157"/>
      <c r="F4" s="166"/>
      <c r="G4" s="369"/>
      <c r="H4" s="370"/>
      <c r="I4" s="157"/>
      <c r="J4" s="166"/>
      <c r="K4" s="369"/>
      <c r="L4" s="370"/>
      <c r="M4" s="157"/>
      <c r="N4" s="166"/>
      <c r="O4" s="369"/>
      <c r="P4" s="169"/>
      <c r="Q4" s="157"/>
      <c r="R4" s="166"/>
      <c r="S4" s="369"/>
      <c r="T4" s="370"/>
      <c r="U4" s="157"/>
      <c r="V4" s="166"/>
      <c r="W4" s="369"/>
      <c r="X4" s="370"/>
      <c r="Y4" s="157"/>
      <c r="Z4" s="166"/>
      <c r="AA4" s="369"/>
      <c r="AB4" s="370"/>
      <c r="AC4" s="157"/>
      <c r="AD4" s="166"/>
      <c r="AE4" s="369"/>
      <c r="AF4" s="370"/>
      <c r="AG4" s="157"/>
      <c r="AH4" s="166"/>
      <c r="AI4" s="369"/>
      <c r="AJ4" s="370"/>
      <c r="AK4" s="59"/>
      <c r="AL4" s="166"/>
      <c r="AM4" s="96"/>
      <c r="AN4" s="370"/>
      <c r="AO4" s="59"/>
      <c r="AP4" s="166"/>
      <c r="AQ4" s="369"/>
      <c r="AR4" s="370"/>
      <c r="AS4" s="59"/>
      <c r="AT4" s="166"/>
      <c r="AU4" s="369"/>
      <c r="AV4" s="370"/>
      <c r="AW4" s="59"/>
      <c r="AX4" s="166"/>
      <c r="AY4" s="369"/>
    </row>
    <row r="5" spans="1:51" x14ac:dyDescent="0.35">
      <c r="A5" s="52"/>
      <c r="B5" s="54"/>
      <c r="C5" s="96"/>
      <c r="D5" s="169"/>
      <c r="E5" s="157"/>
      <c r="F5" s="166"/>
      <c r="G5" s="369"/>
      <c r="H5" s="370"/>
      <c r="I5" s="157"/>
      <c r="J5" s="166"/>
      <c r="K5" s="369"/>
      <c r="L5" s="370"/>
      <c r="M5" s="157"/>
      <c r="N5" s="166"/>
      <c r="O5" s="369"/>
      <c r="P5" s="169"/>
      <c r="Q5" s="157"/>
      <c r="R5" s="166"/>
      <c r="S5" s="369"/>
      <c r="T5" s="370"/>
      <c r="U5" s="157"/>
      <c r="V5" s="166"/>
      <c r="W5" s="369"/>
      <c r="X5" s="370"/>
      <c r="Y5" s="157"/>
      <c r="Z5" s="166"/>
      <c r="AA5" s="369"/>
      <c r="AB5" s="370"/>
      <c r="AC5" s="157"/>
      <c r="AD5" s="166"/>
      <c r="AE5" s="369"/>
      <c r="AF5" s="370"/>
      <c r="AG5" s="157"/>
      <c r="AH5" s="166"/>
      <c r="AI5" s="369"/>
      <c r="AJ5" s="370"/>
      <c r="AK5" s="59"/>
      <c r="AL5" s="166"/>
      <c r="AM5" s="96"/>
      <c r="AN5" s="370"/>
      <c r="AO5" s="59"/>
      <c r="AP5" s="166"/>
      <c r="AQ5" s="369"/>
      <c r="AR5" s="370"/>
      <c r="AS5" s="59"/>
      <c r="AT5" s="166"/>
      <c r="AU5" s="369"/>
      <c r="AV5" s="370"/>
      <c r="AW5" s="59"/>
      <c r="AX5" s="166"/>
      <c r="AY5" s="369"/>
    </row>
    <row r="6" spans="1:51" x14ac:dyDescent="0.35">
      <c r="A6" s="52"/>
      <c r="B6" s="54"/>
      <c r="C6" s="96"/>
      <c r="D6" s="169"/>
      <c r="E6" s="157"/>
      <c r="F6" s="166"/>
      <c r="G6" s="369"/>
      <c r="H6" s="370"/>
      <c r="I6" s="157"/>
      <c r="J6" s="166"/>
      <c r="K6" s="369"/>
      <c r="L6" s="370"/>
      <c r="M6" s="157"/>
      <c r="N6" s="166"/>
      <c r="O6" s="369"/>
      <c r="P6" s="169"/>
      <c r="Q6" s="157"/>
      <c r="R6" s="166"/>
      <c r="S6" s="369"/>
      <c r="T6" s="370"/>
      <c r="U6" s="157"/>
      <c r="V6" s="166"/>
      <c r="W6" s="369"/>
      <c r="X6" s="370"/>
      <c r="Y6" s="157"/>
      <c r="Z6" s="166"/>
      <c r="AA6" s="369"/>
      <c r="AB6" s="370"/>
      <c r="AC6" s="157"/>
      <c r="AD6" s="166"/>
      <c r="AE6" s="369"/>
      <c r="AF6" s="370"/>
      <c r="AG6" s="157"/>
      <c r="AH6" s="166"/>
      <c r="AI6" s="369"/>
      <c r="AJ6" s="370"/>
      <c r="AK6" s="59"/>
      <c r="AL6" s="166"/>
      <c r="AM6" s="96"/>
      <c r="AN6" s="370"/>
      <c r="AO6" s="59"/>
      <c r="AP6" s="166"/>
      <c r="AQ6" s="369"/>
      <c r="AR6" s="370"/>
      <c r="AS6" s="59"/>
      <c r="AT6" s="166"/>
      <c r="AU6" s="369"/>
      <c r="AV6" s="370"/>
      <c r="AW6" s="59"/>
      <c r="AX6" s="166"/>
      <c r="AY6" s="369"/>
    </row>
    <row r="7" spans="1:51" x14ac:dyDescent="0.35">
      <c r="A7" s="52"/>
      <c r="B7" s="54"/>
      <c r="C7" s="96"/>
      <c r="D7" s="169"/>
      <c r="E7" s="157"/>
      <c r="F7" s="166"/>
      <c r="G7" s="369"/>
      <c r="H7" s="370"/>
      <c r="I7" s="157"/>
      <c r="J7" s="166"/>
      <c r="K7" s="369"/>
      <c r="L7" s="370"/>
      <c r="M7" s="157"/>
      <c r="N7" s="166"/>
      <c r="O7" s="369"/>
      <c r="P7" s="169"/>
      <c r="Q7" s="157"/>
      <c r="R7" s="166"/>
      <c r="S7" s="369"/>
      <c r="T7" s="370"/>
      <c r="U7" s="157"/>
      <c r="V7" s="166"/>
      <c r="W7" s="369"/>
      <c r="X7" s="370"/>
      <c r="Y7" s="157"/>
      <c r="Z7" s="166"/>
      <c r="AA7" s="369"/>
      <c r="AB7" s="370"/>
      <c r="AC7" s="157"/>
      <c r="AD7" s="166"/>
      <c r="AE7" s="369"/>
      <c r="AF7" s="370"/>
      <c r="AG7" s="157"/>
      <c r="AH7" s="166"/>
      <c r="AI7" s="369"/>
      <c r="AJ7" s="370"/>
      <c r="AK7" s="59"/>
      <c r="AL7" s="166"/>
      <c r="AM7" s="96"/>
      <c r="AN7" s="370"/>
      <c r="AO7" s="59"/>
      <c r="AP7" s="166"/>
      <c r="AQ7" s="369"/>
      <c r="AR7" s="370"/>
      <c r="AS7" s="59"/>
      <c r="AT7" s="166"/>
      <c r="AU7" s="369"/>
      <c r="AV7" s="370"/>
      <c r="AW7" s="59"/>
      <c r="AX7" s="166"/>
      <c r="AY7" s="369"/>
    </row>
    <row r="8" spans="1:51" x14ac:dyDescent="0.35">
      <c r="A8" s="52"/>
      <c r="B8" s="54"/>
      <c r="C8" s="96"/>
      <c r="D8" s="169"/>
      <c r="E8" s="157"/>
      <c r="F8" s="166"/>
      <c r="G8" s="369"/>
      <c r="H8" s="370"/>
      <c r="I8" s="157"/>
      <c r="J8" s="166"/>
      <c r="K8" s="369"/>
      <c r="L8" s="370"/>
      <c r="M8" s="157"/>
      <c r="N8" s="166"/>
      <c r="O8" s="369"/>
      <c r="P8" s="169"/>
      <c r="Q8" s="157"/>
      <c r="R8" s="166"/>
      <c r="S8" s="369"/>
      <c r="T8" s="370"/>
      <c r="U8" s="157"/>
      <c r="V8" s="166"/>
      <c r="W8" s="369"/>
      <c r="X8" s="370"/>
      <c r="Y8" s="157"/>
      <c r="Z8" s="166"/>
      <c r="AA8" s="369"/>
      <c r="AB8" s="370"/>
      <c r="AC8" s="157"/>
      <c r="AD8" s="166"/>
      <c r="AE8" s="369"/>
      <c r="AF8" s="370"/>
      <c r="AG8" s="157"/>
      <c r="AH8" s="166"/>
      <c r="AI8" s="369"/>
      <c r="AJ8" s="370"/>
      <c r="AK8" s="59"/>
      <c r="AL8" s="166"/>
      <c r="AM8" s="96"/>
      <c r="AN8" s="370"/>
      <c r="AO8" s="59"/>
      <c r="AP8" s="166"/>
      <c r="AQ8" s="369"/>
      <c r="AR8" s="370"/>
      <c r="AS8" s="59"/>
      <c r="AT8" s="166"/>
      <c r="AU8" s="369"/>
      <c r="AV8" s="370"/>
      <c r="AW8" s="59"/>
      <c r="AX8" s="166"/>
      <c r="AY8" s="369"/>
    </row>
    <row r="9" spans="1:51" x14ac:dyDescent="0.35">
      <c r="A9" s="52"/>
      <c r="B9" s="54"/>
      <c r="C9" s="96"/>
      <c r="D9" s="169"/>
      <c r="E9" s="157"/>
      <c r="F9" s="166"/>
      <c r="G9" s="369"/>
      <c r="H9" s="370"/>
      <c r="I9" s="157"/>
      <c r="J9" s="166"/>
      <c r="K9" s="369"/>
      <c r="L9" s="370"/>
      <c r="M9" s="157"/>
      <c r="N9" s="166"/>
      <c r="O9" s="369"/>
      <c r="P9" s="169"/>
      <c r="Q9" s="157"/>
      <c r="R9" s="166"/>
      <c r="S9" s="369"/>
      <c r="T9" s="370"/>
      <c r="U9" s="157"/>
      <c r="V9" s="166"/>
      <c r="W9" s="369"/>
      <c r="X9" s="370"/>
      <c r="Y9" s="157"/>
      <c r="Z9" s="166"/>
      <c r="AA9" s="369"/>
      <c r="AB9" s="370"/>
      <c r="AC9" s="157"/>
      <c r="AD9" s="166"/>
      <c r="AE9" s="369"/>
      <c r="AF9" s="370"/>
      <c r="AG9" s="157"/>
      <c r="AH9" s="166"/>
      <c r="AI9" s="369"/>
      <c r="AJ9" s="370"/>
      <c r="AK9" s="59"/>
      <c r="AL9" s="166"/>
      <c r="AM9" s="96"/>
      <c r="AN9" s="370"/>
      <c r="AO9" s="59"/>
      <c r="AP9" s="166"/>
      <c r="AQ9" s="369"/>
      <c r="AR9" s="370"/>
      <c r="AS9" s="59"/>
      <c r="AT9" s="166"/>
      <c r="AU9" s="369"/>
      <c r="AV9" s="370"/>
      <c r="AW9" s="59"/>
      <c r="AX9" s="166"/>
      <c r="AY9" s="369"/>
    </row>
    <row r="10" spans="1:51" x14ac:dyDescent="0.35">
      <c r="A10" s="52"/>
      <c r="B10" s="54"/>
      <c r="C10" s="96"/>
      <c r="D10" s="169"/>
      <c r="E10" s="157"/>
      <c r="F10" s="166"/>
      <c r="G10" s="369"/>
      <c r="H10" s="370"/>
      <c r="I10" s="157"/>
      <c r="J10" s="166"/>
      <c r="K10" s="369"/>
      <c r="L10" s="370"/>
      <c r="M10" s="157"/>
      <c r="N10" s="166"/>
      <c r="O10" s="369"/>
      <c r="P10" s="169"/>
      <c r="Q10" s="157"/>
      <c r="R10" s="166"/>
      <c r="S10" s="369"/>
      <c r="T10" s="370"/>
      <c r="U10" s="157"/>
      <c r="V10" s="166"/>
      <c r="W10" s="369"/>
      <c r="X10" s="370"/>
      <c r="Y10" s="157"/>
      <c r="Z10" s="166"/>
      <c r="AA10" s="369"/>
      <c r="AB10" s="370"/>
      <c r="AC10" s="157"/>
      <c r="AD10" s="166"/>
      <c r="AE10" s="369"/>
      <c r="AF10" s="370"/>
      <c r="AG10" s="157"/>
      <c r="AH10" s="166"/>
      <c r="AI10" s="369"/>
      <c r="AJ10" s="370"/>
      <c r="AK10" s="59"/>
      <c r="AL10" s="166"/>
      <c r="AM10" s="96"/>
      <c r="AN10" s="370"/>
      <c r="AO10" s="59"/>
      <c r="AP10" s="166"/>
      <c r="AQ10" s="369"/>
      <c r="AR10" s="370"/>
      <c r="AS10" s="59"/>
      <c r="AT10" s="166"/>
      <c r="AU10" s="369"/>
      <c r="AV10" s="370"/>
      <c r="AW10" s="59"/>
      <c r="AX10" s="166"/>
      <c r="AY10" s="369"/>
    </row>
    <row r="11" spans="1:51" x14ac:dyDescent="0.35">
      <c r="A11" s="52"/>
      <c r="B11" s="54"/>
      <c r="C11" s="96"/>
      <c r="D11" s="169"/>
      <c r="E11" s="157"/>
      <c r="F11" s="166"/>
      <c r="G11" s="369"/>
      <c r="H11" s="370"/>
      <c r="I11" s="157"/>
      <c r="J11" s="166"/>
      <c r="K11" s="369"/>
      <c r="L11" s="370"/>
      <c r="M11" s="157"/>
      <c r="N11" s="166"/>
      <c r="O11" s="369"/>
      <c r="P11" s="169"/>
      <c r="Q11" s="157"/>
      <c r="R11" s="166"/>
      <c r="S11" s="369"/>
      <c r="T11" s="370"/>
      <c r="U11" s="157"/>
      <c r="V11" s="166"/>
      <c r="W11" s="369"/>
      <c r="X11" s="370"/>
      <c r="Y11" s="157"/>
      <c r="Z11" s="166"/>
      <c r="AA11" s="369"/>
      <c r="AB11" s="370"/>
      <c r="AC11" s="157"/>
      <c r="AD11" s="166"/>
      <c r="AE11" s="369"/>
      <c r="AF11" s="370"/>
      <c r="AG11" s="157"/>
      <c r="AH11" s="166"/>
      <c r="AI11" s="369"/>
      <c r="AJ11" s="370"/>
      <c r="AK11" s="59"/>
      <c r="AL11" s="166"/>
      <c r="AM11" s="96"/>
      <c r="AN11" s="370"/>
      <c r="AO11" s="59"/>
      <c r="AP11" s="166"/>
      <c r="AQ11" s="369"/>
      <c r="AR11" s="370"/>
      <c r="AS11" s="59"/>
      <c r="AT11" s="166"/>
      <c r="AU11" s="369"/>
      <c r="AV11" s="370"/>
      <c r="AW11" s="59"/>
      <c r="AX11" s="166"/>
      <c r="AY11" s="369"/>
    </row>
    <row r="12" spans="1:51" x14ac:dyDescent="0.35">
      <c r="A12" s="52"/>
      <c r="B12" s="54"/>
      <c r="C12" s="96"/>
      <c r="D12" s="169"/>
      <c r="E12" s="157"/>
      <c r="F12" s="166"/>
      <c r="G12" s="369"/>
      <c r="H12" s="370"/>
      <c r="I12" s="157"/>
      <c r="J12" s="166"/>
      <c r="K12" s="369"/>
      <c r="L12" s="370"/>
      <c r="M12" s="157"/>
      <c r="N12" s="166"/>
      <c r="O12" s="369"/>
      <c r="P12" s="169"/>
      <c r="Q12" s="157"/>
      <c r="R12" s="166"/>
      <c r="S12" s="369"/>
      <c r="T12" s="370"/>
      <c r="U12" s="157"/>
      <c r="V12" s="166"/>
      <c r="W12" s="369"/>
      <c r="X12" s="370"/>
      <c r="Y12" s="157"/>
      <c r="Z12" s="166"/>
      <c r="AA12" s="369"/>
      <c r="AB12" s="370"/>
      <c r="AC12" s="157"/>
      <c r="AD12" s="166"/>
      <c r="AE12" s="369"/>
      <c r="AF12" s="370"/>
      <c r="AG12" s="157"/>
      <c r="AH12" s="166"/>
      <c r="AI12" s="369"/>
      <c r="AJ12" s="370"/>
      <c r="AK12" s="59"/>
      <c r="AL12" s="166"/>
      <c r="AM12" s="96"/>
      <c r="AN12" s="370"/>
      <c r="AO12" s="59"/>
      <c r="AP12" s="166"/>
      <c r="AQ12" s="369"/>
      <c r="AR12" s="370"/>
      <c r="AS12" s="59"/>
      <c r="AT12" s="166"/>
      <c r="AU12" s="369"/>
      <c r="AV12" s="370"/>
      <c r="AW12" s="59"/>
      <c r="AX12" s="166"/>
      <c r="AY12" s="369"/>
    </row>
    <row r="13" spans="1:51" x14ac:dyDescent="0.35">
      <c r="A13" s="52"/>
      <c r="B13" s="54"/>
      <c r="C13" s="96"/>
      <c r="D13" s="169"/>
      <c r="E13" s="157"/>
      <c r="F13" s="166"/>
      <c r="G13" s="369"/>
      <c r="H13" s="370"/>
      <c r="I13" s="157"/>
      <c r="J13" s="166"/>
      <c r="K13" s="369"/>
      <c r="L13" s="370"/>
      <c r="M13" s="157"/>
      <c r="N13" s="166"/>
      <c r="O13" s="369"/>
      <c r="P13" s="169"/>
      <c r="Q13" s="157"/>
      <c r="R13" s="166"/>
      <c r="S13" s="369"/>
      <c r="T13" s="370"/>
      <c r="U13" s="157"/>
      <c r="V13" s="166"/>
      <c r="W13" s="369"/>
      <c r="X13" s="370"/>
      <c r="Y13" s="157"/>
      <c r="Z13" s="166"/>
      <c r="AA13" s="369"/>
      <c r="AB13" s="370"/>
      <c r="AC13" s="157"/>
      <c r="AD13" s="166"/>
      <c r="AE13" s="369"/>
      <c r="AF13" s="370"/>
      <c r="AG13" s="157"/>
      <c r="AH13" s="166"/>
      <c r="AI13" s="369"/>
      <c r="AJ13" s="370"/>
      <c r="AK13" s="59"/>
      <c r="AL13" s="166"/>
      <c r="AM13" s="96"/>
      <c r="AN13" s="370"/>
      <c r="AO13" s="59"/>
      <c r="AP13" s="166"/>
      <c r="AQ13" s="369"/>
      <c r="AR13" s="370"/>
      <c r="AS13" s="59"/>
      <c r="AT13" s="166"/>
      <c r="AU13" s="369"/>
      <c r="AV13" s="370"/>
      <c r="AW13" s="59"/>
      <c r="AX13" s="166"/>
      <c r="AY13" s="369"/>
    </row>
    <row r="14" spans="1:51" x14ac:dyDescent="0.35">
      <c r="A14" s="52"/>
      <c r="B14" s="54"/>
      <c r="C14" s="96"/>
      <c r="D14" s="169"/>
      <c r="E14" s="157"/>
      <c r="F14" s="166"/>
      <c r="G14" s="369"/>
      <c r="H14" s="370"/>
      <c r="I14" s="157"/>
      <c r="J14" s="166"/>
      <c r="K14" s="369"/>
      <c r="L14" s="370"/>
      <c r="M14" s="157"/>
      <c r="N14" s="166"/>
      <c r="O14" s="369"/>
      <c r="P14" s="169"/>
      <c r="Q14" s="157"/>
      <c r="R14" s="166"/>
      <c r="S14" s="369"/>
      <c r="T14" s="370"/>
      <c r="U14" s="157"/>
      <c r="V14" s="166"/>
      <c r="W14" s="369"/>
      <c r="X14" s="370"/>
      <c r="Y14" s="157"/>
      <c r="Z14" s="166"/>
      <c r="AA14" s="369"/>
      <c r="AB14" s="370"/>
      <c r="AC14" s="157"/>
      <c r="AD14" s="166"/>
      <c r="AE14" s="369"/>
      <c r="AF14" s="370"/>
      <c r="AG14" s="157"/>
      <c r="AH14" s="166"/>
      <c r="AI14" s="369"/>
      <c r="AJ14" s="370"/>
      <c r="AK14" s="59"/>
      <c r="AL14" s="166"/>
      <c r="AM14" s="96"/>
      <c r="AN14" s="370"/>
      <c r="AO14" s="59"/>
      <c r="AP14" s="166"/>
      <c r="AQ14" s="369"/>
      <c r="AR14" s="370"/>
      <c r="AS14" s="59"/>
      <c r="AT14" s="166"/>
      <c r="AU14" s="369"/>
      <c r="AV14" s="370"/>
      <c r="AW14" s="59"/>
      <c r="AX14" s="166"/>
      <c r="AY14" s="369"/>
    </row>
    <row r="15" spans="1:51" x14ac:dyDescent="0.35">
      <c r="A15" s="52"/>
      <c r="B15" s="54"/>
      <c r="C15" s="96"/>
      <c r="D15" s="169"/>
      <c r="E15" s="157"/>
      <c r="F15" s="166"/>
      <c r="G15" s="369"/>
      <c r="H15" s="370"/>
      <c r="I15" s="157"/>
      <c r="J15" s="166"/>
      <c r="K15" s="369"/>
      <c r="L15" s="370"/>
      <c r="M15" s="157"/>
      <c r="N15" s="166"/>
      <c r="O15" s="369"/>
      <c r="P15" s="169"/>
      <c r="Q15" s="157"/>
      <c r="R15" s="166"/>
      <c r="S15" s="369"/>
      <c r="T15" s="370"/>
      <c r="U15" s="157"/>
      <c r="V15" s="166"/>
      <c r="W15" s="369"/>
      <c r="X15" s="370"/>
      <c r="Y15" s="157"/>
      <c r="Z15" s="166"/>
      <c r="AA15" s="369"/>
      <c r="AB15" s="370"/>
      <c r="AC15" s="157"/>
      <c r="AD15" s="166"/>
      <c r="AE15" s="369"/>
      <c r="AF15" s="370"/>
      <c r="AG15" s="157"/>
      <c r="AH15" s="166"/>
      <c r="AI15" s="369"/>
      <c r="AJ15" s="370"/>
      <c r="AK15" s="59"/>
      <c r="AL15" s="166"/>
      <c r="AM15" s="96"/>
      <c r="AN15" s="370"/>
      <c r="AO15" s="59"/>
      <c r="AP15" s="166"/>
      <c r="AQ15" s="369"/>
      <c r="AR15" s="370"/>
      <c r="AS15" s="59"/>
      <c r="AT15" s="166"/>
      <c r="AU15" s="369"/>
      <c r="AV15" s="370"/>
      <c r="AW15" s="59"/>
      <c r="AX15" s="166"/>
      <c r="AY15" s="369"/>
    </row>
    <row r="16" spans="1:51" x14ac:dyDescent="0.35">
      <c r="A16" s="52"/>
      <c r="B16" s="54"/>
      <c r="C16" s="96"/>
      <c r="D16" s="169"/>
      <c r="E16" s="157"/>
      <c r="F16" s="166"/>
      <c r="G16" s="369"/>
      <c r="H16" s="370"/>
      <c r="I16" s="157"/>
      <c r="J16" s="166"/>
      <c r="K16" s="369"/>
      <c r="L16" s="370"/>
      <c r="M16" s="157"/>
      <c r="N16" s="166"/>
      <c r="O16" s="369"/>
      <c r="P16" s="169"/>
      <c r="Q16" s="157"/>
      <c r="R16" s="166"/>
      <c r="S16" s="369"/>
      <c r="T16" s="370"/>
      <c r="U16" s="157"/>
      <c r="V16" s="166"/>
      <c r="W16" s="369"/>
      <c r="X16" s="370"/>
      <c r="Y16" s="157"/>
      <c r="Z16" s="166"/>
      <c r="AA16" s="369"/>
      <c r="AB16" s="370"/>
      <c r="AC16" s="157"/>
      <c r="AD16" s="166"/>
      <c r="AE16" s="369"/>
      <c r="AF16" s="370"/>
      <c r="AG16" s="157"/>
      <c r="AH16" s="166"/>
      <c r="AI16" s="369"/>
      <c r="AJ16" s="370"/>
      <c r="AK16" s="59"/>
      <c r="AL16" s="166"/>
      <c r="AM16" s="96"/>
      <c r="AN16" s="370"/>
      <c r="AO16" s="59"/>
      <c r="AP16" s="166"/>
      <c r="AQ16" s="369"/>
      <c r="AR16" s="370"/>
      <c r="AS16" s="59"/>
      <c r="AT16" s="166"/>
      <c r="AU16" s="369"/>
      <c r="AV16" s="370"/>
      <c r="AW16" s="59"/>
      <c r="AX16" s="166"/>
      <c r="AY16" s="369"/>
    </row>
    <row r="17" spans="1:51" x14ac:dyDescent="0.35">
      <c r="A17" s="52"/>
      <c r="B17" s="54"/>
      <c r="C17" s="96"/>
      <c r="D17" s="169"/>
      <c r="E17" s="157"/>
      <c r="F17" s="166"/>
      <c r="G17" s="369"/>
      <c r="H17" s="370"/>
      <c r="I17" s="157"/>
      <c r="J17" s="166"/>
      <c r="K17" s="369"/>
      <c r="L17" s="370"/>
      <c r="M17" s="157"/>
      <c r="N17" s="166"/>
      <c r="O17" s="369"/>
      <c r="P17" s="169"/>
      <c r="Q17" s="157"/>
      <c r="R17" s="166"/>
      <c r="S17" s="369"/>
      <c r="T17" s="370"/>
      <c r="U17" s="157"/>
      <c r="V17" s="166"/>
      <c r="W17" s="369"/>
      <c r="X17" s="370"/>
      <c r="Y17" s="157"/>
      <c r="Z17" s="166"/>
      <c r="AA17" s="369"/>
      <c r="AB17" s="370"/>
      <c r="AC17" s="157"/>
      <c r="AD17" s="166"/>
      <c r="AE17" s="369"/>
      <c r="AF17" s="370"/>
      <c r="AG17" s="157"/>
      <c r="AH17" s="166"/>
      <c r="AI17" s="369"/>
      <c r="AJ17" s="370"/>
      <c r="AK17" s="59"/>
      <c r="AL17" s="166"/>
      <c r="AM17" s="96"/>
      <c r="AN17" s="370"/>
      <c r="AO17" s="59"/>
      <c r="AP17" s="166"/>
      <c r="AQ17" s="369"/>
      <c r="AR17" s="370"/>
      <c r="AS17" s="59"/>
      <c r="AT17" s="166"/>
      <c r="AU17" s="369"/>
      <c r="AV17" s="370"/>
      <c r="AW17" s="59"/>
      <c r="AX17" s="166"/>
      <c r="AY17" s="369"/>
    </row>
    <row r="18" spans="1:51" x14ac:dyDescent="0.35">
      <c r="A18" s="52"/>
      <c r="B18" s="54"/>
      <c r="C18" s="96"/>
      <c r="D18" s="169"/>
      <c r="E18" s="157"/>
      <c r="F18" s="166"/>
      <c r="G18" s="369"/>
      <c r="H18" s="370"/>
      <c r="I18" s="157"/>
      <c r="J18" s="166"/>
      <c r="K18" s="369"/>
      <c r="L18" s="370"/>
      <c r="M18" s="157"/>
      <c r="N18" s="166"/>
      <c r="O18" s="369"/>
      <c r="P18" s="169"/>
      <c r="Q18" s="157"/>
      <c r="R18" s="166"/>
      <c r="S18" s="369"/>
      <c r="T18" s="370"/>
      <c r="U18" s="157"/>
      <c r="V18" s="166"/>
      <c r="W18" s="369"/>
      <c r="X18" s="370"/>
      <c r="Y18" s="157"/>
      <c r="Z18" s="166"/>
      <c r="AA18" s="369"/>
      <c r="AB18" s="370"/>
      <c r="AC18" s="157"/>
      <c r="AD18" s="166"/>
      <c r="AE18" s="369"/>
      <c r="AF18" s="370"/>
      <c r="AG18" s="157"/>
      <c r="AH18" s="166"/>
      <c r="AI18" s="369"/>
      <c r="AJ18" s="370"/>
      <c r="AK18" s="59"/>
      <c r="AL18" s="166"/>
      <c r="AM18" s="96"/>
      <c r="AN18" s="370"/>
      <c r="AO18" s="59"/>
      <c r="AP18" s="166"/>
      <c r="AQ18" s="369"/>
      <c r="AR18" s="370"/>
      <c r="AS18" s="59"/>
      <c r="AT18" s="166"/>
      <c r="AU18" s="369"/>
      <c r="AV18" s="370"/>
      <c r="AW18" s="59"/>
      <c r="AX18" s="166"/>
      <c r="AY18" s="369"/>
    </row>
    <row r="19" spans="1:51" x14ac:dyDescent="0.35">
      <c r="A19" s="52"/>
      <c r="B19" s="54"/>
      <c r="C19" s="96"/>
      <c r="D19" s="169"/>
      <c r="E19" s="157"/>
      <c r="F19" s="166"/>
      <c r="G19" s="369"/>
      <c r="H19" s="370"/>
      <c r="I19" s="157"/>
      <c r="J19" s="166"/>
      <c r="K19" s="369"/>
      <c r="L19" s="370"/>
      <c r="M19" s="157"/>
      <c r="N19" s="166"/>
      <c r="O19" s="369"/>
      <c r="P19" s="169"/>
      <c r="Q19" s="157"/>
      <c r="R19" s="166"/>
      <c r="S19" s="369"/>
      <c r="T19" s="370"/>
      <c r="U19" s="157"/>
      <c r="V19" s="166"/>
      <c r="W19" s="369"/>
      <c r="X19" s="370"/>
      <c r="Y19" s="157"/>
      <c r="Z19" s="166"/>
      <c r="AA19" s="369"/>
      <c r="AB19" s="370"/>
      <c r="AC19" s="157"/>
      <c r="AD19" s="166"/>
      <c r="AE19" s="369"/>
      <c r="AF19" s="370"/>
      <c r="AG19" s="157"/>
      <c r="AH19" s="166"/>
      <c r="AI19" s="369"/>
      <c r="AJ19" s="370"/>
      <c r="AK19" s="59"/>
      <c r="AL19" s="166"/>
      <c r="AM19" s="96"/>
      <c r="AN19" s="370"/>
      <c r="AO19" s="59"/>
      <c r="AP19" s="166"/>
      <c r="AQ19" s="369"/>
      <c r="AR19" s="370"/>
      <c r="AS19" s="59"/>
      <c r="AT19" s="166"/>
      <c r="AU19" s="369"/>
      <c r="AV19" s="370"/>
      <c r="AW19" s="59"/>
      <c r="AX19" s="166"/>
      <c r="AY19" s="369"/>
    </row>
    <row r="20" spans="1:51" x14ac:dyDescent="0.35">
      <c r="A20" s="52"/>
      <c r="B20" s="54"/>
      <c r="C20" s="96"/>
      <c r="D20" s="169"/>
      <c r="E20" s="157"/>
      <c r="F20" s="166"/>
      <c r="G20" s="369"/>
      <c r="H20" s="370"/>
      <c r="I20" s="157"/>
      <c r="J20" s="166"/>
      <c r="K20" s="369"/>
      <c r="L20" s="370"/>
      <c r="M20" s="157"/>
      <c r="N20" s="166"/>
      <c r="O20" s="369"/>
      <c r="P20" s="169"/>
      <c r="Q20" s="157"/>
      <c r="R20" s="166"/>
      <c r="S20" s="369"/>
      <c r="T20" s="370"/>
      <c r="U20" s="157"/>
      <c r="V20" s="166"/>
      <c r="W20" s="369"/>
      <c r="X20" s="370"/>
      <c r="Y20" s="157"/>
      <c r="Z20" s="166"/>
      <c r="AA20" s="369"/>
      <c r="AB20" s="370"/>
      <c r="AC20" s="157"/>
      <c r="AD20" s="166"/>
      <c r="AE20" s="369"/>
      <c r="AF20" s="370"/>
      <c r="AG20" s="157"/>
      <c r="AH20" s="166"/>
      <c r="AI20" s="369"/>
      <c r="AJ20" s="370"/>
      <c r="AK20" s="59"/>
      <c r="AL20" s="166"/>
      <c r="AM20" s="96"/>
      <c r="AN20" s="370"/>
      <c r="AO20" s="59"/>
      <c r="AP20" s="166"/>
      <c r="AQ20" s="369"/>
      <c r="AR20" s="370"/>
      <c r="AS20" s="59"/>
      <c r="AT20" s="166"/>
      <c r="AU20" s="369"/>
      <c r="AV20" s="370"/>
      <c r="AW20" s="59"/>
      <c r="AX20" s="166"/>
      <c r="AY20" s="369"/>
    </row>
    <row r="21" spans="1:51" x14ac:dyDescent="0.35">
      <c r="A21" s="52"/>
      <c r="B21" s="54"/>
      <c r="C21" s="96"/>
      <c r="D21" s="169"/>
      <c r="E21" s="157"/>
      <c r="F21" s="166"/>
      <c r="G21" s="369"/>
      <c r="H21" s="370"/>
      <c r="I21" s="157"/>
      <c r="J21" s="166"/>
      <c r="K21" s="369"/>
      <c r="L21" s="370"/>
      <c r="M21" s="157"/>
      <c r="N21" s="166"/>
      <c r="O21" s="369"/>
      <c r="P21" s="169"/>
      <c r="Q21" s="157"/>
      <c r="R21" s="166"/>
      <c r="S21" s="369"/>
      <c r="T21" s="370"/>
      <c r="U21" s="157"/>
      <c r="V21" s="166"/>
      <c r="W21" s="369"/>
      <c r="X21" s="370"/>
      <c r="Y21" s="157"/>
      <c r="Z21" s="166"/>
      <c r="AA21" s="369"/>
      <c r="AB21" s="370"/>
      <c r="AC21" s="157"/>
      <c r="AD21" s="166"/>
      <c r="AE21" s="369"/>
      <c r="AF21" s="370"/>
      <c r="AG21" s="157"/>
      <c r="AH21" s="166"/>
      <c r="AI21" s="369"/>
      <c r="AJ21" s="370"/>
      <c r="AK21" s="59"/>
      <c r="AL21" s="166"/>
      <c r="AM21" s="96"/>
      <c r="AN21" s="370"/>
      <c r="AO21" s="59"/>
      <c r="AP21" s="166"/>
      <c r="AQ21" s="369"/>
      <c r="AR21" s="370"/>
      <c r="AS21" s="59"/>
      <c r="AT21" s="166"/>
      <c r="AU21" s="369"/>
      <c r="AV21" s="370"/>
      <c r="AW21" s="59"/>
      <c r="AX21" s="166"/>
      <c r="AY21" s="369"/>
    </row>
    <row r="22" spans="1:51" x14ac:dyDescent="0.35">
      <c r="A22" s="52"/>
      <c r="B22" s="54"/>
      <c r="C22" s="96"/>
      <c r="D22" s="169"/>
      <c r="E22" s="157"/>
      <c r="F22" s="166"/>
      <c r="G22" s="369"/>
      <c r="H22" s="370"/>
      <c r="I22" s="157"/>
      <c r="J22" s="166"/>
      <c r="K22" s="369"/>
      <c r="L22" s="370"/>
      <c r="M22" s="157"/>
      <c r="N22" s="166"/>
      <c r="O22" s="369"/>
      <c r="P22" s="169"/>
      <c r="Q22" s="157"/>
      <c r="R22" s="166"/>
      <c r="S22" s="369"/>
      <c r="T22" s="370"/>
      <c r="U22" s="157"/>
      <c r="V22" s="166"/>
      <c r="W22" s="369"/>
      <c r="X22" s="370"/>
      <c r="Y22" s="157"/>
      <c r="Z22" s="166"/>
      <c r="AA22" s="369"/>
      <c r="AB22" s="370"/>
      <c r="AC22" s="157"/>
      <c r="AD22" s="166"/>
      <c r="AE22" s="369"/>
      <c r="AF22" s="370"/>
      <c r="AG22" s="157"/>
      <c r="AH22" s="166"/>
      <c r="AI22" s="369"/>
      <c r="AJ22" s="370"/>
      <c r="AK22" s="59"/>
      <c r="AL22" s="166"/>
      <c r="AM22" s="96"/>
      <c r="AN22" s="370"/>
      <c r="AO22" s="59"/>
      <c r="AP22" s="166"/>
      <c r="AQ22" s="369"/>
      <c r="AR22" s="370"/>
      <c r="AS22" s="59"/>
      <c r="AT22" s="166"/>
      <c r="AU22" s="369"/>
      <c r="AV22" s="370"/>
      <c r="AW22" s="59"/>
      <c r="AX22" s="166"/>
      <c r="AY22" s="369"/>
    </row>
    <row r="23" spans="1:51" x14ac:dyDescent="0.35">
      <c r="A23" s="52"/>
      <c r="B23" s="54"/>
      <c r="C23" s="96"/>
      <c r="D23" s="169"/>
      <c r="E23" s="157"/>
      <c r="F23" s="166"/>
      <c r="G23" s="369"/>
      <c r="H23" s="370"/>
      <c r="I23" s="157"/>
      <c r="J23" s="166"/>
      <c r="K23" s="369"/>
      <c r="L23" s="370"/>
      <c r="M23" s="157"/>
      <c r="N23" s="166"/>
      <c r="O23" s="369"/>
      <c r="P23" s="169"/>
      <c r="Q23" s="157"/>
      <c r="R23" s="166"/>
      <c r="S23" s="369"/>
      <c r="T23" s="370"/>
      <c r="U23" s="157"/>
      <c r="V23" s="166"/>
      <c r="W23" s="369"/>
      <c r="X23" s="370"/>
      <c r="Y23" s="157"/>
      <c r="Z23" s="166"/>
      <c r="AA23" s="369"/>
      <c r="AB23" s="370"/>
      <c r="AC23" s="157"/>
      <c r="AD23" s="166"/>
      <c r="AE23" s="369"/>
      <c r="AF23" s="370"/>
      <c r="AG23" s="157"/>
      <c r="AH23" s="166"/>
      <c r="AI23" s="369"/>
      <c r="AJ23" s="370"/>
      <c r="AK23" s="59"/>
      <c r="AL23" s="166"/>
      <c r="AM23" s="96"/>
      <c r="AN23" s="370"/>
      <c r="AO23" s="59"/>
      <c r="AP23" s="166"/>
      <c r="AQ23" s="369"/>
      <c r="AR23" s="370"/>
      <c r="AS23" s="59"/>
      <c r="AT23" s="166"/>
      <c r="AU23" s="369"/>
      <c r="AV23" s="370"/>
      <c r="AW23" s="59"/>
      <c r="AX23" s="166"/>
      <c r="AY23" s="369"/>
    </row>
    <row r="24" spans="1:51" x14ac:dyDescent="0.35">
      <c r="A24" s="52"/>
      <c r="B24" s="54"/>
      <c r="C24" s="96"/>
      <c r="D24" s="169"/>
      <c r="E24" s="157"/>
      <c r="F24" s="166"/>
      <c r="G24" s="369"/>
      <c r="H24" s="370"/>
      <c r="I24" s="157"/>
      <c r="J24" s="166"/>
      <c r="K24" s="369"/>
      <c r="L24" s="370"/>
      <c r="M24" s="157"/>
      <c r="N24" s="166"/>
      <c r="O24" s="369"/>
      <c r="P24" s="169"/>
      <c r="Q24" s="157"/>
      <c r="R24" s="166"/>
      <c r="S24" s="369"/>
      <c r="T24" s="370"/>
      <c r="U24" s="157"/>
      <c r="V24" s="166"/>
      <c r="W24" s="369"/>
      <c r="X24" s="370"/>
      <c r="Y24" s="157"/>
      <c r="Z24" s="166"/>
      <c r="AA24" s="369"/>
      <c r="AB24" s="370"/>
      <c r="AC24" s="157"/>
      <c r="AD24" s="166"/>
      <c r="AE24" s="369"/>
      <c r="AF24" s="370"/>
      <c r="AG24" s="157"/>
      <c r="AH24" s="166"/>
      <c r="AI24" s="369"/>
      <c r="AJ24" s="370"/>
      <c r="AK24" s="59"/>
      <c r="AL24" s="166"/>
      <c r="AM24" s="96"/>
      <c r="AN24" s="370"/>
      <c r="AO24" s="59"/>
      <c r="AP24" s="166"/>
      <c r="AQ24" s="369"/>
      <c r="AR24" s="370"/>
      <c r="AS24" s="59"/>
      <c r="AT24" s="166"/>
      <c r="AU24" s="369"/>
      <c r="AV24" s="370"/>
      <c r="AW24" s="59"/>
      <c r="AX24" s="166"/>
      <c r="AY24" s="369"/>
    </row>
    <row r="25" spans="1:51" x14ac:dyDescent="0.35">
      <c r="A25" s="52"/>
      <c r="B25" s="54"/>
      <c r="C25" s="96"/>
      <c r="D25" s="169"/>
      <c r="E25" s="157"/>
      <c r="F25" s="166"/>
      <c r="G25" s="369"/>
      <c r="H25" s="370"/>
      <c r="I25" s="157"/>
      <c r="J25" s="166"/>
      <c r="K25" s="369"/>
      <c r="L25" s="370"/>
      <c r="M25" s="157"/>
      <c r="N25" s="166"/>
      <c r="O25" s="369"/>
      <c r="P25" s="169"/>
      <c r="Q25" s="157"/>
      <c r="R25" s="166"/>
      <c r="S25" s="369"/>
      <c r="T25" s="370"/>
      <c r="U25" s="157"/>
      <c r="V25" s="166"/>
      <c r="W25" s="369"/>
      <c r="X25" s="370"/>
      <c r="Y25" s="157"/>
      <c r="Z25" s="166"/>
      <c r="AA25" s="369"/>
      <c r="AB25" s="370"/>
      <c r="AC25" s="157"/>
      <c r="AD25" s="166"/>
      <c r="AE25" s="369"/>
      <c r="AF25" s="370"/>
      <c r="AG25" s="157"/>
      <c r="AH25" s="166"/>
      <c r="AI25" s="369"/>
      <c r="AJ25" s="370"/>
      <c r="AK25" s="59"/>
      <c r="AL25" s="166"/>
      <c r="AM25" s="96"/>
      <c r="AN25" s="370"/>
      <c r="AO25" s="59"/>
      <c r="AP25" s="166"/>
      <c r="AQ25" s="369"/>
      <c r="AR25" s="370"/>
      <c r="AS25" s="59"/>
      <c r="AT25" s="166"/>
      <c r="AU25" s="369"/>
      <c r="AV25" s="370"/>
      <c r="AW25" s="59"/>
      <c r="AX25" s="166"/>
      <c r="AY25" s="369"/>
    </row>
    <row r="26" spans="1:51" x14ac:dyDescent="0.35">
      <c r="A26" s="52"/>
      <c r="B26" s="54"/>
      <c r="C26" s="96"/>
      <c r="D26" s="169"/>
      <c r="E26" s="157"/>
      <c r="F26" s="166"/>
      <c r="G26" s="369"/>
      <c r="H26" s="370"/>
      <c r="I26" s="157"/>
      <c r="J26" s="166"/>
      <c r="K26" s="369"/>
      <c r="L26" s="370"/>
      <c r="M26" s="157"/>
      <c r="N26" s="166"/>
      <c r="O26" s="369"/>
      <c r="P26" s="169"/>
      <c r="Q26" s="157"/>
      <c r="R26" s="166"/>
      <c r="S26" s="369"/>
      <c r="T26" s="370"/>
      <c r="U26" s="157"/>
      <c r="V26" s="166"/>
      <c r="W26" s="369"/>
      <c r="X26" s="370"/>
      <c r="Y26" s="157"/>
      <c r="Z26" s="166"/>
      <c r="AA26" s="369"/>
      <c r="AB26" s="370"/>
      <c r="AC26" s="157"/>
      <c r="AD26" s="166"/>
      <c r="AE26" s="369"/>
      <c r="AF26" s="370"/>
      <c r="AG26" s="157"/>
      <c r="AH26" s="166"/>
      <c r="AI26" s="369"/>
      <c r="AJ26" s="370"/>
      <c r="AK26" s="59"/>
      <c r="AL26" s="166"/>
      <c r="AM26" s="96"/>
      <c r="AN26" s="370"/>
      <c r="AO26" s="59"/>
      <c r="AP26" s="166"/>
      <c r="AQ26" s="369"/>
      <c r="AR26" s="370"/>
      <c r="AS26" s="59"/>
      <c r="AT26" s="166"/>
      <c r="AU26" s="369"/>
      <c r="AV26" s="370"/>
      <c r="AW26" s="59"/>
      <c r="AX26" s="166"/>
      <c r="AY26" s="369"/>
    </row>
    <row r="27" spans="1:51" x14ac:dyDescent="0.35">
      <c r="A27" s="52"/>
      <c r="B27" s="54"/>
      <c r="C27" s="96"/>
      <c r="D27" s="169"/>
      <c r="E27" s="157"/>
      <c r="F27" s="166"/>
      <c r="G27" s="369"/>
      <c r="H27" s="370"/>
      <c r="I27" s="157"/>
      <c r="J27" s="166"/>
      <c r="K27" s="369"/>
      <c r="L27" s="370"/>
      <c r="M27" s="157"/>
      <c r="N27" s="166"/>
      <c r="O27" s="369"/>
      <c r="P27" s="169"/>
      <c r="Q27" s="157"/>
      <c r="R27" s="166"/>
      <c r="S27" s="369"/>
      <c r="T27" s="370"/>
      <c r="U27" s="157"/>
      <c r="V27" s="166"/>
      <c r="W27" s="369"/>
      <c r="X27" s="370"/>
      <c r="Y27" s="157"/>
      <c r="Z27" s="166"/>
      <c r="AA27" s="369"/>
      <c r="AB27" s="370"/>
      <c r="AC27" s="157"/>
      <c r="AD27" s="166"/>
      <c r="AE27" s="369"/>
      <c r="AF27" s="370"/>
      <c r="AG27" s="157"/>
      <c r="AH27" s="166"/>
      <c r="AI27" s="369"/>
      <c r="AJ27" s="370"/>
      <c r="AK27" s="59"/>
      <c r="AL27" s="166"/>
      <c r="AM27" s="96"/>
      <c r="AN27" s="370"/>
      <c r="AO27" s="59"/>
      <c r="AP27" s="166"/>
      <c r="AQ27" s="369"/>
      <c r="AR27" s="370"/>
      <c r="AS27" s="59"/>
      <c r="AT27" s="166"/>
      <c r="AU27" s="369"/>
      <c r="AV27" s="370"/>
      <c r="AW27" s="59"/>
      <c r="AX27" s="166"/>
      <c r="AY27" s="369"/>
    </row>
    <row r="28" spans="1:51" x14ac:dyDescent="0.35">
      <c r="A28" s="52"/>
      <c r="B28" s="54"/>
      <c r="C28" s="96"/>
      <c r="D28" s="169"/>
      <c r="E28" s="157"/>
      <c r="F28" s="166"/>
      <c r="G28" s="369"/>
      <c r="H28" s="370"/>
      <c r="I28" s="157"/>
      <c r="J28" s="166"/>
      <c r="K28" s="369"/>
      <c r="L28" s="370"/>
      <c r="M28" s="157"/>
      <c r="N28" s="166"/>
      <c r="O28" s="369"/>
      <c r="P28" s="169"/>
      <c r="Q28" s="157"/>
      <c r="R28" s="166"/>
      <c r="S28" s="369"/>
      <c r="T28" s="370"/>
      <c r="U28" s="157"/>
      <c r="V28" s="166"/>
      <c r="W28" s="369"/>
      <c r="X28" s="370"/>
      <c r="Y28" s="157"/>
      <c r="Z28" s="166"/>
      <c r="AA28" s="369"/>
      <c r="AB28" s="370"/>
      <c r="AC28" s="157"/>
      <c r="AD28" s="166"/>
      <c r="AE28" s="369"/>
      <c r="AF28" s="370"/>
      <c r="AG28" s="157"/>
      <c r="AH28" s="166"/>
      <c r="AI28" s="369"/>
      <c r="AJ28" s="370"/>
      <c r="AK28" s="59"/>
      <c r="AL28" s="166"/>
      <c r="AM28" s="96"/>
      <c r="AN28" s="370"/>
      <c r="AO28" s="59"/>
      <c r="AP28" s="166"/>
      <c r="AQ28" s="369"/>
      <c r="AR28" s="370"/>
      <c r="AS28" s="59"/>
      <c r="AT28" s="166"/>
      <c r="AU28" s="369"/>
      <c r="AV28" s="370"/>
      <c r="AW28" s="59"/>
      <c r="AX28" s="166"/>
      <c r="AY28" s="369"/>
    </row>
    <row r="29" spans="1:51" x14ac:dyDescent="0.35">
      <c r="A29" s="52"/>
      <c r="B29" s="54"/>
      <c r="C29" s="96"/>
      <c r="D29" s="169"/>
      <c r="E29" s="157"/>
      <c r="F29" s="166"/>
      <c r="G29" s="369"/>
      <c r="H29" s="370"/>
      <c r="I29" s="157"/>
      <c r="J29" s="166"/>
      <c r="K29" s="369"/>
      <c r="L29" s="370"/>
      <c r="M29" s="157"/>
      <c r="N29" s="166"/>
      <c r="O29" s="369"/>
      <c r="P29" s="169"/>
      <c r="Q29" s="157"/>
      <c r="R29" s="166"/>
      <c r="S29" s="369"/>
      <c r="T29" s="370"/>
      <c r="U29" s="157"/>
      <c r="V29" s="166"/>
      <c r="W29" s="369"/>
      <c r="X29" s="370"/>
      <c r="Y29" s="157"/>
      <c r="Z29" s="166"/>
      <c r="AA29" s="369"/>
      <c r="AB29" s="370"/>
      <c r="AC29" s="157"/>
      <c r="AD29" s="166"/>
      <c r="AE29" s="369"/>
      <c r="AF29" s="370"/>
      <c r="AG29" s="157"/>
      <c r="AH29" s="166"/>
      <c r="AI29" s="369"/>
      <c r="AJ29" s="370"/>
      <c r="AK29" s="59"/>
      <c r="AL29" s="166"/>
      <c r="AM29" s="96"/>
      <c r="AN29" s="370"/>
      <c r="AO29" s="59"/>
      <c r="AP29" s="166"/>
      <c r="AQ29" s="369"/>
      <c r="AR29" s="370"/>
      <c r="AS29" s="59"/>
      <c r="AT29" s="166"/>
      <c r="AU29" s="369"/>
      <c r="AV29" s="370"/>
      <c r="AW29" s="59"/>
      <c r="AX29" s="166"/>
      <c r="AY29" s="369"/>
    </row>
    <row r="30" spans="1:51" x14ac:dyDescent="0.35">
      <c r="A30" s="52"/>
      <c r="B30" s="54"/>
      <c r="C30" s="96"/>
      <c r="D30" s="169"/>
      <c r="E30" s="157"/>
      <c r="F30" s="166"/>
      <c r="G30" s="369"/>
      <c r="H30" s="370"/>
      <c r="I30" s="157"/>
      <c r="J30" s="166"/>
      <c r="K30" s="369"/>
      <c r="L30" s="370"/>
      <c r="M30" s="157"/>
      <c r="N30" s="166"/>
      <c r="O30" s="369"/>
      <c r="P30" s="169"/>
      <c r="Q30" s="157"/>
      <c r="R30" s="166"/>
      <c r="S30" s="369"/>
      <c r="T30" s="370"/>
      <c r="U30" s="157"/>
      <c r="V30" s="166"/>
      <c r="W30" s="369"/>
      <c r="X30" s="370"/>
      <c r="Y30" s="157"/>
      <c r="Z30" s="166"/>
      <c r="AA30" s="369"/>
      <c r="AB30" s="370"/>
      <c r="AC30" s="157"/>
      <c r="AD30" s="166"/>
      <c r="AE30" s="369"/>
      <c r="AF30" s="370"/>
      <c r="AG30" s="157"/>
      <c r="AH30" s="166"/>
      <c r="AI30" s="369"/>
      <c r="AJ30" s="370"/>
      <c r="AK30" s="59"/>
      <c r="AL30" s="166"/>
      <c r="AM30" s="96"/>
      <c r="AN30" s="370"/>
      <c r="AO30" s="59"/>
      <c r="AP30" s="166"/>
      <c r="AQ30" s="369"/>
      <c r="AR30" s="370"/>
      <c r="AS30" s="59"/>
      <c r="AT30" s="166"/>
      <c r="AU30" s="369"/>
      <c r="AV30" s="370"/>
      <c r="AW30" s="59"/>
      <c r="AX30" s="166"/>
      <c r="AY30" s="369"/>
    </row>
    <row r="31" spans="1:51" x14ac:dyDescent="0.35">
      <c r="A31" s="52"/>
      <c r="B31" s="54"/>
      <c r="C31" s="96"/>
      <c r="D31" s="169"/>
      <c r="E31" s="157"/>
      <c r="F31" s="166"/>
      <c r="G31" s="369"/>
      <c r="H31" s="370"/>
      <c r="I31" s="157"/>
      <c r="J31" s="166"/>
      <c r="K31" s="369"/>
      <c r="L31" s="370"/>
      <c r="M31" s="157"/>
      <c r="N31" s="166"/>
      <c r="O31" s="369"/>
      <c r="P31" s="169"/>
      <c r="Q31" s="157"/>
      <c r="R31" s="166"/>
      <c r="S31" s="369"/>
      <c r="T31" s="370"/>
      <c r="U31" s="157"/>
      <c r="V31" s="166"/>
      <c r="W31" s="369"/>
      <c r="X31" s="370"/>
      <c r="Y31" s="157"/>
      <c r="Z31" s="166"/>
      <c r="AA31" s="369"/>
      <c r="AB31" s="370"/>
      <c r="AC31" s="157"/>
      <c r="AD31" s="166"/>
      <c r="AE31" s="369"/>
      <c r="AF31" s="370"/>
      <c r="AG31" s="157"/>
      <c r="AH31" s="166"/>
      <c r="AI31" s="369"/>
      <c r="AJ31" s="370"/>
      <c r="AK31" s="59"/>
      <c r="AL31" s="166"/>
      <c r="AM31" s="96"/>
      <c r="AN31" s="370"/>
      <c r="AO31" s="59"/>
      <c r="AP31" s="166"/>
      <c r="AQ31" s="369"/>
      <c r="AR31" s="370"/>
      <c r="AS31" s="59"/>
      <c r="AT31" s="166"/>
      <c r="AU31" s="369"/>
      <c r="AV31" s="370"/>
      <c r="AW31" s="59"/>
      <c r="AX31" s="166"/>
      <c r="AY31" s="369"/>
    </row>
    <row r="32" spans="1:51" x14ac:dyDescent="0.35">
      <c r="A32" s="52"/>
      <c r="B32" s="54"/>
      <c r="C32" s="96"/>
      <c r="D32" s="169"/>
      <c r="E32" s="59"/>
      <c r="F32" s="166"/>
      <c r="G32" s="369"/>
      <c r="H32" s="169"/>
      <c r="I32" s="59"/>
      <c r="J32" s="166"/>
      <c r="K32" s="369"/>
      <c r="L32" s="169"/>
      <c r="M32" s="59"/>
      <c r="N32" s="166"/>
      <c r="O32" s="369"/>
      <c r="P32" s="169"/>
      <c r="Q32" s="59"/>
      <c r="R32" s="166"/>
      <c r="S32" s="369"/>
      <c r="T32" s="370"/>
      <c r="U32" s="157"/>
      <c r="V32" s="166"/>
      <c r="W32" s="369"/>
      <c r="X32" s="370"/>
      <c r="Y32" s="157"/>
      <c r="Z32" s="166"/>
      <c r="AA32" s="369"/>
      <c r="AB32" s="370"/>
      <c r="AC32" s="157"/>
      <c r="AD32" s="166"/>
      <c r="AE32" s="369"/>
      <c r="AF32" s="370"/>
      <c r="AG32" s="157"/>
      <c r="AH32" s="166"/>
      <c r="AI32" s="369"/>
      <c r="AJ32" s="370"/>
      <c r="AK32" s="59"/>
      <c r="AL32" s="166"/>
      <c r="AM32" s="96"/>
      <c r="AN32" s="370"/>
      <c r="AO32" s="59"/>
      <c r="AP32" s="166"/>
      <c r="AQ32" s="369"/>
      <c r="AR32" s="370"/>
      <c r="AS32" s="59"/>
      <c r="AT32" s="166"/>
      <c r="AU32" s="369"/>
      <c r="AV32" s="370"/>
      <c r="AW32" s="59"/>
      <c r="AX32" s="166"/>
      <c r="AY32" s="369"/>
    </row>
    <row r="33" spans="1:51" x14ac:dyDescent="0.35">
      <c r="A33" s="52"/>
      <c r="B33" s="54"/>
      <c r="C33" s="96"/>
      <c r="D33" s="169"/>
      <c r="E33" s="59"/>
      <c r="F33" s="166"/>
      <c r="G33" s="369"/>
      <c r="H33" s="169"/>
      <c r="I33" s="59"/>
      <c r="J33" s="166"/>
      <c r="K33" s="369"/>
      <c r="L33" s="169"/>
      <c r="M33" s="59"/>
      <c r="N33" s="166"/>
      <c r="O33" s="369"/>
      <c r="P33" s="169"/>
      <c r="Q33" s="59"/>
      <c r="R33" s="166"/>
      <c r="S33" s="369"/>
      <c r="T33" s="370"/>
      <c r="U33" s="157"/>
      <c r="V33" s="166"/>
      <c r="W33" s="369"/>
      <c r="X33" s="370"/>
      <c r="Y33" s="157"/>
      <c r="Z33" s="166"/>
      <c r="AA33" s="369"/>
      <c r="AB33" s="370"/>
      <c r="AC33" s="157"/>
      <c r="AD33" s="166"/>
      <c r="AE33" s="369"/>
      <c r="AF33" s="370"/>
      <c r="AG33" s="157"/>
      <c r="AH33" s="166"/>
      <c r="AI33" s="369"/>
      <c r="AJ33" s="370"/>
      <c r="AK33" s="59"/>
      <c r="AL33" s="166"/>
      <c r="AM33" s="96"/>
      <c r="AN33" s="370"/>
      <c r="AO33" s="59"/>
      <c r="AP33" s="166"/>
      <c r="AQ33" s="369"/>
      <c r="AR33" s="370"/>
      <c r="AS33" s="59"/>
      <c r="AT33" s="166"/>
      <c r="AU33" s="369"/>
      <c r="AV33" s="370"/>
      <c r="AW33" s="59"/>
      <c r="AX33" s="166"/>
      <c r="AY33" s="369"/>
    </row>
    <row r="34" spans="1:51" x14ac:dyDescent="0.35">
      <c r="A34" s="52"/>
      <c r="B34" s="54"/>
      <c r="C34" s="96"/>
      <c r="D34" s="169"/>
      <c r="E34" s="59"/>
      <c r="F34" s="166"/>
      <c r="G34" s="369"/>
      <c r="H34" s="169"/>
      <c r="I34" s="59"/>
      <c r="J34" s="166"/>
      <c r="K34" s="369"/>
      <c r="L34" s="169"/>
      <c r="M34" s="59"/>
      <c r="N34" s="166"/>
      <c r="O34" s="369"/>
      <c r="P34" s="169"/>
      <c r="Q34" s="59"/>
      <c r="R34" s="166"/>
      <c r="S34" s="369"/>
      <c r="T34" s="370"/>
      <c r="U34" s="157"/>
      <c r="V34" s="166"/>
      <c r="W34" s="369"/>
      <c r="X34" s="370"/>
      <c r="Y34" s="157"/>
      <c r="Z34" s="166"/>
      <c r="AA34" s="369"/>
      <c r="AB34" s="370"/>
      <c r="AC34" s="157"/>
      <c r="AD34" s="166"/>
      <c r="AE34" s="369"/>
      <c r="AF34" s="370"/>
      <c r="AG34" s="157"/>
      <c r="AH34" s="166"/>
      <c r="AI34" s="369"/>
      <c r="AJ34" s="370"/>
      <c r="AK34" s="59"/>
      <c r="AL34" s="166"/>
      <c r="AM34" s="96"/>
      <c r="AN34" s="370"/>
      <c r="AO34" s="59"/>
      <c r="AP34" s="166"/>
      <c r="AQ34" s="369"/>
      <c r="AR34" s="370"/>
      <c r="AS34" s="59"/>
      <c r="AT34" s="166"/>
      <c r="AU34" s="369"/>
      <c r="AV34" s="370"/>
      <c r="AW34" s="59"/>
      <c r="AX34" s="166"/>
      <c r="AY34" s="369"/>
    </row>
    <row r="35" spans="1:51" x14ac:dyDescent="0.35">
      <c r="A35" s="52"/>
      <c r="B35" s="54" t="s">
        <v>450</v>
      </c>
      <c r="C35" s="96" t="s">
        <v>37</v>
      </c>
      <c r="D35" s="169"/>
      <c r="E35" s="59" t="s">
        <v>72</v>
      </c>
      <c r="F35" s="166">
        <v>44785</v>
      </c>
      <c r="G35" s="113" t="s">
        <v>71</v>
      </c>
      <c r="H35" s="169"/>
      <c r="I35" s="59" t="s">
        <v>73</v>
      </c>
      <c r="J35" s="166">
        <v>44785</v>
      </c>
      <c r="K35" s="113" t="s">
        <v>71</v>
      </c>
      <c r="L35" s="169"/>
      <c r="M35" s="59" t="s">
        <v>74</v>
      </c>
      <c r="N35" s="166">
        <v>44785</v>
      </c>
      <c r="O35" s="113" t="s">
        <v>71</v>
      </c>
      <c r="P35" s="169"/>
      <c r="Q35" s="59" t="s">
        <v>75</v>
      </c>
      <c r="R35" s="166">
        <v>44785</v>
      </c>
      <c r="S35" s="113" t="s">
        <v>71</v>
      </c>
      <c r="T35" s="370"/>
      <c r="U35" s="157"/>
      <c r="V35" s="166"/>
      <c r="W35" s="369"/>
      <c r="X35" s="370"/>
      <c r="Y35" s="157"/>
      <c r="Z35" s="166"/>
      <c r="AA35" s="369"/>
      <c r="AB35" s="370"/>
      <c r="AC35" s="157"/>
      <c r="AD35" s="166"/>
      <c r="AE35" s="369"/>
      <c r="AF35" s="370"/>
      <c r="AG35" s="157"/>
      <c r="AH35" s="166"/>
      <c r="AI35" s="369"/>
      <c r="AJ35" s="370"/>
      <c r="AK35" s="59"/>
      <c r="AL35" s="166"/>
      <c r="AM35" s="96"/>
      <c r="AN35" s="370"/>
      <c r="AO35" s="59"/>
      <c r="AP35" s="166"/>
      <c r="AQ35" s="369"/>
      <c r="AR35" s="370"/>
      <c r="AS35" s="59"/>
      <c r="AT35" s="166"/>
      <c r="AU35" s="369"/>
      <c r="AV35" s="370"/>
      <c r="AW35" s="59"/>
      <c r="AX35" s="166"/>
      <c r="AY35" s="369"/>
    </row>
    <row r="36" spans="1:51" x14ac:dyDescent="0.35">
      <c r="A36" s="52"/>
      <c r="B36" s="54" t="s">
        <v>451</v>
      </c>
      <c r="C36" s="96" t="s">
        <v>37</v>
      </c>
      <c r="D36" s="169"/>
      <c r="E36" s="59"/>
      <c r="F36" s="166"/>
      <c r="G36" s="96"/>
      <c r="H36" s="169"/>
      <c r="I36" s="59"/>
      <c r="J36" s="166"/>
      <c r="K36" s="96"/>
      <c r="L36" s="169"/>
      <c r="M36" s="59" t="s">
        <v>76</v>
      </c>
      <c r="N36" s="166">
        <v>44813</v>
      </c>
      <c r="O36" s="171" t="s">
        <v>77</v>
      </c>
      <c r="P36" s="169"/>
      <c r="Q36" s="59" t="s">
        <v>78</v>
      </c>
      <c r="R36" s="166">
        <v>44813</v>
      </c>
      <c r="S36" s="171" t="s">
        <v>77</v>
      </c>
      <c r="T36" s="370"/>
      <c r="U36" s="157"/>
      <c r="V36" s="166"/>
      <c r="W36" s="369"/>
      <c r="X36" s="370"/>
      <c r="Y36" s="157"/>
      <c r="Z36" s="166"/>
      <c r="AA36" s="369"/>
      <c r="AB36" s="370"/>
      <c r="AC36" s="157"/>
      <c r="AD36" s="166"/>
      <c r="AE36" s="369"/>
      <c r="AF36" s="370"/>
      <c r="AG36" s="157"/>
      <c r="AH36" s="166"/>
      <c r="AI36" s="369"/>
      <c r="AJ36" s="370"/>
      <c r="AK36" s="59"/>
      <c r="AL36" s="166"/>
      <c r="AM36" s="96"/>
      <c r="AN36" s="370"/>
      <c r="AO36" s="59"/>
      <c r="AP36" s="166"/>
      <c r="AQ36" s="369"/>
      <c r="AR36" s="370"/>
      <c r="AS36" s="59"/>
      <c r="AT36" s="166"/>
      <c r="AU36" s="369"/>
      <c r="AV36" s="370"/>
      <c r="AW36" s="59"/>
      <c r="AX36" s="166"/>
      <c r="AY36" s="369"/>
    </row>
  </sheetData>
  <pageMargins left="0.7" right="0.7" top="0.75" bottom="0.75" header="0.3" footer="0.3"/>
  <pageSetup paperSize="9" orientation="portrait" r:id="rId1"/>
  <headerFooter>
    <oddFooter>&amp;L&amp;1#&amp;"Tahoma"&amp;9&amp;KCF022BC2 – Usage restreint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7C331-2DAC-4138-A4E0-2BEA51CD8426}">
  <sheetPr codeName="Feuil7">
    <tabColor theme="5" tint="-0.499984740745262"/>
  </sheetPr>
  <dimension ref="A1:T46"/>
  <sheetViews>
    <sheetView topLeftCell="A8" workbookViewId="0">
      <selection activeCell="K15" sqref="K15:K19"/>
    </sheetView>
  </sheetViews>
  <sheetFormatPr baseColWidth="10" defaultColWidth="11.453125" defaultRowHeight="14.5" x14ac:dyDescent="0.35"/>
  <cols>
    <col min="1" max="1" width="7.6328125" bestFit="1" customWidth="1"/>
    <col min="2" max="2" width="23.54296875" customWidth="1"/>
    <col min="3" max="9" width="11.453125" style="182"/>
    <col min="10" max="10" width="3.90625" customWidth="1"/>
    <col min="11" max="11" width="56.6328125" customWidth="1"/>
    <col min="12" max="12" width="3.54296875" customWidth="1"/>
    <col min="14" max="14" width="18.453125" bestFit="1" customWidth="1"/>
  </cols>
  <sheetData>
    <row r="1" spans="1:20" s="147" customFormat="1" ht="13.5" customHeight="1" x14ac:dyDescent="0.25">
      <c r="A1" s="525" t="s">
        <v>23</v>
      </c>
      <c r="B1" s="184" t="s">
        <v>325</v>
      </c>
      <c r="C1" s="185">
        <f>COUNTIFS($A$14:$A$45,$A1,C14:C45,$A$10)</f>
        <v>2</v>
      </c>
      <c r="D1" s="185">
        <f>COUNTIFS($A$14:$A$45,$A1,D14:D45,$A$10)</f>
        <v>3</v>
      </c>
      <c r="E1" s="185">
        <f>COUNTIFS($A$14:$A$45,$A1,E14:E45,$A$10)</f>
        <v>3</v>
      </c>
      <c r="F1" s="185">
        <f>COUNTIFS($A$14:$A$45,$A1,F14:F45,$A$10)</f>
        <v>3</v>
      </c>
      <c r="G1" s="185">
        <f>COUNTIFS($A$14:$A$45,$A1,G14:G45,$A$10)</f>
        <v>3</v>
      </c>
      <c r="H1" s="185">
        <f t="shared" ref="H1:I1" si="0">COUNTIFS($A$14:$A$45,$A1,H14:H45,$A$10)</f>
        <v>0</v>
      </c>
      <c r="I1" s="185">
        <f t="shared" si="0"/>
        <v>0</v>
      </c>
    </row>
    <row r="2" spans="1:20" s="147" customFormat="1" ht="13.5" customHeight="1" x14ac:dyDescent="0.25">
      <c r="A2" s="525"/>
      <c r="B2" s="172" t="s">
        <v>176</v>
      </c>
      <c r="C2" s="186">
        <f>1-C3</f>
        <v>0.77777777777777779</v>
      </c>
      <c r="D2" s="186">
        <f>1-D3</f>
        <v>0.66666666666666674</v>
      </c>
      <c r="E2" s="186">
        <f>1-E3</f>
        <v>0.66666666666666674</v>
      </c>
      <c r="F2" s="186">
        <f>1-F3</f>
        <v>0.66666666666666674</v>
      </c>
      <c r="G2" s="186">
        <f>1-G3</f>
        <v>0.66666666666666674</v>
      </c>
      <c r="H2" s="186">
        <f t="shared" ref="H2:I2" si="1">1-H3</f>
        <v>1</v>
      </c>
      <c r="I2" s="186">
        <f t="shared" si="1"/>
        <v>1</v>
      </c>
    </row>
    <row r="3" spans="1:20" s="147" customFormat="1" ht="13.5" customHeight="1" thickBot="1" x14ac:dyDescent="0.3">
      <c r="A3" s="526"/>
      <c r="B3" s="187" t="s">
        <v>177</v>
      </c>
      <c r="C3" s="188">
        <f>C1/(COUNTIF($A$14:$A$45,$A$1))</f>
        <v>0.22222222222222221</v>
      </c>
      <c r="D3" s="188">
        <f>D1/(COUNTIF($A$14:$A$45,$A$1))</f>
        <v>0.33333333333333331</v>
      </c>
      <c r="E3" s="188">
        <f>E1/(COUNTIF($A$14:$A$45,$A$1))</f>
        <v>0.33333333333333331</v>
      </c>
      <c r="F3" s="188">
        <f>F1/(COUNTIF($A$14:$A$45,$A$1))</f>
        <v>0.33333333333333331</v>
      </c>
      <c r="G3" s="188">
        <f>G1/(COUNTIF($A$14:$A$45,$A$1))</f>
        <v>0.33333333333333331</v>
      </c>
      <c r="H3" s="188">
        <f t="shared" ref="H3:I3" si="2">H1/(COUNTIF($A$14:$A$45,$A$1))</f>
        <v>0</v>
      </c>
      <c r="I3" s="188">
        <f t="shared" si="2"/>
        <v>0</v>
      </c>
    </row>
    <row r="4" spans="1:20" s="147" customFormat="1" ht="13.5" customHeight="1" x14ac:dyDescent="0.25">
      <c r="A4" s="525" t="s">
        <v>37</v>
      </c>
      <c r="B4" s="184" t="s">
        <v>325</v>
      </c>
      <c r="C4" s="185">
        <f>COUNTIFS($A$14:$A$45,$A4,C14:C45,$A$10)</f>
        <v>1</v>
      </c>
      <c r="D4" s="185">
        <f>COUNTIFS($A$14:$A$45,$A4,D14:D45,$A$10)</f>
        <v>0</v>
      </c>
      <c r="E4" s="185">
        <f>COUNTIFS($A$14:$A$45,$A4,E14:E45,$A$10)</f>
        <v>2</v>
      </c>
      <c r="F4" s="185">
        <f>COUNTIFS($A$14:$A$45,$A4,F14:F45,$A$10)</f>
        <v>3</v>
      </c>
      <c r="G4" s="185">
        <f>COUNTIFS($A$14:$A$45,$A4,G14:G45,$A$10)</f>
        <v>2</v>
      </c>
      <c r="H4" s="185">
        <f t="shared" ref="H4:I4" si="3">COUNTIFS($A$14:$A$45,$A4,H14:H45,$A$10)</f>
        <v>0</v>
      </c>
      <c r="I4" s="185">
        <f t="shared" si="3"/>
        <v>0</v>
      </c>
    </row>
    <row r="5" spans="1:20" s="147" customFormat="1" ht="13.5" customHeight="1" x14ac:dyDescent="0.25">
      <c r="A5" s="525"/>
      <c r="B5" s="172" t="s">
        <v>176</v>
      </c>
      <c r="C5" s="186">
        <f>1-C6</f>
        <v>0.83333333333333337</v>
      </c>
      <c r="D5" s="186">
        <f>1-D6</f>
        <v>1</v>
      </c>
      <c r="E5" s="186">
        <f>1-E6</f>
        <v>0.66666666666666674</v>
      </c>
      <c r="F5" s="186">
        <f>1-F6</f>
        <v>0.5</v>
      </c>
      <c r="G5" s="186">
        <f>1-G6</f>
        <v>0.66666666666666674</v>
      </c>
      <c r="H5" s="186">
        <f t="shared" ref="H5:I5" si="4">1-H6</f>
        <v>1</v>
      </c>
      <c r="I5" s="186">
        <f t="shared" si="4"/>
        <v>1</v>
      </c>
    </row>
    <row r="6" spans="1:20" s="147" customFormat="1" ht="13.5" customHeight="1" thickBot="1" x14ac:dyDescent="0.3">
      <c r="A6" s="526"/>
      <c r="B6" s="187" t="s">
        <v>177</v>
      </c>
      <c r="C6" s="188">
        <f>C4/(COUNTIF($A$14:$A$45,$A$4))</f>
        <v>0.16666666666666666</v>
      </c>
      <c r="D6" s="188">
        <f>D4/(COUNTIF($A$14:$A$45,$A$4))</f>
        <v>0</v>
      </c>
      <c r="E6" s="188">
        <f>E4/(COUNTIF($A$14:$A$45,$A$4))</f>
        <v>0.33333333333333331</v>
      </c>
      <c r="F6" s="188">
        <f>F4/(COUNTIF($A$14:$A$45,$A$4))</f>
        <v>0.5</v>
      </c>
      <c r="G6" s="188">
        <f>G4/(COUNTIF($A$14:$A$45,$A$4))</f>
        <v>0.33333333333333331</v>
      </c>
      <c r="H6" s="188">
        <f t="shared" ref="H6:I6" si="5">H4/(COUNTIF($A$14:$A$45,$A$4))</f>
        <v>0</v>
      </c>
      <c r="I6" s="188">
        <f t="shared" si="5"/>
        <v>0</v>
      </c>
    </row>
    <row r="7" spans="1:20" s="147" customFormat="1" ht="13.5" customHeight="1" x14ac:dyDescent="0.25">
      <c r="A7" s="529" t="s">
        <v>324</v>
      </c>
      <c r="B7" s="189" t="s">
        <v>325</v>
      </c>
      <c r="C7" s="190">
        <f>COUNTIF(C14:C45,$A$10)</f>
        <v>3</v>
      </c>
      <c r="D7" s="190">
        <f>COUNTIF(D14:D45,$A$10)</f>
        <v>3</v>
      </c>
      <c r="E7" s="190">
        <f>COUNTIF(E14:E45,$A$10)</f>
        <v>5</v>
      </c>
      <c r="F7" s="190">
        <f>COUNTIF(F14:F45,$A$10)</f>
        <v>6</v>
      </c>
      <c r="G7" s="190">
        <f>COUNTIF(G14:G45,$A$10)</f>
        <v>5</v>
      </c>
      <c r="H7" s="190">
        <f t="shared" ref="H7:I7" si="6">COUNTIF(H14:H45,$A$10)</f>
        <v>0</v>
      </c>
      <c r="I7" s="190">
        <f t="shared" si="6"/>
        <v>0</v>
      </c>
    </row>
    <row r="8" spans="1:20" s="147" customFormat="1" ht="13.5" customHeight="1" x14ac:dyDescent="0.25">
      <c r="A8" s="529"/>
      <c r="B8" s="191" t="s">
        <v>176</v>
      </c>
      <c r="C8" s="192">
        <f>1-C9</f>
        <v>0.8</v>
      </c>
      <c r="D8" s="192">
        <f>1-D9</f>
        <v>0.8</v>
      </c>
      <c r="E8" s="192">
        <f>1-E9</f>
        <v>0.66666666666666674</v>
      </c>
      <c r="F8" s="192">
        <f>1-F9</f>
        <v>0.6</v>
      </c>
      <c r="G8" s="192">
        <f>1-G9</f>
        <v>0.66666666666666674</v>
      </c>
      <c r="H8" s="192" t="e">
        <f t="shared" ref="H8:I8" si="7">1-H9</f>
        <v>#DIV/0!</v>
      </c>
      <c r="I8" s="192" t="e">
        <f t="shared" si="7"/>
        <v>#DIV/0!</v>
      </c>
    </row>
    <row r="9" spans="1:20" s="147" customFormat="1" ht="15" customHeight="1" thickBot="1" x14ac:dyDescent="0.3">
      <c r="A9" s="530"/>
      <c r="B9" s="193" t="s">
        <v>177</v>
      </c>
      <c r="C9" s="194">
        <f>C7/COUNTA(C14:C45)</f>
        <v>0.2</v>
      </c>
      <c r="D9" s="194">
        <f>D7/COUNTA(D14:D45)</f>
        <v>0.2</v>
      </c>
      <c r="E9" s="194">
        <f>E7/COUNTA(E14:E45)</f>
        <v>0.33333333333333331</v>
      </c>
      <c r="F9" s="194">
        <f>F7/COUNTA(F14:F45)</f>
        <v>0.4</v>
      </c>
      <c r="G9" s="194">
        <f>G7/COUNTA(G14:G45)</f>
        <v>0.33333333333333331</v>
      </c>
      <c r="H9" s="194" t="e">
        <f t="shared" ref="H9:I9" si="8">H7/COUNTA(H14:H45)</f>
        <v>#DIV/0!</v>
      </c>
      <c r="I9" s="194" t="e">
        <f t="shared" si="8"/>
        <v>#DIV/0!</v>
      </c>
    </row>
    <row r="10" spans="1:20" ht="15" customHeight="1" x14ac:dyDescent="0.35">
      <c r="A10" s="183" t="s">
        <v>184</v>
      </c>
    </row>
    <row r="11" spans="1:20" ht="15" customHeight="1" x14ac:dyDescent="0.35"/>
    <row r="12" spans="1:20" ht="15" customHeight="1" x14ac:dyDescent="0.35"/>
    <row r="13" spans="1:20" ht="15" customHeight="1" x14ac:dyDescent="0.35">
      <c r="C13" s="173" t="s">
        <v>178</v>
      </c>
      <c r="D13" s="173" t="s">
        <v>179</v>
      </c>
      <c r="E13" s="173" t="s">
        <v>180</v>
      </c>
      <c r="F13" s="173" t="s">
        <v>181</v>
      </c>
      <c r="G13" s="173" t="s">
        <v>182</v>
      </c>
      <c r="H13" s="173" t="s">
        <v>462</v>
      </c>
      <c r="I13" s="173" t="s">
        <v>463</v>
      </c>
      <c r="K13" s="174" t="s">
        <v>183</v>
      </c>
      <c r="L13" s="175"/>
      <c r="M13" s="176" t="s">
        <v>184</v>
      </c>
      <c r="N13" s="175" t="s">
        <v>185</v>
      </c>
      <c r="O13" s="175"/>
      <c r="P13" s="175"/>
      <c r="Q13" s="175"/>
      <c r="R13" s="175"/>
      <c r="S13" s="175"/>
      <c r="T13" s="175"/>
    </row>
    <row r="14" spans="1:20" x14ac:dyDescent="0.35">
      <c r="A14" s="177" t="s">
        <v>23</v>
      </c>
      <c r="B14" s="177" t="s">
        <v>461</v>
      </c>
      <c r="C14" s="176" t="s">
        <v>186</v>
      </c>
      <c r="D14" s="176" t="s">
        <v>186</v>
      </c>
      <c r="E14" s="176" t="s">
        <v>184</v>
      </c>
      <c r="F14" s="176" t="s">
        <v>184</v>
      </c>
      <c r="G14" s="176" t="s">
        <v>186</v>
      </c>
      <c r="H14" s="176"/>
      <c r="I14" s="176"/>
      <c r="K14" s="178"/>
      <c r="L14" s="175"/>
      <c r="M14" s="176" t="s">
        <v>186</v>
      </c>
      <c r="N14" s="175" t="s">
        <v>187</v>
      </c>
      <c r="O14" s="175"/>
      <c r="P14" s="175"/>
      <c r="Q14" s="175"/>
      <c r="R14" s="175"/>
      <c r="S14" s="175"/>
      <c r="T14" s="175"/>
    </row>
    <row r="15" spans="1:20" x14ac:dyDescent="0.35">
      <c r="A15" s="177" t="s">
        <v>23</v>
      </c>
      <c r="B15" s="177"/>
      <c r="C15" s="176" t="s">
        <v>186</v>
      </c>
      <c r="D15" s="176" t="s">
        <v>186</v>
      </c>
      <c r="E15" s="176" t="s">
        <v>186</v>
      </c>
      <c r="F15" s="176" t="s">
        <v>184</v>
      </c>
      <c r="G15" s="176" t="s">
        <v>184</v>
      </c>
      <c r="H15" s="176"/>
      <c r="I15" s="176"/>
      <c r="K15" s="527" t="s">
        <v>188</v>
      </c>
      <c r="L15" s="175"/>
      <c r="M15" s="175"/>
      <c r="N15" s="175"/>
      <c r="O15" s="175"/>
      <c r="P15" s="175"/>
      <c r="Q15" s="175"/>
      <c r="R15" s="175"/>
      <c r="S15" s="175"/>
      <c r="T15" s="175"/>
    </row>
    <row r="16" spans="1:20" x14ac:dyDescent="0.35">
      <c r="A16" s="177" t="s">
        <v>23</v>
      </c>
      <c r="B16" s="177"/>
      <c r="C16" s="176" t="s">
        <v>186</v>
      </c>
      <c r="D16" s="176" t="s">
        <v>186</v>
      </c>
      <c r="E16" s="176" t="s">
        <v>186</v>
      </c>
      <c r="F16" s="176" t="s">
        <v>186</v>
      </c>
      <c r="G16" s="176" t="s">
        <v>186</v>
      </c>
      <c r="H16" s="176"/>
      <c r="I16" s="176"/>
      <c r="K16" s="527"/>
      <c r="L16" s="175"/>
      <c r="M16" s="175"/>
      <c r="N16" s="175"/>
      <c r="O16" s="175"/>
      <c r="P16" s="175"/>
      <c r="Q16" s="175"/>
      <c r="R16" s="175"/>
      <c r="S16" s="175"/>
      <c r="T16" s="175"/>
    </row>
    <row r="17" spans="1:20" x14ac:dyDescent="0.35">
      <c r="A17" s="177" t="s">
        <v>23</v>
      </c>
      <c r="B17" s="177"/>
      <c r="C17" s="176" t="s">
        <v>186</v>
      </c>
      <c r="D17" s="176" t="s">
        <v>184</v>
      </c>
      <c r="E17" s="176" t="s">
        <v>184</v>
      </c>
      <c r="F17" s="176" t="s">
        <v>186</v>
      </c>
      <c r="G17" s="176" t="s">
        <v>186</v>
      </c>
      <c r="H17" s="176"/>
      <c r="I17" s="176"/>
      <c r="K17" s="527"/>
      <c r="L17" s="175"/>
      <c r="M17" s="175"/>
      <c r="N17" s="175"/>
      <c r="O17" s="175"/>
      <c r="P17" s="175"/>
      <c r="Q17" s="175"/>
      <c r="R17" s="175"/>
      <c r="S17" s="175"/>
      <c r="T17" s="175"/>
    </row>
    <row r="18" spans="1:20" x14ac:dyDescent="0.35">
      <c r="A18" s="177" t="s">
        <v>23</v>
      </c>
      <c r="B18" s="177"/>
      <c r="C18" s="176" t="s">
        <v>186</v>
      </c>
      <c r="D18" s="176" t="s">
        <v>184</v>
      </c>
      <c r="E18" s="176" t="s">
        <v>184</v>
      </c>
      <c r="F18" s="176" t="s">
        <v>186</v>
      </c>
      <c r="G18" s="176" t="s">
        <v>186</v>
      </c>
      <c r="H18" s="176"/>
      <c r="I18" s="176"/>
      <c r="K18" s="527"/>
      <c r="L18" s="175"/>
      <c r="M18" s="175"/>
      <c r="N18" s="175"/>
      <c r="O18" s="175"/>
      <c r="P18" s="175"/>
      <c r="Q18" s="175"/>
      <c r="R18" s="175"/>
      <c r="S18" s="175"/>
      <c r="T18" s="175"/>
    </row>
    <row r="19" spans="1:20" x14ac:dyDescent="0.35">
      <c r="A19" s="177" t="s">
        <v>23</v>
      </c>
      <c r="B19" s="177"/>
      <c r="C19" s="176" t="s">
        <v>184</v>
      </c>
      <c r="D19" s="176" t="s">
        <v>186</v>
      </c>
      <c r="E19" s="176" t="s">
        <v>186</v>
      </c>
      <c r="F19" s="176" t="s">
        <v>186</v>
      </c>
      <c r="G19" s="176" t="s">
        <v>184</v>
      </c>
      <c r="H19" s="176"/>
      <c r="I19" s="176"/>
      <c r="K19" s="527"/>
      <c r="L19" s="175"/>
      <c r="M19" s="175"/>
      <c r="N19" s="175"/>
      <c r="O19" s="175"/>
      <c r="P19" s="175"/>
      <c r="Q19" s="175"/>
      <c r="R19" s="175"/>
      <c r="S19" s="175"/>
      <c r="T19" s="175"/>
    </row>
    <row r="20" spans="1:20" x14ac:dyDescent="0.35">
      <c r="A20" s="177" t="s">
        <v>23</v>
      </c>
      <c r="B20" s="177"/>
      <c r="C20" s="176" t="s">
        <v>186</v>
      </c>
      <c r="D20" s="176" t="s">
        <v>186</v>
      </c>
      <c r="E20" s="176" t="s">
        <v>186</v>
      </c>
      <c r="F20" s="176" t="s">
        <v>184</v>
      </c>
      <c r="G20" s="176" t="s">
        <v>184</v>
      </c>
      <c r="H20" s="176"/>
      <c r="I20" s="176"/>
      <c r="K20" s="179"/>
      <c r="L20" s="175"/>
      <c r="M20" s="175"/>
      <c r="N20" s="175"/>
      <c r="O20" s="175"/>
      <c r="P20" s="175"/>
      <c r="Q20" s="175"/>
      <c r="R20" s="175"/>
      <c r="S20" s="175"/>
      <c r="T20" s="175"/>
    </row>
    <row r="21" spans="1:20" x14ac:dyDescent="0.35">
      <c r="A21" s="177" t="s">
        <v>23</v>
      </c>
      <c r="B21" s="177"/>
      <c r="C21" s="176" t="s">
        <v>184</v>
      </c>
      <c r="D21" s="176" t="s">
        <v>184</v>
      </c>
      <c r="E21" s="176" t="s">
        <v>186</v>
      </c>
      <c r="F21" s="176" t="s">
        <v>186</v>
      </c>
      <c r="G21" s="176" t="s">
        <v>186</v>
      </c>
      <c r="H21" s="176"/>
      <c r="I21" s="176"/>
      <c r="K21" s="528" t="s">
        <v>189</v>
      </c>
      <c r="L21" s="175"/>
      <c r="M21" s="175"/>
      <c r="N21" s="175"/>
      <c r="O21" s="175"/>
      <c r="P21" s="175"/>
      <c r="Q21" s="175"/>
      <c r="R21" s="175"/>
      <c r="S21" s="175"/>
      <c r="T21" s="175"/>
    </row>
    <row r="22" spans="1:20" x14ac:dyDescent="0.35">
      <c r="A22" s="177" t="s">
        <v>23</v>
      </c>
      <c r="B22" s="177"/>
      <c r="C22" s="176" t="s">
        <v>186</v>
      </c>
      <c r="D22" s="176" t="s">
        <v>186</v>
      </c>
      <c r="E22" s="176" t="s">
        <v>186</v>
      </c>
      <c r="F22" s="176" t="s">
        <v>186</v>
      </c>
      <c r="G22" s="176" t="s">
        <v>186</v>
      </c>
      <c r="H22" s="176"/>
      <c r="I22" s="176"/>
      <c r="K22" s="528"/>
      <c r="L22" s="175"/>
      <c r="M22" s="175"/>
      <c r="N22" s="175"/>
      <c r="O22" s="175"/>
      <c r="P22" s="175"/>
      <c r="Q22" s="175"/>
      <c r="R22" s="175"/>
      <c r="S22" s="175"/>
      <c r="T22" s="175"/>
    </row>
    <row r="23" spans="1:20" x14ac:dyDescent="0.35">
      <c r="A23" s="177" t="s">
        <v>37</v>
      </c>
      <c r="B23" s="177"/>
      <c r="C23" s="176" t="s">
        <v>184</v>
      </c>
      <c r="D23" s="176" t="s">
        <v>186</v>
      </c>
      <c r="E23" s="176" t="s">
        <v>186</v>
      </c>
      <c r="F23" s="176" t="s">
        <v>186</v>
      </c>
      <c r="G23" s="176" t="s">
        <v>184</v>
      </c>
      <c r="H23" s="176"/>
      <c r="I23" s="176"/>
      <c r="K23" s="528"/>
      <c r="L23" s="175"/>
      <c r="M23" s="175"/>
      <c r="N23" s="175"/>
      <c r="O23" s="175"/>
      <c r="P23" s="175"/>
      <c r="Q23" s="175"/>
      <c r="R23" s="175"/>
      <c r="S23" s="175"/>
      <c r="T23" s="175"/>
    </row>
    <row r="24" spans="1:20" x14ac:dyDescent="0.35">
      <c r="A24" s="177" t="s">
        <v>37</v>
      </c>
      <c r="B24" s="177"/>
      <c r="C24" s="176" t="s">
        <v>186</v>
      </c>
      <c r="D24" s="176" t="s">
        <v>186</v>
      </c>
      <c r="E24" s="176" t="s">
        <v>184</v>
      </c>
      <c r="F24" s="176" t="s">
        <v>184</v>
      </c>
      <c r="G24" s="176" t="s">
        <v>186</v>
      </c>
      <c r="H24" s="176"/>
      <c r="I24" s="176"/>
      <c r="K24" s="179"/>
      <c r="L24" s="175"/>
      <c r="M24" s="175"/>
      <c r="N24" s="180"/>
      <c r="O24" s="175"/>
      <c r="P24" s="175"/>
      <c r="Q24" s="175"/>
      <c r="R24" s="175"/>
      <c r="S24" s="175"/>
      <c r="T24" s="175"/>
    </row>
    <row r="25" spans="1:20" x14ac:dyDescent="0.35">
      <c r="A25" s="177" t="s">
        <v>37</v>
      </c>
      <c r="B25" s="177"/>
      <c r="C25" s="176" t="s">
        <v>186</v>
      </c>
      <c r="D25" s="176" t="s">
        <v>186</v>
      </c>
      <c r="E25" s="176" t="s">
        <v>186</v>
      </c>
      <c r="F25" s="176" t="s">
        <v>186</v>
      </c>
      <c r="G25" s="176" t="s">
        <v>186</v>
      </c>
      <c r="H25" s="176"/>
      <c r="I25" s="176"/>
      <c r="K25" s="179" t="s">
        <v>190</v>
      </c>
      <c r="L25" s="175"/>
      <c r="M25" s="175"/>
      <c r="N25" s="175"/>
      <c r="O25" s="175"/>
      <c r="P25" s="175"/>
      <c r="Q25" s="175"/>
      <c r="R25" s="175"/>
      <c r="S25" s="175"/>
      <c r="T25" s="175"/>
    </row>
    <row r="26" spans="1:20" x14ac:dyDescent="0.35">
      <c r="A26" s="177" t="s">
        <v>37</v>
      </c>
      <c r="B26" s="177"/>
      <c r="C26" s="176" t="s">
        <v>186</v>
      </c>
      <c r="D26" s="176" t="s">
        <v>186</v>
      </c>
      <c r="E26" s="176" t="s">
        <v>186</v>
      </c>
      <c r="F26" s="176" t="s">
        <v>184</v>
      </c>
      <c r="G26" s="176" t="s">
        <v>186</v>
      </c>
      <c r="H26" s="176"/>
      <c r="I26" s="176"/>
      <c r="K26" s="179" t="s">
        <v>191</v>
      </c>
      <c r="L26" s="175"/>
      <c r="M26" s="175"/>
      <c r="N26" s="175"/>
      <c r="O26" s="175"/>
      <c r="P26" s="175"/>
      <c r="Q26" s="175"/>
      <c r="R26" s="175"/>
      <c r="S26" s="175"/>
      <c r="T26" s="175"/>
    </row>
    <row r="27" spans="1:20" x14ac:dyDescent="0.35">
      <c r="A27" s="177" t="s">
        <v>37</v>
      </c>
      <c r="B27" s="177"/>
      <c r="C27" s="176" t="s">
        <v>186</v>
      </c>
      <c r="D27" s="176" t="s">
        <v>186</v>
      </c>
      <c r="E27" s="176" t="s">
        <v>186</v>
      </c>
      <c r="F27" s="176" t="s">
        <v>186</v>
      </c>
      <c r="G27" s="176" t="s">
        <v>184</v>
      </c>
      <c r="H27" s="176"/>
      <c r="I27" s="176"/>
      <c r="K27" s="179"/>
      <c r="L27" s="175"/>
      <c r="M27" s="175"/>
      <c r="N27" s="175"/>
      <c r="O27" s="175"/>
      <c r="P27" s="175"/>
      <c r="Q27" s="175"/>
      <c r="R27" s="175"/>
      <c r="S27" s="175"/>
      <c r="T27" s="175"/>
    </row>
    <row r="28" spans="1:20" x14ac:dyDescent="0.35">
      <c r="A28" s="177"/>
      <c r="B28" s="177"/>
      <c r="C28" s="176"/>
      <c r="D28" s="176"/>
      <c r="E28" s="176"/>
      <c r="F28" s="176"/>
      <c r="G28" s="176"/>
      <c r="H28" s="176"/>
      <c r="I28" s="176"/>
      <c r="K28" s="179"/>
      <c r="L28" s="175"/>
      <c r="M28" s="175"/>
      <c r="N28" s="175"/>
      <c r="O28" s="175"/>
      <c r="P28" s="175"/>
      <c r="Q28" s="175"/>
      <c r="R28" s="175"/>
      <c r="S28" s="175"/>
      <c r="T28" s="175"/>
    </row>
    <row r="29" spans="1:20" x14ac:dyDescent="0.35">
      <c r="A29" s="177"/>
      <c r="B29" s="177"/>
      <c r="C29" s="176"/>
      <c r="D29" s="176"/>
      <c r="E29" s="176"/>
      <c r="F29" s="176"/>
      <c r="G29" s="176"/>
      <c r="H29" s="176"/>
      <c r="I29" s="176"/>
      <c r="K29" s="179"/>
      <c r="L29" s="175"/>
      <c r="M29" s="175"/>
      <c r="N29" s="175"/>
      <c r="O29" s="175"/>
      <c r="P29" s="175"/>
      <c r="Q29" s="175"/>
      <c r="R29" s="175"/>
      <c r="S29" s="175"/>
      <c r="T29" s="175"/>
    </row>
    <row r="30" spans="1:20" x14ac:dyDescent="0.35">
      <c r="A30" s="177"/>
      <c r="B30" s="177"/>
      <c r="C30" s="176"/>
      <c r="D30" s="176"/>
      <c r="E30" s="176"/>
      <c r="F30" s="176"/>
      <c r="G30" s="176"/>
      <c r="H30" s="176"/>
      <c r="I30" s="176"/>
      <c r="K30" s="179"/>
      <c r="L30" s="175"/>
      <c r="M30" s="175"/>
      <c r="N30" s="175"/>
      <c r="O30" s="175"/>
      <c r="P30" s="175"/>
      <c r="Q30" s="175"/>
      <c r="R30" s="175"/>
      <c r="S30" s="175"/>
      <c r="T30" s="175"/>
    </row>
    <row r="31" spans="1:20" x14ac:dyDescent="0.35">
      <c r="A31" s="177"/>
      <c r="B31" s="177"/>
      <c r="C31" s="176"/>
      <c r="D31" s="176"/>
      <c r="E31" s="176"/>
      <c r="F31" s="176"/>
      <c r="G31" s="176"/>
      <c r="H31" s="176"/>
      <c r="I31" s="176"/>
      <c r="K31" s="179"/>
      <c r="L31" s="175"/>
      <c r="M31" s="175"/>
      <c r="N31" s="175"/>
      <c r="O31" s="175"/>
      <c r="P31" s="175"/>
      <c r="Q31" s="175"/>
      <c r="R31" s="175"/>
      <c r="S31" s="175"/>
      <c r="T31" s="175"/>
    </row>
    <row r="32" spans="1:20" x14ac:dyDescent="0.35">
      <c r="A32" s="177"/>
      <c r="B32" s="177"/>
      <c r="C32" s="176"/>
      <c r="D32" s="176"/>
      <c r="E32" s="176"/>
      <c r="F32" s="176"/>
      <c r="G32" s="176"/>
      <c r="H32" s="176"/>
      <c r="I32" s="176"/>
      <c r="K32" s="179"/>
      <c r="L32" s="175"/>
      <c r="M32" s="175"/>
      <c r="N32" s="175"/>
      <c r="O32" s="175"/>
      <c r="P32" s="175"/>
      <c r="Q32" s="175"/>
      <c r="R32" s="175"/>
      <c r="S32" s="175"/>
      <c r="T32" s="175"/>
    </row>
    <row r="33" spans="1:20" x14ac:dyDescent="0.35">
      <c r="A33" s="177"/>
      <c r="B33" s="177"/>
      <c r="C33" s="176"/>
      <c r="D33" s="176"/>
      <c r="E33" s="176"/>
      <c r="F33" s="176"/>
      <c r="G33" s="176"/>
      <c r="H33" s="176"/>
      <c r="I33" s="176"/>
      <c r="K33" s="179"/>
      <c r="L33" s="175"/>
      <c r="M33" s="175"/>
      <c r="N33" s="175"/>
      <c r="O33" s="175"/>
      <c r="P33" s="175"/>
      <c r="Q33" s="175"/>
      <c r="R33" s="175"/>
      <c r="S33" s="175"/>
      <c r="T33" s="175"/>
    </row>
    <row r="34" spans="1:20" x14ac:dyDescent="0.35">
      <c r="A34" s="177"/>
      <c r="B34" s="177"/>
      <c r="C34" s="176"/>
      <c r="D34" s="176"/>
      <c r="E34" s="176"/>
      <c r="F34" s="176"/>
      <c r="G34" s="176"/>
      <c r="H34" s="176"/>
      <c r="I34" s="176"/>
      <c r="K34" s="179"/>
      <c r="L34" s="175"/>
      <c r="M34" s="175"/>
      <c r="N34" s="175"/>
      <c r="O34" s="175"/>
      <c r="P34" s="175"/>
      <c r="Q34" s="175"/>
      <c r="R34" s="175"/>
      <c r="S34" s="175"/>
      <c r="T34" s="175"/>
    </row>
    <row r="35" spans="1:20" x14ac:dyDescent="0.35">
      <c r="A35" s="177"/>
      <c r="B35" s="177"/>
      <c r="C35" s="176"/>
      <c r="D35" s="176"/>
      <c r="E35" s="176"/>
      <c r="F35" s="176"/>
      <c r="G35" s="176"/>
      <c r="H35" s="176"/>
      <c r="I35" s="176"/>
      <c r="K35" s="179"/>
      <c r="L35" s="175"/>
      <c r="M35" s="175"/>
      <c r="N35" s="175"/>
      <c r="O35" s="175"/>
      <c r="P35" s="175"/>
      <c r="Q35" s="175"/>
      <c r="R35" s="175"/>
      <c r="S35" s="175"/>
      <c r="T35" s="175"/>
    </row>
    <row r="36" spans="1:20" x14ac:dyDescent="0.35">
      <c r="A36" s="177"/>
      <c r="B36" s="177"/>
      <c r="C36" s="176"/>
      <c r="D36" s="176"/>
      <c r="E36" s="176"/>
      <c r="F36" s="176"/>
      <c r="G36" s="176"/>
      <c r="H36" s="176"/>
      <c r="I36" s="176"/>
      <c r="K36" s="179"/>
      <c r="L36" s="175"/>
      <c r="M36" s="175"/>
      <c r="N36" s="175"/>
      <c r="O36" s="175"/>
      <c r="P36" s="175"/>
      <c r="Q36" s="175"/>
      <c r="R36" s="175"/>
      <c r="S36" s="175"/>
      <c r="T36" s="175"/>
    </row>
    <row r="37" spans="1:20" x14ac:dyDescent="0.35">
      <c r="A37" s="177"/>
      <c r="B37" s="177"/>
      <c r="C37" s="176"/>
      <c r="D37" s="176"/>
      <c r="E37" s="176"/>
      <c r="F37" s="176"/>
      <c r="G37" s="176"/>
      <c r="H37" s="176"/>
      <c r="I37" s="176"/>
      <c r="K37" s="179"/>
      <c r="L37" s="175"/>
      <c r="M37" s="175"/>
      <c r="N37" s="175"/>
      <c r="O37" s="175"/>
      <c r="P37" s="175"/>
      <c r="Q37" s="175"/>
      <c r="R37" s="175"/>
      <c r="S37" s="175"/>
      <c r="T37" s="175"/>
    </row>
    <row r="38" spans="1:20" x14ac:dyDescent="0.35">
      <c r="A38" s="177"/>
      <c r="B38" s="177"/>
      <c r="C38" s="176"/>
      <c r="D38" s="176"/>
      <c r="E38" s="176"/>
      <c r="F38" s="176"/>
      <c r="G38" s="176"/>
      <c r="H38" s="176"/>
      <c r="I38" s="176"/>
      <c r="K38" s="179"/>
      <c r="L38" s="175"/>
      <c r="M38" s="175"/>
      <c r="N38" s="175"/>
      <c r="O38" s="175"/>
      <c r="P38" s="175"/>
      <c r="Q38" s="175"/>
      <c r="R38" s="175"/>
      <c r="S38" s="175"/>
      <c r="T38" s="175"/>
    </row>
    <row r="39" spans="1:20" x14ac:dyDescent="0.35">
      <c r="A39" s="177"/>
      <c r="B39" s="177"/>
      <c r="C39" s="176"/>
      <c r="D39" s="176"/>
      <c r="E39" s="176"/>
      <c r="F39" s="176"/>
      <c r="G39" s="176"/>
      <c r="H39" s="176"/>
      <c r="I39" s="176"/>
      <c r="K39" s="179"/>
      <c r="L39" s="175"/>
      <c r="M39" s="175"/>
      <c r="N39" s="175"/>
      <c r="O39" s="175"/>
      <c r="P39" s="175"/>
      <c r="Q39" s="175"/>
      <c r="R39" s="175"/>
      <c r="S39" s="175"/>
      <c r="T39" s="175"/>
    </row>
    <row r="40" spans="1:20" x14ac:dyDescent="0.35">
      <c r="A40" s="177"/>
      <c r="B40" s="177"/>
      <c r="C40" s="176"/>
      <c r="D40" s="176"/>
      <c r="E40" s="176"/>
      <c r="F40" s="176"/>
      <c r="G40" s="176"/>
      <c r="H40" s="176"/>
      <c r="I40" s="176"/>
      <c r="K40" s="179"/>
      <c r="L40" s="175"/>
      <c r="M40" s="175"/>
      <c r="N40" s="175"/>
      <c r="O40" s="175"/>
      <c r="P40" s="175"/>
      <c r="Q40" s="175"/>
      <c r="R40" s="175"/>
      <c r="S40" s="175"/>
      <c r="T40" s="175"/>
    </row>
    <row r="41" spans="1:20" x14ac:dyDescent="0.35">
      <c r="A41" s="177"/>
      <c r="B41" s="177"/>
      <c r="C41" s="176"/>
      <c r="D41" s="176"/>
      <c r="E41" s="176"/>
      <c r="F41" s="176"/>
      <c r="G41" s="176"/>
      <c r="H41" s="176"/>
      <c r="I41" s="176"/>
      <c r="K41" s="179"/>
      <c r="L41" s="175"/>
      <c r="M41" s="175"/>
      <c r="N41" s="175"/>
      <c r="O41" s="175"/>
      <c r="P41" s="175"/>
      <c r="Q41" s="175"/>
      <c r="R41" s="175"/>
      <c r="S41" s="175"/>
      <c r="T41" s="175"/>
    </row>
    <row r="42" spans="1:20" x14ac:dyDescent="0.35">
      <c r="A42" s="177"/>
      <c r="B42" s="177"/>
      <c r="C42" s="176"/>
      <c r="D42" s="176"/>
      <c r="E42" s="176"/>
      <c r="F42" s="176"/>
      <c r="G42" s="176"/>
      <c r="H42" s="176"/>
      <c r="I42" s="176"/>
      <c r="K42" s="179"/>
      <c r="L42" s="175"/>
      <c r="M42" s="175"/>
      <c r="N42" s="175"/>
      <c r="O42" s="175"/>
      <c r="P42" s="175"/>
      <c r="Q42" s="175"/>
      <c r="R42" s="175"/>
      <c r="S42" s="175"/>
      <c r="T42" s="175"/>
    </row>
    <row r="43" spans="1:20" x14ac:dyDescent="0.35">
      <c r="A43" s="177"/>
      <c r="B43" s="177"/>
      <c r="C43" s="176"/>
      <c r="D43" s="176"/>
      <c r="E43" s="176"/>
      <c r="F43" s="176"/>
      <c r="G43" s="176"/>
      <c r="H43" s="176"/>
      <c r="I43" s="176"/>
      <c r="K43" s="179"/>
      <c r="L43" s="175"/>
      <c r="M43" s="175"/>
      <c r="N43" s="175"/>
      <c r="O43" s="175"/>
      <c r="P43" s="175"/>
      <c r="Q43" s="175"/>
      <c r="R43" s="175"/>
      <c r="S43" s="175"/>
      <c r="T43" s="175"/>
    </row>
    <row r="44" spans="1:20" x14ac:dyDescent="0.35">
      <c r="A44" s="177"/>
      <c r="B44" s="177"/>
      <c r="C44" s="176"/>
      <c r="D44" s="176"/>
      <c r="E44" s="176"/>
      <c r="F44" s="176"/>
      <c r="G44" s="176"/>
      <c r="H44" s="176"/>
      <c r="I44" s="176"/>
      <c r="K44" s="179"/>
      <c r="L44" s="175"/>
      <c r="M44" s="175"/>
      <c r="N44" s="175"/>
      <c r="O44" s="175"/>
      <c r="P44" s="175"/>
      <c r="Q44" s="175"/>
      <c r="R44" s="175"/>
      <c r="S44" s="175"/>
      <c r="T44" s="175"/>
    </row>
    <row r="45" spans="1:20" x14ac:dyDescent="0.35">
      <c r="A45" s="177" t="s">
        <v>37</v>
      </c>
      <c r="B45" s="177"/>
      <c r="C45" s="176" t="s">
        <v>186</v>
      </c>
      <c r="D45" s="176" t="s">
        <v>186</v>
      </c>
      <c r="E45" s="176" t="s">
        <v>184</v>
      </c>
      <c r="F45" s="176" t="s">
        <v>184</v>
      </c>
      <c r="G45" s="176" t="s">
        <v>186</v>
      </c>
      <c r="H45" s="176"/>
      <c r="I45" s="176"/>
      <c r="K45" s="181"/>
      <c r="L45" s="175"/>
      <c r="M45" s="175"/>
      <c r="N45" s="175"/>
      <c r="O45" s="175"/>
      <c r="P45" s="175"/>
      <c r="Q45" s="175"/>
      <c r="R45" s="175"/>
      <c r="S45" s="175"/>
      <c r="T45" s="175"/>
    </row>
    <row r="46" spans="1:20" x14ac:dyDescent="0.35">
      <c r="L46" s="175"/>
      <c r="M46" s="175"/>
      <c r="N46" s="175"/>
      <c r="O46" s="175"/>
      <c r="P46" s="175"/>
      <c r="Q46" s="175"/>
      <c r="R46" s="175"/>
      <c r="S46" s="175"/>
      <c r="T46" s="175"/>
    </row>
  </sheetData>
  <sheetProtection pivotTables="0"/>
  <mergeCells count="5">
    <mergeCell ref="A1:A3"/>
    <mergeCell ref="K15:K19"/>
    <mergeCell ref="K21:K23"/>
    <mergeCell ref="A7:A9"/>
    <mergeCell ref="A4:A6"/>
  </mergeCells>
  <phoneticPr fontId="1" type="noConversion"/>
  <conditionalFormatting sqref="C14:I18 C20:I44">
    <cfRule type="cellIs" dxfId="76" priority="32" operator="equal">
      <formula>"Site"</formula>
    </cfRule>
    <cfRule type="cellIs" dxfId="75" priority="34" operator="equal">
      <formula>"TTR"</formula>
    </cfRule>
  </conditionalFormatting>
  <conditionalFormatting sqref="M13">
    <cfRule type="cellIs" dxfId="74" priority="33" operator="equal">
      <formula>"TTR"</formula>
    </cfRule>
  </conditionalFormatting>
  <conditionalFormatting sqref="M14">
    <cfRule type="cellIs" dxfId="73" priority="30" operator="equal">
      <formula>"Site"</formula>
    </cfRule>
    <cfRule type="cellIs" dxfId="72" priority="31" operator="equal">
      <formula>"TTR"</formula>
    </cfRule>
  </conditionalFormatting>
  <conditionalFormatting sqref="B8">
    <cfRule type="cellIs" dxfId="71" priority="29" operator="equal">
      <formula>"TTR"</formula>
    </cfRule>
  </conditionalFormatting>
  <conditionalFormatting sqref="B9">
    <cfRule type="cellIs" dxfId="70" priority="27" operator="equal">
      <formula>"Site"</formula>
    </cfRule>
    <cfRule type="cellIs" dxfId="69" priority="28" operator="equal">
      <formula>"TTR"</formula>
    </cfRule>
  </conditionalFormatting>
  <conditionalFormatting sqref="D19:F19">
    <cfRule type="cellIs" dxfId="68" priority="19" operator="equal">
      <formula>"Site"</formula>
    </cfRule>
    <cfRule type="cellIs" dxfId="67" priority="20" operator="equal">
      <formula>"TTR"</formula>
    </cfRule>
  </conditionalFormatting>
  <conditionalFormatting sqref="G19 I19">
    <cfRule type="cellIs" dxfId="66" priority="12" operator="equal">
      <formula>"TTR"</formula>
    </cfRule>
  </conditionalFormatting>
  <conditionalFormatting sqref="C19">
    <cfRule type="cellIs" dxfId="65" priority="11" operator="equal">
      <formula>"TTR"</formula>
    </cfRule>
  </conditionalFormatting>
  <conditionalFormatting sqref="C45:I45">
    <cfRule type="cellIs" dxfId="64" priority="9" operator="equal">
      <formula>"Site"</formula>
    </cfRule>
    <cfRule type="cellIs" dxfId="63" priority="10" operator="equal">
      <formula>"TTR"</formula>
    </cfRule>
  </conditionalFormatting>
  <conditionalFormatting sqref="B2">
    <cfRule type="cellIs" dxfId="62" priority="8" operator="equal">
      <formula>"TTR"</formula>
    </cfRule>
  </conditionalFormatting>
  <conditionalFormatting sqref="B3">
    <cfRule type="cellIs" dxfId="61" priority="6" operator="equal">
      <formula>"Site"</formula>
    </cfRule>
    <cfRule type="cellIs" dxfId="60" priority="7" operator="equal">
      <formula>"TTR"</formula>
    </cfRule>
  </conditionalFormatting>
  <conditionalFormatting sqref="B5">
    <cfRule type="cellIs" dxfId="59" priority="5" operator="equal">
      <formula>"TTR"</formula>
    </cfRule>
  </conditionalFormatting>
  <conditionalFormatting sqref="B6">
    <cfRule type="cellIs" dxfId="58" priority="3" operator="equal">
      <formula>"Site"</formula>
    </cfRule>
    <cfRule type="cellIs" dxfId="57" priority="4" operator="equal">
      <formula>"TTR"</formula>
    </cfRule>
  </conditionalFormatting>
  <conditionalFormatting sqref="H19">
    <cfRule type="cellIs" dxfId="56" priority="1" operator="equal">
      <formula>"TTR"</formula>
    </cfRule>
  </conditionalFormatting>
  <pageMargins left="0.7" right="0.7" top="0.75" bottom="0.75" header="0.3" footer="0.3"/>
  <pageSetup paperSize="9" orientation="portrait" r:id="rId1"/>
  <headerFooter>
    <oddFooter>&amp;L&amp;1#&amp;"Tahoma"&amp;9&amp;KCF022BC2 – Usage restreint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ErrorMessage="1" xr:uid="{B22C0EE3-6290-40A3-A08E-EE3F6C669613}">
          <x14:formula1>
            <xm:f>'SYNTHESE-23'!$B$5:$B$38</xm:f>
          </x14:formula1>
          <xm:sqref>B14:B57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FF1FE-077D-4C4C-B6A1-24ECEEA07078}">
  <sheetPr codeName="Feuil8">
    <tabColor rgb="FFFF0000"/>
  </sheetPr>
  <dimension ref="A1:BZ173"/>
  <sheetViews>
    <sheetView showGridLines="0" zoomScaleNormal="100" workbookViewId="0">
      <selection activeCell="D25" sqref="D25"/>
    </sheetView>
  </sheetViews>
  <sheetFormatPr baseColWidth="10" defaultColWidth="11.453125" defaultRowHeight="12.5" outlineLevelRow="1" x14ac:dyDescent="0.25"/>
  <cols>
    <col min="1" max="1" width="13.36328125" style="221" bestFit="1" customWidth="1"/>
    <col min="2" max="2" width="21.6328125" style="221" customWidth="1"/>
    <col min="3" max="3" width="3.54296875" style="221" customWidth="1"/>
    <col min="4" max="4" width="27.453125" style="221" customWidth="1"/>
    <col min="5" max="5" width="2.6328125" style="221" customWidth="1"/>
    <col min="6" max="40" width="6.36328125" style="221" customWidth="1"/>
    <col min="41" max="53" width="6.36328125" style="221" hidden="1" customWidth="1"/>
    <col min="54" max="54" width="1.453125" style="221" customWidth="1"/>
    <col min="55" max="55" width="7" style="221" customWidth="1"/>
    <col min="56" max="56" width="23.6328125" style="221" bestFit="1" customWidth="1"/>
    <col min="57" max="57" width="25.453125" style="221" customWidth="1"/>
    <col min="58" max="70" width="4.90625" style="221" customWidth="1"/>
    <col min="71" max="78" width="2.6328125" style="221" customWidth="1"/>
    <col min="79" max="105" width="15.36328125" style="221" bestFit="1" customWidth="1"/>
    <col min="106" max="16384" width="11.453125" style="221"/>
  </cols>
  <sheetData>
    <row r="1" spans="1:58" ht="18" x14ac:dyDescent="0.4">
      <c r="B1" s="255" t="str">
        <f>TEXT(D1,"jjjj")</f>
        <v>mercredi</v>
      </c>
      <c r="C1" s="256"/>
      <c r="D1" s="257">
        <v>44944</v>
      </c>
      <c r="E1" s="257"/>
      <c r="F1" s="258" t="s">
        <v>401</v>
      </c>
      <c r="G1" s="259"/>
      <c r="H1" s="259"/>
      <c r="I1" s="259"/>
      <c r="J1" s="259"/>
      <c r="K1" s="259"/>
      <c r="L1" s="259"/>
      <c r="M1" s="259"/>
      <c r="N1" s="259"/>
      <c r="BB1" s="260"/>
      <c r="BC1" s="260"/>
      <c r="BD1" s="260"/>
    </row>
    <row r="2" spans="1:58" ht="13" thickBot="1" x14ac:dyDescent="0.3">
      <c r="A2" s="261" t="s">
        <v>402</v>
      </c>
      <c r="B2" s="262" t="s">
        <v>403</v>
      </c>
      <c r="C2" s="263"/>
      <c r="D2" s="264" t="s">
        <v>404</v>
      </c>
      <c r="E2" s="264"/>
      <c r="F2" s="266">
        <v>0</v>
      </c>
      <c r="G2" s="266">
        <v>2.0833333333333332E-2</v>
      </c>
      <c r="H2" s="266">
        <v>4.1666666666666699E-2</v>
      </c>
      <c r="I2" s="266">
        <v>6.25E-2</v>
      </c>
      <c r="J2" s="266">
        <v>8.3333333333333301E-2</v>
      </c>
      <c r="K2" s="266">
        <v>0.104166666666667</v>
      </c>
      <c r="L2" s="266">
        <v>0.125</v>
      </c>
      <c r="M2" s="266">
        <v>0.14583333333333301</v>
      </c>
      <c r="N2" s="266">
        <v>0.16666666666666699</v>
      </c>
      <c r="O2" s="266">
        <v>0.1875</v>
      </c>
      <c r="P2" s="266">
        <v>0.20833333333333301</v>
      </c>
      <c r="Q2" s="266">
        <v>0.22916666666666699</v>
      </c>
      <c r="R2" s="266">
        <v>0.25</v>
      </c>
      <c r="S2" s="266">
        <v>0.27083333333333298</v>
      </c>
      <c r="T2" s="266">
        <v>0.29166666666666702</v>
      </c>
      <c r="U2" s="266">
        <v>0.3125</v>
      </c>
      <c r="V2" s="266">
        <v>0.33333333333333298</v>
      </c>
      <c r="W2" s="266">
        <v>0.35416666666666702</v>
      </c>
      <c r="X2" s="266">
        <v>0.375</v>
      </c>
      <c r="Y2" s="266">
        <v>0.39583333333333298</v>
      </c>
      <c r="Z2" s="266">
        <v>0.41666666666666702</v>
      </c>
      <c r="AA2" s="266">
        <v>0.4375</v>
      </c>
      <c r="AB2" s="266">
        <v>0.45833333333333298</v>
      </c>
      <c r="AC2" s="266">
        <v>0.47916666666666702</v>
      </c>
      <c r="AD2" s="266">
        <v>0.5</v>
      </c>
      <c r="AE2" s="266">
        <v>0.52083333333333304</v>
      </c>
      <c r="AF2" s="266">
        <v>0.54166666666666696</v>
      </c>
      <c r="AG2" s="266">
        <v>0.5625</v>
      </c>
      <c r="AH2" s="266">
        <v>0.58333333333333304</v>
      </c>
      <c r="AI2" s="266">
        <v>0.60416666666666696</v>
      </c>
      <c r="AJ2" s="266">
        <v>0.625</v>
      </c>
      <c r="AK2" s="266">
        <v>0.64583333333333304</v>
      </c>
      <c r="AL2" s="266">
        <v>0.66666666666666696</v>
      </c>
      <c r="AM2" s="266">
        <v>0.6875</v>
      </c>
      <c r="AN2" s="266">
        <v>0.70833333333333304</v>
      </c>
      <c r="AO2" s="265">
        <v>0.72916666666666696</v>
      </c>
      <c r="AP2" s="265">
        <v>0.75</v>
      </c>
      <c r="AQ2" s="265">
        <v>0.77083333333333304</v>
      </c>
      <c r="AR2" s="265">
        <v>0.79166666666666696</v>
      </c>
      <c r="AS2" s="265">
        <v>0.8125</v>
      </c>
      <c r="AT2" s="265">
        <v>0.83333333333333304</v>
      </c>
      <c r="AU2" s="265">
        <v>0.85416666666666696</v>
      </c>
      <c r="AV2" s="265">
        <v>0.875</v>
      </c>
      <c r="AW2" s="265">
        <v>0.89583333333333304</v>
      </c>
      <c r="AX2" s="265">
        <v>0.91666666666666696</v>
      </c>
      <c r="AY2" s="265">
        <v>0.9375</v>
      </c>
      <c r="AZ2" s="265">
        <v>0.95833333333333304</v>
      </c>
      <c r="BA2" s="265">
        <v>0.97916666666666696</v>
      </c>
      <c r="BB2" s="260"/>
      <c r="BC2" s="260"/>
      <c r="BD2" s="267" t="s">
        <v>405</v>
      </c>
      <c r="BE2" s="268" t="s">
        <v>406</v>
      </c>
      <c r="BF2" s="269">
        <f>COUNTIF($A:$B,"FRONT")</f>
        <v>0</v>
      </c>
    </row>
    <row r="3" spans="1:58" ht="14.5" outlineLevel="1" x14ac:dyDescent="0.35">
      <c r="A3" s="276" t="str">
        <f>VLOOKUP(B3,Planning!B:F,5,FALSE)</f>
        <v>SL</v>
      </c>
      <c r="B3" s="364" t="s">
        <v>483</v>
      </c>
      <c r="C3" s="357"/>
      <c r="D3" s="270" t="str">
        <f>IF(INDEX(Planning,MATCH(B3,Planning_v,0),MATCH($D$1,Planning_h))=0,"",INDEX(Planning,MATCH(B3,Planning_v,0),MATCH($D$1,Planning_h)))</f>
        <v/>
      </c>
      <c r="E3" s="270"/>
      <c r="F3" s="273">
        <f t="shared" ref="F3:O18" si="0">IFERROR(INDEX(Horaires,MATCH($D3,Horaires_v,0),MATCH(F$2,Horaires_h,0)),0)</f>
        <v>0</v>
      </c>
      <c r="G3" s="273">
        <f t="shared" si="0"/>
        <v>0</v>
      </c>
      <c r="H3" s="273">
        <f t="shared" si="0"/>
        <v>0</v>
      </c>
      <c r="I3" s="273">
        <f t="shared" si="0"/>
        <v>0</v>
      </c>
      <c r="J3" s="273">
        <f t="shared" si="0"/>
        <v>0</v>
      </c>
      <c r="K3" s="273">
        <f t="shared" si="0"/>
        <v>0</v>
      </c>
      <c r="L3" s="273">
        <f t="shared" si="0"/>
        <v>0</v>
      </c>
      <c r="M3" s="273">
        <f t="shared" si="0"/>
        <v>0</v>
      </c>
      <c r="N3" s="273">
        <f t="shared" si="0"/>
        <v>0</v>
      </c>
      <c r="O3" s="273">
        <f t="shared" si="0"/>
        <v>0</v>
      </c>
      <c r="P3" s="273">
        <f t="shared" ref="P3:Y18" si="1">IFERROR(INDEX(Horaires,MATCH($D3,Horaires_v,0),MATCH(P$2,Horaires_h,0)),0)</f>
        <v>0</v>
      </c>
      <c r="Q3" s="273">
        <f t="shared" si="1"/>
        <v>0</v>
      </c>
      <c r="R3" s="273">
        <f t="shared" si="1"/>
        <v>0</v>
      </c>
      <c r="S3" s="273">
        <f t="shared" si="1"/>
        <v>0</v>
      </c>
      <c r="T3" s="273">
        <f t="shared" si="1"/>
        <v>0</v>
      </c>
      <c r="U3" s="273">
        <f t="shared" si="1"/>
        <v>0</v>
      </c>
      <c r="V3" s="273">
        <f t="shared" si="1"/>
        <v>0</v>
      </c>
      <c r="W3" s="273">
        <f t="shared" si="1"/>
        <v>0</v>
      </c>
      <c r="X3" s="273">
        <f t="shared" si="1"/>
        <v>0</v>
      </c>
      <c r="Y3" s="273">
        <f t="shared" si="1"/>
        <v>0</v>
      </c>
      <c r="Z3" s="273">
        <f t="shared" ref="Z3:AI18" si="2">IFERROR(INDEX(Horaires,MATCH($D3,Horaires_v,0),MATCH(Z$2,Horaires_h,0)),0)</f>
        <v>0</v>
      </c>
      <c r="AA3" s="273">
        <f t="shared" si="2"/>
        <v>0</v>
      </c>
      <c r="AB3" s="273">
        <f t="shared" si="2"/>
        <v>0</v>
      </c>
      <c r="AC3" s="273">
        <f t="shared" si="2"/>
        <v>0</v>
      </c>
      <c r="AD3" s="273">
        <f t="shared" si="2"/>
        <v>0</v>
      </c>
      <c r="AE3" s="273">
        <f t="shared" si="2"/>
        <v>0</v>
      </c>
      <c r="AF3" s="273">
        <f t="shared" si="2"/>
        <v>0</v>
      </c>
      <c r="AG3" s="273">
        <f t="shared" si="2"/>
        <v>0</v>
      </c>
      <c r="AH3" s="273">
        <f t="shared" si="2"/>
        <v>0</v>
      </c>
      <c r="AI3" s="273">
        <f t="shared" si="2"/>
        <v>0</v>
      </c>
      <c r="AJ3" s="273">
        <f t="shared" ref="AJ3:AS18" si="3">IFERROR(INDEX(Horaires,MATCH($D3,Horaires_v,0),MATCH(AJ$2,Horaires_h,0)),0)</f>
        <v>0</v>
      </c>
      <c r="AK3" s="273">
        <f t="shared" si="3"/>
        <v>0</v>
      </c>
      <c r="AL3" s="273">
        <f t="shared" si="3"/>
        <v>0</v>
      </c>
      <c r="AM3" s="273">
        <f t="shared" si="3"/>
        <v>0</v>
      </c>
      <c r="AN3" s="274">
        <f t="shared" si="3"/>
        <v>0</v>
      </c>
      <c r="AO3" s="271">
        <f t="shared" si="3"/>
        <v>0</v>
      </c>
      <c r="AP3" s="272">
        <f t="shared" si="3"/>
        <v>0</v>
      </c>
      <c r="AQ3" s="272">
        <f t="shared" si="3"/>
        <v>0</v>
      </c>
      <c r="AR3" s="272">
        <f t="shared" si="3"/>
        <v>0</v>
      </c>
      <c r="AS3" s="272">
        <f t="shared" si="3"/>
        <v>0</v>
      </c>
      <c r="AT3" s="272">
        <f t="shared" ref="AT3:BA11" si="4">IFERROR(INDEX(Horaires,MATCH($D3,Horaires_v,0),MATCH(AT$2,Horaires_h,0)),0)</f>
        <v>0</v>
      </c>
      <c r="AU3" s="272">
        <f t="shared" si="4"/>
        <v>0</v>
      </c>
      <c r="AV3" s="272">
        <f t="shared" si="4"/>
        <v>0</v>
      </c>
      <c r="AW3" s="272">
        <f t="shared" si="4"/>
        <v>0</v>
      </c>
      <c r="AX3" s="272">
        <f t="shared" si="4"/>
        <v>0</v>
      </c>
      <c r="AY3" s="272">
        <f t="shared" si="4"/>
        <v>0</v>
      </c>
      <c r="AZ3" s="272">
        <f t="shared" si="4"/>
        <v>0</v>
      </c>
      <c r="BA3" s="272">
        <f t="shared" si="4"/>
        <v>0</v>
      </c>
      <c r="BB3" s="260"/>
      <c r="BC3" s="260"/>
      <c r="BD3" s="275">
        <f t="shared" ref="BD3:BD67" si="5">SUM(F3:BA3)/2</f>
        <v>0</v>
      </c>
      <c r="BE3" s="268" t="s">
        <v>407</v>
      </c>
      <c r="BF3" s="269">
        <f>COUNTIF($A:$B,"back")</f>
        <v>0</v>
      </c>
    </row>
    <row r="4" spans="1:58" ht="14.5" outlineLevel="1" x14ac:dyDescent="0.35">
      <c r="A4" s="276" t="str">
        <f>VLOOKUP(B4,Planning!B:F,5,FALSE)</f>
        <v>SL</v>
      </c>
      <c r="B4" s="365" t="s">
        <v>486</v>
      </c>
      <c r="C4" s="358"/>
      <c r="D4" s="359" t="str">
        <f>IF(INDEX(Planning,MATCH(B4,Planning_v,0),MATCH($D$1,Planning_h))=0,"",INDEX(Planning,MATCH(B4,Planning_v,0),MATCH($D$1,Planning_h)))</f>
        <v>F</v>
      </c>
      <c r="E4" s="359"/>
      <c r="F4" s="360">
        <f t="shared" si="0"/>
        <v>0</v>
      </c>
      <c r="G4" s="360">
        <f t="shared" si="0"/>
        <v>0</v>
      </c>
      <c r="H4" s="360">
        <f t="shared" si="0"/>
        <v>0</v>
      </c>
      <c r="I4" s="360">
        <f t="shared" si="0"/>
        <v>0</v>
      </c>
      <c r="J4" s="360">
        <f t="shared" si="0"/>
        <v>0</v>
      </c>
      <c r="K4" s="360">
        <f t="shared" si="0"/>
        <v>0</v>
      </c>
      <c r="L4" s="360">
        <f t="shared" si="0"/>
        <v>0</v>
      </c>
      <c r="M4" s="360">
        <f t="shared" si="0"/>
        <v>0</v>
      </c>
      <c r="N4" s="360">
        <f t="shared" si="0"/>
        <v>0</v>
      </c>
      <c r="O4" s="360">
        <f t="shared" si="0"/>
        <v>0</v>
      </c>
      <c r="P4" s="360">
        <f t="shared" si="1"/>
        <v>0</v>
      </c>
      <c r="Q4" s="360">
        <f t="shared" si="1"/>
        <v>0</v>
      </c>
      <c r="R4" s="360">
        <f t="shared" si="1"/>
        <v>0</v>
      </c>
      <c r="S4" s="360">
        <f t="shared" si="1"/>
        <v>0</v>
      </c>
      <c r="T4" s="360">
        <f t="shared" si="1"/>
        <v>0</v>
      </c>
      <c r="U4" s="360" t="str">
        <f t="shared" si="1"/>
        <v>A</v>
      </c>
      <c r="V4" s="360" t="str">
        <f t="shared" si="1"/>
        <v>A</v>
      </c>
      <c r="W4" s="360" t="str">
        <f t="shared" si="1"/>
        <v>A</v>
      </c>
      <c r="X4" s="360" t="str">
        <f t="shared" si="1"/>
        <v>A</v>
      </c>
      <c r="Y4" s="360" t="str">
        <f t="shared" si="1"/>
        <v>A</v>
      </c>
      <c r="Z4" s="360" t="str">
        <f t="shared" si="2"/>
        <v>A</v>
      </c>
      <c r="AA4" s="360" t="str">
        <f t="shared" si="2"/>
        <v>A</v>
      </c>
      <c r="AB4" s="360" t="str">
        <f t="shared" si="2"/>
        <v>A</v>
      </c>
      <c r="AC4" s="360" t="str">
        <f t="shared" si="2"/>
        <v>A</v>
      </c>
      <c r="AD4" s="360" t="str">
        <f t="shared" si="2"/>
        <v>A</v>
      </c>
      <c r="AE4" s="360" t="str">
        <f t="shared" si="2"/>
        <v>A</v>
      </c>
      <c r="AF4" s="360" t="str">
        <f t="shared" si="2"/>
        <v>A</v>
      </c>
      <c r="AG4" s="360" t="str">
        <f t="shared" si="2"/>
        <v>A</v>
      </c>
      <c r="AH4" s="360" t="str">
        <f t="shared" si="2"/>
        <v>A</v>
      </c>
      <c r="AI4" s="360" t="str">
        <f t="shared" si="2"/>
        <v>A</v>
      </c>
      <c r="AJ4" s="360" t="str">
        <f t="shared" si="3"/>
        <v>A</v>
      </c>
      <c r="AK4" s="360" t="str">
        <f t="shared" si="3"/>
        <v>A</v>
      </c>
      <c r="AL4" s="360" t="str">
        <f t="shared" si="3"/>
        <v>A</v>
      </c>
      <c r="AM4" s="360" t="str">
        <f t="shared" si="3"/>
        <v>A</v>
      </c>
      <c r="AN4" s="361" t="str">
        <f t="shared" si="3"/>
        <v>A</v>
      </c>
      <c r="AO4" s="271" t="str">
        <f t="shared" si="3"/>
        <v>A</v>
      </c>
      <c r="AP4" s="272" t="str">
        <f t="shared" si="3"/>
        <v>A</v>
      </c>
      <c r="AQ4" s="272" t="str">
        <f t="shared" si="3"/>
        <v>A</v>
      </c>
      <c r="AR4" s="272">
        <f t="shared" si="3"/>
        <v>0</v>
      </c>
      <c r="AS4" s="272">
        <f t="shared" si="3"/>
        <v>0</v>
      </c>
      <c r="AT4" s="272">
        <f t="shared" si="4"/>
        <v>0</v>
      </c>
      <c r="AU4" s="272">
        <f t="shared" si="4"/>
        <v>0</v>
      </c>
      <c r="AV4" s="272">
        <f t="shared" si="4"/>
        <v>0</v>
      </c>
      <c r="AW4" s="272">
        <f t="shared" si="4"/>
        <v>0</v>
      </c>
      <c r="AX4" s="272">
        <f t="shared" si="4"/>
        <v>0</v>
      </c>
      <c r="AY4" s="272">
        <f t="shared" si="4"/>
        <v>0</v>
      </c>
      <c r="AZ4" s="272">
        <f t="shared" si="4"/>
        <v>0</v>
      </c>
      <c r="BA4" s="272">
        <f t="shared" si="4"/>
        <v>0</v>
      </c>
      <c r="BB4" s="260"/>
      <c r="BC4" s="260"/>
      <c r="BD4" s="275">
        <f t="shared" si="5"/>
        <v>0</v>
      </c>
      <c r="BE4" s="268" t="s">
        <v>408</v>
      </c>
      <c r="BF4" s="269">
        <f>COUNTIF($A:$B,"wizmi")</f>
        <v>0</v>
      </c>
    </row>
    <row r="5" spans="1:58" ht="14.5" outlineLevel="1" x14ac:dyDescent="0.35">
      <c r="A5" s="276" t="str">
        <f>VLOOKUP(B5,Planning!B:F,5,FALSE)</f>
        <v>SL</v>
      </c>
      <c r="B5" s="366" t="s">
        <v>488</v>
      </c>
      <c r="C5" s="358"/>
      <c r="D5" s="359" t="str">
        <f>IF(INDEX(Planning,MATCH(B5,Planning_v,0),MATCH($D$1,Planning_h))=0,"",INDEX(Planning,MATCH(B5,Planning_v,0),MATCH($D$1,Planning_h)))</f>
        <v/>
      </c>
      <c r="E5" s="359"/>
      <c r="F5" s="360">
        <f t="shared" si="0"/>
        <v>0</v>
      </c>
      <c r="G5" s="360">
        <f t="shared" si="0"/>
        <v>0</v>
      </c>
      <c r="H5" s="360">
        <f t="shared" si="0"/>
        <v>0</v>
      </c>
      <c r="I5" s="360">
        <f t="shared" si="0"/>
        <v>0</v>
      </c>
      <c r="J5" s="360">
        <f t="shared" si="0"/>
        <v>0</v>
      </c>
      <c r="K5" s="360">
        <f t="shared" si="0"/>
        <v>0</v>
      </c>
      <c r="L5" s="360">
        <f t="shared" si="0"/>
        <v>0</v>
      </c>
      <c r="M5" s="360">
        <f t="shared" si="0"/>
        <v>0</v>
      </c>
      <c r="N5" s="360">
        <f t="shared" si="0"/>
        <v>0</v>
      </c>
      <c r="O5" s="360">
        <f t="shared" si="0"/>
        <v>0</v>
      </c>
      <c r="P5" s="360">
        <f t="shared" si="1"/>
        <v>0</v>
      </c>
      <c r="Q5" s="360">
        <f t="shared" si="1"/>
        <v>0</v>
      </c>
      <c r="R5" s="360">
        <f t="shared" si="1"/>
        <v>0</v>
      </c>
      <c r="S5" s="360">
        <f t="shared" si="1"/>
        <v>0</v>
      </c>
      <c r="T5" s="360">
        <f t="shared" si="1"/>
        <v>0</v>
      </c>
      <c r="U5" s="360">
        <f t="shared" si="1"/>
        <v>0</v>
      </c>
      <c r="V5" s="360">
        <f t="shared" si="1"/>
        <v>0</v>
      </c>
      <c r="W5" s="360">
        <f t="shared" si="1"/>
        <v>0</v>
      </c>
      <c r="X5" s="360">
        <f t="shared" si="1"/>
        <v>0</v>
      </c>
      <c r="Y5" s="360">
        <f t="shared" si="1"/>
        <v>0</v>
      </c>
      <c r="Z5" s="360">
        <f t="shared" si="2"/>
        <v>0</v>
      </c>
      <c r="AA5" s="360">
        <f t="shared" si="2"/>
        <v>0</v>
      </c>
      <c r="AB5" s="360">
        <f t="shared" si="2"/>
        <v>0</v>
      </c>
      <c r="AC5" s="360">
        <f t="shared" si="2"/>
        <v>0</v>
      </c>
      <c r="AD5" s="360">
        <f t="shared" si="2"/>
        <v>0</v>
      </c>
      <c r="AE5" s="360">
        <f t="shared" si="2"/>
        <v>0</v>
      </c>
      <c r="AF5" s="360">
        <f t="shared" si="2"/>
        <v>0</v>
      </c>
      <c r="AG5" s="360">
        <f t="shared" si="2"/>
        <v>0</v>
      </c>
      <c r="AH5" s="360">
        <f t="shared" si="2"/>
        <v>0</v>
      </c>
      <c r="AI5" s="360">
        <f t="shared" si="2"/>
        <v>0</v>
      </c>
      <c r="AJ5" s="360">
        <f t="shared" si="3"/>
        <v>0</v>
      </c>
      <c r="AK5" s="360">
        <f t="shared" si="3"/>
        <v>0</v>
      </c>
      <c r="AL5" s="360">
        <f t="shared" si="3"/>
        <v>0</v>
      </c>
      <c r="AM5" s="360">
        <f t="shared" si="3"/>
        <v>0</v>
      </c>
      <c r="AN5" s="361">
        <f t="shared" si="3"/>
        <v>0</v>
      </c>
      <c r="AO5" s="271"/>
      <c r="AP5" s="272"/>
      <c r="AQ5" s="272"/>
      <c r="AR5" s="272"/>
      <c r="AS5" s="272"/>
      <c r="AT5" s="272"/>
      <c r="AU5" s="272"/>
      <c r="AV5" s="272"/>
      <c r="AW5" s="272"/>
      <c r="AX5" s="272"/>
      <c r="AY5" s="272"/>
      <c r="AZ5" s="272"/>
      <c r="BA5" s="272"/>
      <c r="BB5" s="260"/>
      <c r="BC5" s="260"/>
      <c r="BD5" s="275">
        <f t="shared" si="5"/>
        <v>0</v>
      </c>
      <c r="BE5" s="268" t="s">
        <v>409</v>
      </c>
      <c r="BF5" s="269">
        <f>COUNTIF($A:$B,"multi")</f>
        <v>0</v>
      </c>
    </row>
    <row r="6" spans="1:58" ht="14.5" outlineLevel="1" x14ac:dyDescent="0.35">
      <c r="A6" s="276" t="str">
        <f>VLOOKUP(B6,Planning!B:F,5,FALSE)</f>
        <v>SL</v>
      </c>
      <c r="B6" s="365" t="s">
        <v>489</v>
      </c>
      <c r="C6" s="358"/>
      <c r="D6" s="359" t="str">
        <f>IF(INDEX(Planning,MATCH(B6,Planning_v,0),MATCH($D$1,Planning_h))=0,"",INDEX(Planning,MATCH(B6,Planning_v,0),MATCH($D$1,Planning_h)))</f>
        <v>F</v>
      </c>
      <c r="E6" s="359"/>
      <c r="F6" s="360">
        <f t="shared" si="0"/>
        <v>0</v>
      </c>
      <c r="G6" s="360">
        <f t="shared" si="0"/>
        <v>0</v>
      </c>
      <c r="H6" s="360">
        <f t="shared" si="0"/>
        <v>0</v>
      </c>
      <c r="I6" s="360">
        <f t="shared" si="0"/>
        <v>0</v>
      </c>
      <c r="J6" s="360">
        <f t="shared" si="0"/>
        <v>0</v>
      </c>
      <c r="K6" s="360">
        <f t="shared" si="0"/>
        <v>0</v>
      </c>
      <c r="L6" s="360">
        <f t="shared" si="0"/>
        <v>0</v>
      </c>
      <c r="M6" s="360">
        <f t="shared" si="0"/>
        <v>0</v>
      </c>
      <c r="N6" s="360">
        <f t="shared" si="0"/>
        <v>0</v>
      </c>
      <c r="O6" s="360">
        <f t="shared" si="0"/>
        <v>0</v>
      </c>
      <c r="P6" s="360">
        <f t="shared" si="1"/>
        <v>0</v>
      </c>
      <c r="Q6" s="360">
        <f t="shared" si="1"/>
        <v>0</v>
      </c>
      <c r="R6" s="360">
        <f t="shared" si="1"/>
        <v>0</v>
      </c>
      <c r="S6" s="360">
        <f t="shared" si="1"/>
        <v>0</v>
      </c>
      <c r="T6" s="360">
        <f t="shared" si="1"/>
        <v>0</v>
      </c>
      <c r="U6" s="360" t="str">
        <f t="shared" si="1"/>
        <v>A</v>
      </c>
      <c r="V6" s="360" t="str">
        <f t="shared" si="1"/>
        <v>A</v>
      </c>
      <c r="W6" s="360" t="str">
        <f t="shared" si="1"/>
        <v>A</v>
      </c>
      <c r="X6" s="360" t="str">
        <f t="shared" si="1"/>
        <v>A</v>
      </c>
      <c r="Y6" s="360" t="str">
        <f t="shared" si="1"/>
        <v>A</v>
      </c>
      <c r="Z6" s="360" t="str">
        <f t="shared" si="2"/>
        <v>A</v>
      </c>
      <c r="AA6" s="360" t="str">
        <f t="shared" si="2"/>
        <v>A</v>
      </c>
      <c r="AB6" s="360" t="str">
        <f t="shared" si="2"/>
        <v>A</v>
      </c>
      <c r="AC6" s="360" t="str">
        <f t="shared" si="2"/>
        <v>A</v>
      </c>
      <c r="AD6" s="360" t="str">
        <f t="shared" si="2"/>
        <v>A</v>
      </c>
      <c r="AE6" s="360" t="str">
        <f t="shared" si="2"/>
        <v>A</v>
      </c>
      <c r="AF6" s="360" t="str">
        <f t="shared" si="2"/>
        <v>A</v>
      </c>
      <c r="AG6" s="360" t="str">
        <f t="shared" si="2"/>
        <v>A</v>
      </c>
      <c r="AH6" s="360" t="str">
        <f t="shared" si="2"/>
        <v>A</v>
      </c>
      <c r="AI6" s="360" t="str">
        <f t="shared" si="2"/>
        <v>A</v>
      </c>
      <c r="AJ6" s="360" t="str">
        <f t="shared" si="3"/>
        <v>A</v>
      </c>
      <c r="AK6" s="360" t="str">
        <f t="shared" si="3"/>
        <v>A</v>
      </c>
      <c r="AL6" s="360" t="str">
        <f t="shared" si="3"/>
        <v>A</v>
      </c>
      <c r="AM6" s="360" t="str">
        <f t="shared" si="3"/>
        <v>A</v>
      </c>
      <c r="AN6" s="361" t="str">
        <f t="shared" si="3"/>
        <v>A</v>
      </c>
      <c r="AO6" s="271" t="str">
        <f t="shared" ref="AO6:BA6" si="6">IFERROR(INDEX(Horaires,MATCH($D6,Horaires_v,0),MATCH(AO$2,Horaires_h,0)),0)</f>
        <v>A</v>
      </c>
      <c r="AP6" s="272" t="str">
        <f t="shared" si="6"/>
        <v>A</v>
      </c>
      <c r="AQ6" s="272" t="str">
        <f t="shared" si="6"/>
        <v>A</v>
      </c>
      <c r="AR6" s="272">
        <f t="shared" si="6"/>
        <v>0</v>
      </c>
      <c r="AS6" s="272">
        <f t="shared" si="6"/>
        <v>0</v>
      </c>
      <c r="AT6" s="272">
        <f t="shared" si="6"/>
        <v>0</v>
      </c>
      <c r="AU6" s="272">
        <f t="shared" si="6"/>
        <v>0</v>
      </c>
      <c r="AV6" s="272">
        <f t="shared" si="6"/>
        <v>0</v>
      </c>
      <c r="AW6" s="272">
        <f t="shared" si="6"/>
        <v>0</v>
      </c>
      <c r="AX6" s="272">
        <f t="shared" si="6"/>
        <v>0</v>
      </c>
      <c r="AY6" s="272">
        <f t="shared" si="6"/>
        <v>0</v>
      </c>
      <c r="AZ6" s="272">
        <f t="shared" si="6"/>
        <v>0</v>
      </c>
      <c r="BA6" s="272">
        <f t="shared" si="6"/>
        <v>0</v>
      </c>
      <c r="BB6" s="260"/>
      <c r="BC6" s="260"/>
      <c r="BD6" s="275">
        <f t="shared" si="5"/>
        <v>0</v>
      </c>
    </row>
    <row r="7" spans="1:58" ht="14.5" outlineLevel="1" x14ac:dyDescent="0.35">
      <c r="A7" s="276" t="str">
        <f>VLOOKUP(B7,Planning!B:F,5,FALSE)</f>
        <v>SL</v>
      </c>
      <c r="B7" s="366" t="s">
        <v>491</v>
      </c>
      <c r="C7" s="358"/>
      <c r="D7" s="359" t="str">
        <f>IF(INDEX(Planning,MATCH(B7,Planning_v,0),MATCH($D$1,Planning_h))=0,"",INDEX(Planning,MATCH(B7,Planning_v,0),MATCH($D$1,Planning_h)))</f>
        <v>F</v>
      </c>
      <c r="E7" s="359"/>
      <c r="F7" s="360">
        <f t="shared" si="0"/>
        <v>0</v>
      </c>
      <c r="G7" s="360">
        <f t="shared" si="0"/>
        <v>0</v>
      </c>
      <c r="H7" s="360">
        <f t="shared" si="0"/>
        <v>0</v>
      </c>
      <c r="I7" s="360">
        <f t="shared" si="0"/>
        <v>0</v>
      </c>
      <c r="J7" s="360">
        <f t="shared" si="0"/>
        <v>0</v>
      </c>
      <c r="K7" s="360">
        <f t="shared" si="0"/>
        <v>0</v>
      </c>
      <c r="L7" s="360">
        <f t="shared" si="0"/>
        <v>0</v>
      </c>
      <c r="M7" s="360">
        <f t="shared" si="0"/>
        <v>0</v>
      </c>
      <c r="N7" s="360">
        <f t="shared" si="0"/>
        <v>0</v>
      </c>
      <c r="O7" s="360">
        <f t="shared" si="0"/>
        <v>0</v>
      </c>
      <c r="P7" s="360">
        <f t="shared" si="1"/>
        <v>0</v>
      </c>
      <c r="Q7" s="360">
        <f t="shared" si="1"/>
        <v>0</v>
      </c>
      <c r="R7" s="360">
        <f t="shared" si="1"/>
        <v>0</v>
      </c>
      <c r="S7" s="360">
        <f t="shared" si="1"/>
        <v>0</v>
      </c>
      <c r="T7" s="360">
        <f t="shared" si="1"/>
        <v>0</v>
      </c>
      <c r="U7" s="360" t="str">
        <f t="shared" si="1"/>
        <v>A</v>
      </c>
      <c r="V7" s="360" t="str">
        <f t="shared" si="1"/>
        <v>A</v>
      </c>
      <c r="W7" s="360" t="str">
        <f t="shared" si="1"/>
        <v>A</v>
      </c>
      <c r="X7" s="360" t="str">
        <f t="shared" si="1"/>
        <v>A</v>
      </c>
      <c r="Y7" s="360" t="str">
        <f t="shared" si="1"/>
        <v>A</v>
      </c>
      <c r="Z7" s="360" t="str">
        <f t="shared" si="2"/>
        <v>A</v>
      </c>
      <c r="AA7" s="360" t="str">
        <f t="shared" si="2"/>
        <v>A</v>
      </c>
      <c r="AB7" s="360" t="str">
        <f t="shared" si="2"/>
        <v>A</v>
      </c>
      <c r="AC7" s="360" t="str">
        <f t="shared" si="2"/>
        <v>A</v>
      </c>
      <c r="AD7" s="360" t="str">
        <f t="shared" si="2"/>
        <v>A</v>
      </c>
      <c r="AE7" s="360" t="str">
        <f t="shared" si="2"/>
        <v>A</v>
      </c>
      <c r="AF7" s="360" t="str">
        <f t="shared" si="2"/>
        <v>A</v>
      </c>
      <c r="AG7" s="360" t="str">
        <f t="shared" si="2"/>
        <v>A</v>
      </c>
      <c r="AH7" s="360" t="str">
        <f t="shared" si="2"/>
        <v>A</v>
      </c>
      <c r="AI7" s="360" t="str">
        <f t="shared" si="2"/>
        <v>A</v>
      </c>
      <c r="AJ7" s="360" t="str">
        <f t="shared" si="3"/>
        <v>A</v>
      </c>
      <c r="AK7" s="360" t="str">
        <f t="shared" si="3"/>
        <v>A</v>
      </c>
      <c r="AL7" s="360" t="str">
        <f t="shared" si="3"/>
        <v>A</v>
      </c>
      <c r="AM7" s="360" t="str">
        <f t="shared" si="3"/>
        <v>A</v>
      </c>
      <c r="AN7" s="361" t="str">
        <f t="shared" si="3"/>
        <v>A</v>
      </c>
      <c r="AO7" s="271"/>
      <c r="AP7" s="272"/>
      <c r="AQ7" s="272"/>
      <c r="AR7" s="272"/>
      <c r="AS7" s="272"/>
      <c r="AT7" s="272"/>
      <c r="AU7" s="272"/>
      <c r="AV7" s="272"/>
      <c r="AW7" s="272"/>
      <c r="AX7" s="272"/>
      <c r="AY7" s="272"/>
      <c r="AZ7" s="272"/>
      <c r="BA7" s="272"/>
      <c r="BB7" s="260"/>
      <c r="BC7" s="260"/>
      <c r="BD7" s="275">
        <f t="shared" si="5"/>
        <v>0</v>
      </c>
      <c r="BE7" s="268" t="s">
        <v>410</v>
      </c>
      <c r="BF7" s="269">
        <f>COUNTIF($A:$B,"callback")</f>
        <v>0</v>
      </c>
    </row>
    <row r="8" spans="1:58" ht="14.5" outlineLevel="1" x14ac:dyDescent="0.35">
      <c r="A8" s="276" t="str">
        <f>VLOOKUP(B8,Planning!B:F,5,FALSE)</f>
        <v>SL</v>
      </c>
      <c r="B8" s="365" t="s">
        <v>493</v>
      </c>
      <c r="C8" s="358"/>
      <c r="D8" s="359" t="str">
        <f t="shared" ref="D8:D26" si="7">IF(INDEX(Planning,MATCH(B8,Planning_v,0),MATCH($D$1,Planning_h))=0,"",INDEX(Planning,MATCH(B8,Planning_v,0),MATCH($D$1,Planning_h)))</f>
        <v>F</v>
      </c>
      <c r="E8" s="359"/>
      <c r="F8" s="360">
        <f t="shared" si="0"/>
        <v>0</v>
      </c>
      <c r="G8" s="360">
        <f t="shared" si="0"/>
        <v>0</v>
      </c>
      <c r="H8" s="360">
        <f t="shared" si="0"/>
        <v>0</v>
      </c>
      <c r="I8" s="360">
        <f t="shared" si="0"/>
        <v>0</v>
      </c>
      <c r="J8" s="360">
        <f t="shared" si="0"/>
        <v>0</v>
      </c>
      <c r="K8" s="360">
        <f t="shared" si="0"/>
        <v>0</v>
      </c>
      <c r="L8" s="360">
        <f t="shared" si="0"/>
        <v>0</v>
      </c>
      <c r="M8" s="360">
        <f t="shared" si="0"/>
        <v>0</v>
      </c>
      <c r="N8" s="360">
        <f t="shared" si="0"/>
        <v>0</v>
      </c>
      <c r="O8" s="360">
        <f t="shared" si="0"/>
        <v>0</v>
      </c>
      <c r="P8" s="360">
        <f t="shared" si="1"/>
        <v>0</v>
      </c>
      <c r="Q8" s="360">
        <f t="shared" si="1"/>
        <v>0</v>
      </c>
      <c r="R8" s="360">
        <f t="shared" si="1"/>
        <v>0</v>
      </c>
      <c r="S8" s="360">
        <f t="shared" si="1"/>
        <v>0</v>
      </c>
      <c r="T8" s="360">
        <f t="shared" si="1"/>
        <v>0</v>
      </c>
      <c r="U8" s="360" t="str">
        <f t="shared" si="1"/>
        <v>A</v>
      </c>
      <c r="V8" s="360" t="str">
        <f t="shared" si="1"/>
        <v>A</v>
      </c>
      <c r="W8" s="360" t="str">
        <f t="shared" si="1"/>
        <v>A</v>
      </c>
      <c r="X8" s="360" t="str">
        <f t="shared" si="1"/>
        <v>A</v>
      </c>
      <c r="Y8" s="360" t="str">
        <f t="shared" si="1"/>
        <v>A</v>
      </c>
      <c r="Z8" s="360" t="str">
        <f t="shared" si="2"/>
        <v>A</v>
      </c>
      <c r="AA8" s="360" t="str">
        <f t="shared" si="2"/>
        <v>A</v>
      </c>
      <c r="AB8" s="360" t="str">
        <f t="shared" si="2"/>
        <v>A</v>
      </c>
      <c r="AC8" s="360" t="str">
        <f t="shared" si="2"/>
        <v>A</v>
      </c>
      <c r="AD8" s="360" t="str">
        <f t="shared" si="2"/>
        <v>A</v>
      </c>
      <c r="AE8" s="360" t="str">
        <f t="shared" si="2"/>
        <v>A</v>
      </c>
      <c r="AF8" s="360" t="str">
        <f t="shared" si="2"/>
        <v>A</v>
      </c>
      <c r="AG8" s="360" t="str">
        <f t="shared" si="2"/>
        <v>A</v>
      </c>
      <c r="AH8" s="360" t="str">
        <f t="shared" si="2"/>
        <v>A</v>
      </c>
      <c r="AI8" s="360" t="str">
        <f t="shared" si="2"/>
        <v>A</v>
      </c>
      <c r="AJ8" s="360" t="str">
        <f t="shared" si="3"/>
        <v>A</v>
      </c>
      <c r="AK8" s="360" t="str">
        <f t="shared" si="3"/>
        <v>A</v>
      </c>
      <c r="AL8" s="360" t="str">
        <f t="shared" si="3"/>
        <v>A</v>
      </c>
      <c r="AM8" s="360" t="str">
        <f t="shared" si="3"/>
        <v>A</v>
      </c>
      <c r="AN8" s="361" t="str">
        <f t="shared" si="3"/>
        <v>A</v>
      </c>
      <c r="AO8" s="271" t="str">
        <f t="shared" si="3"/>
        <v>A</v>
      </c>
      <c r="AP8" s="272" t="str">
        <f t="shared" si="3"/>
        <v>A</v>
      </c>
      <c r="AQ8" s="272" t="str">
        <f t="shared" si="3"/>
        <v>A</v>
      </c>
      <c r="AR8" s="272">
        <f t="shared" si="3"/>
        <v>0</v>
      </c>
      <c r="AS8" s="272">
        <f t="shared" si="3"/>
        <v>0</v>
      </c>
      <c r="AT8" s="272">
        <f t="shared" si="4"/>
        <v>0</v>
      </c>
      <c r="AU8" s="272">
        <f t="shared" si="4"/>
        <v>0</v>
      </c>
      <c r="AV8" s="272">
        <f t="shared" si="4"/>
        <v>0</v>
      </c>
      <c r="AW8" s="272">
        <f t="shared" si="4"/>
        <v>0</v>
      </c>
      <c r="AX8" s="272">
        <f t="shared" si="4"/>
        <v>0</v>
      </c>
      <c r="AY8" s="272">
        <f t="shared" si="4"/>
        <v>0</v>
      </c>
      <c r="AZ8" s="272">
        <f t="shared" si="4"/>
        <v>0</v>
      </c>
      <c r="BA8" s="272">
        <f t="shared" si="4"/>
        <v>0</v>
      </c>
      <c r="BB8" s="260"/>
      <c r="BC8" s="260"/>
      <c r="BD8" s="275">
        <f t="shared" si="5"/>
        <v>0</v>
      </c>
      <c r="BE8" s="268" t="s">
        <v>410</v>
      </c>
      <c r="BF8" s="269">
        <f>COUNTIF($A:$B,"callback")</f>
        <v>0</v>
      </c>
    </row>
    <row r="9" spans="1:58" ht="14.5" outlineLevel="1" x14ac:dyDescent="0.35">
      <c r="A9" s="276" t="str">
        <f>VLOOKUP(B9,Planning!B:F,5,FALSE)</f>
        <v>SL</v>
      </c>
      <c r="B9" s="365" t="s">
        <v>494</v>
      </c>
      <c r="C9" s="358"/>
      <c r="D9" s="359" t="str">
        <f t="shared" si="7"/>
        <v/>
      </c>
      <c r="E9" s="359"/>
      <c r="F9" s="360">
        <f t="shared" si="0"/>
        <v>0</v>
      </c>
      <c r="G9" s="360">
        <f t="shared" si="0"/>
        <v>0</v>
      </c>
      <c r="H9" s="360">
        <f t="shared" si="0"/>
        <v>0</v>
      </c>
      <c r="I9" s="360">
        <f t="shared" si="0"/>
        <v>0</v>
      </c>
      <c r="J9" s="360">
        <f t="shared" si="0"/>
        <v>0</v>
      </c>
      <c r="K9" s="360">
        <f t="shared" si="0"/>
        <v>0</v>
      </c>
      <c r="L9" s="360">
        <f t="shared" si="0"/>
        <v>0</v>
      </c>
      <c r="M9" s="360">
        <f t="shared" si="0"/>
        <v>0</v>
      </c>
      <c r="N9" s="360">
        <f t="shared" si="0"/>
        <v>0</v>
      </c>
      <c r="O9" s="360">
        <f t="shared" si="0"/>
        <v>0</v>
      </c>
      <c r="P9" s="360">
        <f t="shared" si="1"/>
        <v>0</v>
      </c>
      <c r="Q9" s="360">
        <f t="shared" si="1"/>
        <v>0</v>
      </c>
      <c r="R9" s="360">
        <f t="shared" si="1"/>
        <v>0</v>
      </c>
      <c r="S9" s="360">
        <f t="shared" si="1"/>
        <v>0</v>
      </c>
      <c r="T9" s="360">
        <f t="shared" si="1"/>
        <v>0</v>
      </c>
      <c r="U9" s="360">
        <f t="shared" si="1"/>
        <v>0</v>
      </c>
      <c r="V9" s="360">
        <f t="shared" si="1"/>
        <v>0</v>
      </c>
      <c r="W9" s="360">
        <f t="shared" si="1"/>
        <v>0</v>
      </c>
      <c r="X9" s="360">
        <f t="shared" si="1"/>
        <v>0</v>
      </c>
      <c r="Y9" s="360">
        <f t="shared" si="1"/>
        <v>0</v>
      </c>
      <c r="Z9" s="360">
        <f t="shared" si="2"/>
        <v>0</v>
      </c>
      <c r="AA9" s="360">
        <f t="shared" si="2"/>
        <v>0</v>
      </c>
      <c r="AB9" s="360">
        <f t="shared" si="2"/>
        <v>0</v>
      </c>
      <c r="AC9" s="360">
        <f t="shared" si="2"/>
        <v>0</v>
      </c>
      <c r="AD9" s="360">
        <f t="shared" si="2"/>
        <v>0</v>
      </c>
      <c r="AE9" s="360">
        <f t="shared" si="2"/>
        <v>0</v>
      </c>
      <c r="AF9" s="360">
        <f t="shared" si="2"/>
        <v>0</v>
      </c>
      <c r="AG9" s="360">
        <f t="shared" si="2"/>
        <v>0</v>
      </c>
      <c r="AH9" s="360">
        <f t="shared" si="2"/>
        <v>0</v>
      </c>
      <c r="AI9" s="360">
        <f t="shared" si="2"/>
        <v>0</v>
      </c>
      <c r="AJ9" s="360">
        <f t="shared" si="3"/>
        <v>0</v>
      </c>
      <c r="AK9" s="360">
        <f t="shared" si="3"/>
        <v>0</v>
      </c>
      <c r="AL9" s="360">
        <f t="shared" si="3"/>
        <v>0</v>
      </c>
      <c r="AM9" s="360">
        <f t="shared" si="3"/>
        <v>0</v>
      </c>
      <c r="AN9" s="361">
        <f t="shared" si="3"/>
        <v>0</v>
      </c>
      <c r="AO9" s="271">
        <f t="shared" si="3"/>
        <v>0</v>
      </c>
      <c r="AP9" s="272">
        <f t="shared" si="3"/>
        <v>0</v>
      </c>
      <c r="AQ9" s="272">
        <f t="shared" si="3"/>
        <v>0</v>
      </c>
      <c r="AR9" s="272">
        <f t="shared" si="3"/>
        <v>0</v>
      </c>
      <c r="AS9" s="272">
        <f t="shared" si="3"/>
        <v>0</v>
      </c>
      <c r="AT9" s="272">
        <f t="shared" si="4"/>
        <v>0</v>
      </c>
      <c r="AU9" s="272">
        <f t="shared" si="4"/>
        <v>0</v>
      </c>
      <c r="AV9" s="272">
        <f t="shared" si="4"/>
        <v>0</v>
      </c>
      <c r="AW9" s="272">
        <f t="shared" si="4"/>
        <v>0</v>
      </c>
      <c r="AX9" s="272">
        <f t="shared" si="4"/>
        <v>0</v>
      </c>
      <c r="AY9" s="272">
        <f t="shared" si="4"/>
        <v>0</v>
      </c>
      <c r="AZ9" s="272">
        <f t="shared" si="4"/>
        <v>0</v>
      </c>
      <c r="BA9" s="272">
        <f t="shared" si="4"/>
        <v>0</v>
      </c>
      <c r="BB9" s="260"/>
      <c r="BC9" s="260"/>
      <c r="BD9" s="275">
        <f t="shared" si="5"/>
        <v>0</v>
      </c>
      <c r="BE9" s="268" t="s">
        <v>411</v>
      </c>
      <c r="BF9" s="269">
        <f>COUNTIF($A:$B,"cockpit")</f>
        <v>0</v>
      </c>
    </row>
    <row r="10" spans="1:58" ht="14.5" outlineLevel="1" x14ac:dyDescent="0.35">
      <c r="A10" s="276" t="str">
        <f>VLOOKUP(B10,Planning!B:F,5,FALSE)</f>
        <v>SL</v>
      </c>
      <c r="B10" s="365" t="s">
        <v>495</v>
      </c>
      <c r="C10" s="358"/>
      <c r="D10" s="359" t="str">
        <f t="shared" si="7"/>
        <v/>
      </c>
      <c r="E10" s="359"/>
      <c r="F10" s="360">
        <f t="shared" si="0"/>
        <v>0</v>
      </c>
      <c r="G10" s="360">
        <f t="shared" si="0"/>
        <v>0</v>
      </c>
      <c r="H10" s="360">
        <f t="shared" si="0"/>
        <v>0</v>
      </c>
      <c r="I10" s="360">
        <f t="shared" si="0"/>
        <v>0</v>
      </c>
      <c r="J10" s="360">
        <f t="shared" si="0"/>
        <v>0</v>
      </c>
      <c r="K10" s="360">
        <f t="shared" si="0"/>
        <v>0</v>
      </c>
      <c r="L10" s="360">
        <f t="shared" si="0"/>
        <v>0</v>
      </c>
      <c r="M10" s="360">
        <f t="shared" si="0"/>
        <v>0</v>
      </c>
      <c r="N10" s="360">
        <f t="shared" si="0"/>
        <v>0</v>
      </c>
      <c r="O10" s="360">
        <f t="shared" si="0"/>
        <v>0</v>
      </c>
      <c r="P10" s="360">
        <f t="shared" si="1"/>
        <v>0</v>
      </c>
      <c r="Q10" s="360">
        <f t="shared" si="1"/>
        <v>0</v>
      </c>
      <c r="R10" s="360">
        <f t="shared" si="1"/>
        <v>0</v>
      </c>
      <c r="S10" s="360">
        <f t="shared" si="1"/>
        <v>0</v>
      </c>
      <c r="T10" s="360">
        <f t="shared" si="1"/>
        <v>0</v>
      </c>
      <c r="U10" s="360">
        <f t="shared" si="1"/>
        <v>0</v>
      </c>
      <c r="V10" s="360">
        <f t="shared" si="1"/>
        <v>0</v>
      </c>
      <c r="W10" s="360">
        <f t="shared" si="1"/>
        <v>0</v>
      </c>
      <c r="X10" s="360">
        <f t="shared" si="1"/>
        <v>0</v>
      </c>
      <c r="Y10" s="360">
        <f t="shared" si="1"/>
        <v>0</v>
      </c>
      <c r="Z10" s="360">
        <f t="shared" si="2"/>
        <v>0</v>
      </c>
      <c r="AA10" s="360">
        <f t="shared" si="2"/>
        <v>0</v>
      </c>
      <c r="AB10" s="360">
        <f t="shared" si="2"/>
        <v>0</v>
      </c>
      <c r="AC10" s="360">
        <f t="shared" si="2"/>
        <v>0</v>
      </c>
      <c r="AD10" s="360">
        <f t="shared" si="2"/>
        <v>0</v>
      </c>
      <c r="AE10" s="360">
        <f t="shared" si="2"/>
        <v>0</v>
      </c>
      <c r="AF10" s="360">
        <f t="shared" si="2"/>
        <v>0</v>
      </c>
      <c r="AG10" s="360">
        <f t="shared" si="2"/>
        <v>0</v>
      </c>
      <c r="AH10" s="360">
        <f t="shared" si="2"/>
        <v>0</v>
      </c>
      <c r="AI10" s="360">
        <f t="shared" si="2"/>
        <v>0</v>
      </c>
      <c r="AJ10" s="360">
        <f t="shared" si="3"/>
        <v>0</v>
      </c>
      <c r="AK10" s="360">
        <f t="shared" si="3"/>
        <v>0</v>
      </c>
      <c r="AL10" s="360">
        <f t="shared" si="3"/>
        <v>0</v>
      </c>
      <c r="AM10" s="360">
        <f t="shared" si="3"/>
        <v>0</v>
      </c>
      <c r="AN10" s="361">
        <f t="shared" si="3"/>
        <v>0</v>
      </c>
      <c r="AO10" s="271">
        <f t="shared" si="3"/>
        <v>0</v>
      </c>
      <c r="AP10" s="272">
        <f t="shared" si="3"/>
        <v>0</v>
      </c>
      <c r="AQ10" s="272">
        <f t="shared" si="3"/>
        <v>0</v>
      </c>
      <c r="AR10" s="272">
        <f t="shared" si="3"/>
        <v>0</v>
      </c>
      <c r="AS10" s="272">
        <f t="shared" si="3"/>
        <v>0</v>
      </c>
      <c r="AT10" s="272">
        <f t="shared" si="4"/>
        <v>0</v>
      </c>
      <c r="AU10" s="272">
        <f t="shared" si="4"/>
        <v>0</v>
      </c>
      <c r="AV10" s="272">
        <f t="shared" si="4"/>
        <v>0</v>
      </c>
      <c r="AW10" s="272">
        <f t="shared" si="4"/>
        <v>0</v>
      </c>
      <c r="AX10" s="272">
        <f t="shared" si="4"/>
        <v>0</v>
      </c>
      <c r="AY10" s="272">
        <f t="shared" si="4"/>
        <v>0</v>
      </c>
      <c r="AZ10" s="272">
        <f t="shared" si="4"/>
        <v>0</v>
      </c>
      <c r="BA10" s="272">
        <f t="shared" si="4"/>
        <v>0</v>
      </c>
      <c r="BB10" s="260"/>
      <c r="BC10" s="260"/>
      <c r="BD10" s="275">
        <f t="shared" si="5"/>
        <v>0</v>
      </c>
    </row>
    <row r="11" spans="1:58" ht="14.5" outlineLevel="1" x14ac:dyDescent="0.35">
      <c r="A11" s="276" t="str">
        <f>VLOOKUP(B11,Planning!B:F,5,FALSE)</f>
        <v>SL</v>
      </c>
      <c r="B11" s="365" t="s">
        <v>496</v>
      </c>
      <c r="C11" s="358"/>
      <c r="D11" s="359" t="str">
        <f t="shared" si="7"/>
        <v/>
      </c>
      <c r="E11" s="359"/>
      <c r="F11" s="360">
        <f t="shared" si="0"/>
        <v>0</v>
      </c>
      <c r="G11" s="360">
        <f t="shared" si="0"/>
        <v>0</v>
      </c>
      <c r="H11" s="360">
        <f t="shared" si="0"/>
        <v>0</v>
      </c>
      <c r="I11" s="360">
        <f t="shared" si="0"/>
        <v>0</v>
      </c>
      <c r="J11" s="360">
        <f t="shared" si="0"/>
        <v>0</v>
      </c>
      <c r="K11" s="360">
        <f t="shared" si="0"/>
        <v>0</v>
      </c>
      <c r="L11" s="360">
        <f t="shared" si="0"/>
        <v>0</v>
      </c>
      <c r="M11" s="360">
        <f t="shared" si="0"/>
        <v>0</v>
      </c>
      <c r="N11" s="360">
        <f t="shared" si="0"/>
        <v>0</v>
      </c>
      <c r="O11" s="360">
        <f t="shared" si="0"/>
        <v>0</v>
      </c>
      <c r="P11" s="360">
        <f t="shared" si="1"/>
        <v>0</v>
      </c>
      <c r="Q11" s="360">
        <f t="shared" si="1"/>
        <v>0</v>
      </c>
      <c r="R11" s="360">
        <f t="shared" si="1"/>
        <v>0</v>
      </c>
      <c r="S11" s="360">
        <f t="shared" si="1"/>
        <v>0</v>
      </c>
      <c r="T11" s="360">
        <f t="shared" si="1"/>
        <v>0</v>
      </c>
      <c r="U11" s="360">
        <f t="shared" si="1"/>
        <v>0</v>
      </c>
      <c r="V11" s="360">
        <f t="shared" si="1"/>
        <v>0</v>
      </c>
      <c r="W11" s="360">
        <f t="shared" si="1"/>
        <v>0</v>
      </c>
      <c r="X11" s="360">
        <f t="shared" si="1"/>
        <v>0</v>
      </c>
      <c r="Y11" s="360">
        <f t="shared" si="1"/>
        <v>0</v>
      </c>
      <c r="Z11" s="360">
        <f t="shared" si="2"/>
        <v>0</v>
      </c>
      <c r="AA11" s="360">
        <f t="shared" si="2"/>
        <v>0</v>
      </c>
      <c r="AB11" s="360">
        <f t="shared" si="2"/>
        <v>0</v>
      </c>
      <c r="AC11" s="360">
        <f t="shared" si="2"/>
        <v>0</v>
      </c>
      <c r="AD11" s="360">
        <f t="shared" si="2"/>
        <v>0</v>
      </c>
      <c r="AE11" s="360">
        <f t="shared" si="2"/>
        <v>0</v>
      </c>
      <c r="AF11" s="360">
        <f t="shared" si="2"/>
        <v>0</v>
      </c>
      <c r="AG11" s="360">
        <f t="shared" si="2"/>
        <v>0</v>
      </c>
      <c r="AH11" s="360">
        <f t="shared" si="2"/>
        <v>0</v>
      </c>
      <c r="AI11" s="360">
        <f t="shared" si="2"/>
        <v>0</v>
      </c>
      <c r="AJ11" s="360">
        <f t="shared" si="3"/>
        <v>0</v>
      </c>
      <c r="AK11" s="360">
        <f t="shared" si="3"/>
        <v>0</v>
      </c>
      <c r="AL11" s="360">
        <f t="shared" si="3"/>
        <v>0</v>
      </c>
      <c r="AM11" s="360">
        <f t="shared" si="3"/>
        <v>0</v>
      </c>
      <c r="AN11" s="361">
        <f t="shared" si="3"/>
        <v>0</v>
      </c>
      <c r="AO11" s="271">
        <f t="shared" si="3"/>
        <v>0</v>
      </c>
      <c r="AP11" s="272">
        <f t="shared" si="3"/>
        <v>0</v>
      </c>
      <c r="AQ11" s="272">
        <f t="shared" si="3"/>
        <v>0</v>
      </c>
      <c r="AR11" s="272">
        <f t="shared" si="3"/>
        <v>0</v>
      </c>
      <c r="AS11" s="272">
        <f t="shared" si="3"/>
        <v>0</v>
      </c>
      <c r="AT11" s="272">
        <f t="shared" si="4"/>
        <v>0</v>
      </c>
      <c r="AU11" s="272">
        <f t="shared" si="4"/>
        <v>0</v>
      </c>
      <c r="AV11" s="272">
        <f t="shared" si="4"/>
        <v>0</v>
      </c>
      <c r="AW11" s="272">
        <f t="shared" si="4"/>
        <v>0</v>
      </c>
      <c r="AX11" s="272">
        <f t="shared" si="4"/>
        <v>0</v>
      </c>
      <c r="AY11" s="272">
        <f t="shared" si="4"/>
        <v>0</v>
      </c>
      <c r="AZ11" s="272">
        <f t="shared" si="4"/>
        <v>0</v>
      </c>
      <c r="BA11" s="272">
        <f t="shared" si="4"/>
        <v>0</v>
      </c>
      <c r="BB11" s="260"/>
      <c r="BC11" s="260"/>
      <c r="BD11" s="275">
        <f t="shared" si="5"/>
        <v>0</v>
      </c>
    </row>
    <row r="12" spans="1:58" ht="14.5" outlineLevel="1" x14ac:dyDescent="0.35">
      <c r="A12" s="276" t="str">
        <f>VLOOKUP(B12,Planning!B:F,5,FALSE)</f>
        <v>SL</v>
      </c>
      <c r="B12" s="366" t="s">
        <v>497</v>
      </c>
      <c r="C12" s="358"/>
      <c r="D12" s="359" t="str">
        <f t="shared" si="7"/>
        <v>F</v>
      </c>
      <c r="E12" s="359"/>
      <c r="F12" s="360">
        <f t="shared" si="0"/>
        <v>0</v>
      </c>
      <c r="G12" s="360">
        <f t="shared" si="0"/>
        <v>0</v>
      </c>
      <c r="H12" s="360">
        <f t="shared" si="0"/>
        <v>0</v>
      </c>
      <c r="I12" s="360">
        <f t="shared" si="0"/>
        <v>0</v>
      </c>
      <c r="J12" s="360">
        <f t="shared" si="0"/>
        <v>0</v>
      </c>
      <c r="K12" s="360">
        <f t="shared" si="0"/>
        <v>0</v>
      </c>
      <c r="L12" s="360">
        <f t="shared" si="0"/>
        <v>0</v>
      </c>
      <c r="M12" s="360">
        <f t="shared" si="0"/>
        <v>0</v>
      </c>
      <c r="N12" s="360">
        <f t="shared" si="0"/>
        <v>0</v>
      </c>
      <c r="O12" s="360">
        <f t="shared" si="0"/>
        <v>0</v>
      </c>
      <c r="P12" s="360">
        <f t="shared" si="1"/>
        <v>0</v>
      </c>
      <c r="Q12" s="360">
        <f t="shared" si="1"/>
        <v>0</v>
      </c>
      <c r="R12" s="360">
        <f t="shared" si="1"/>
        <v>0</v>
      </c>
      <c r="S12" s="360">
        <f t="shared" si="1"/>
        <v>0</v>
      </c>
      <c r="T12" s="360">
        <f t="shared" si="1"/>
        <v>0</v>
      </c>
      <c r="U12" s="360" t="str">
        <f t="shared" si="1"/>
        <v>A</v>
      </c>
      <c r="V12" s="360" t="str">
        <f t="shared" si="1"/>
        <v>A</v>
      </c>
      <c r="W12" s="360" t="str">
        <f t="shared" si="1"/>
        <v>A</v>
      </c>
      <c r="X12" s="360" t="str">
        <f t="shared" si="1"/>
        <v>A</v>
      </c>
      <c r="Y12" s="360" t="str">
        <f t="shared" si="1"/>
        <v>A</v>
      </c>
      <c r="Z12" s="360" t="str">
        <f t="shared" si="2"/>
        <v>A</v>
      </c>
      <c r="AA12" s="360" t="str">
        <f t="shared" si="2"/>
        <v>A</v>
      </c>
      <c r="AB12" s="360" t="str">
        <f t="shared" si="2"/>
        <v>A</v>
      </c>
      <c r="AC12" s="360" t="str">
        <f t="shared" si="2"/>
        <v>A</v>
      </c>
      <c r="AD12" s="360" t="str">
        <f t="shared" si="2"/>
        <v>A</v>
      </c>
      <c r="AE12" s="360" t="str">
        <f t="shared" si="2"/>
        <v>A</v>
      </c>
      <c r="AF12" s="360" t="str">
        <f t="shared" si="2"/>
        <v>A</v>
      </c>
      <c r="AG12" s="360" t="str">
        <f t="shared" si="2"/>
        <v>A</v>
      </c>
      <c r="AH12" s="360" t="str">
        <f t="shared" si="2"/>
        <v>A</v>
      </c>
      <c r="AI12" s="360" t="str">
        <f t="shared" si="2"/>
        <v>A</v>
      </c>
      <c r="AJ12" s="360" t="str">
        <f t="shared" si="3"/>
        <v>A</v>
      </c>
      <c r="AK12" s="360" t="str">
        <f t="shared" si="3"/>
        <v>A</v>
      </c>
      <c r="AL12" s="360" t="str">
        <f t="shared" si="3"/>
        <v>A</v>
      </c>
      <c r="AM12" s="360" t="str">
        <f t="shared" si="3"/>
        <v>A</v>
      </c>
      <c r="AN12" s="361" t="str">
        <f t="shared" si="3"/>
        <v>A</v>
      </c>
      <c r="AO12" s="271" t="str">
        <f t="shared" ref="AO12:AS20" si="8">IFERROR(INDEX(Horaires,MATCH($D12,Horaires_v,0),MATCH(AO$2,Horaires_h,0)),0)</f>
        <v>A</v>
      </c>
      <c r="AP12" s="272" t="str">
        <f t="shared" si="8"/>
        <v>A</v>
      </c>
      <c r="AQ12" s="272" t="str">
        <f t="shared" si="8"/>
        <v>A</v>
      </c>
      <c r="AR12" s="272">
        <f t="shared" si="8"/>
        <v>0</v>
      </c>
      <c r="AS12" s="272">
        <f t="shared" si="8"/>
        <v>0</v>
      </c>
      <c r="AT12" s="272">
        <f t="shared" ref="AT12:BA20" si="9">IFERROR(INDEX(Horaires,MATCH($D12,Horaires_v,0),MATCH(AT$2,Horaires_h,0)),0)</f>
        <v>0</v>
      </c>
      <c r="AU12" s="272">
        <f t="shared" si="9"/>
        <v>0</v>
      </c>
      <c r="AV12" s="272">
        <f t="shared" si="9"/>
        <v>0</v>
      </c>
      <c r="AW12" s="272">
        <f t="shared" si="9"/>
        <v>0</v>
      </c>
      <c r="AX12" s="272">
        <f t="shared" si="9"/>
        <v>0</v>
      </c>
      <c r="AY12" s="272">
        <f t="shared" si="9"/>
        <v>0</v>
      </c>
      <c r="AZ12" s="272">
        <f t="shared" si="9"/>
        <v>0</v>
      </c>
      <c r="BA12" s="272">
        <f t="shared" si="9"/>
        <v>0</v>
      </c>
      <c r="BB12" s="260"/>
      <c r="BC12" s="260"/>
      <c r="BD12" s="275">
        <f t="shared" si="5"/>
        <v>0</v>
      </c>
    </row>
    <row r="13" spans="1:58" ht="14.5" outlineLevel="1" x14ac:dyDescent="0.35">
      <c r="A13" s="276" t="str">
        <f>VLOOKUP(B13,Planning!B:F,5,FALSE)</f>
        <v>SL</v>
      </c>
      <c r="B13" s="366" t="s">
        <v>499</v>
      </c>
      <c r="C13" s="358"/>
      <c r="D13" s="359" t="str">
        <f t="shared" ref="D13:D18" si="10">IF(INDEX(Planning,MATCH(B13,Planning_v,0),MATCH($D$1,Planning_h))=0,"",INDEX(Planning,MATCH(B13,Planning_v,0),MATCH($D$1,Planning_h)))</f>
        <v>F</v>
      </c>
      <c r="E13" s="359"/>
      <c r="F13" s="360">
        <f t="shared" si="0"/>
        <v>0</v>
      </c>
      <c r="G13" s="360">
        <f t="shared" si="0"/>
        <v>0</v>
      </c>
      <c r="H13" s="360">
        <f t="shared" si="0"/>
        <v>0</v>
      </c>
      <c r="I13" s="360">
        <f t="shared" si="0"/>
        <v>0</v>
      </c>
      <c r="J13" s="360">
        <f t="shared" si="0"/>
        <v>0</v>
      </c>
      <c r="K13" s="360">
        <f t="shared" si="0"/>
        <v>0</v>
      </c>
      <c r="L13" s="360">
        <f t="shared" si="0"/>
        <v>0</v>
      </c>
      <c r="M13" s="360">
        <f t="shared" si="0"/>
        <v>0</v>
      </c>
      <c r="N13" s="360">
        <f t="shared" si="0"/>
        <v>0</v>
      </c>
      <c r="O13" s="360">
        <f t="shared" si="0"/>
        <v>0</v>
      </c>
      <c r="P13" s="360">
        <f t="shared" si="1"/>
        <v>0</v>
      </c>
      <c r="Q13" s="360">
        <f t="shared" si="1"/>
        <v>0</v>
      </c>
      <c r="R13" s="360">
        <f t="shared" si="1"/>
        <v>0</v>
      </c>
      <c r="S13" s="360">
        <f t="shared" si="1"/>
        <v>0</v>
      </c>
      <c r="T13" s="360">
        <f t="shared" si="1"/>
        <v>0</v>
      </c>
      <c r="U13" s="360" t="str">
        <f t="shared" si="1"/>
        <v>A</v>
      </c>
      <c r="V13" s="360" t="str">
        <f t="shared" si="1"/>
        <v>A</v>
      </c>
      <c r="W13" s="360" t="str">
        <f t="shared" si="1"/>
        <v>A</v>
      </c>
      <c r="X13" s="360" t="str">
        <f t="shared" si="1"/>
        <v>A</v>
      </c>
      <c r="Y13" s="360" t="str">
        <f t="shared" si="1"/>
        <v>A</v>
      </c>
      <c r="Z13" s="360" t="str">
        <f t="shared" si="2"/>
        <v>A</v>
      </c>
      <c r="AA13" s="360" t="str">
        <f t="shared" si="2"/>
        <v>A</v>
      </c>
      <c r="AB13" s="360" t="str">
        <f t="shared" si="2"/>
        <v>A</v>
      </c>
      <c r="AC13" s="360" t="str">
        <f t="shared" si="2"/>
        <v>A</v>
      </c>
      <c r="AD13" s="360" t="str">
        <f t="shared" si="2"/>
        <v>A</v>
      </c>
      <c r="AE13" s="360" t="str">
        <f t="shared" si="2"/>
        <v>A</v>
      </c>
      <c r="AF13" s="360" t="str">
        <f t="shared" si="2"/>
        <v>A</v>
      </c>
      <c r="AG13" s="360" t="str">
        <f t="shared" si="2"/>
        <v>A</v>
      </c>
      <c r="AH13" s="360" t="str">
        <f t="shared" si="2"/>
        <v>A</v>
      </c>
      <c r="AI13" s="360" t="str">
        <f t="shared" si="2"/>
        <v>A</v>
      </c>
      <c r="AJ13" s="360" t="str">
        <f t="shared" si="3"/>
        <v>A</v>
      </c>
      <c r="AK13" s="360" t="str">
        <f t="shared" si="3"/>
        <v>A</v>
      </c>
      <c r="AL13" s="360" t="str">
        <f t="shared" si="3"/>
        <v>A</v>
      </c>
      <c r="AM13" s="360" t="str">
        <f t="shared" si="3"/>
        <v>A</v>
      </c>
      <c r="AN13" s="361" t="str">
        <f t="shared" si="3"/>
        <v>A</v>
      </c>
      <c r="AO13" s="271" t="str">
        <f t="shared" si="8"/>
        <v>A</v>
      </c>
      <c r="AP13" s="272" t="str">
        <f t="shared" si="8"/>
        <v>A</v>
      </c>
      <c r="AQ13" s="272" t="str">
        <f t="shared" si="8"/>
        <v>A</v>
      </c>
      <c r="AR13" s="272">
        <f t="shared" si="8"/>
        <v>0</v>
      </c>
      <c r="AS13" s="272">
        <f t="shared" si="8"/>
        <v>0</v>
      </c>
      <c r="AT13" s="272">
        <f t="shared" si="9"/>
        <v>0</v>
      </c>
      <c r="AU13" s="272">
        <f t="shared" si="9"/>
        <v>0</v>
      </c>
      <c r="AV13" s="272">
        <f t="shared" si="9"/>
        <v>0</v>
      </c>
      <c r="AW13" s="272">
        <f t="shared" si="9"/>
        <v>0</v>
      </c>
      <c r="AX13" s="272">
        <f t="shared" si="9"/>
        <v>0</v>
      </c>
      <c r="AY13" s="272">
        <f t="shared" si="9"/>
        <v>0</v>
      </c>
      <c r="AZ13" s="272">
        <f t="shared" si="9"/>
        <v>0</v>
      </c>
      <c r="BA13" s="272">
        <f t="shared" si="9"/>
        <v>0</v>
      </c>
      <c r="BB13" s="260"/>
      <c r="BC13" s="260"/>
      <c r="BD13" s="275">
        <f t="shared" si="5"/>
        <v>0</v>
      </c>
    </row>
    <row r="14" spans="1:58" ht="14.5" outlineLevel="1" x14ac:dyDescent="0.35">
      <c r="A14" s="276" t="str">
        <f>VLOOKUP(B14,Planning!B:F,5,FALSE)</f>
        <v>SL</v>
      </c>
      <c r="B14" s="365" t="s">
        <v>500</v>
      </c>
      <c r="C14" s="358"/>
      <c r="D14" s="359" t="str">
        <f t="shared" si="10"/>
        <v>F</v>
      </c>
      <c r="E14" s="359"/>
      <c r="F14" s="360">
        <f t="shared" si="0"/>
        <v>0</v>
      </c>
      <c r="G14" s="360">
        <f t="shared" si="0"/>
        <v>0</v>
      </c>
      <c r="H14" s="360">
        <f t="shared" si="0"/>
        <v>0</v>
      </c>
      <c r="I14" s="360">
        <f t="shared" si="0"/>
        <v>0</v>
      </c>
      <c r="J14" s="360">
        <f t="shared" si="0"/>
        <v>0</v>
      </c>
      <c r="K14" s="360">
        <f t="shared" si="0"/>
        <v>0</v>
      </c>
      <c r="L14" s="360">
        <f t="shared" si="0"/>
        <v>0</v>
      </c>
      <c r="M14" s="360">
        <f t="shared" si="0"/>
        <v>0</v>
      </c>
      <c r="N14" s="360">
        <f t="shared" si="0"/>
        <v>0</v>
      </c>
      <c r="O14" s="360">
        <f t="shared" si="0"/>
        <v>0</v>
      </c>
      <c r="P14" s="360">
        <f t="shared" si="1"/>
        <v>0</v>
      </c>
      <c r="Q14" s="360">
        <f t="shared" si="1"/>
        <v>0</v>
      </c>
      <c r="R14" s="360">
        <f t="shared" si="1"/>
        <v>0</v>
      </c>
      <c r="S14" s="360">
        <f t="shared" si="1"/>
        <v>0</v>
      </c>
      <c r="T14" s="360">
        <f t="shared" si="1"/>
        <v>0</v>
      </c>
      <c r="U14" s="360" t="str">
        <f t="shared" si="1"/>
        <v>A</v>
      </c>
      <c r="V14" s="360" t="str">
        <f t="shared" si="1"/>
        <v>A</v>
      </c>
      <c r="W14" s="360" t="str">
        <f t="shared" si="1"/>
        <v>A</v>
      </c>
      <c r="X14" s="360" t="str">
        <f t="shared" si="1"/>
        <v>A</v>
      </c>
      <c r="Y14" s="360" t="str">
        <f t="shared" si="1"/>
        <v>A</v>
      </c>
      <c r="Z14" s="360" t="str">
        <f t="shared" si="2"/>
        <v>A</v>
      </c>
      <c r="AA14" s="360" t="str">
        <f t="shared" si="2"/>
        <v>A</v>
      </c>
      <c r="AB14" s="360" t="str">
        <f t="shared" si="2"/>
        <v>A</v>
      </c>
      <c r="AC14" s="360" t="str">
        <f t="shared" si="2"/>
        <v>A</v>
      </c>
      <c r="AD14" s="360" t="str">
        <f t="shared" si="2"/>
        <v>A</v>
      </c>
      <c r="AE14" s="360" t="str">
        <f t="shared" si="2"/>
        <v>A</v>
      </c>
      <c r="AF14" s="360" t="str">
        <f t="shared" si="2"/>
        <v>A</v>
      </c>
      <c r="AG14" s="360" t="str">
        <f t="shared" si="2"/>
        <v>A</v>
      </c>
      <c r="AH14" s="360" t="str">
        <f t="shared" si="2"/>
        <v>A</v>
      </c>
      <c r="AI14" s="360" t="str">
        <f t="shared" si="2"/>
        <v>A</v>
      </c>
      <c r="AJ14" s="360" t="str">
        <f t="shared" si="3"/>
        <v>A</v>
      </c>
      <c r="AK14" s="360" t="str">
        <f t="shared" si="3"/>
        <v>A</v>
      </c>
      <c r="AL14" s="360" t="str">
        <f t="shared" si="3"/>
        <v>A</v>
      </c>
      <c r="AM14" s="360" t="str">
        <f t="shared" si="3"/>
        <v>A</v>
      </c>
      <c r="AN14" s="361" t="str">
        <f t="shared" si="3"/>
        <v>A</v>
      </c>
      <c r="AO14" s="271" t="str">
        <f t="shared" si="8"/>
        <v>A</v>
      </c>
      <c r="AP14" s="272" t="str">
        <f t="shared" si="8"/>
        <v>A</v>
      </c>
      <c r="AQ14" s="272" t="str">
        <f t="shared" si="8"/>
        <v>A</v>
      </c>
      <c r="AR14" s="272">
        <f t="shared" si="8"/>
        <v>0</v>
      </c>
      <c r="AS14" s="272">
        <f t="shared" si="8"/>
        <v>0</v>
      </c>
      <c r="AT14" s="272">
        <f t="shared" si="9"/>
        <v>0</v>
      </c>
      <c r="AU14" s="272">
        <f t="shared" si="9"/>
        <v>0</v>
      </c>
      <c r="AV14" s="272">
        <f t="shared" si="9"/>
        <v>0</v>
      </c>
      <c r="AW14" s="272">
        <f t="shared" si="9"/>
        <v>0</v>
      </c>
      <c r="AX14" s="272">
        <f t="shared" si="9"/>
        <v>0</v>
      </c>
      <c r="AY14" s="272">
        <f t="shared" si="9"/>
        <v>0</v>
      </c>
      <c r="AZ14" s="272">
        <f t="shared" si="9"/>
        <v>0</v>
      </c>
      <c r="BA14" s="272">
        <f t="shared" si="9"/>
        <v>0</v>
      </c>
      <c r="BB14" s="260"/>
      <c r="BC14" s="260"/>
      <c r="BD14" s="275">
        <f t="shared" si="5"/>
        <v>0</v>
      </c>
    </row>
    <row r="15" spans="1:58" ht="14.5" outlineLevel="1" x14ac:dyDescent="0.35">
      <c r="A15" s="276" t="str">
        <f>VLOOKUP(B15,Planning!B:F,5,FALSE)</f>
        <v>SL</v>
      </c>
      <c r="B15" s="365" t="s">
        <v>501</v>
      </c>
      <c r="C15" s="358"/>
      <c r="D15" s="359" t="str">
        <f t="shared" si="10"/>
        <v>F</v>
      </c>
      <c r="E15" s="359"/>
      <c r="F15" s="360">
        <f t="shared" si="0"/>
        <v>0</v>
      </c>
      <c r="G15" s="360">
        <f t="shared" si="0"/>
        <v>0</v>
      </c>
      <c r="H15" s="360">
        <f t="shared" si="0"/>
        <v>0</v>
      </c>
      <c r="I15" s="360">
        <f t="shared" si="0"/>
        <v>0</v>
      </c>
      <c r="J15" s="360">
        <f t="shared" si="0"/>
        <v>0</v>
      </c>
      <c r="K15" s="360">
        <f t="shared" si="0"/>
        <v>0</v>
      </c>
      <c r="L15" s="360">
        <f t="shared" si="0"/>
        <v>0</v>
      </c>
      <c r="M15" s="360">
        <f t="shared" si="0"/>
        <v>0</v>
      </c>
      <c r="N15" s="360">
        <f t="shared" si="0"/>
        <v>0</v>
      </c>
      <c r="O15" s="360">
        <f t="shared" si="0"/>
        <v>0</v>
      </c>
      <c r="P15" s="360">
        <f t="shared" si="1"/>
        <v>0</v>
      </c>
      <c r="Q15" s="360">
        <f t="shared" si="1"/>
        <v>0</v>
      </c>
      <c r="R15" s="360">
        <f t="shared" si="1"/>
        <v>0</v>
      </c>
      <c r="S15" s="360">
        <f t="shared" si="1"/>
        <v>0</v>
      </c>
      <c r="T15" s="360">
        <f t="shared" si="1"/>
        <v>0</v>
      </c>
      <c r="U15" s="360" t="str">
        <f t="shared" si="1"/>
        <v>A</v>
      </c>
      <c r="V15" s="360" t="str">
        <f t="shared" si="1"/>
        <v>A</v>
      </c>
      <c r="W15" s="360" t="str">
        <f t="shared" si="1"/>
        <v>A</v>
      </c>
      <c r="X15" s="360" t="str">
        <f t="shared" si="1"/>
        <v>A</v>
      </c>
      <c r="Y15" s="360" t="str">
        <f t="shared" si="1"/>
        <v>A</v>
      </c>
      <c r="Z15" s="360" t="str">
        <f t="shared" si="2"/>
        <v>A</v>
      </c>
      <c r="AA15" s="360" t="str">
        <f t="shared" si="2"/>
        <v>A</v>
      </c>
      <c r="AB15" s="360" t="str">
        <f t="shared" si="2"/>
        <v>A</v>
      </c>
      <c r="AC15" s="360" t="str">
        <f t="shared" si="2"/>
        <v>A</v>
      </c>
      <c r="AD15" s="360" t="str">
        <f t="shared" si="2"/>
        <v>A</v>
      </c>
      <c r="AE15" s="360" t="str">
        <f t="shared" si="2"/>
        <v>A</v>
      </c>
      <c r="AF15" s="360" t="str">
        <f t="shared" si="2"/>
        <v>A</v>
      </c>
      <c r="AG15" s="360" t="str">
        <f t="shared" si="2"/>
        <v>A</v>
      </c>
      <c r="AH15" s="360" t="str">
        <f t="shared" si="2"/>
        <v>A</v>
      </c>
      <c r="AI15" s="360" t="str">
        <f t="shared" si="2"/>
        <v>A</v>
      </c>
      <c r="AJ15" s="360" t="str">
        <f t="shared" si="3"/>
        <v>A</v>
      </c>
      <c r="AK15" s="360" t="str">
        <f t="shared" si="3"/>
        <v>A</v>
      </c>
      <c r="AL15" s="360" t="str">
        <f t="shared" si="3"/>
        <v>A</v>
      </c>
      <c r="AM15" s="360" t="str">
        <f t="shared" si="3"/>
        <v>A</v>
      </c>
      <c r="AN15" s="361" t="str">
        <f t="shared" si="3"/>
        <v>A</v>
      </c>
      <c r="AO15" s="271" t="str">
        <f t="shared" si="8"/>
        <v>A</v>
      </c>
      <c r="AP15" s="272" t="str">
        <f t="shared" si="8"/>
        <v>A</v>
      </c>
      <c r="AQ15" s="272" t="str">
        <f t="shared" si="8"/>
        <v>A</v>
      </c>
      <c r="AR15" s="272">
        <f t="shared" si="8"/>
        <v>0</v>
      </c>
      <c r="AS15" s="272">
        <f t="shared" si="8"/>
        <v>0</v>
      </c>
      <c r="AT15" s="272">
        <f t="shared" si="9"/>
        <v>0</v>
      </c>
      <c r="AU15" s="272">
        <f t="shared" si="9"/>
        <v>0</v>
      </c>
      <c r="AV15" s="272">
        <f t="shared" si="9"/>
        <v>0</v>
      </c>
      <c r="AW15" s="272">
        <f t="shared" si="9"/>
        <v>0</v>
      </c>
      <c r="AX15" s="272">
        <f t="shared" si="9"/>
        <v>0</v>
      </c>
      <c r="AY15" s="272">
        <f t="shared" si="9"/>
        <v>0</v>
      </c>
      <c r="AZ15" s="272">
        <f t="shared" si="9"/>
        <v>0</v>
      </c>
      <c r="BA15" s="272">
        <f t="shared" si="9"/>
        <v>0</v>
      </c>
      <c r="BB15" s="260"/>
      <c r="BC15" s="260"/>
      <c r="BD15" s="275">
        <f t="shared" si="5"/>
        <v>0</v>
      </c>
    </row>
    <row r="16" spans="1:58" ht="14.5" outlineLevel="1" x14ac:dyDescent="0.35">
      <c r="A16" s="276" t="str">
        <f>VLOOKUP(B16,Planning!B:F,5,FALSE)</f>
        <v>SL</v>
      </c>
      <c r="B16" s="365" t="s">
        <v>502</v>
      </c>
      <c r="C16" s="358"/>
      <c r="D16" s="359" t="str">
        <f t="shared" si="10"/>
        <v/>
      </c>
      <c r="E16" s="359"/>
      <c r="F16" s="360">
        <f t="shared" si="0"/>
        <v>0</v>
      </c>
      <c r="G16" s="360">
        <f t="shared" si="0"/>
        <v>0</v>
      </c>
      <c r="H16" s="360">
        <f t="shared" si="0"/>
        <v>0</v>
      </c>
      <c r="I16" s="360">
        <f t="shared" si="0"/>
        <v>0</v>
      </c>
      <c r="J16" s="360">
        <f t="shared" si="0"/>
        <v>0</v>
      </c>
      <c r="K16" s="360">
        <f t="shared" si="0"/>
        <v>0</v>
      </c>
      <c r="L16" s="360">
        <f t="shared" si="0"/>
        <v>0</v>
      </c>
      <c r="M16" s="360">
        <f t="shared" si="0"/>
        <v>0</v>
      </c>
      <c r="N16" s="360">
        <f t="shared" si="0"/>
        <v>0</v>
      </c>
      <c r="O16" s="360">
        <f t="shared" si="0"/>
        <v>0</v>
      </c>
      <c r="P16" s="360">
        <f t="shared" si="1"/>
        <v>0</v>
      </c>
      <c r="Q16" s="360">
        <f t="shared" si="1"/>
        <v>0</v>
      </c>
      <c r="R16" s="360">
        <f t="shared" si="1"/>
        <v>0</v>
      </c>
      <c r="S16" s="360">
        <f t="shared" si="1"/>
        <v>0</v>
      </c>
      <c r="T16" s="360">
        <f t="shared" si="1"/>
        <v>0</v>
      </c>
      <c r="U16" s="360">
        <f t="shared" si="1"/>
        <v>0</v>
      </c>
      <c r="V16" s="360">
        <f t="shared" si="1"/>
        <v>0</v>
      </c>
      <c r="W16" s="360">
        <f t="shared" si="1"/>
        <v>0</v>
      </c>
      <c r="X16" s="360">
        <f t="shared" si="1"/>
        <v>0</v>
      </c>
      <c r="Y16" s="360">
        <f t="shared" si="1"/>
        <v>0</v>
      </c>
      <c r="Z16" s="360">
        <f t="shared" si="2"/>
        <v>0</v>
      </c>
      <c r="AA16" s="360">
        <f t="shared" si="2"/>
        <v>0</v>
      </c>
      <c r="AB16" s="360">
        <f t="shared" si="2"/>
        <v>0</v>
      </c>
      <c r="AC16" s="360">
        <f t="shared" si="2"/>
        <v>0</v>
      </c>
      <c r="AD16" s="360">
        <f t="shared" si="2"/>
        <v>0</v>
      </c>
      <c r="AE16" s="360">
        <f t="shared" si="2"/>
        <v>0</v>
      </c>
      <c r="AF16" s="360">
        <f t="shared" si="2"/>
        <v>0</v>
      </c>
      <c r="AG16" s="360">
        <f t="shared" si="2"/>
        <v>0</v>
      </c>
      <c r="AH16" s="360">
        <f t="shared" si="2"/>
        <v>0</v>
      </c>
      <c r="AI16" s="360">
        <f t="shared" si="2"/>
        <v>0</v>
      </c>
      <c r="AJ16" s="360">
        <f t="shared" si="3"/>
        <v>0</v>
      </c>
      <c r="AK16" s="360">
        <f t="shared" si="3"/>
        <v>0</v>
      </c>
      <c r="AL16" s="360">
        <f t="shared" si="3"/>
        <v>0</v>
      </c>
      <c r="AM16" s="360">
        <f t="shared" si="3"/>
        <v>0</v>
      </c>
      <c r="AN16" s="361">
        <f t="shared" si="3"/>
        <v>0</v>
      </c>
      <c r="AO16" s="271"/>
      <c r="AP16" s="272"/>
      <c r="AQ16" s="272"/>
      <c r="AR16" s="272"/>
      <c r="AS16" s="272"/>
      <c r="AT16" s="272"/>
      <c r="AU16" s="272"/>
      <c r="AV16" s="272"/>
      <c r="AW16" s="272"/>
      <c r="AX16" s="272"/>
      <c r="AY16" s="272"/>
      <c r="AZ16" s="272"/>
      <c r="BA16" s="272"/>
      <c r="BB16" s="260"/>
      <c r="BC16" s="260"/>
      <c r="BD16" s="275">
        <f t="shared" si="5"/>
        <v>0</v>
      </c>
    </row>
    <row r="17" spans="1:56" ht="14.5" outlineLevel="1" x14ac:dyDescent="0.35">
      <c r="A17" s="276" t="str">
        <f>VLOOKUP(B17,Planning!B:F,5,FALSE)</f>
        <v>SL</v>
      </c>
      <c r="B17" s="365" t="s">
        <v>502</v>
      </c>
      <c r="C17" s="358"/>
      <c r="D17" s="359" t="str">
        <f t="shared" si="10"/>
        <v/>
      </c>
      <c r="E17" s="359"/>
      <c r="F17" s="360">
        <f t="shared" si="0"/>
        <v>0</v>
      </c>
      <c r="G17" s="360">
        <f t="shared" si="0"/>
        <v>0</v>
      </c>
      <c r="H17" s="360">
        <f t="shared" si="0"/>
        <v>0</v>
      </c>
      <c r="I17" s="360">
        <f t="shared" si="0"/>
        <v>0</v>
      </c>
      <c r="J17" s="360">
        <f t="shared" si="0"/>
        <v>0</v>
      </c>
      <c r="K17" s="360">
        <f t="shared" si="0"/>
        <v>0</v>
      </c>
      <c r="L17" s="360">
        <f t="shared" si="0"/>
        <v>0</v>
      </c>
      <c r="M17" s="360">
        <f t="shared" si="0"/>
        <v>0</v>
      </c>
      <c r="N17" s="360">
        <f t="shared" si="0"/>
        <v>0</v>
      </c>
      <c r="O17" s="360">
        <f t="shared" si="0"/>
        <v>0</v>
      </c>
      <c r="P17" s="360">
        <f t="shared" si="1"/>
        <v>0</v>
      </c>
      <c r="Q17" s="360">
        <f t="shared" si="1"/>
        <v>0</v>
      </c>
      <c r="R17" s="360">
        <f t="shared" si="1"/>
        <v>0</v>
      </c>
      <c r="S17" s="360">
        <f t="shared" si="1"/>
        <v>0</v>
      </c>
      <c r="T17" s="360">
        <f t="shared" si="1"/>
        <v>0</v>
      </c>
      <c r="U17" s="360">
        <f t="shared" si="1"/>
        <v>0</v>
      </c>
      <c r="V17" s="360">
        <f t="shared" si="1"/>
        <v>0</v>
      </c>
      <c r="W17" s="360">
        <f t="shared" si="1"/>
        <v>0</v>
      </c>
      <c r="X17" s="360">
        <f t="shared" si="1"/>
        <v>0</v>
      </c>
      <c r="Y17" s="360">
        <f t="shared" si="1"/>
        <v>0</v>
      </c>
      <c r="Z17" s="360">
        <f t="shared" si="2"/>
        <v>0</v>
      </c>
      <c r="AA17" s="360">
        <f t="shared" si="2"/>
        <v>0</v>
      </c>
      <c r="AB17" s="360">
        <f t="shared" si="2"/>
        <v>0</v>
      </c>
      <c r="AC17" s="360">
        <f t="shared" si="2"/>
        <v>0</v>
      </c>
      <c r="AD17" s="360">
        <f t="shared" si="2"/>
        <v>0</v>
      </c>
      <c r="AE17" s="360">
        <f t="shared" si="2"/>
        <v>0</v>
      </c>
      <c r="AF17" s="360">
        <f t="shared" si="2"/>
        <v>0</v>
      </c>
      <c r="AG17" s="360">
        <f t="shared" si="2"/>
        <v>0</v>
      </c>
      <c r="AH17" s="360">
        <f t="shared" si="2"/>
        <v>0</v>
      </c>
      <c r="AI17" s="360">
        <f t="shared" si="2"/>
        <v>0</v>
      </c>
      <c r="AJ17" s="360">
        <f t="shared" si="3"/>
        <v>0</v>
      </c>
      <c r="AK17" s="360">
        <f t="shared" si="3"/>
        <v>0</v>
      </c>
      <c r="AL17" s="360">
        <f t="shared" si="3"/>
        <v>0</v>
      </c>
      <c r="AM17" s="360">
        <f t="shared" si="3"/>
        <v>0</v>
      </c>
      <c r="AN17" s="361">
        <f t="shared" si="3"/>
        <v>0</v>
      </c>
      <c r="AO17" s="271">
        <f t="shared" si="8"/>
        <v>0</v>
      </c>
      <c r="AP17" s="272">
        <f t="shared" si="8"/>
        <v>0</v>
      </c>
      <c r="AQ17" s="272">
        <f t="shared" si="8"/>
        <v>0</v>
      </c>
      <c r="AR17" s="272">
        <f t="shared" si="8"/>
        <v>0</v>
      </c>
      <c r="AS17" s="272">
        <f t="shared" si="8"/>
        <v>0</v>
      </c>
      <c r="AT17" s="272">
        <f t="shared" si="9"/>
        <v>0</v>
      </c>
      <c r="AU17" s="272">
        <f t="shared" si="9"/>
        <v>0</v>
      </c>
      <c r="AV17" s="272">
        <f t="shared" si="9"/>
        <v>0</v>
      </c>
      <c r="AW17" s="272">
        <f t="shared" si="9"/>
        <v>0</v>
      </c>
      <c r="AX17" s="272">
        <f t="shared" si="9"/>
        <v>0</v>
      </c>
      <c r="AY17" s="272">
        <f t="shared" si="9"/>
        <v>0</v>
      </c>
      <c r="AZ17" s="272">
        <f t="shared" si="9"/>
        <v>0</v>
      </c>
      <c r="BA17" s="272">
        <f t="shared" si="9"/>
        <v>0</v>
      </c>
      <c r="BB17" s="260"/>
      <c r="BC17" s="260"/>
      <c r="BD17" s="275">
        <f t="shared" si="5"/>
        <v>0</v>
      </c>
    </row>
    <row r="18" spans="1:56" ht="14.5" outlineLevel="1" x14ac:dyDescent="0.35">
      <c r="A18" s="276" t="str">
        <f>VLOOKUP(B18,Planning!B:F,5,FALSE)</f>
        <v>SL</v>
      </c>
      <c r="B18" s="365" t="s">
        <v>502</v>
      </c>
      <c r="C18" s="358"/>
      <c r="D18" s="359" t="str">
        <f t="shared" si="10"/>
        <v/>
      </c>
      <c r="E18" s="359"/>
      <c r="F18" s="360">
        <f t="shared" si="0"/>
        <v>0</v>
      </c>
      <c r="G18" s="360">
        <f t="shared" si="0"/>
        <v>0</v>
      </c>
      <c r="H18" s="360">
        <f t="shared" si="0"/>
        <v>0</v>
      </c>
      <c r="I18" s="360">
        <f t="shared" si="0"/>
        <v>0</v>
      </c>
      <c r="J18" s="360">
        <f t="shared" si="0"/>
        <v>0</v>
      </c>
      <c r="K18" s="360">
        <f t="shared" si="0"/>
        <v>0</v>
      </c>
      <c r="L18" s="360">
        <f t="shared" si="0"/>
        <v>0</v>
      </c>
      <c r="M18" s="360">
        <f t="shared" si="0"/>
        <v>0</v>
      </c>
      <c r="N18" s="360">
        <f t="shared" si="0"/>
        <v>0</v>
      </c>
      <c r="O18" s="360">
        <f t="shared" si="0"/>
        <v>0</v>
      </c>
      <c r="P18" s="360">
        <f t="shared" si="1"/>
        <v>0</v>
      </c>
      <c r="Q18" s="360">
        <f t="shared" si="1"/>
        <v>0</v>
      </c>
      <c r="R18" s="360">
        <f t="shared" si="1"/>
        <v>0</v>
      </c>
      <c r="S18" s="360">
        <f t="shared" si="1"/>
        <v>0</v>
      </c>
      <c r="T18" s="360">
        <f t="shared" si="1"/>
        <v>0</v>
      </c>
      <c r="U18" s="360">
        <f t="shared" si="1"/>
        <v>0</v>
      </c>
      <c r="V18" s="360">
        <f t="shared" si="1"/>
        <v>0</v>
      </c>
      <c r="W18" s="360">
        <f t="shared" si="1"/>
        <v>0</v>
      </c>
      <c r="X18" s="360">
        <f t="shared" si="1"/>
        <v>0</v>
      </c>
      <c r="Y18" s="360">
        <f t="shared" si="1"/>
        <v>0</v>
      </c>
      <c r="Z18" s="360">
        <f t="shared" si="2"/>
        <v>0</v>
      </c>
      <c r="AA18" s="360">
        <f t="shared" si="2"/>
        <v>0</v>
      </c>
      <c r="AB18" s="360">
        <f t="shared" si="2"/>
        <v>0</v>
      </c>
      <c r="AC18" s="360">
        <f t="shared" si="2"/>
        <v>0</v>
      </c>
      <c r="AD18" s="360">
        <f t="shared" si="2"/>
        <v>0</v>
      </c>
      <c r="AE18" s="360">
        <f t="shared" si="2"/>
        <v>0</v>
      </c>
      <c r="AF18" s="360">
        <f t="shared" si="2"/>
        <v>0</v>
      </c>
      <c r="AG18" s="360">
        <f t="shared" si="2"/>
        <v>0</v>
      </c>
      <c r="AH18" s="360">
        <f t="shared" si="2"/>
        <v>0</v>
      </c>
      <c r="AI18" s="360">
        <f t="shared" si="2"/>
        <v>0</v>
      </c>
      <c r="AJ18" s="360">
        <f t="shared" si="3"/>
        <v>0</v>
      </c>
      <c r="AK18" s="360">
        <f t="shared" si="3"/>
        <v>0</v>
      </c>
      <c r="AL18" s="360">
        <f t="shared" si="3"/>
        <v>0</v>
      </c>
      <c r="AM18" s="360">
        <f t="shared" si="3"/>
        <v>0</v>
      </c>
      <c r="AN18" s="361">
        <f t="shared" si="3"/>
        <v>0</v>
      </c>
      <c r="AO18" s="271">
        <f t="shared" si="8"/>
        <v>0</v>
      </c>
      <c r="AP18" s="272">
        <f t="shared" si="8"/>
        <v>0</v>
      </c>
      <c r="AQ18" s="272">
        <f t="shared" si="8"/>
        <v>0</v>
      </c>
      <c r="AR18" s="272">
        <f t="shared" si="8"/>
        <v>0</v>
      </c>
      <c r="AS18" s="272">
        <f t="shared" si="8"/>
        <v>0</v>
      </c>
      <c r="AT18" s="272">
        <f t="shared" si="9"/>
        <v>0</v>
      </c>
      <c r="AU18" s="272">
        <f t="shared" si="9"/>
        <v>0</v>
      </c>
      <c r="AV18" s="272">
        <f t="shared" si="9"/>
        <v>0</v>
      </c>
      <c r="AW18" s="272">
        <f t="shared" si="9"/>
        <v>0</v>
      </c>
      <c r="AX18" s="272">
        <f t="shared" si="9"/>
        <v>0</v>
      </c>
      <c r="AY18" s="272">
        <f t="shared" si="9"/>
        <v>0</v>
      </c>
      <c r="AZ18" s="272">
        <f t="shared" si="9"/>
        <v>0</v>
      </c>
      <c r="BA18" s="272">
        <f t="shared" si="9"/>
        <v>0</v>
      </c>
      <c r="BB18" s="260"/>
      <c r="BC18" s="260"/>
      <c r="BD18" s="275">
        <f>SUM(F18:BA18)/2</f>
        <v>0</v>
      </c>
    </row>
    <row r="19" spans="1:56" ht="14.5" outlineLevel="1" x14ac:dyDescent="0.35">
      <c r="A19" s="276" t="str">
        <f>VLOOKUP(B19,Planning!B:F,5,FALSE)</f>
        <v>SL</v>
      </c>
      <c r="B19" s="365" t="s">
        <v>502</v>
      </c>
      <c r="C19" s="358"/>
      <c r="D19" s="359" t="str">
        <f t="shared" si="7"/>
        <v/>
      </c>
      <c r="E19" s="359"/>
      <c r="F19" s="360">
        <f t="shared" ref="F19:U34" si="11">IFERROR(INDEX(Horaires,MATCH($D19,Horaires_v,0),MATCH(F$2,Horaires_h,0)),0)</f>
        <v>0</v>
      </c>
      <c r="G19" s="360">
        <f t="shared" si="11"/>
        <v>0</v>
      </c>
      <c r="H19" s="360">
        <f t="shared" si="11"/>
        <v>0</v>
      </c>
      <c r="I19" s="360">
        <f t="shared" si="11"/>
        <v>0</v>
      </c>
      <c r="J19" s="360">
        <f t="shared" si="11"/>
        <v>0</v>
      </c>
      <c r="K19" s="360">
        <f t="shared" si="11"/>
        <v>0</v>
      </c>
      <c r="L19" s="360">
        <f t="shared" si="11"/>
        <v>0</v>
      </c>
      <c r="M19" s="360">
        <f t="shared" si="11"/>
        <v>0</v>
      </c>
      <c r="N19" s="360">
        <f t="shared" si="11"/>
        <v>0</v>
      </c>
      <c r="O19" s="360">
        <f t="shared" si="11"/>
        <v>0</v>
      </c>
      <c r="P19" s="360">
        <f t="shared" si="11"/>
        <v>0</v>
      </c>
      <c r="Q19" s="360">
        <f t="shared" si="11"/>
        <v>0</v>
      </c>
      <c r="R19" s="360">
        <f t="shared" si="11"/>
        <v>0</v>
      </c>
      <c r="S19" s="360">
        <f t="shared" si="11"/>
        <v>0</v>
      </c>
      <c r="T19" s="360">
        <f t="shared" si="11"/>
        <v>0</v>
      </c>
      <c r="U19" s="360">
        <f t="shared" si="11"/>
        <v>0</v>
      </c>
      <c r="V19" s="360">
        <f t="shared" ref="V19:AK38" si="12">IFERROR(INDEX(Horaires,MATCH($D19,Horaires_v,0),MATCH(V$2,Horaires_h,0)),0)</f>
        <v>0</v>
      </c>
      <c r="W19" s="360">
        <f t="shared" si="12"/>
        <v>0</v>
      </c>
      <c r="X19" s="360">
        <f t="shared" si="12"/>
        <v>0</v>
      </c>
      <c r="Y19" s="360">
        <f t="shared" si="12"/>
        <v>0</v>
      </c>
      <c r="Z19" s="360">
        <f t="shared" si="12"/>
        <v>0</v>
      </c>
      <c r="AA19" s="360">
        <f t="shared" si="12"/>
        <v>0</v>
      </c>
      <c r="AB19" s="360">
        <f t="shared" si="12"/>
        <v>0</v>
      </c>
      <c r="AC19" s="360">
        <f t="shared" si="12"/>
        <v>0</v>
      </c>
      <c r="AD19" s="360">
        <f t="shared" si="12"/>
        <v>0</v>
      </c>
      <c r="AE19" s="360">
        <f t="shared" si="12"/>
        <v>0</v>
      </c>
      <c r="AF19" s="360">
        <f t="shared" si="12"/>
        <v>0</v>
      </c>
      <c r="AG19" s="360">
        <f t="shared" si="12"/>
        <v>0</v>
      </c>
      <c r="AH19" s="360">
        <f t="shared" si="12"/>
        <v>0</v>
      </c>
      <c r="AI19" s="360">
        <f t="shared" si="12"/>
        <v>0</v>
      </c>
      <c r="AJ19" s="360">
        <f t="shared" si="12"/>
        <v>0</v>
      </c>
      <c r="AK19" s="360">
        <f t="shared" si="12"/>
        <v>0</v>
      </c>
      <c r="AL19" s="360">
        <f t="shared" ref="AJ19:AN70" si="13">IFERROR(INDEX(Horaires,MATCH($D19,Horaires_v,0),MATCH(AL$2,Horaires_h,0)),0)</f>
        <v>0</v>
      </c>
      <c r="AM19" s="360">
        <f t="shared" si="13"/>
        <v>0</v>
      </c>
      <c r="AN19" s="361">
        <f t="shared" si="13"/>
        <v>0</v>
      </c>
      <c r="AO19" s="271">
        <f t="shared" si="8"/>
        <v>0</v>
      </c>
      <c r="AP19" s="272">
        <f t="shared" si="8"/>
        <v>0</v>
      </c>
      <c r="AQ19" s="272">
        <f t="shared" si="8"/>
        <v>0</v>
      </c>
      <c r="AR19" s="272">
        <f t="shared" si="8"/>
        <v>0</v>
      </c>
      <c r="AS19" s="272">
        <f t="shared" si="8"/>
        <v>0</v>
      </c>
      <c r="AT19" s="272">
        <f t="shared" si="9"/>
        <v>0</v>
      </c>
      <c r="AU19" s="272">
        <f t="shared" si="9"/>
        <v>0</v>
      </c>
      <c r="AV19" s="272">
        <f t="shared" si="9"/>
        <v>0</v>
      </c>
      <c r="AW19" s="272">
        <f t="shared" si="9"/>
        <v>0</v>
      </c>
      <c r="AX19" s="272">
        <f t="shared" si="9"/>
        <v>0</v>
      </c>
      <c r="AY19" s="272">
        <f t="shared" si="9"/>
        <v>0</v>
      </c>
      <c r="AZ19" s="272">
        <f t="shared" si="9"/>
        <v>0</v>
      </c>
      <c r="BA19" s="272">
        <f t="shared" si="9"/>
        <v>0</v>
      </c>
      <c r="BB19" s="260"/>
      <c r="BC19" s="260"/>
      <c r="BD19" s="275">
        <f t="shared" si="5"/>
        <v>0</v>
      </c>
    </row>
    <row r="20" spans="1:56" ht="14.5" outlineLevel="1" x14ac:dyDescent="0.35">
      <c r="A20" s="276" t="str">
        <f>VLOOKUP(B20,Planning!B:F,5,FALSE)</f>
        <v>SL</v>
      </c>
      <c r="B20" s="365" t="s">
        <v>502</v>
      </c>
      <c r="C20" s="358"/>
      <c r="D20" s="359" t="str">
        <f t="shared" si="7"/>
        <v/>
      </c>
      <c r="E20" s="359"/>
      <c r="F20" s="360">
        <f t="shared" si="11"/>
        <v>0</v>
      </c>
      <c r="G20" s="360">
        <f t="shared" si="11"/>
        <v>0</v>
      </c>
      <c r="H20" s="360">
        <f t="shared" si="11"/>
        <v>0</v>
      </c>
      <c r="I20" s="360">
        <f t="shared" si="11"/>
        <v>0</v>
      </c>
      <c r="J20" s="360">
        <f t="shared" si="11"/>
        <v>0</v>
      </c>
      <c r="K20" s="360">
        <f t="shared" si="11"/>
        <v>0</v>
      </c>
      <c r="L20" s="360">
        <f t="shared" si="11"/>
        <v>0</v>
      </c>
      <c r="M20" s="360">
        <f t="shared" si="11"/>
        <v>0</v>
      </c>
      <c r="N20" s="360">
        <f t="shared" si="11"/>
        <v>0</v>
      </c>
      <c r="O20" s="360">
        <f t="shared" si="11"/>
        <v>0</v>
      </c>
      <c r="P20" s="360">
        <f t="shared" si="11"/>
        <v>0</v>
      </c>
      <c r="Q20" s="360">
        <f t="shared" si="11"/>
        <v>0</v>
      </c>
      <c r="R20" s="360">
        <f t="shared" si="11"/>
        <v>0</v>
      </c>
      <c r="S20" s="360">
        <f t="shared" si="11"/>
        <v>0</v>
      </c>
      <c r="T20" s="360">
        <f t="shared" si="11"/>
        <v>0</v>
      </c>
      <c r="U20" s="360">
        <f t="shared" si="11"/>
        <v>0</v>
      </c>
      <c r="V20" s="360">
        <f t="shared" si="12"/>
        <v>0</v>
      </c>
      <c r="W20" s="360">
        <f t="shared" si="12"/>
        <v>0</v>
      </c>
      <c r="X20" s="360">
        <f t="shared" si="12"/>
        <v>0</v>
      </c>
      <c r="Y20" s="360">
        <f t="shared" si="12"/>
        <v>0</v>
      </c>
      <c r="Z20" s="360">
        <f t="shared" si="12"/>
        <v>0</v>
      </c>
      <c r="AA20" s="360">
        <f t="shared" si="12"/>
        <v>0</v>
      </c>
      <c r="AB20" s="360">
        <f t="shared" si="12"/>
        <v>0</v>
      </c>
      <c r="AC20" s="360">
        <f t="shared" si="12"/>
        <v>0</v>
      </c>
      <c r="AD20" s="360">
        <f t="shared" si="12"/>
        <v>0</v>
      </c>
      <c r="AE20" s="360">
        <f t="shared" si="12"/>
        <v>0</v>
      </c>
      <c r="AF20" s="360">
        <f t="shared" si="12"/>
        <v>0</v>
      </c>
      <c r="AG20" s="360">
        <f t="shared" si="12"/>
        <v>0</v>
      </c>
      <c r="AH20" s="360">
        <f t="shared" si="12"/>
        <v>0</v>
      </c>
      <c r="AI20" s="360">
        <f t="shared" si="12"/>
        <v>0</v>
      </c>
      <c r="AJ20" s="360">
        <f t="shared" si="13"/>
        <v>0</v>
      </c>
      <c r="AK20" s="360">
        <f t="shared" si="13"/>
        <v>0</v>
      </c>
      <c r="AL20" s="360">
        <f t="shared" si="13"/>
        <v>0</v>
      </c>
      <c r="AM20" s="360">
        <f t="shared" si="13"/>
        <v>0</v>
      </c>
      <c r="AN20" s="361">
        <f t="shared" si="13"/>
        <v>0</v>
      </c>
      <c r="AO20" s="271">
        <f t="shared" si="8"/>
        <v>0</v>
      </c>
      <c r="AP20" s="272">
        <f t="shared" si="8"/>
        <v>0</v>
      </c>
      <c r="AQ20" s="272">
        <f t="shared" si="8"/>
        <v>0</v>
      </c>
      <c r="AR20" s="272">
        <f t="shared" si="8"/>
        <v>0</v>
      </c>
      <c r="AS20" s="272">
        <f t="shared" si="8"/>
        <v>0</v>
      </c>
      <c r="AT20" s="272">
        <f t="shared" si="9"/>
        <v>0</v>
      </c>
      <c r="AU20" s="272">
        <f t="shared" si="9"/>
        <v>0</v>
      </c>
      <c r="AV20" s="272">
        <f t="shared" si="9"/>
        <v>0</v>
      </c>
      <c r="AW20" s="272">
        <f t="shared" si="9"/>
        <v>0</v>
      </c>
      <c r="AX20" s="272">
        <f t="shared" si="9"/>
        <v>0</v>
      </c>
      <c r="AY20" s="272">
        <f t="shared" si="9"/>
        <v>0</v>
      </c>
      <c r="AZ20" s="272">
        <f t="shared" si="9"/>
        <v>0</v>
      </c>
      <c r="BA20" s="272">
        <f t="shared" si="9"/>
        <v>0</v>
      </c>
      <c r="BB20" s="260"/>
      <c r="BC20" s="260"/>
      <c r="BD20" s="275">
        <f t="shared" si="5"/>
        <v>0</v>
      </c>
    </row>
    <row r="21" spans="1:56" ht="14.5" outlineLevel="1" x14ac:dyDescent="0.35">
      <c r="A21" s="276" t="str">
        <f>VLOOKUP(B21,Planning!B:F,5,FALSE)</f>
        <v>SL</v>
      </c>
      <c r="B21" s="365" t="s">
        <v>502</v>
      </c>
      <c r="C21" s="358"/>
      <c r="D21" s="359" t="str">
        <f>IF(INDEX(Planning,MATCH(B21,Planning_v,0),MATCH($D$1,Planning_h))=0,"",INDEX(Planning,MATCH(B21,Planning_v,0),MATCH($D$1,Planning_h)))</f>
        <v/>
      </c>
      <c r="E21" s="359"/>
      <c r="F21" s="360">
        <f t="shared" si="11"/>
        <v>0</v>
      </c>
      <c r="G21" s="360">
        <f t="shared" si="11"/>
        <v>0</v>
      </c>
      <c r="H21" s="360">
        <f t="shared" si="11"/>
        <v>0</v>
      </c>
      <c r="I21" s="360">
        <f t="shared" si="11"/>
        <v>0</v>
      </c>
      <c r="J21" s="360">
        <f t="shared" si="11"/>
        <v>0</v>
      </c>
      <c r="K21" s="360">
        <f t="shared" si="11"/>
        <v>0</v>
      </c>
      <c r="L21" s="360">
        <f t="shared" si="11"/>
        <v>0</v>
      </c>
      <c r="M21" s="360">
        <f t="shared" si="11"/>
        <v>0</v>
      </c>
      <c r="N21" s="360">
        <f t="shared" si="11"/>
        <v>0</v>
      </c>
      <c r="O21" s="360">
        <f t="shared" si="11"/>
        <v>0</v>
      </c>
      <c r="P21" s="360">
        <f t="shared" si="11"/>
        <v>0</v>
      </c>
      <c r="Q21" s="360">
        <f t="shared" si="11"/>
        <v>0</v>
      </c>
      <c r="R21" s="360">
        <f t="shared" si="11"/>
        <v>0</v>
      </c>
      <c r="S21" s="360">
        <f t="shared" si="11"/>
        <v>0</v>
      </c>
      <c r="T21" s="360">
        <f t="shared" si="11"/>
        <v>0</v>
      </c>
      <c r="U21" s="360">
        <f t="shared" si="11"/>
        <v>0</v>
      </c>
      <c r="V21" s="360">
        <f t="shared" si="12"/>
        <v>0</v>
      </c>
      <c r="W21" s="360">
        <f t="shared" si="12"/>
        <v>0</v>
      </c>
      <c r="X21" s="360">
        <f t="shared" si="12"/>
        <v>0</v>
      </c>
      <c r="Y21" s="360">
        <f t="shared" si="12"/>
        <v>0</v>
      </c>
      <c r="Z21" s="360">
        <f t="shared" si="12"/>
        <v>0</v>
      </c>
      <c r="AA21" s="360">
        <f t="shared" si="12"/>
        <v>0</v>
      </c>
      <c r="AB21" s="360">
        <f t="shared" si="12"/>
        <v>0</v>
      </c>
      <c r="AC21" s="360">
        <f t="shared" si="12"/>
        <v>0</v>
      </c>
      <c r="AD21" s="360">
        <f t="shared" si="12"/>
        <v>0</v>
      </c>
      <c r="AE21" s="360">
        <f t="shared" si="12"/>
        <v>0</v>
      </c>
      <c r="AF21" s="360">
        <f t="shared" si="12"/>
        <v>0</v>
      </c>
      <c r="AG21" s="360">
        <f t="shared" si="12"/>
        <v>0</v>
      </c>
      <c r="AH21" s="360">
        <f t="shared" si="12"/>
        <v>0</v>
      </c>
      <c r="AI21" s="360">
        <f t="shared" si="12"/>
        <v>0</v>
      </c>
      <c r="AJ21" s="360">
        <f t="shared" si="13"/>
        <v>0</v>
      </c>
      <c r="AK21" s="360">
        <f t="shared" si="13"/>
        <v>0</v>
      </c>
      <c r="AL21" s="360">
        <f t="shared" si="13"/>
        <v>0</v>
      </c>
      <c r="AM21" s="360">
        <f t="shared" si="13"/>
        <v>0</v>
      </c>
      <c r="AN21" s="361">
        <f t="shared" si="13"/>
        <v>0</v>
      </c>
      <c r="AO21" s="271">
        <f t="shared" ref="AO21:BA21" si="14">IFERROR(INDEX(Horaires,MATCH($D21,Horaires_v,0),MATCH(AO$2,Horaires_h,0)),0)</f>
        <v>0</v>
      </c>
      <c r="AP21" s="272">
        <f t="shared" si="14"/>
        <v>0</v>
      </c>
      <c r="AQ21" s="272">
        <f t="shared" si="14"/>
        <v>0</v>
      </c>
      <c r="AR21" s="272">
        <f t="shared" si="14"/>
        <v>0</v>
      </c>
      <c r="AS21" s="272">
        <f t="shared" si="14"/>
        <v>0</v>
      </c>
      <c r="AT21" s="272">
        <f t="shared" si="14"/>
        <v>0</v>
      </c>
      <c r="AU21" s="272">
        <f t="shared" si="14"/>
        <v>0</v>
      </c>
      <c r="AV21" s="272">
        <f t="shared" si="14"/>
        <v>0</v>
      </c>
      <c r="AW21" s="272">
        <f t="shared" si="14"/>
        <v>0</v>
      </c>
      <c r="AX21" s="272">
        <f t="shared" si="14"/>
        <v>0</v>
      </c>
      <c r="AY21" s="272">
        <f t="shared" si="14"/>
        <v>0</v>
      </c>
      <c r="AZ21" s="272">
        <f t="shared" si="14"/>
        <v>0</v>
      </c>
      <c r="BA21" s="272">
        <f t="shared" si="14"/>
        <v>0</v>
      </c>
      <c r="BB21" s="260"/>
      <c r="BC21" s="260"/>
      <c r="BD21" s="275">
        <f>SUM(F21:BA21)/2</f>
        <v>0</v>
      </c>
    </row>
    <row r="22" spans="1:56" ht="14.5" outlineLevel="1" x14ac:dyDescent="0.35">
      <c r="A22" s="276" t="str">
        <f>VLOOKUP(B22,Planning!B:F,5,FALSE)</f>
        <v>SL</v>
      </c>
      <c r="B22" s="365" t="s">
        <v>503</v>
      </c>
      <c r="C22" s="358"/>
      <c r="D22" s="359" t="str">
        <f t="shared" si="7"/>
        <v/>
      </c>
      <c r="E22" s="359"/>
      <c r="F22" s="360">
        <f t="shared" si="11"/>
        <v>0</v>
      </c>
      <c r="G22" s="360">
        <f t="shared" si="11"/>
        <v>0</v>
      </c>
      <c r="H22" s="360">
        <f t="shared" si="11"/>
        <v>0</v>
      </c>
      <c r="I22" s="360">
        <f t="shared" si="11"/>
        <v>0</v>
      </c>
      <c r="J22" s="360">
        <f t="shared" si="11"/>
        <v>0</v>
      </c>
      <c r="K22" s="360">
        <f t="shared" si="11"/>
        <v>0</v>
      </c>
      <c r="L22" s="360">
        <f t="shared" si="11"/>
        <v>0</v>
      </c>
      <c r="M22" s="360">
        <f t="shared" si="11"/>
        <v>0</v>
      </c>
      <c r="N22" s="360">
        <f t="shared" si="11"/>
        <v>0</v>
      </c>
      <c r="O22" s="360">
        <f t="shared" si="11"/>
        <v>0</v>
      </c>
      <c r="P22" s="360">
        <f t="shared" si="11"/>
        <v>0</v>
      </c>
      <c r="Q22" s="360">
        <f t="shared" si="11"/>
        <v>0</v>
      </c>
      <c r="R22" s="360">
        <f t="shared" si="11"/>
        <v>0</v>
      </c>
      <c r="S22" s="360">
        <f t="shared" si="11"/>
        <v>0</v>
      </c>
      <c r="T22" s="360">
        <f t="shared" si="11"/>
        <v>0</v>
      </c>
      <c r="U22" s="360">
        <f t="shared" si="11"/>
        <v>0</v>
      </c>
      <c r="V22" s="360">
        <f t="shared" si="12"/>
        <v>0</v>
      </c>
      <c r="W22" s="360">
        <f t="shared" si="12"/>
        <v>0</v>
      </c>
      <c r="X22" s="360">
        <f t="shared" si="12"/>
        <v>0</v>
      </c>
      <c r="Y22" s="360">
        <f t="shared" si="12"/>
        <v>0</v>
      </c>
      <c r="Z22" s="360">
        <f t="shared" si="12"/>
        <v>0</v>
      </c>
      <c r="AA22" s="360">
        <f t="shared" si="12"/>
        <v>0</v>
      </c>
      <c r="AB22" s="360">
        <f t="shared" si="12"/>
        <v>0</v>
      </c>
      <c r="AC22" s="360">
        <f t="shared" si="12"/>
        <v>0</v>
      </c>
      <c r="AD22" s="360">
        <f t="shared" si="12"/>
        <v>0</v>
      </c>
      <c r="AE22" s="360">
        <f t="shared" si="12"/>
        <v>0</v>
      </c>
      <c r="AF22" s="360">
        <f t="shared" si="12"/>
        <v>0</v>
      </c>
      <c r="AG22" s="360">
        <f t="shared" si="12"/>
        <v>0</v>
      </c>
      <c r="AH22" s="360">
        <f t="shared" si="12"/>
        <v>0</v>
      </c>
      <c r="AI22" s="360">
        <f t="shared" si="12"/>
        <v>0</v>
      </c>
      <c r="AJ22" s="360">
        <f t="shared" si="13"/>
        <v>0</v>
      </c>
      <c r="AK22" s="360">
        <f t="shared" si="13"/>
        <v>0</v>
      </c>
      <c r="AL22" s="360">
        <f t="shared" si="13"/>
        <v>0</v>
      </c>
      <c r="AM22" s="360">
        <f t="shared" si="13"/>
        <v>0</v>
      </c>
      <c r="AN22" s="361">
        <f t="shared" si="13"/>
        <v>0</v>
      </c>
      <c r="AO22" s="271">
        <f t="shared" ref="AO22:AS32" si="15">IFERROR(INDEX(Horaires,MATCH($D22,Horaires_v,0),MATCH(AO$2,Horaires_h,0)),0)</f>
        <v>0</v>
      </c>
      <c r="AP22" s="272">
        <f t="shared" si="15"/>
        <v>0</v>
      </c>
      <c r="AQ22" s="272">
        <f t="shared" si="15"/>
        <v>0</v>
      </c>
      <c r="AR22" s="272">
        <f t="shared" si="15"/>
        <v>0</v>
      </c>
      <c r="AS22" s="272">
        <f t="shared" si="15"/>
        <v>0</v>
      </c>
      <c r="AT22" s="272">
        <f t="shared" ref="AT22:BA32" si="16">IFERROR(INDEX(Horaires,MATCH($D22,Horaires_v,0),MATCH(AT$2,Horaires_h,0)),0)</f>
        <v>0</v>
      </c>
      <c r="AU22" s="272">
        <f t="shared" si="16"/>
        <v>0</v>
      </c>
      <c r="AV22" s="272">
        <f t="shared" si="16"/>
        <v>0</v>
      </c>
      <c r="AW22" s="272">
        <f t="shared" si="16"/>
        <v>0</v>
      </c>
      <c r="AX22" s="272">
        <f t="shared" si="16"/>
        <v>0</v>
      </c>
      <c r="AY22" s="272">
        <f t="shared" si="16"/>
        <v>0</v>
      </c>
      <c r="AZ22" s="272">
        <f t="shared" si="16"/>
        <v>0</v>
      </c>
      <c r="BA22" s="272">
        <f t="shared" si="16"/>
        <v>0</v>
      </c>
      <c r="BB22" s="260"/>
      <c r="BC22" s="260"/>
      <c r="BD22" s="275">
        <f t="shared" si="5"/>
        <v>0</v>
      </c>
    </row>
    <row r="23" spans="1:56" ht="14.5" outlineLevel="1" x14ac:dyDescent="0.35">
      <c r="A23" s="276">
        <f>VLOOKUP(B23,Planning!B:F,5,FALSE)</f>
        <v>0</v>
      </c>
      <c r="B23" s="365"/>
      <c r="C23" s="358"/>
      <c r="D23" s="359" t="str">
        <f>IF(INDEX(Planning,MATCH(B23,Planning_v,0),MATCH($D$1,Planning_h))=0,"",INDEX(Planning,MATCH(B23,Planning_v,0),MATCH($D$1,Planning_h)))</f>
        <v/>
      </c>
      <c r="E23" s="359"/>
      <c r="F23" s="360">
        <f t="shared" si="11"/>
        <v>0</v>
      </c>
      <c r="G23" s="360">
        <f t="shared" si="11"/>
        <v>0</v>
      </c>
      <c r="H23" s="360">
        <f t="shared" si="11"/>
        <v>0</v>
      </c>
      <c r="I23" s="360">
        <f t="shared" si="11"/>
        <v>0</v>
      </c>
      <c r="J23" s="360">
        <f t="shared" si="11"/>
        <v>0</v>
      </c>
      <c r="K23" s="360">
        <f t="shared" si="11"/>
        <v>0</v>
      </c>
      <c r="L23" s="360">
        <f t="shared" si="11"/>
        <v>0</v>
      </c>
      <c r="M23" s="360">
        <f t="shared" si="11"/>
        <v>0</v>
      </c>
      <c r="N23" s="360">
        <f t="shared" si="11"/>
        <v>0</v>
      </c>
      <c r="O23" s="360">
        <f t="shared" si="11"/>
        <v>0</v>
      </c>
      <c r="P23" s="360">
        <f t="shared" si="11"/>
        <v>0</v>
      </c>
      <c r="Q23" s="360">
        <f t="shared" si="11"/>
        <v>0</v>
      </c>
      <c r="R23" s="360">
        <f t="shared" si="11"/>
        <v>0</v>
      </c>
      <c r="S23" s="360">
        <f t="shared" si="11"/>
        <v>0</v>
      </c>
      <c r="T23" s="360">
        <f t="shared" si="11"/>
        <v>0</v>
      </c>
      <c r="U23" s="360">
        <f t="shared" si="11"/>
        <v>0</v>
      </c>
      <c r="V23" s="360">
        <f t="shared" si="12"/>
        <v>0</v>
      </c>
      <c r="W23" s="360">
        <f t="shared" si="12"/>
        <v>0</v>
      </c>
      <c r="X23" s="360">
        <f t="shared" si="12"/>
        <v>0</v>
      </c>
      <c r="Y23" s="360">
        <f t="shared" si="12"/>
        <v>0</v>
      </c>
      <c r="Z23" s="360">
        <f t="shared" si="12"/>
        <v>0</v>
      </c>
      <c r="AA23" s="360">
        <f t="shared" si="12"/>
        <v>0</v>
      </c>
      <c r="AB23" s="360">
        <f t="shared" si="12"/>
        <v>0</v>
      </c>
      <c r="AC23" s="360">
        <f t="shared" si="12"/>
        <v>0</v>
      </c>
      <c r="AD23" s="360">
        <f t="shared" si="12"/>
        <v>0</v>
      </c>
      <c r="AE23" s="360">
        <f t="shared" si="12"/>
        <v>0</v>
      </c>
      <c r="AF23" s="360">
        <f t="shared" si="12"/>
        <v>0</v>
      </c>
      <c r="AG23" s="360">
        <f t="shared" si="12"/>
        <v>0</v>
      </c>
      <c r="AH23" s="360">
        <f t="shared" si="12"/>
        <v>0</v>
      </c>
      <c r="AI23" s="360">
        <f t="shared" si="12"/>
        <v>0</v>
      </c>
      <c r="AJ23" s="360">
        <f t="shared" si="13"/>
        <v>0</v>
      </c>
      <c r="AK23" s="360">
        <f t="shared" si="13"/>
        <v>0</v>
      </c>
      <c r="AL23" s="360">
        <f t="shared" si="13"/>
        <v>0</v>
      </c>
      <c r="AM23" s="360">
        <f t="shared" si="13"/>
        <v>0</v>
      </c>
      <c r="AN23" s="361">
        <f t="shared" si="13"/>
        <v>0</v>
      </c>
      <c r="AO23" s="271"/>
      <c r="AP23" s="272"/>
      <c r="AQ23" s="272"/>
      <c r="AR23" s="272"/>
      <c r="AS23" s="272"/>
      <c r="AT23" s="272"/>
      <c r="AU23" s="272"/>
      <c r="AV23" s="272"/>
      <c r="AW23" s="272"/>
      <c r="AX23" s="272"/>
      <c r="AY23" s="272"/>
      <c r="AZ23" s="272"/>
      <c r="BA23" s="272"/>
      <c r="BB23" s="260"/>
      <c r="BC23" s="260"/>
      <c r="BD23" s="275">
        <f t="shared" si="5"/>
        <v>0</v>
      </c>
    </row>
    <row r="24" spans="1:56" ht="14.5" outlineLevel="1" x14ac:dyDescent="0.35">
      <c r="A24" s="276">
        <f>VLOOKUP(B24,Planning!B:F,5,FALSE)</f>
        <v>0</v>
      </c>
      <c r="B24" s="365"/>
      <c r="C24" s="358"/>
      <c r="D24" s="359" t="str">
        <f>IF(INDEX(Planning,MATCH(B24,Planning_v,0),MATCH($D$1,Planning_h))=0,"",INDEX(Planning,MATCH(B24,Planning_v,0),MATCH($D$1,Planning_h)))</f>
        <v/>
      </c>
      <c r="E24" s="359"/>
      <c r="F24" s="360">
        <f t="shared" si="11"/>
        <v>0</v>
      </c>
      <c r="G24" s="360">
        <f t="shared" si="11"/>
        <v>0</v>
      </c>
      <c r="H24" s="360">
        <f t="shared" si="11"/>
        <v>0</v>
      </c>
      <c r="I24" s="360">
        <f t="shared" si="11"/>
        <v>0</v>
      </c>
      <c r="J24" s="360">
        <f t="shared" si="11"/>
        <v>0</v>
      </c>
      <c r="K24" s="360">
        <f t="shared" si="11"/>
        <v>0</v>
      </c>
      <c r="L24" s="360">
        <f t="shared" si="11"/>
        <v>0</v>
      </c>
      <c r="M24" s="360">
        <f t="shared" si="11"/>
        <v>0</v>
      </c>
      <c r="N24" s="360">
        <f t="shared" si="11"/>
        <v>0</v>
      </c>
      <c r="O24" s="360">
        <f t="shared" si="11"/>
        <v>0</v>
      </c>
      <c r="P24" s="360">
        <f t="shared" si="11"/>
        <v>0</v>
      </c>
      <c r="Q24" s="360">
        <f t="shared" si="11"/>
        <v>0</v>
      </c>
      <c r="R24" s="360">
        <f t="shared" si="11"/>
        <v>0</v>
      </c>
      <c r="S24" s="360">
        <f t="shared" si="11"/>
        <v>0</v>
      </c>
      <c r="T24" s="360">
        <f t="shared" si="11"/>
        <v>0</v>
      </c>
      <c r="U24" s="360">
        <f t="shared" si="11"/>
        <v>0</v>
      </c>
      <c r="V24" s="360">
        <f t="shared" si="12"/>
        <v>0</v>
      </c>
      <c r="W24" s="360">
        <f t="shared" si="12"/>
        <v>0</v>
      </c>
      <c r="X24" s="360">
        <f t="shared" si="12"/>
        <v>0</v>
      </c>
      <c r="Y24" s="360">
        <f t="shared" si="12"/>
        <v>0</v>
      </c>
      <c r="Z24" s="360">
        <f t="shared" si="12"/>
        <v>0</v>
      </c>
      <c r="AA24" s="360">
        <f t="shared" si="12"/>
        <v>0</v>
      </c>
      <c r="AB24" s="360">
        <f t="shared" si="12"/>
        <v>0</v>
      </c>
      <c r="AC24" s="360">
        <f t="shared" si="12"/>
        <v>0</v>
      </c>
      <c r="AD24" s="360">
        <f t="shared" si="12"/>
        <v>0</v>
      </c>
      <c r="AE24" s="360">
        <f t="shared" si="12"/>
        <v>0</v>
      </c>
      <c r="AF24" s="360">
        <f t="shared" si="12"/>
        <v>0</v>
      </c>
      <c r="AG24" s="360">
        <f t="shared" si="12"/>
        <v>0</v>
      </c>
      <c r="AH24" s="360">
        <f t="shared" si="12"/>
        <v>0</v>
      </c>
      <c r="AI24" s="360">
        <f t="shared" si="12"/>
        <v>0</v>
      </c>
      <c r="AJ24" s="360">
        <f t="shared" si="13"/>
        <v>0</v>
      </c>
      <c r="AK24" s="360">
        <f t="shared" si="13"/>
        <v>0</v>
      </c>
      <c r="AL24" s="360">
        <f t="shared" si="13"/>
        <v>0</v>
      </c>
      <c r="AM24" s="360">
        <f t="shared" si="13"/>
        <v>0</v>
      </c>
      <c r="AN24" s="361">
        <f t="shared" si="13"/>
        <v>0</v>
      </c>
      <c r="AO24" s="271"/>
      <c r="AP24" s="272"/>
      <c r="AQ24" s="272"/>
      <c r="AR24" s="272"/>
      <c r="AS24" s="272"/>
      <c r="AT24" s="272"/>
      <c r="AU24" s="272"/>
      <c r="AV24" s="272"/>
      <c r="AW24" s="272"/>
      <c r="AX24" s="272"/>
      <c r="AY24" s="272"/>
      <c r="AZ24" s="272"/>
      <c r="BA24" s="272"/>
      <c r="BB24" s="260"/>
      <c r="BC24" s="260"/>
      <c r="BD24" s="275">
        <f t="shared" si="5"/>
        <v>0</v>
      </c>
    </row>
    <row r="25" spans="1:56" ht="14.5" outlineLevel="1" x14ac:dyDescent="0.35">
      <c r="A25" s="276">
        <f>VLOOKUP(B25,Planning!B:F,5,FALSE)</f>
        <v>0</v>
      </c>
      <c r="B25" s="365"/>
      <c r="C25" s="358"/>
      <c r="D25" s="359" t="str">
        <f t="shared" si="7"/>
        <v/>
      </c>
      <c r="E25" s="359"/>
      <c r="F25" s="360">
        <f t="shared" si="11"/>
        <v>0</v>
      </c>
      <c r="G25" s="360">
        <f t="shared" si="11"/>
        <v>0</v>
      </c>
      <c r="H25" s="360">
        <f t="shared" si="11"/>
        <v>0</v>
      </c>
      <c r="I25" s="360">
        <f t="shared" si="11"/>
        <v>0</v>
      </c>
      <c r="J25" s="360">
        <f t="shared" si="11"/>
        <v>0</v>
      </c>
      <c r="K25" s="360">
        <f t="shared" si="11"/>
        <v>0</v>
      </c>
      <c r="L25" s="360">
        <f t="shared" si="11"/>
        <v>0</v>
      </c>
      <c r="M25" s="360">
        <f t="shared" si="11"/>
        <v>0</v>
      </c>
      <c r="N25" s="360">
        <f t="shared" si="11"/>
        <v>0</v>
      </c>
      <c r="O25" s="360">
        <f t="shared" si="11"/>
        <v>0</v>
      </c>
      <c r="P25" s="360">
        <f t="shared" si="11"/>
        <v>0</v>
      </c>
      <c r="Q25" s="360">
        <f t="shared" si="11"/>
        <v>0</v>
      </c>
      <c r="R25" s="360">
        <f t="shared" si="11"/>
        <v>0</v>
      </c>
      <c r="S25" s="360">
        <f t="shared" si="11"/>
        <v>0</v>
      </c>
      <c r="T25" s="360">
        <f t="shared" si="11"/>
        <v>0</v>
      </c>
      <c r="U25" s="360">
        <f t="shared" si="11"/>
        <v>0</v>
      </c>
      <c r="V25" s="360">
        <f t="shared" si="12"/>
        <v>0</v>
      </c>
      <c r="W25" s="360">
        <f t="shared" si="12"/>
        <v>0</v>
      </c>
      <c r="X25" s="360">
        <f t="shared" si="12"/>
        <v>0</v>
      </c>
      <c r="Y25" s="360">
        <f t="shared" si="12"/>
        <v>0</v>
      </c>
      <c r="Z25" s="360">
        <f t="shared" si="12"/>
        <v>0</v>
      </c>
      <c r="AA25" s="360">
        <f t="shared" si="12"/>
        <v>0</v>
      </c>
      <c r="AB25" s="360">
        <f t="shared" si="12"/>
        <v>0</v>
      </c>
      <c r="AC25" s="360">
        <f t="shared" si="12"/>
        <v>0</v>
      </c>
      <c r="AD25" s="360">
        <f t="shared" si="12"/>
        <v>0</v>
      </c>
      <c r="AE25" s="360">
        <f t="shared" si="12"/>
        <v>0</v>
      </c>
      <c r="AF25" s="360">
        <f t="shared" si="12"/>
        <v>0</v>
      </c>
      <c r="AG25" s="360">
        <f t="shared" si="12"/>
        <v>0</v>
      </c>
      <c r="AH25" s="360">
        <f t="shared" si="12"/>
        <v>0</v>
      </c>
      <c r="AI25" s="360">
        <f t="shared" si="12"/>
        <v>0</v>
      </c>
      <c r="AJ25" s="360">
        <f t="shared" si="13"/>
        <v>0</v>
      </c>
      <c r="AK25" s="360">
        <f t="shared" si="13"/>
        <v>0</v>
      </c>
      <c r="AL25" s="360">
        <f t="shared" si="13"/>
        <v>0</v>
      </c>
      <c r="AM25" s="360">
        <f t="shared" si="13"/>
        <v>0</v>
      </c>
      <c r="AN25" s="361">
        <f t="shared" si="13"/>
        <v>0</v>
      </c>
      <c r="AO25" s="271"/>
      <c r="AP25" s="272"/>
      <c r="AQ25" s="272"/>
      <c r="AR25" s="272"/>
      <c r="AS25" s="272"/>
      <c r="AT25" s="272"/>
      <c r="AU25" s="272"/>
      <c r="AV25" s="272"/>
      <c r="AW25" s="272"/>
      <c r="AX25" s="272"/>
      <c r="AY25" s="272"/>
      <c r="AZ25" s="272"/>
      <c r="BA25" s="272"/>
      <c r="BB25" s="260"/>
      <c r="BC25" s="260"/>
      <c r="BD25" s="275">
        <f t="shared" si="5"/>
        <v>0</v>
      </c>
    </row>
    <row r="26" spans="1:56" ht="14.5" outlineLevel="1" x14ac:dyDescent="0.35">
      <c r="A26" s="276">
        <f>VLOOKUP(B26,Planning!B:F,5,FALSE)</f>
        <v>0</v>
      </c>
      <c r="B26" s="365"/>
      <c r="C26" s="358"/>
      <c r="D26" s="359" t="str">
        <f t="shared" si="7"/>
        <v/>
      </c>
      <c r="E26" s="359"/>
      <c r="F26" s="360">
        <f t="shared" si="11"/>
        <v>0</v>
      </c>
      <c r="G26" s="360">
        <f t="shared" si="11"/>
        <v>0</v>
      </c>
      <c r="H26" s="360">
        <f t="shared" si="11"/>
        <v>0</v>
      </c>
      <c r="I26" s="360">
        <f t="shared" si="11"/>
        <v>0</v>
      </c>
      <c r="J26" s="360">
        <f t="shared" si="11"/>
        <v>0</v>
      </c>
      <c r="K26" s="360">
        <f t="shared" si="11"/>
        <v>0</v>
      </c>
      <c r="L26" s="360">
        <f t="shared" si="11"/>
        <v>0</v>
      </c>
      <c r="M26" s="360">
        <f t="shared" si="11"/>
        <v>0</v>
      </c>
      <c r="N26" s="360">
        <f t="shared" si="11"/>
        <v>0</v>
      </c>
      <c r="O26" s="360">
        <f t="shared" si="11"/>
        <v>0</v>
      </c>
      <c r="P26" s="360">
        <f t="shared" si="11"/>
        <v>0</v>
      </c>
      <c r="Q26" s="360">
        <f t="shared" si="11"/>
        <v>0</v>
      </c>
      <c r="R26" s="360">
        <f t="shared" si="11"/>
        <v>0</v>
      </c>
      <c r="S26" s="360">
        <f t="shared" si="11"/>
        <v>0</v>
      </c>
      <c r="T26" s="360">
        <f t="shared" si="11"/>
        <v>0</v>
      </c>
      <c r="U26" s="360">
        <f t="shared" si="11"/>
        <v>0</v>
      </c>
      <c r="V26" s="360">
        <f t="shared" si="12"/>
        <v>0</v>
      </c>
      <c r="W26" s="360">
        <f t="shared" si="12"/>
        <v>0</v>
      </c>
      <c r="X26" s="360">
        <f t="shared" si="12"/>
        <v>0</v>
      </c>
      <c r="Y26" s="360">
        <f t="shared" si="12"/>
        <v>0</v>
      </c>
      <c r="Z26" s="360">
        <f t="shared" si="12"/>
        <v>0</v>
      </c>
      <c r="AA26" s="360">
        <f t="shared" si="12"/>
        <v>0</v>
      </c>
      <c r="AB26" s="360">
        <f t="shared" si="12"/>
        <v>0</v>
      </c>
      <c r="AC26" s="360">
        <f t="shared" si="12"/>
        <v>0</v>
      </c>
      <c r="AD26" s="360">
        <f t="shared" si="12"/>
        <v>0</v>
      </c>
      <c r="AE26" s="360">
        <f t="shared" si="12"/>
        <v>0</v>
      </c>
      <c r="AF26" s="360">
        <f t="shared" si="12"/>
        <v>0</v>
      </c>
      <c r="AG26" s="360">
        <f t="shared" si="12"/>
        <v>0</v>
      </c>
      <c r="AH26" s="360">
        <f t="shared" si="12"/>
        <v>0</v>
      </c>
      <c r="AI26" s="360">
        <f t="shared" si="12"/>
        <v>0</v>
      </c>
      <c r="AJ26" s="360">
        <f t="shared" si="13"/>
        <v>0</v>
      </c>
      <c r="AK26" s="360">
        <f t="shared" si="13"/>
        <v>0</v>
      </c>
      <c r="AL26" s="360">
        <f t="shared" si="13"/>
        <v>0</v>
      </c>
      <c r="AM26" s="360">
        <f t="shared" si="13"/>
        <v>0</v>
      </c>
      <c r="AN26" s="361">
        <f t="shared" si="13"/>
        <v>0</v>
      </c>
      <c r="AO26" s="271">
        <f t="shared" si="15"/>
        <v>0</v>
      </c>
      <c r="AP26" s="272">
        <f t="shared" si="15"/>
        <v>0</v>
      </c>
      <c r="AQ26" s="272">
        <f t="shared" si="15"/>
        <v>0</v>
      </c>
      <c r="AR26" s="272">
        <f t="shared" si="15"/>
        <v>0</v>
      </c>
      <c r="AS26" s="272">
        <f t="shared" si="15"/>
        <v>0</v>
      </c>
      <c r="AT26" s="272">
        <f t="shared" si="16"/>
        <v>0</v>
      </c>
      <c r="AU26" s="272">
        <f t="shared" si="16"/>
        <v>0</v>
      </c>
      <c r="AV26" s="272">
        <f t="shared" si="16"/>
        <v>0</v>
      </c>
      <c r="AW26" s="272">
        <f t="shared" si="16"/>
        <v>0</v>
      </c>
      <c r="AX26" s="272">
        <f t="shared" si="16"/>
        <v>0</v>
      </c>
      <c r="AY26" s="272">
        <f t="shared" si="16"/>
        <v>0</v>
      </c>
      <c r="AZ26" s="272">
        <f t="shared" si="16"/>
        <v>0</v>
      </c>
      <c r="BA26" s="272">
        <f t="shared" si="16"/>
        <v>0</v>
      </c>
      <c r="BB26" s="260"/>
      <c r="BC26" s="260"/>
      <c r="BD26" s="275">
        <f t="shared" si="5"/>
        <v>0</v>
      </c>
    </row>
    <row r="27" spans="1:56" ht="14.5" outlineLevel="1" x14ac:dyDescent="0.35">
      <c r="A27" s="276">
        <f>VLOOKUP(B27,Planning!B:F,5,FALSE)</f>
        <v>0</v>
      </c>
      <c r="B27" s="365"/>
      <c r="C27" s="358"/>
      <c r="D27" s="359" t="str">
        <f t="shared" ref="D27:D70" si="17">IF(INDEX(Planning,MATCH(B27,Planning_v,0),MATCH($D$1,Planning_h))=0,"",INDEX(Planning,MATCH(B27,Planning_v,0),MATCH($D$1,Planning_h)))</f>
        <v/>
      </c>
      <c r="E27" s="359"/>
      <c r="F27" s="360">
        <f t="shared" si="11"/>
        <v>0</v>
      </c>
      <c r="G27" s="360">
        <f t="shared" si="11"/>
        <v>0</v>
      </c>
      <c r="H27" s="360">
        <f t="shared" si="11"/>
        <v>0</v>
      </c>
      <c r="I27" s="360">
        <f t="shared" si="11"/>
        <v>0</v>
      </c>
      <c r="J27" s="360">
        <f t="shared" si="11"/>
        <v>0</v>
      </c>
      <c r="K27" s="360">
        <f t="shared" si="11"/>
        <v>0</v>
      </c>
      <c r="L27" s="360">
        <f t="shared" si="11"/>
        <v>0</v>
      </c>
      <c r="M27" s="360">
        <f t="shared" si="11"/>
        <v>0</v>
      </c>
      <c r="N27" s="360">
        <f t="shared" si="11"/>
        <v>0</v>
      </c>
      <c r="O27" s="360">
        <f t="shared" si="11"/>
        <v>0</v>
      </c>
      <c r="P27" s="360">
        <f t="shared" si="11"/>
        <v>0</v>
      </c>
      <c r="Q27" s="360">
        <f t="shared" si="11"/>
        <v>0</v>
      </c>
      <c r="R27" s="360">
        <f t="shared" si="11"/>
        <v>0</v>
      </c>
      <c r="S27" s="360">
        <f t="shared" si="11"/>
        <v>0</v>
      </c>
      <c r="T27" s="360">
        <f t="shared" si="11"/>
        <v>0</v>
      </c>
      <c r="U27" s="360">
        <f t="shared" si="11"/>
        <v>0</v>
      </c>
      <c r="V27" s="360">
        <f t="shared" si="12"/>
        <v>0</v>
      </c>
      <c r="W27" s="360">
        <f t="shared" si="12"/>
        <v>0</v>
      </c>
      <c r="X27" s="360">
        <f t="shared" si="12"/>
        <v>0</v>
      </c>
      <c r="Y27" s="360">
        <f t="shared" si="12"/>
        <v>0</v>
      </c>
      <c r="Z27" s="360">
        <f t="shared" si="12"/>
        <v>0</v>
      </c>
      <c r="AA27" s="360">
        <f t="shared" si="12"/>
        <v>0</v>
      </c>
      <c r="AB27" s="360">
        <f t="shared" si="12"/>
        <v>0</v>
      </c>
      <c r="AC27" s="360">
        <f t="shared" si="12"/>
        <v>0</v>
      </c>
      <c r="AD27" s="360">
        <f t="shared" si="12"/>
        <v>0</v>
      </c>
      <c r="AE27" s="360">
        <f t="shared" si="12"/>
        <v>0</v>
      </c>
      <c r="AF27" s="360">
        <f t="shared" si="12"/>
        <v>0</v>
      </c>
      <c r="AG27" s="360">
        <f t="shared" si="12"/>
        <v>0</v>
      </c>
      <c r="AH27" s="360">
        <f t="shared" si="12"/>
        <v>0</v>
      </c>
      <c r="AI27" s="360">
        <f t="shared" si="12"/>
        <v>0</v>
      </c>
      <c r="AJ27" s="360">
        <f t="shared" si="13"/>
        <v>0</v>
      </c>
      <c r="AK27" s="360">
        <f t="shared" si="13"/>
        <v>0</v>
      </c>
      <c r="AL27" s="360">
        <f t="shared" si="13"/>
        <v>0</v>
      </c>
      <c r="AM27" s="360">
        <f t="shared" si="13"/>
        <v>0</v>
      </c>
      <c r="AN27" s="361">
        <f t="shared" si="13"/>
        <v>0</v>
      </c>
      <c r="AO27" s="271"/>
      <c r="AP27" s="272"/>
      <c r="AQ27" s="272"/>
      <c r="AR27" s="272"/>
      <c r="AS27" s="272"/>
      <c r="AT27" s="272"/>
      <c r="AU27" s="272"/>
      <c r="AV27" s="272"/>
      <c r="AW27" s="272"/>
      <c r="AX27" s="272"/>
      <c r="AY27" s="272"/>
      <c r="AZ27" s="272"/>
      <c r="BA27" s="272"/>
      <c r="BB27" s="260"/>
      <c r="BC27" s="260"/>
      <c r="BD27" s="275">
        <f t="shared" si="5"/>
        <v>0</v>
      </c>
    </row>
    <row r="28" spans="1:56" ht="14.5" outlineLevel="1" x14ac:dyDescent="0.35">
      <c r="A28" s="276">
        <f>VLOOKUP(B28,Planning!B:F,5,FALSE)</f>
        <v>0</v>
      </c>
      <c r="B28" s="365"/>
      <c r="C28" s="358"/>
      <c r="D28" s="359" t="str">
        <f t="shared" si="17"/>
        <v/>
      </c>
      <c r="E28" s="359"/>
      <c r="F28" s="360">
        <f t="shared" si="11"/>
        <v>0</v>
      </c>
      <c r="G28" s="360">
        <f t="shared" si="11"/>
        <v>0</v>
      </c>
      <c r="H28" s="360">
        <f t="shared" si="11"/>
        <v>0</v>
      </c>
      <c r="I28" s="360">
        <f t="shared" si="11"/>
        <v>0</v>
      </c>
      <c r="J28" s="360">
        <f t="shared" si="11"/>
        <v>0</v>
      </c>
      <c r="K28" s="360">
        <f t="shared" si="11"/>
        <v>0</v>
      </c>
      <c r="L28" s="360">
        <f t="shared" si="11"/>
        <v>0</v>
      </c>
      <c r="M28" s="360">
        <f t="shared" si="11"/>
        <v>0</v>
      </c>
      <c r="N28" s="360">
        <f t="shared" si="11"/>
        <v>0</v>
      </c>
      <c r="O28" s="360">
        <f t="shared" si="11"/>
        <v>0</v>
      </c>
      <c r="P28" s="360">
        <f t="shared" si="11"/>
        <v>0</v>
      </c>
      <c r="Q28" s="360">
        <f t="shared" si="11"/>
        <v>0</v>
      </c>
      <c r="R28" s="360">
        <f t="shared" si="11"/>
        <v>0</v>
      </c>
      <c r="S28" s="360">
        <f t="shared" si="11"/>
        <v>0</v>
      </c>
      <c r="T28" s="360">
        <f t="shared" si="11"/>
        <v>0</v>
      </c>
      <c r="U28" s="360">
        <f t="shared" si="11"/>
        <v>0</v>
      </c>
      <c r="V28" s="360">
        <f t="shared" si="12"/>
        <v>0</v>
      </c>
      <c r="W28" s="360">
        <f t="shared" si="12"/>
        <v>0</v>
      </c>
      <c r="X28" s="360">
        <f t="shared" si="12"/>
        <v>0</v>
      </c>
      <c r="Y28" s="360">
        <f t="shared" si="12"/>
        <v>0</v>
      </c>
      <c r="Z28" s="360">
        <f t="shared" si="12"/>
        <v>0</v>
      </c>
      <c r="AA28" s="360">
        <f t="shared" si="12"/>
        <v>0</v>
      </c>
      <c r="AB28" s="360">
        <f t="shared" si="12"/>
        <v>0</v>
      </c>
      <c r="AC28" s="360">
        <f t="shared" si="12"/>
        <v>0</v>
      </c>
      <c r="AD28" s="360">
        <f t="shared" si="12"/>
        <v>0</v>
      </c>
      <c r="AE28" s="360">
        <f t="shared" si="12"/>
        <v>0</v>
      </c>
      <c r="AF28" s="360">
        <f t="shared" si="12"/>
        <v>0</v>
      </c>
      <c r="AG28" s="360">
        <f t="shared" si="12"/>
        <v>0</v>
      </c>
      <c r="AH28" s="360">
        <f t="shared" si="12"/>
        <v>0</v>
      </c>
      <c r="AI28" s="360">
        <f t="shared" si="12"/>
        <v>0</v>
      </c>
      <c r="AJ28" s="360">
        <f t="shared" si="13"/>
        <v>0</v>
      </c>
      <c r="AK28" s="360">
        <f t="shared" si="13"/>
        <v>0</v>
      </c>
      <c r="AL28" s="360">
        <f t="shared" si="13"/>
        <v>0</v>
      </c>
      <c r="AM28" s="360">
        <f t="shared" si="13"/>
        <v>0</v>
      </c>
      <c r="AN28" s="361">
        <f t="shared" si="13"/>
        <v>0</v>
      </c>
      <c r="AO28" s="271">
        <f t="shared" si="15"/>
        <v>0</v>
      </c>
      <c r="AP28" s="272">
        <f t="shared" si="15"/>
        <v>0</v>
      </c>
      <c r="AQ28" s="272">
        <f t="shared" si="15"/>
        <v>0</v>
      </c>
      <c r="AR28" s="272">
        <f t="shared" si="15"/>
        <v>0</v>
      </c>
      <c r="AS28" s="272">
        <f t="shared" si="15"/>
        <v>0</v>
      </c>
      <c r="AT28" s="272">
        <f t="shared" si="16"/>
        <v>0</v>
      </c>
      <c r="AU28" s="272">
        <f t="shared" si="16"/>
        <v>0</v>
      </c>
      <c r="AV28" s="272">
        <f t="shared" si="16"/>
        <v>0</v>
      </c>
      <c r="AW28" s="272">
        <f t="shared" si="16"/>
        <v>0</v>
      </c>
      <c r="AX28" s="272">
        <f t="shared" si="16"/>
        <v>0</v>
      </c>
      <c r="AY28" s="272">
        <f t="shared" si="16"/>
        <v>0</v>
      </c>
      <c r="AZ28" s="272">
        <f t="shared" si="16"/>
        <v>0</v>
      </c>
      <c r="BA28" s="272">
        <f t="shared" si="16"/>
        <v>0</v>
      </c>
      <c r="BB28" s="260"/>
      <c r="BC28" s="260"/>
      <c r="BD28" s="275">
        <f t="shared" si="5"/>
        <v>0</v>
      </c>
    </row>
    <row r="29" spans="1:56" ht="14.5" outlineLevel="1" x14ac:dyDescent="0.35">
      <c r="A29" s="276">
        <f>VLOOKUP(B29,Planning!B:F,5,FALSE)</f>
        <v>0</v>
      </c>
      <c r="B29" s="365"/>
      <c r="C29" s="358"/>
      <c r="D29" s="359" t="str">
        <f t="shared" si="17"/>
        <v/>
      </c>
      <c r="E29" s="359"/>
      <c r="F29" s="360">
        <f t="shared" si="11"/>
        <v>0</v>
      </c>
      <c r="G29" s="360">
        <f t="shared" si="11"/>
        <v>0</v>
      </c>
      <c r="H29" s="360">
        <f t="shared" si="11"/>
        <v>0</v>
      </c>
      <c r="I29" s="360">
        <f t="shared" si="11"/>
        <v>0</v>
      </c>
      <c r="J29" s="360">
        <f t="shared" si="11"/>
        <v>0</v>
      </c>
      <c r="K29" s="360">
        <f t="shared" si="11"/>
        <v>0</v>
      </c>
      <c r="L29" s="360">
        <f t="shared" si="11"/>
        <v>0</v>
      </c>
      <c r="M29" s="360">
        <f t="shared" si="11"/>
        <v>0</v>
      </c>
      <c r="N29" s="360">
        <f t="shared" si="11"/>
        <v>0</v>
      </c>
      <c r="O29" s="360">
        <f t="shared" si="11"/>
        <v>0</v>
      </c>
      <c r="P29" s="360">
        <f t="shared" si="11"/>
        <v>0</v>
      </c>
      <c r="Q29" s="360">
        <f t="shared" si="11"/>
        <v>0</v>
      </c>
      <c r="R29" s="360">
        <f t="shared" si="11"/>
        <v>0</v>
      </c>
      <c r="S29" s="360">
        <f t="shared" si="11"/>
        <v>0</v>
      </c>
      <c r="T29" s="360">
        <f t="shared" si="11"/>
        <v>0</v>
      </c>
      <c r="U29" s="360">
        <f t="shared" si="11"/>
        <v>0</v>
      </c>
      <c r="V29" s="360">
        <f t="shared" si="12"/>
        <v>0</v>
      </c>
      <c r="W29" s="360">
        <f t="shared" si="12"/>
        <v>0</v>
      </c>
      <c r="X29" s="360">
        <f t="shared" si="12"/>
        <v>0</v>
      </c>
      <c r="Y29" s="360">
        <f t="shared" si="12"/>
        <v>0</v>
      </c>
      <c r="Z29" s="360">
        <f t="shared" si="12"/>
        <v>0</v>
      </c>
      <c r="AA29" s="360">
        <f t="shared" si="12"/>
        <v>0</v>
      </c>
      <c r="AB29" s="360">
        <f t="shared" si="12"/>
        <v>0</v>
      </c>
      <c r="AC29" s="360">
        <f t="shared" si="12"/>
        <v>0</v>
      </c>
      <c r="AD29" s="360">
        <f t="shared" si="12"/>
        <v>0</v>
      </c>
      <c r="AE29" s="360">
        <f t="shared" si="12"/>
        <v>0</v>
      </c>
      <c r="AF29" s="360">
        <f t="shared" si="12"/>
        <v>0</v>
      </c>
      <c r="AG29" s="360">
        <f t="shared" si="12"/>
        <v>0</v>
      </c>
      <c r="AH29" s="360">
        <f t="shared" si="12"/>
        <v>0</v>
      </c>
      <c r="AI29" s="360">
        <f t="shared" si="12"/>
        <v>0</v>
      </c>
      <c r="AJ29" s="360">
        <f t="shared" si="13"/>
        <v>0</v>
      </c>
      <c r="AK29" s="360">
        <f t="shared" si="13"/>
        <v>0</v>
      </c>
      <c r="AL29" s="360">
        <f t="shared" si="13"/>
        <v>0</v>
      </c>
      <c r="AM29" s="360">
        <f t="shared" si="13"/>
        <v>0</v>
      </c>
      <c r="AN29" s="361">
        <f t="shared" si="13"/>
        <v>0</v>
      </c>
      <c r="AO29" s="271">
        <f t="shared" si="15"/>
        <v>0</v>
      </c>
      <c r="AP29" s="272">
        <f t="shared" si="15"/>
        <v>0</v>
      </c>
      <c r="AQ29" s="272">
        <f t="shared" si="15"/>
        <v>0</v>
      </c>
      <c r="AR29" s="272">
        <f t="shared" si="15"/>
        <v>0</v>
      </c>
      <c r="AS29" s="272">
        <f t="shared" si="15"/>
        <v>0</v>
      </c>
      <c r="AT29" s="272">
        <f t="shared" si="16"/>
        <v>0</v>
      </c>
      <c r="AU29" s="272">
        <f t="shared" si="16"/>
        <v>0</v>
      </c>
      <c r="AV29" s="272">
        <f t="shared" si="16"/>
        <v>0</v>
      </c>
      <c r="AW29" s="272">
        <f t="shared" si="16"/>
        <v>0</v>
      </c>
      <c r="AX29" s="272">
        <f t="shared" si="16"/>
        <v>0</v>
      </c>
      <c r="AY29" s="272">
        <f t="shared" si="16"/>
        <v>0</v>
      </c>
      <c r="AZ29" s="272">
        <f t="shared" si="16"/>
        <v>0</v>
      </c>
      <c r="BA29" s="272">
        <f t="shared" si="16"/>
        <v>0</v>
      </c>
      <c r="BB29" s="260"/>
      <c r="BC29" s="260"/>
      <c r="BD29" s="275">
        <f t="shared" si="5"/>
        <v>0</v>
      </c>
    </row>
    <row r="30" spans="1:56" ht="14.5" outlineLevel="1" x14ac:dyDescent="0.35">
      <c r="A30" s="276">
        <f>VLOOKUP(B30,Planning!B:F,5,FALSE)</f>
        <v>0</v>
      </c>
      <c r="B30" s="365"/>
      <c r="C30" s="358"/>
      <c r="D30" s="359" t="str">
        <f t="shared" si="17"/>
        <v/>
      </c>
      <c r="E30" s="359"/>
      <c r="F30" s="360">
        <f t="shared" si="11"/>
        <v>0</v>
      </c>
      <c r="G30" s="360">
        <f t="shared" si="11"/>
        <v>0</v>
      </c>
      <c r="H30" s="360">
        <f t="shared" si="11"/>
        <v>0</v>
      </c>
      <c r="I30" s="360">
        <f t="shared" si="11"/>
        <v>0</v>
      </c>
      <c r="J30" s="360">
        <f t="shared" si="11"/>
        <v>0</v>
      </c>
      <c r="K30" s="360">
        <f t="shared" si="11"/>
        <v>0</v>
      </c>
      <c r="L30" s="360">
        <f t="shared" si="11"/>
        <v>0</v>
      </c>
      <c r="M30" s="360">
        <f t="shared" si="11"/>
        <v>0</v>
      </c>
      <c r="N30" s="360">
        <f t="shared" si="11"/>
        <v>0</v>
      </c>
      <c r="O30" s="360">
        <f t="shared" si="11"/>
        <v>0</v>
      </c>
      <c r="P30" s="360">
        <f t="shared" si="11"/>
        <v>0</v>
      </c>
      <c r="Q30" s="360">
        <f t="shared" si="11"/>
        <v>0</v>
      </c>
      <c r="R30" s="360">
        <f t="shared" si="11"/>
        <v>0</v>
      </c>
      <c r="S30" s="360">
        <f t="shared" si="11"/>
        <v>0</v>
      </c>
      <c r="T30" s="360">
        <f t="shared" si="11"/>
        <v>0</v>
      </c>
      <c r="U30" s="360">
        <f t="shared" si="11"/>
        <v>0</v>
      </c>
      <c r="V30" s="360">
        <f t="shared" si="12"/>
        <v>0</v>
      </c>
      <c r="W30" s="360">
        <f t="shared" si="12"/>
        <v>0</v>
      </c>
      <c r="X30" s="360">
        <f t="shared" si="12"/>
        <v>0</v>
      </c>
      <c r="Y30" s="360">
        <f t="shared" si="12"/>
        <v>0</v>
      </c>
      <c r="Z30" s="360">
        <f t="shared" si="12"/>
        <v>0</v>
      </c>
      <c r="AA30" s="360">
        <f t="shared" si="12"/>
        <v>0</v>
      </c>
      <c r="AB30" s="360">
        <f t="shared" si="12"/>
        <v>0</v>
      </c>
      <c r="AC30" s="360">
        <f t="shared" si="12"/>
        <v>0</v>
      </c>
      <c r="AD30" s="360">
        <f t="shared" si="12"/>
        <v>0</v>
      </c>
      <c r="AE30" s="360">
        <f t="shared" si="12"/>
        <v>0</v>
      </c>
      <c r="AF30" s="360">
        <f t="shared" si="12"/>
        <v>0</v>
      </c>
      <c r="AG30" s="360">
        <f t="shared" si="12"/>
        <v>0</v>
      </c>
      <c r="AH30" s="360">
        <f t="shared" si="12"/>
        <v>0</v>
      </c>
      <c r="AI30" s="360">
        <f t="shared" si="12"/>
        <v>0</v>
      </c>
      <c r="AJ30" s="360">
        <f t="shared" si="13"/>
        <v>0</v>
      </c>
      <c r="AK30" s="360">
        <f t="shared" si="13"/>
        <v>0</v>
      </c>
      <c r="AL30" s="360">
        <f t="shared" si="13"/>
        <v>0</v>
      </c>
      <c r="AM30" s="360">
        <f t="shared" si="13"/>
        <v>0</v>
      </c>
      <c r="AN30" s="361">
        <f t="shared" si="13"/>
        <v>0</v>
      </c>
      <c r="AO30" s="271">
        <f t="shared" si="15"/>
        <v>0</v>
      </c>
      <c r="AP30" s="272">
        <f t="shared" si="15"/>
        <v>0</v>
      </c>
      <c r="AQ30" s="272">
        <f t="shared" si="15"/>
        <v>0</v>
      </c>
      <c r="AR30" s="272">
        <f t="shared" si="15"/>
        <v>0</v>
      </c>
      <c r="AS30" s="272">
        <f t="shared" si="15"/>
        <v>0</v>
      </c>
      <c r="AT30" s="272">
        <f t="shared" si="16"/>
        <v>0</v>
      </c>
      <c r="AU30" s="272">
        <f t="shared" si="16"/>
        <v>0</v>
      </c>
      <c r="AV30" s="272">
        <f t="shared" si="16"/>
        <v>0</v>
      </c>
      <c r="AW30" s="272">
        <f t="shared" si="16"/>
        <v>0</v>
      </c>
      <c r="AX30" s="272">
        <f t="shared" si="16"/>
        <v>0</v>
      </c>
      <c r="AY30" s="272">
        <f t="shared" si="16"/>
        <v>0</v>
      </c>
      <c r="AZ30" s="272">
        <f t="shared" si="16"/>
        <v>0</v>
      </c>
      <c r="BA30" s="272">
        <f t="shared" si="16"/>
        <v>0</v>
      </c>
      <c r="BB30" s="260"/>
      <c r="BC30" s="260"/>
      <c r="BD30" s="275">
        <f t="shared" si="5"/>
        <v>0</v>
      </c>
    </row>
    <row r="31" spans="1:56" ht="14.5" outlineLevel="1" x14ac:dyDescent="0.35">
      <c r="A31" s="276">
        <f>VLOOKUP(B31,Planning!B:F,5,FALSE)</f>
        <v>0</v>
      </c>
      <c r="B31" s="365"/>
      <c r="C31" s="358"/>
      <c r="D31" s="359" t="str">
        <f t="shared" si="17"/>
        <v/>
      </c>
      <c r="E31" s="359"/>
      <c r="F31" s="360">
        <f t="shared" si="11"/>
        <v>0</v>
      </c>
      <c r="G31" s="360">
        <f t="shared" si="11"/>
        <v>0</v>
      </c>
      <c r="H31" s="360">
        <f t="shared" si="11"/>
        <v>0</v>
      </c>
      <c r="I31" s="360">
        <f t="shared" si="11"/>
        <v>0</v>
      </c>
      <c r="J31" s="360">
        <f t="shared" si="11"/>
        <v>0</v>
      </c>
      <c r="K31" s="360">
        <f t="shared" si="11"/>
        <v>0</v>
      </c>
      <c r="L31" s="360">
        <f t="shared" si="11"/>
        <v>0</v>
      </c>
      <c r="M31" s="360">
        <f t="shared" si="11"/>
        <v>0</v>
      </c>
      <c r="N31" s="360">
        <f t="shared" si="11"/>
        <v>0</v>
      </c>
      <c r="O31" s="360">
        <f t="shared" si="11"/>
        <v>0</v>
      </c>
      <c r="P31" s="360">
        <f t="shared" si="11"/>
        <v>0</v>
      </c>
      <c r="Q31" s="360">
        <f t="shared" si="11"/>
        <v>0</v>
      </c>
      <c r="R31" s="360">
        <f t="shared" si="11"/>
        <v>0</v>
      </c>
      <c r="S31" s="360">
        <f t="shared" si="11"/>
        <v>0</v>
      </c>
      <c r="T31" s="360">
        <f t="shared" si="11"/>
        <v>0</v>
      </c>
      <c r="U31" s="360">
        <f t="shared" si="11"/>
        <v>0</v>
      </c>
      <c r="V31" s="360">
        <f t="shared" si="12"/>
        <v>0</v>
      </c>
      <c r="W31" s="360">
        <f t="shared" si="12"/>
        <v>0</v>
      </c>
      <c r="X31" s="360">
        <f t="shared" si="12"/>
        <v>0</v>
      </c>
      <c r="Y31" s="360">
        <f t="shared" si="12"/>
        <v>0</v>
      </c>
      <c r="Z31" s="360">
        <f t="shared" si="12"/>
        <v>0</v>
      </c>
      <c r="AA31" s="360">
        <f t="shared" si="12"/>
        <v>0</v>
      </c>
      <c r="AB31" s="360">
        <f t="shared" si="12"/>
        <v>0</v>
      </c>
      <c r="AC31" s="360">
        <f t="shared" si="12"/>
        <v>0</v>
      </c>
      <c r="AD31" s="360">
        <f t="shared" si="12"/>
        <v>0</v>
      </c>
      <c r="AE31" s="360">
        <f t="shared" si="12"/>
        <v>0</v>
      </c>
      <c r="AF31" s="360">
        <f t="shared" si="12"/>
        <v>0</v>
      </c>
      <c r="AG31" s="360">
        <f t="shared" si="12"/>
        <v>0</v>
      </c>
      <c r="AH31" s="360">
        <f t="shared" si="12"/>
        <v>0</v>
      </c>
      <c r="AI31" s="360">
        <f t="shared" si="12"/>
        <v>0</v>
      </c>
      <c r="AJ31" s="360">
        <f t="shared" si="13"/>
        <v>0</v>
      </c>
      <c r="AK31" s="360">
        <f t="shared" si="13"/>
        <v>0</v>
      </c>
      <c r="AL31" s="360">
        <f t="shared" si="13"/>
        <v>0</v>
      </c>
      <c r="AM31" s="360">
        <f t="shared" si="13"/>
        <v>0</v>
      </c>
      <c r="AN31" s="361">
        <f t="shared" si="13"/>
        <v>0</v>
      </c>
      <c r="AO31" s="271">
        <f t="shared" ref="AO31:BA31" si="18">IFERROR(INDEX(Horaires,MATCH($D31,Horaires_v,0),MATCH(AO$2,Horaires_h,0)),0)</f>
        <v>0</v>
      </c>
      <c r="AP31" s="272">
        <f t="shared" si="18"/>
        <v>0</v>
      </c>
      <c r="AQ31" s="272">
        <f t="shared" si="18"/>
        <v>0</v>
      </c>
      <c r="AR31" s="272">
        <f t="shared" si="18"/>
        <v>0</v>
      </c>
      <c r="AS31" s="272">
        <f t="shared" si="18"/>
        <v>0</v>
      </c>
      <c r="AT31" s="272">
        <f t="shared" si="18"/>
        <v>0</v>
      </c>
      <c r="AU31" s="272">
        <f t="shared" si="18"/>
        <v>0</v>
      </c>
      <c r="AV31" s="272">
        <f t="shared" si="18"/>
        <v>0</v>
      </c>
      <c r="AW31" s="272">
        <f t="shared" si="18"/>
        <v>0</v>
      </c>
      <c r="AX31" s="272">
        <f t="shared" si="18"/>
        <v>0</v>
      </c>
      <c r="AY31" s="272">
        <f t="shared" si="18"/>
        <v>0</v>
      </c>
      <c r="AZ31" s="272">
        <f t="shared" si="18"/>
        <v>0</v>
      </c>
      <c r="BA31" s="272">
        <f t="shared" si="18"/>
        <v>0</v>
      </c>
      <c r="BB31" s="260"/>
      <c r="BC31" s="260"/>
      <c r="BD31" s="275">
        <f>SUM(F31:BA31)/2</f>
        <v>0</v>
      </c>
    </row>
    <row r="32" spans="1:56" ht="14.5" outlineLevel="1" x14ac:dyDescent="0.35">
      <c r="A32" s="276">
        <f>VLOOKUP(B32,Planning!B:F,5,FALSE)</f>
        <v>0</v>
      </c>
      <c r="B32" s="365"/>
      <c r="C32" s="358"/>
      <c r="D32" s="359" t="str">
        <f t="shared" si="17"/>
        <v/>
      </c>
      <c r="E32" s="359"/>
      <c r="F32" s="360">
        <f t="shared" si="11"/>
        <v>0</v>
      </c>
      <c r="G32" s="360">
        <f t="shared" si="11"/>
        <v>0</v>
      </c>
      <c r="H32" s="360">
        <f t="shared" si="11"/>
        <v>0</v>
      </c>
      <c r="I32" s="360">
        <f t="shared" si="11"/>
        <v>0</v>
      </c>
      <c r="J32" s="360">
        <f t="shared" si="11"/>
        <v>0</v>
      </c>
      <c r="K32" s="360">
        <f t="shared" si="11"/>
        <v>0</v>
      </c>
      <c r="L32" s="360">
        <f t="shared" si="11"/>
        <v>0</v>
      </c>
      <c r="M32" s="360">
        <f t="shared" si="11"/>
        <v>0</v>
      </c>
      <c r="N32" s="360">
        <f t="shared" si="11"/>
        <v>0</v>
      </c>
      <c r="O32" s="360">
        <f t="shared" si="11"/>
        <v>0</v>
      </c>
      <c r="P32" s="360">
        <f t="shared" si="11"/>
        <v>0</v>
      </c>
      <c r="Q32" s="360">
        <f t="shared" si="11"/>
        <v>0</v>
      </c>
      <c r="R32" s="360">
        <f t="shared" si="11"/>
        <v>0</v>
      </c>
      <c r="S32" s="360">
        <f t="shared" si="11"/>
        <v>0</v>
      </c>
      <c r="T32" s="360">
        <f t="shared" si="11"/>
        <v>0</v>
      </c>
      <c r="U32" s="360">
        <f t="shared" si="11"/>
        <v>0</v>
      </c>
      <c r="V32" s="360">
        <f t="shared" si="12"/>
        <v>0</v>
      </c>
      <c r="W32" s="360">
        <f t="shared" si="12"/>
        <v>0</v>
      </c>
      <c r="X32" s="360">
        <f t="shared" si="12"/>
        <v>0</v>
      </c>
      <c r="Y32" s="360">
        <f t="shared" si="12"/>
        <v>0</v>
      </c>
      <c r="Z32" s="360">
        <f t="shared" si="12"/>
        <v>0</v>
      </c>
      <c r="AA32" s="360">
        <f t="shared" si="12"/>
        <v>0</v>
      </c>
      <c r="AB32" s="360">
        <f t="shared" si="12"/>
        <v>0</v>
      </c>
      <c r="AC32" s="360">
        <f t="shared" si="12"/>
        <v>0</v>
      </c>
      <c r="AD32" s="360">
        <f t="shared" si="12"/>
        <v>0</v>
      </c>
      <c r="AE32" s="360">
        <f t="shared" si="12"/>
        <v>0</v>
      </c>
      <c r="AF32" s="360">
        <f t="shared" si="12"/>
        <v>0</v>
      </c>
      <c r="AG32" s="360">
        <f t="shared" si="12"/>
        <v>0</v>
      </c>
      <c r="AH32" s="360">
        <f t="shared" si="12"/>
        <v>0</v>
      </c>
      <c r="AI32" s="360">
        <f t="shared" si="12"/>
        <v>0</v>
      </c>
      <c r="AJ32" s="360">
        <f t="shared" si="13"/>
        <v>0</v>
      </c>
      <c r="AK32" s="360">
        <f t="shared" si="13"/>
        <v>0</v>
      </c>
      <c r="AL32" s="360">
        <f t="shared" si="13"/>
        <v>0</v>
      </c>
      <c r="AM32" s="360">
        <f t="shared" si="13"/>
        <v>0</v>
      </c>
      <c r="AN32" s="361">
        <f t="shared" si="13"/>
        <v>0</v>
      </c>
      <c r="AO32" s="271">
        <f t="shared" si="15"/>
        <v>0</v>
      </c>
      <c r="AP32" s="272">
        <f t="shared" si="15"/>
        <v>0</v>
      </c>
      <c r="AQ32" s="272">
        <f t="shared" si="15"/>
        <v>0</v>
      </c>
      <c r="AR32" s="272">
        <f t="shared" si="15"/>
        <v>0</v>
      </c>
      <c r="AS32" s="272">
        <f t="shared" si="15"/>
        <v>0</v>
      </c>
      <c r="AT32" s="272">
        <f t="shared" si="16"/>
        <v>0</v>
      </c>
      <c r="AU32" s="272">
        <f t="shared" si="16"/>
        <v>0</v>
      </c>
      <c r="AV32" s="272">
        <f t="shared" si="16"/>
        <v>0</v>
      </c>
      <c r="AW32" s="272">
        <f t="shared" si="16"/>
        <v>0</v>
      </c>
      <c r="AX32" s="272">
        <f t="shared" si="16"/>
        <v>0</v>
      </c>
      <c r="AY32" s="272">
        <f t="shared" si="16"/>
        <v>0</v>
      </c>
      <c r="AZ32" s="272">
        <f t="shared" si="16"/>
        <v>0</v>
      </c>
      <c r="BA32" s="272">
        <f t="shared" si="16"/>
        <v>0</v>
      </c>
      <c r="BB32" s="260"/>
      <c r="BC32" s="260"/>
      <c r="BD32" s="275">
        <f t="shared" si="5"/>
        <v>0</v>
      </c>
    </row>
    <row r="33" spans="1:56" ht="14.5" outlineLevel="1" x14ac:dyDescent="0.35">
      <c r="A33" s="276">
        <f>VLOOKUP(B33,Planning!B:F,5,FALSE)</f>
        <v>0</v>
      </c>
      <c r="B33" s="365"/>
      <c r="C33" s="358"/>
      <c r="D33" s="359" t="str">
        <f t="shared" si="17"/>
        <v/>
      </c>
      <c r="E33" s="359"/>
      <c r="F33" s="360">
        <f t="shared" si="11"/>
        <v>0</v>
      </c>
      <c r="G33" s="360">
        <f t="shared" si="11"/>
        <v>0</v>
      </c>
      <c r="H33" s="360">
        <f t="shared" si="11"/>
        <v>0</v>
      </c>
      <c r="I33" s="360">
        <f t="shared" si="11"/>
        <v>0</v>
      </c>
      <c r="J33" s="360">
        <f t="shared" si="11"/>
        <v>0</v>
      </c>
      <c r="K33" s="360">
        <f t="shared" si="11"/>
        <v>0</v>
      </c>
      <c r="L33" s="360">
        <f t="shared" si="11"/>
        <v>0</v>
      </c>
      <c r="M33" s="360">
        <f t="shared" si="11"/>
        <v>0</v>
      </c>
      <c r="N33" s="360">
        <f t="shared" si="11"/>
        <v>0</v>
      </c>
      <c r="O33" s="360">
        <f t="shared" si="11"/>
        <v>0</v>
      </c>
      <c r="P33" s="360">
        <f t="shared" si="11"/>
        <v>0</v>
      </c>
      <c r="Q33" s="360">
        <f t="shared" si="11"/>
        <v>0</v>
      </c>
      <c r="R33" s="360">
        <f t="shared" si="11"/>
        <v>0</v>
      </c>
      <c r="S33" s="360">
        <f t="shared" si="11"/>
        <v>0</v>
      </c>
      <c r="T33" s="360">
        <f t="shared" si="11"/>
        <v>0</v>
      </c>
      <c r="U33" s="360">
        <f t="shared" si="11"/>
        <v>0</v>
      </c>
      <c r="V33" s="360">
        <f t="shared" si="12"/>
        <v>0</v>
      </c>
      <c r="W33" s="360">
        <f t="shared" si="12"/>
        <v>0</v>
      </c>
      <c r="X33" s="360">
        <f t="shared" si="12"/>
        <v>0</v>
      </c>
      <c r="Y33" s="360">
        <f t="shared" si="12"/>
        <v>0</v>
      </c>
      <c r="Z33" s="360">
        <f t="shared" si="12"/>
        <v>0</v>
      </c>
      <c r="AA33" s="360">
        <f t="shared" si="12"/>
        <v>0</v>
      </c>
      <c r="AB33" s="360">
        <f t="shared" si="12"/>
        <v>0</v>
      </c>
      <c r="AC33" s="360">
        <f t="shared" si="12"/>
        <v>0</v>
      </c>
      <c r="AD33" s="360">
        <f t="shared" si="12"/>
        <v>0</v>
      </c>
      <c r="AE33" s="360">
        <f t="shared" si="12"/>
        <v>0</v>
      </c>
      <c r="AF33" s="360">
        <f t="shared" si="12"/>
        <v>0</v>
      </c>
      <c r="AG33" s="360">
        <f t="shared" si="12"/>
        <v>0</v>
      </c>
      <c r="AH33" s="360">
        <f t="shared" si="12"/>
        <v>0</v>
      </c>
      <c r="AI33" s="360">
        <f t="shared" si="12"/>
        <v>0</v>
      </c>
      <c r="AJ33" s="360">
        <f t="shared" si="13"/>
        <v>0</v>
      </c>
      <c r="AK33" s="360">
        <f t="shared" si="13"/>
        <v>0</v>
      </c>
      <c r="AL33" s="360">
        <f t="shared" si="13"/>
        <v>0</v>
      </c>
      <c r="AM33" s="360">
        <f t="shared" si="13"/>
        <v>0</v>
      </c>
      <c r="AN33" s="361">
        <f t="shared" si="13"/>
        <v>0</v>
      </c>
      <c r="AO33" s="271"/>
      <c r="AP33" s="272"/>
      <c r="AQ33" s="272"/>
      <c r="AR33" s="272"/>
      <c r="AS33" s="272"/>
      <c r="AT33" s="272"/>
      <c r="AU33" s="272"/>
      <c r="AV33" s="272"/>
      <c r="AW33" s="272"/>
      <c r="AX33" s="272"/>
      <c r="AY33" s="272"/>
      <c r="AZ33" s="272"/>
      <c r="BA33" s="272"/>
      <c r="BB33" s="260"/>
      <c r="BC33" s="260"/>
      <c r="BD33" s="275">
        <f t="shared" si="5"/>
        <v>0</v>
      </c>
    </row>
    <row r="34" spans="1:56" ht="14.5" outlineLevel="1" x14ac:dyDescent="0.35">
      <c r="A34" s="276">
        <f>VLOOKUP(B34,Planning!B:F,5,FALSE)</f>
        <v>0</v>
      </c>
      <c r="B34" s="365"/>
      <c r="C34" s="358"/>
      <c r="D34" s="359" t="str">
        <f t="shared" si="17"/>
        <v/>
      </c>
      <c r="E34" s="359"/>
      <c r="F34" s="360">
        <f t="shared" si="11"/>
        <v>0</v>
      </c>
      <c r="G34" s="360">
        <f t="shared" si="11"/>
        <v>0</v>
      </c>
      <c r="H34" s="360">
        <f t="shared" si="11"/>
        <v>0</v>
      </c>
      <c r="I34" s="360">
        <f t="shared" si="11"/>
        <v>0</v>
      </c>
      <c r="J34" s="360">
        <f t="shared" si="11"/>
        <v>0</v>
      </c>
      <c r="K34" s="360">
        <f t="shared" si="11"/>
        <v>0</v>
      </c>
      <c r="L34" s="360">
        <f t="shared" si="11"/>
        <v>0</v>
      </c>
      <c r="M34" s="360">
        <f t="shared" si="11"/>
        <v>0</v>
      </c>
      <c r="N34" s="360">
        <f t="shared" si="11"/>
        <v>0</v>
      </c>
      <c r="O34" s="360">
        <f t="shared" si="11"/>
        <v>0</v>
      </c>
      <c r="P34" s="360">
        <f t="shared" si="11"/>
        <v>0</v>
      </c>
      <c r="Q34" s="360">
        <f t="shared" si="11"/>
        <v>0</v>
      </c>
      <c r="R34" s="360">
        <f t="shared" si="11"/>
        <v>0</v>
      </c>
      <c r="S34" s="360">
        <f t="shared" si="11"/>
        <v>0</v>
      </c>
      <c r="T34" s="360">
        <f t="shared" si="11"/>
        <v>0</v>
      </c>
      <c r="U34" s="360">
        <f t="shared" ref="P34:Y59" si="19">IFERROR(INDEX(Horaires,MATCH($D34,Horaires_v,0),MATCH(U$2,Horaires_h,0)),0)</f>
        <v>0</v>
      </c>
      <c r="V34" s="360">
        <f t="shared" si="19"/>
        <v>0</v>
      </c>
      <c r="W34" s="360">
        <f t="shared" si="19"/>
        <v>0</v>
      </c>
      <c r="X34" s="360">
        <f t="shared" si="19"/>
        <v>0</v>
      </c>
      <c r="Y34" s="360">
        <f t="shared" si="19"/>
        <v>0</v>
      </c>
      <c r="Z34" s="360">
        <f t="shared" si="12"/>
        <v>0</v>
      </c>
      <c r="AA34" s="360">
        <f t="shared" si="12"/>
        <v>0</v>
      </c>
      <c r="AB34" s="360">
        <f t="shared" si="12"/>
        <v>0</v>
      </c>
      <c r="AC34" s="360">
        <f t="shared" si="12"/>
        <v>0</v>
      </c>
      <c r="AD34" s="360">
        <f t="shared" si="12"/>
        <v>0</v>
      </c>
      <c r="AE34" s="360">
        <f t="shared" si="12"/>
        <v>0</v>
      </c>
      <c r="AF34" s="360">
        <f t="shared" si="12"/>
        <v>0</v>
      </c>
      <c r="AG34" s="360">
        <f t="shared" si="12"/>
        <v>0</v>
      </c>
      <c r="AH34" s="360">
        <f t="shared" si="12"/>
        <v>0</v>
      </c>
      <c r="AI34" s="360">
        <f t="shared" si="12"/>
        <v>0</v>
      </c>
      <c r="AJ34" s="360">
        <f t="shared" si="13"/>
        <v>0</v>
      </c>
      <c r="AK34" s="360">
        <f t="shared" si="13"/>
        <v>0</v>
      </c>
      <c r="AL34" s="360">
        <f t="shared" si="13"/>
        <v>0</v>
      </c>
      <c r="AM34" s="360">
        <f t="shared" si="13"/>
        <v>0</v>
      </c>
      <c r="AN34" s="361">
        <f t="shared" si="13"/>
        <v>0</v>
      </c>
      <c r="AO34" s="271"/>
      <c r="AP34" s="272"/>
      <c r="AQ34" s="272"/>
      <c r="AR34" s="272"/>
      <c r="AS34" s="272"/>
      <c r="AT34" s="272"/>
      <c r="AU34" s="272"/>
      <c r="AV34" s="272"/>
      <c r="AW34" s="272"/>
      <c r="AX34" s="272"/>
      <c r="AY34" s="272"/>
      <c r="AZ34" s="272"/>
      <c r="BA34" s="272"/>
      <c r="BB34" s="260"/>
      <c r="BC34" s="260"/>
      <c r="BD34" s="275">
        <f t="shared" si="5"/>
        <v>0</v>
      </c>
    </row>
    <row r="35" spans="1:56" ht="14.5" outlineLevel="1" x14ac:dyDescent="0.35">
      <c r="A35" s="276">
        <f>VLOOKUP(B35,Planning!B:F,5,FALSE)</f>
        <v>0</v>
      </c>
      <c r="B35" s="365"/>
      <c r="C35" s="358"/>
      <c r="D35" s="359" t="str">
        <f t="shared" si="17"/>
        <v/>
      </c>
      <c r="E35" s="359"/>
      <c r="F35" s="360">
        <f t="shared" ref="F35:O60" si="20">IFERROR(INDEX(Horaires,MATCH($D35,Horaires_v,0),MATCH(F$2,Horaires_h,0)),0)</f>
        <v>0</v>
      </c>
      <c r="G35" s="360">
        <f t="shared" si="20"/>
        <v>0</v>
      </c>
      <c r="H35" s="360">
        <f t="shared" si="20"/>
        <v>0</v>
      </c>
      <c r="I35" s="360">
        <f t="shared" si="20"/>
        <v>0</v>
      </c>
      <c r="J35" s="360">
        <f t="shared" si="20"/>
        <v>0</v>
      </c>
      <c r="K35" s="360">
        <f t="shared" si="20"/>
        <v>0</v>
      </c>
      <c r="L35" s="360">
        <f t="shared" si="20"/>
        <v>0</v>
      </c>
      <c r="M35" s="360">
        <f t="shared" si="20"/>
        <v>0</v>
      </c>
      <c r="N35" s="360">
        <f t="shared" si="20"/>
        <v>0</v>
      </c>
      <c r="O35" s="360">
        <f t="shared" si="20"/>
        <v>0</v>
      </c>
      <c r="P35" s="360">
        <f t="shared" si="19"/>
        <v>0</v>
      </c>
      <c r="Q35" s="360">
        <f t="shared" si="19"/>
        <v>0</v>
      </c>
      <c r="R35" s="360">
        <f t="shared" si="19"/>
        <v>0</v>
      </c>
      <c r="S35" s="360">
        <f t="shared" si="19"/>
        <v>0</v>
      </c>
      <c r="T35" s="360">
        <f t="shared" si="19"/>
        <v>0</v>
      </c>
      <c r="U35" s="360">
        <f t="shared" si="19"/>
        <v>0</v>
      </c>
      <c r="V35" s="360">
        <f t="shared" si="19"/>
        <v>0</v>
      </c>
      <c r="W35" s="360">
        <f t="shared" si="19"/>
        <v>0</v>
      </c>
      <c r="X35" s="360">
        <f t="shared" si="19"/>
        <v>0</v>
      </c>
      <c r="Y35" s="360">
        <f t="shared" si="19"/>
        <v>0</v>
      </c>
      <c r="Z35" s="360">
        <f t="shared" si="12"/>
        <v>0</v>
      </c>
      <c r="AA35" s="360">
        <f t="shared" si="12"/>
        <v>0</v>
      </c>
      <c r="AB35" s="360">
        <f t="shared" si="12"/>
        <v>0</v>
      </c>
      <c r="AC35" s="360">
        <f t="shared" si="12"/>
        <v>0</v>
      </c>
      <c r="AD35" s="360">
        <f t="shared" si="12"/>
        <v>0</v>
      </c>
      <c r="AE35" s="360">
        <f t="shared" si="12"/>
        <v>0</v>
      </c>
      <c r="AF35" s="360">
        <f t="shared" si="12"/>
        <v>0</v>
      </c>
      <c r="AG35" s="360">
        <f t="shared" si="12"/>
        <v>0</v>
      </c>
      <c r="AH35" s="360">
        <f t="shared" si="12"/>
        <v>0</v>
      </c>
      <c r="AI35" s="360">
        <f t="shared" si="12"/>
        <v>0</v>
      </c>
      <c r="AJ35" s="360">
        <f t="shared" si="13"/>
        <v>0</v>
      </c>
      <c r="AK35" s="360">
        <f t="shared" si="13"/>
        <v>0</v>
      </c>
      <c r="AL35" s="360">
        <f t="shared" si="13"/>
        <v>0</v>
      </c>
      <c r="AM35" s="360">
        <f t="shared" si="13"/>
        <v>0</v>
      </c>
      <c r="AN35" s="361">
        <f t="shared" si="13"/>
        <v>0</v>
      </c>
      <c r="AO35" s="271">
        <f t="shared" ref="AO35:AS39" si="21">IFERROR(INDEX(Horaires,MATCH($D35,Horaires_v,0),MATCH(AO$2,Horaires_h,0)),0)</f>
        <v>0</v>
      </c>
      <c r="AP35" s="272">
        <f t="shared" si="21"/>
        <v>0</v>
      </c>
      <c r="AQ35" s="272">
        <f t="shared" si="21"/>
        <v>0</v>
      </c>
      <c r="AR35" s="272">
        <f t="shared" si="21"/>
        <v>0</v>
      </c>
      <c r="AS35" s="272">
        <f t="shared" si="21"/>
        <v>0</v>
      </c>
      <c r="AT35" s="272">
        <f t="shared" ref="AT35:BA39" si="22">IFERROR(INDEX(Horaires,MATCH($D35,Horaires_v,0),MATCH(AT$2,Horaires_h,0)),0)</f>
        <v>0</v>
      </c>
      <c r="AU35" s="272">
        <f t="shared" si="22"/>
        <v>0</v>
      </c>
      <c r="AV35" s="272">
        <f t="shared" si="22"/>
        <v>0</v>
      </c>
      <c r="AW35" s="272">
        <f t="shared" si="22"/>
        <v>0</v>
      </c>
      <c r="AX35" s="272">
        <f t="shared" si="22"/>
        <v>0</v>
      </c>
      <c r="AY35" s="272">
        <f t="shared" si="22"/>
        <v>0</v>
      </c>
      <c r="AZ35" s="272">
        <f t="shared" si="22"/>
        <v>0</v>
      </c>
      <c r="BA35" s="272">
        <f t="shared" si="22"/>
        <v>0</v>
      </c>
      <c r="BB35" s="260"/>
      <c r="BC35" s="260"/>
      <c r="BD35" s="275">
        <f t="shared" si="5"/>
        <v>0</v>
      </c>
    </row>
    <row r="36" spans="1:56" ht="14.5" outlineLevel="1" x14ac:dyDescent="0.35">
      <c r="A36" s="276">
        <f>VLOOKUP(B36,Planning!B:F,5,FALSE)</f>
        <v>0</v>
      </c>
      <c r="B36" s="365"/>
      <c r="C36" s="358"/>
      <c r="D36" s="359" t="str">
        <f t="shared" si="17"/>
        <v/>
      </c>
      <c r="E36" s="359"/>
      <c r="F36" s="360">
        <f t="shared" si="20"/>
        <v>0</v>
      </c>
      <c r="G36" s="360">
        <f t="shared" si="20"/>
        <v>0</v>
      </c>
      <c r="H36" s="360">
        <f t="shared" si="20"/>
        <v>0</v>
      </c>
      <c r="I36" s="360">
        <f t="shared" si="20"/>
        <v>0</v>
      </c>
      <c r="J36" s="360">
        <f t="shared" si="20"/>
        <v>0</v>
      </c>
      <c r="K36" s="360">
        <f t="shared" si="20"/>
        <v>0</v>
      </c>
      <c r="L36" s="360">
        <f t="shared" si="20"/>
        <v>0</v>
      </c>
      <c r="M36" s="360">
        <f t="shared" si="20"/>
        <v>0</v>
      </c>
      <c r="N36" s="360">
        <f t="shared" si="20"/>
        <v>0</v>
      </c>
      <c r="O36" s="360">
        <f t="shared" si="20"/>
        <v>0</v>
      </c>
      <c r="P36" s="360">
        <f t="shared" si="19"/>
        <v>0</v>
      </c>
      <c r="Q36" s="360">
        <f t="shared" si="19"/>
        <v>0</v>
      </c>
      <c r="R36" s="360">
        <f t="shared" si="19"/>
        <v>0</v>
      </c>
      <c r="S36" s="360">
        <f t="shared" si="19"/>
        <v>0</v>
      </c>
      <c r="T36" s="360">
        <f t="shared" si="19"/>
        <v>0</v>
      </c>
      <c r="U36" s="360">
        <f t="shared" si="19"/>
        <v>0</v>
      </c>
      <c r="V36" s="360">
        <f t="shared" si="19"/>
        <v>0</v>
      </c>
      <c r="W36" s="360">
        <f t="shared" si="19"/>
        <v>0</v>
      </c>
      <c r="X36" s="360">
        <f t="shared" si="19"/>
        <v>0</v>
      </c>
      <c r="Y36" s="360">
        <f t="shared" si="19"/>
        <v>0</v>
      </c>
      <c r="Z36" s="360">
        <f t="shared" si="12"/>
        <v>0</v>
      </c>
      <c r="AA36" s="360">
        <f t="shared" si="12"/>
        <v>0</v>
      </c>
      <c r="AB36" s="360">
        <f t="shared" si="12"/>
        <v>0</v>
      </c>
      <c r="AC36" s="360">
        <f t="shared" si="12"/>
        <v>0</v>
      </c>
      <c r="AD36" s="360">
        <f t="shared" si="12"/>
        <v>0</v>
      </c>
      <c r="AE36" s="360">
        <f t="shared" si="12"/>
        <v>0</v>
      </c>
      <c r="AF36" s="360">
        <f t="shared" si="12"/>
        <v>0</v>
      </c>
      <c r="AG36" s="360">
        <f t="shared" si="12"/>
        <v>0</v>
      </c>
      <c r="AH36" s="360">
        <f t="shared" si="12"/>
        <v>0</v>
      </c>
      <c r="AI36" s="360">
        <f t="shared" si="12"/>
        <v>0</v>
      </c>
      <c r="AJ36" s="360">
        <f t="shared" si="13"/>
        <v>0</v>
      </c>
      <c r="AK36" s="360">
        <f t="shared" si="13"/>
        <v>0</v>
      </c>
      <c r="AL36" s="360">
        <f t="shared" si="13"/>
        <v>0</v>
      </c>
      <c r="AM36" s="360">
        <f t="shared" si="13"/>
        <v>0</v>
      </c>
      <c r="AN36" s="361">
        <f t="shared" si="13"/>
        <v>0</v>
      </c>
      <c r="AO36" s="271">
        <f t="shared" si="21"/>
        <v>0</v>
      </c>
      <c r="AP36" s="272">
        <f t="shared" si="21"/>
        <v>0</v>
      </c>
      <c r="AQ36" s="272">
        <f t="shared" si="21"/>
        <v>0</v>
      </c>
      <c r="AR36" s="272">
        <f t="shared" si="21"/>
        <v>0</v>
      </c>
      <c r="AS36" s="272">
        <f t="shared" si="21"/>
        <v>0</v>
      </c>
      <c r="AT36" s="272">
        <f t="shared" si="22"/>
        <v>0</v>
      </c>
      <c r="AU36" s="272">
        <f t="shared" si="22"/>
        <v>0</v>
      </c>
      <c r="AV36" s="272">
        <f t="shared" si="22"/>
        <v>0</v>
      </c>
      <c r="AW36" s="272">
        <f t="shared" si="22"/>
        <v>0</v>
      </c>
      <c r="AX36" s="272">
        <f t="shared" si="22"/>
        <v>0</v>
      </c>
      <c r="AY36" s="272">
        <f t="shared" si="22"/>
        <v>0</v>
      </c>
      <c r="AZ36" s="272">
        <f t="shared" si="22"/>
        <v>0</v>
      </c>
      <c r="BA36" s="272">
        <f t="shared" si="22"/>
        <v>0</v>
      </c>
      <c r="BB36" s="260"/>
      <c r="BC36" s="260"/>
      <c r="BD36" s="275">
        <f>SUM(F36:BA36)/2</f>
        <v>0</v>
      </c>
    </row>
    <row r="37" spans="1:56" ht="14.5" outlineLevel="1" x14ac:dyDescent="0.35">
      <c r="A37" s="276">
        <f>VLOOKUP(B37,Planning!B:F,5,FALSE)</f>
        <v>0</v>
      </c>
      <c r="B37" s="365"/>
      <c r="C37" s="358"/>
      <c r="D37" s="359" t="str">
        <f t="shared" si="17"/>
        <v/>
      </c>
      <c r="E37" s="359"/>
      <c r="F37" s="360">
        <f t="shared" si="20"/>
        <v>0</v>
      </c>
      <c r="G37" s="360">
        <f t="shared" si="20"/>
        <v>0</v>
      </c>
      <c r="H37" s="360">
        <f t="shared" si="20"/>
        <v>0</v>
      </c>
      <c r="I37" s="360">
        <f t="shared" si="20"/>
        <v>0</v>
      </c>
      <c r="J37" s="360">
        <f t="shared" si="20"/>
        <v>0</v>
      </c>
      <c r="K37" s="360">
        <f t="shared" si="20"/>
        <v>0</v>
      </c>
      <c r="L37" s="360">
        <f t="shared" si="20"/>
        <v>0</v>
      </c>
      <c r="M37" s="360">
        <f t="shared" si="20"/>
        <v>0</v>
      </c>
      <c r="N37" s="360">
        <f t="shared" si="20"/>
        <v>0</v>
      </c>
      <c r="O37" s="360">
        <f t="shared" si="20"/>
        <v>0</v>
      </c>
      <c r="P37" s="360">
        <f t="shared" si="19"/>
        <v>0</v>
      </c>
      <c r="Q37" s="360">
        <f t="shared" si="19"/>
        <v>0</v>
      </c>
      <c r="R37" s="360">
        <f t="shared" si="19"/>
        <v>0</v>
      </c>
      <c r="S37" s="360">
        <f t="shared" si="19"/>
        <v>0</v>
      </c>
      <c r="T37" s="360">
        <f t="shared" si="19"/>
        <v>0</v>
      </c>
      <c r="U37" s="360">
        <f t="shared" si="19"/>
        <v>0</v>
      </c>
      <c r="V37" s="360">
        <f t="shared" si="19"/>
        <v>0</v>
      </c>
      <c r="W37" s="360">
        <f t="shared" si="19"/>
        <v>0</v>
      </c>
      <c r="X37" s="360">
        <f t="shared" si="19"/>
        <v>0</v>
      </c>
      <c r="Y37" s="360">
        <f t="shared" si="19"/>
        <v>0</v>
      </c>
      <c r="Z37" s="360">
        <f t="shared" si="12"/>
        <v>0</v>
      </c>
      <c r="AA37" s="360">
        <f t="shared" si="12"/>
        <v>0</v>
      </c>
      <c r="AB37" s="360">
        <f t="shared" si="12"/>
        <v>0</v>
      </c>
      <c r="AC37" s="360">
        <f t="shared" si="12"/>
        <v>0</v>
      </c>
      <c r="AD37" s="360">
        <f t="shared" si="12"/>
        <v>0</v>
      </c>
      <c r="AE37" s="360">
        <f t="shared" si="12"/>
        <v>0</v>
      </c>
      <c r="AF37" s="360">
        <f t="shared" si="12"/>
        <v>0</v>
      </c>
      <c r="AG37" s="360">
        <f t="shared" si="12"/>
        <v>0</v>
      </c>
      <c r="AH37" s="360">
        <f t="shared" si="12"/>
        <v>0</v>
      </c>
      <c r="AI37" s="360">
        <f t="shared" si="12"/>
        <v>0</v>
      </c>
      <c r="AJ37" s="360">
        <f t="shared" si="13"/>
        <v>0</v>
      </c>
      <c r="AK37" s="360">
        <f t="shared" si="13"/>
        <v>0</v>
      </c>
      <c r="AL37" s="360">
        <f t="shared" si="13"/>
        <v>0</v>
      </c>
      <c r="AM37" s="360">
        <f t="shared" si="13"/>
        <v>0</v>
      </c>
      <c r="AN37" s="361">
        <f t="shared" si="13"/>
        <v>0</v>
      </c>
      <c r="AO37" s="271">
        <f t="shared" ref="AO37:BA37" si="23">IFERROR(INDEX(Horaires,MATCH($D37,Horaires_v,0),MATCH(AO$2,Horaires_h,0)),0)</f>
        <v>0</v>
      </c>
      <c r="AP37" s="272">
        <f t="shared" si="23"/>
        <v>0</v>
      </c>
      <c r="AQ37" s="272">
        <f t="shared" si="23"/>
        <v>0</v>
      </c>
      <c r="AR37" s="272">
        <f t="shared" si="23"/>
        <v>0</v>
      </c>
      <c r="AS37" s="272">
        <f t="shared" si="23"/>
        <v>0</v>
      </c>
      <c r="AT37" s="272">
        <f t="shared" si="23"/>
        <v>0</v>
      </c>
      <c r="AU37" s="272">
        <f t="shared" si="23"/>
        <v>0</v>
      </c>
      <c r="AV37" s="272">
        <f t="shared" si="23"/>
        <v>0</v>
      </c>
      <c r="AW37" s="272">
        <f t="shared" si="23"/>
        <v>0</v>
      </c>
      <c r="AX37" s="272">
        <f t="shared" si="23"/>
        <v>0</v>
      </c>
      <c r="AY37" s="272">
        <f t="shared" si="23"/>
        <v>0</v>
      </c>
      <c r="AZ37" s="272">
        <f t="shared" si="23"/>
        <v>0</v>
      </c>
      <c r="BA37" s="272">
        <f t="shared" si="23"/>
        <v>0</v>
      </c>
      <c r="BB37" s="260"/>
      <c r="BC37" s="260"/>
      <c r="BD37" s="275">
        <f>SUM(F37:BA37)/2</f>
        <v>0</v>
      </c>
    </row>
    <row r="38" spans="1:56" ht="14.5" outlineLevel="1" x14ac:dyDescent="0.35">
      <c r="A38" s="276">
        <f>VLOOKUP(B38,Planning!B:F,5,FALSE)</f>
        <v>0</v>
      </c>
      <c r="B38" s="365"/>
      <c r="C38" s="358"/>
      <c r="D38" s="359" t="str">
        <f t="shared" si="17"/>
        <v/>
      </c>
      <c r="E38" s="359"/>
      <c r="F38" s="360">
        <f t="shared" si="20"/>
        <v>0</v>
      </c>
      <c r="G38" s="360">
        <f t="shared" si="20"/>
        <v>0</v>
      </c>
      <c r="H38" s="360">
        <f t="shared" si="20"/>
        <v>0</v>
      </c>
      <c r="I38" s="360">
        <f t="shared" si="20"/>
        <v>0</v>
      </c>
      <c r="J38" s="360">
        <f t="shared" si="20"/>
        <v>0</v>
      </c>
      <c r="K38" s="360">
        <f t="shared" si="20"/>
        <v>0</v>
      </c>
      <c r="L38" s="360">
        <f t="shared" si="20"/>
        <v>0</v>
      </c>
      <c r="M38" s="360">
        <f t="shared" si="20"/>
        <v>0</v>
      </c>
      <c r="N38" s="360">
        <f t="shared" si="20"/>
        <v>0</v>
      </c>
      <c r="O38" s="360">
        <f t="shared" si="20"/>
        <v>0</v>
      </c>
      <c r="P38" s="360">
        <f t="shared" si="19"/>
        <v>0</v>
      </c>
      <c r="Q38" s="360">
        <f t="shared" si="19"/>
        <v>0</v>
      </c>
      <c r="R38" s="360">
        <f t="shared" si="19"/>
        <v>0</v>
      </c>
      <c r="S38" s="360">
        <f t="shared" si="19"/>
        <v>0</v>
      </c>
      <c r="T38" s="360">
        <f t="shared" si="19"/>
        <v>0</v>
      </c>
      <c r="U38" s="360">
        <f t="shared" si="19"/>
        <v>0</v>
      </c>
      <c r="V38" s="360">
        <f t="shared" si="19"/>
        <v>0</v>
      </c>
      <c r="W38" s="360">
        <f t="shared" si="19"/>
        <v>0</v>
      </c>
      <c r="X38" s="360">
        <f t="shared" si="19"/>
        <v>0</v>
      </c>
      <c r="Y38" s="360">
        <f t="shared" si="19"/>
        <v>0</v>
      </c>
      <c r="Z38" s="360">
        <f t="shared" si="12"/>
        <v>0</v>
      </c>
      <c r="AA38" s="360">
        <f t="shared" si="12"/>
        <v>0</v>
      </c>
      <c r="AB38" s="360">
        <f t="shared" si="12"/>
        <v>0</v>
      </c>
      <c r="AC38" s="360">
        <f t="shared" ref="Z38:AI63" si="24">IFERROR(INDEX(Horaires,MATCH($D38,Horaires_v,0),MATCH(AC$2,Horaires_h,0)),0)</f>
        <v>0</v>
      </c>
      <c r="AD38" s="360">
        <f t="shared" si="24"/>
        <v>0</v>
      </c>
      <c r="AE38" s="360">
        <f t="shared" si="24"/>
        <v>0</v>
      </c>
      <c r="AF38" s="360">
        <f t="shared" si="24"/>
        <v>0</v>
      </c>
      <c r="AG38" s="360">
        <f t="shared" si="24"/>
        <v>0</v>
      </c>
      <c r="AH38" s="360">
        <f t="shared" si="24"/>
        <v>0</v>
      </c>
      <c r="AI38" s="360">
        <f t="shared" si="24"/>
        <v>0</v>
      </c>
      <c r="AJ38" s="360">
        <f t="shared" si="13"/>
        <v>0</v>
      </c>
      <c r="AK38" s="360">
        <f t="shared" si="13"/>
        <v>0</v>
      </c>
      <c r="AL38" s="360">
        <f t="shared" si="13"/>
        <v>0</v>
      </c>
      <c r="AM38" s="360">
        <f t="shared" si="13"/>
        <v>0</v>
      </c>
      <c r="AN38" s="361">
        <f t="shared" si="13"/>
        <v>0</v>
      </c>
      <c r="AO38" s="271">
        <f t="shared" si="21"/>
        <v>0</v>
      </c>
      <c r="AP38" s="272">
        <f t="shared" si="21"/>
        <v>0</v>
      </c>
      <c r="AQ38" s="272">
        <f t="shared" si="21"/>
        <v>0</v>
      </c>
      <c r="AR38" s="272">
        <f t="shared" si="21"/>
        <v>0</v>
      </c>
      <c r="AS38" s="272">
        <f t="shared" si="21"/>
        <v>0</v>
      </c>
      <c r="AT38" s="272">
        <f t="shared" si="22"/>
        <v>0</v>
      </c>
      <c r="AU38" s="272">
        <f t="shared" si="22"/>
        <v>0</v>
      </c>
      <c r="AV38" s="272">
        <f t="shared" si="22"/>
        <v>0</v>
      </c>
      <c r="AW38" s="272">
        <f t="shared" si="22"/>
        <v>0</v>
      </c>
      <c r="AX38" s="272">
        <f t="shared" si="22"/>
        <v>0</v>
      </c>
      <c r="AY38" s="272">
        <f t="shared" si="22"/>
        <v>0</v>
      </c>
      <c r="AZ38" s="272">
        <f t="shared" si="22"/>
        <v>0</v>
      </c>
      <c r="BA38" s="272">
        <f t="shared" si="22"/>
        <v>0</v>
      </c>
      <c r="BB38" s="260"/>
      <c r="BC38" s="260"/>
      <c r="BD38" s="275">
        <f t="shared" si="5"/>
        <v>0</v>
      </c>
    </row>
    <row r="39" spans="1:56" ht="14.5" outlineLevel="1" x14ac:dyDescent="0.35">
      <c r="A39" s="276">
        <f>VLOOKUP(B39,Planning!B:F,5,FALSE)</f>
        <v>0</v>
      </c>
      <c r="B39" s="365"/>
      <c r="C39" s="358"/>
      <c r="D39" s="359" t="str">
        <f t="shared" si="17"/>
        <v/>
      </c>
      <c r="E39" s="359"/>
      <c r="F39" s="360">
        <f t="shared" si="20"/>
        <v>0</v>
      </c>
      <c r="G39" s="360">
        <f t="shared" si="20"/>
        <v>0</v>
      </c>
      <c r="H39" s="360">
        <f t="shared" si="20"/>
        <v>0</v>
      </c>
      <c r="I39" s="360">
        <f t="shared" si="20"/>
        <v>0</v>
      </c>
      <c r="J39" s="360">
        <f t="shared" si="20"/>
        <v>0</v>
      </c>
      <c r="K39" s="360">
        <f t="shared" si="20"/>
        <v>0</v>
      </c>
      <c r="L39" s="360">
        <f t="shared" si="20"/>
        <v>0</v>
      </c>
      <c r="M39" s="360">
        <f t="shared" si="20"/>
        <v>0</v>
      </c>
      <c r="N39" s="360">
        <f t="shared" si="20"/>
        <v>0</v>
      </c>
      <c r="O39" s="360">
        <f t="shared" si="20"/>
        <v>0</v>
      </c>
      <c r="P39" s="360">
        <f t="shared" si="19"/>
        <v>0</v>
      </c>
      <c r="Q39" s="360">
        <f t="shared" si="19"/>
        <v>0</v>
      </c>
      <c r="R39" s="360">
        <f t="shared" si="19"/>
        <v>0</v>
      </c>
      <c r="S39" s="360">
        <f t="shared" si="19"/>
        <v>0</v>
      </c>
      <c r="T39" s="360">
        <f t="shared" si="19"/>
        <v>0</v>
      </c>
      <c r="U39" s="360">
        <f t="shared" si="19"/>
        <v>0</v>
      </c>
      <c r="V39" s="360">
        <f t="shared" si="19"/>
        <v>0</v>
      </c>
      <c r="W39" s="360">
        <f t="shared" si="19"/>
        <v>0</v>
      </c>
      <c r="X39" s="360">
        <f t="shared" si="19"/>
        <v>0</v>
      </c>
      <c r="Y39" s="360">
        <f t="shared" si="19"/>
        <v>0</v>
      </c>
      <c r="Z39" s="360">
        <f t="shared" si="24"/>
        <v>0</v>
      </c>
      <c r="AA39" s="360">
        <f t="shared" si="24"/>
        <v>0</v>
      </c>
      <c r="AB39" s="360">
        <f t="shared" si="24"/>
        <v>0</v>
      </c>
      <c r="AC39" s="360">
        <f t="shared" si="24"/>
        <v>0</v>
      </c>
      <c r="AD39" s="360">
        <f t="shared" si="24"/>
        <v>0</v>
      </c>
      <c r="AE39" s="360">
        <f t="shared" si="24"/>
        <v>0</v>
      </c>
      <c r="AF39" s="360">
        <f t="shared" si="24"/>
        <v>0</v>
      </c>
      <c r="AG39" s="360">
        <f t="shared" si="24"/>
        <v>0</v>
      </c>
      <c r="AH39" s="360">
        <f t="shared" si="24"/>
        <v>0</v>
      </c>
      <c r="AI39" s="360">
        <f t="shared" si="24"/>
        <v>0</v>
      </c>
      <c r="AJ39" s="360">
        <f t="shared" si="13"/>
        <v>0</v>
      </c>
      <c r="AK39" s="360">
        <f t="shared" si="13"/>
        <v>0</v>
      </c>
      <c r="AL39" s="360">
        <f t="shared" si="13"/>
        <v>0</v>
      </c>
      <c r="AM39" s="360">
        <f t="shared" si="13"/>
        <v>0</v>
      </c>
      <c r="AN39" s="361">
        <f t="shared" si="13"/>
        <v>0</v>
      </c>
      <c r="AO39" s="271">
        <f t="shared" si="21"/>
        <v>0</v>
      </c>
      <c r="AP39" s="272">
        <f t="shared" si="21"/>
        <v>0</v>
      </c>
      <c r="AQ39" s="272">
        <f t="shared" si="21"/>
        <v>0</v>
      </c>
      <c r="AR39" s="272">
        <f t="shared" si="21"/>
        <v>0</v>
      </c>
      <c r="AS39" s="272">
        <f t="shared" si="21"/>
        <v>0</v>
      </c>
      <c r="AT39" s="272">
        <f t="shared" si="22"/>
        <v>0</v>
      </c>
      <c r="AU39" s="272">
        <f t="shared" si="22"/>
        <v>0</v>
      </c>
      <c r="AV39" s="272">
        <f t="shared" si="22"/>
        <v>0</v>
      </c>
      <c r="AW39" s="272">
        <f t="shared" si="22"/>
        <v>0</v>
      </c>
      <c r="AX39" s="272">
        <f t="shared" si="22"/>
        <v>0</v>
      </c>
      <c r="AY39" s="272">
        <f t="shared" si="22"/>
        <v>0</v>
      </c>
      <c r="AZ39" s="272">
        <f t="shared" si="22"/>
        <v>0</v>
      </c>
      <c r="BA39" s="272">
        <f t="shared" si="22"/>
        <v>0</v>
      </c>
      <c r="BB39" s="260"/>
      <c r="BC39" s="260"/>
      <c r="BD39" s="275">
        <f t="shared" si="5"/>
        <v>0</v>
      </c>
    </row>
    <row r="40" spans="1:56" ht="14.5" outlineLevel="1" x14ac:dyDescent="0.35">
      <c r="A40" s="276">
        <f>VLOOKUP(B40,Planning!B:F,5,FALSE)</f>
        <v>0</v>
      </c>
      <c r="B40" s="365"/>
      <c r="C40" s="358"/>
      <c r="D40" s="359" t="str">
        <f t="shared" si="17"/>
        <v/>
      </c>
      <c r="E40" s="359"/>
      <c r="F40" s="360">
        <f t="shared" si="20"/>
        <v>0</v>
      </c>
      <c r="G40" s="360">
        <f t="shared" si="20"/>
        <v>0</v>
      </c>
      <c r="H40" s="360">
        <f t="shared" si="20"/>
        <v>0</v>
      </c>
      <c r="I40" s="360">
        <f t="shared" si="20"/>
        <v>0</v>
      </c>
      <c r="J40" s="360">
        <f t="shared" si="20"/>
        <v>0</v>
      </c>
      <c r="K40" s="360">
        <f t="shared" si="20"/>
        <v>0</v>
      </c>
      <c r="L40" s="360">
        <f t="shared" si="20"/>
        <v>0</v>
      </c>
      <c r="M40" s="360">
        <f t="shared" si="20"/>
        <v>0</v>
      </c>
      <c r="N40" s="360">
        <f t="shared" si="20"/>
        <v>0</v>
      </c>
      <c r="O40" s="360">
        <f t="shared" si="20"/>
        <v>0</v>
      </c>
      <c r="P40" s="360">
        <f t="shared" si="19"/>
        <v>0</v>
      </c>
      <c r="Q40" s="360">
        <f t="shared" si="19"/>
        <v>0</v>
      </c>
      <c r="R40" s="360">
        <f t="shared" si="19"/>
        <v>0</v>
      </c>
      <c r="S40" s="360">
        <f t="shared" si="19"/>
        <v>0</v>
      </c>
      <c r="T40" s="360">
        <f t="shared" si="19"/>
        <v>0</v>
      </c>
      <c r="U40" s="360">
        <f t="shared" si="19"/>
        <v>0</v>
      </c>
      <c r="V40" s="360">
        <f t="shared" si="19"/>
        <v>0</v>
      </c>
      <c r="W40" s="360">
        <f t="shared" si="19"/>
        <v>0</v>
      </c>
      <c r="X40" s="360">
        <f t="shared" si="19"/>
        <v>0</v>
      </c>
      <c r="Y40" s="360">
        <f t="shared" si="19"/>
        <v>0</v>
      </c>
      <c r="Z40" s="360">
        <f t="shared" si="24"/>
        <v>0</v>
      </c>
      <c r="AA40" s="360">
        <f t="shared" si="24"/>
        <v>0</v>
      </c>
      <c r="AB40" s="360">
        <f t="shared" si="24"/>
        <v>0</v>
      </c>
      <c r="AC40" s="360">
        <f t="shared" si="24"/>
        <v>0</v>
      </c>
      <c r="AD40" s="360">
        <f t="shared" si="24"/>
        <v>0</v>
      </c>
      <c r="AE40" s="360">
        <f t="shared" si="24"/>
        <v>0</v>
      </c>
      <c r="AF40" s="360">
        <f t="shared" si="24"/>
        <v>0</v>
      </c>
      <c r="AG40" s="360">
        <f t="shared" si="24"/>
        <v>0</v>
      </c>
      <c r="AH40" s="360">
        <f t="shared" si="24"/>
        <v>0</v>
      </c>
      <c r="AI40" s="360">
        <f t="shared" si="24"/>
        <v>0</v>
      </c>
      <c r="AJ40" s="360">
        <f t="shared" si="13"/>
        <v>0</v>
      </c>
      <c r="AK40" s="360">
        <f t="shared" si="13"/>
        <v>0</v>
      </c>
      <c r="AL40" s="360">
        <f t="shared" si="13"/>
        <v>0</v>
      </c>
      <c r="AM40" s="360">
        <f t="shared" si="13"/>
        <v>0</v>
      </c>
      <c r="AN40" s="361">
        <f t="shared" si="13"/>
        <v>0</v>
      </c>
      <c r="AO40" s="271">
        <f t="shared" ref="AO40:AS43" si="25">IFERROR(INDEX(Horaires,MATCH($D40,Horaires_v,0),MATCH(AO$2,Horaires_h,0)),0)</f>
        <v>0</v>
      </c>
      <c r="AP40" s="272">
        <f t="shared" si="25"/>
        <v>0</v>
      </c>
      <c r="AQ40" s="272">
        <f t="shared" si="25"/>
        <v>0</v>
      </c>
      <c r="AR40" s="272">
        <f t="shared" si="25"/>
        <v>0</v>
      </c>
      <c r="AS40" s="272">
        <f t="shared" si="25"/>
        <v>0</v>
      </c>
      <c r="AT40" s="272">
        <f t="shared" ref="AT40:BA43" si="26">IFERROR(INDEX(Horaires,MATCH($D40,Horaires_v,0),MATCH(AT$2,Horaires_h,0)),0)</f>
        <v>0</v>
      </c>
      <c r="AU40" s="272">
        <f t="shared" si="26"/>
        <v>0</v>
      </c>
      <c r="AV40" s="272">
        <f t="shared" si="26"/>
        <v>0</v>
      </c>
      <c r="AW40" s="272">
        <f t="shared" si="26"/>
        <v>0</v>
      </c>
      <c r="AX40" s="272">
        <f t="shared" si="26"/>
        <v>0</v>
      </c>
      <c r="AY40" s="272">
        <f t="shared" si="26"/>
        <v>0</v>
      </c>
      <c r="AZ40" s="272">
        <f t="shared" si="26"/>
        <v>0</v>
      </c>
      <c r="BA40" s="272">
        <f t="shared" si="26"/>
        <v>0</v>
      </c>
      <c r="BB40" s="260"/>
      <c r="BC40" s="260"/>
      <c r="BD40" s="275">
        <f t="shared" si="5"/>
        <v>0</v>
      </c>
    </row>
    <row r="41" spans="1:56" ht="14.5" outlineLevel="1" x14ac:dyDescent="0.35">
      <c r="A41" s="276">
        <f>VLOOKUP(B41,Planning!B:F,5,FALSE)</f>
        <v>0</v>
      </c>
      <c r="B41" s="365"/>
      <c r="C41" s="358"/>
      <c r="D41" s="359" t="str">
        <f t="shared" si="17"/>
        <v/>
      </c>
      <c r="E41" s="359"/>
      <c r="F41" s="360">
        <f t="shared" si="20"/>
        <v>0</v>
      </c>
      <c r="G41" s="360">
        <f t="shared" si="20"/>
        <v>0</v>
      </c>
      <c r="H41" s="360">
        <f t="shared" si="20"/>
        <v>0</v>
      </c>
      <c r="I41" s="360">
        <f t="shared" si="20"/>
        <v>0</v>
      </c>
      <c r="J41" s="360">
        <f t="shared" si="20"/>
        <v>0</v>
      </c>
      <c r="K41" s="360">
        <f t="shared" si="20"/>
        <v>0</v>
      </c>
      <c r="L41" s="360">
        <f t="shared" si="20"/>
        <v>0</v>
      </c>
      <c r="M41" s="360">
        <f t="shared" si="20"/>
        <v>0</v>
      </c>
      <c r="N41" s="360">
        <f t="shared" si="20"/>
        <v>0</v>
      </c>
      <c r="O41" s="360">
        <f t="shared" si="20"/>
        <v>0</v>
      </c>
      <c r="P41" s="360">
        <f t="shared" si="19"/>
        <v>0</v>
      </c>
      <c r="Q41" s="360">
        <f t="shared" si="19"/>
        <v>0</v>
      </c>
      <c r="R41" s="360">
        <f t="shared" si="19"/>
        <v>0</v>
      </c>
      <c r="S41" s="360">
        <f t="shared" si="19"/>
        <v>0</v>
      </c>
      <c r="T41" s="360">
        <f t="shared" si="19"/>
        <v>0</v>
      </c>
      <c r="U41" s="360">
        <f t="shared" si="19"/>
        <v>0</v>
      </c>
      <c r="V41" s="360">
        <f t="shared" si="19"/>
        <v>0</v>
      </c>
      <c r="W41" s="360">
        <f t="shared" si="19"/>
        <v>0</v>
      </c>
      <c r="X41" s="360">
        <f t="shared" si="19"/>
        <v>0</v>
      </c>
      <c r="Y41" s="360">
        <f t="shared" si="19"/>
        <v>0</v>
      </c>
      <c r="Z41" s="360">
        <f t="shared" si="24"/>
        <v>0</v>
      </c>
      <c r="AA41" s="360">
        <f t="shared" si="24"/>
        <v>0</v>
      </c>
      <c r="AB41" s="360">
        <f t="shared" si="24"/>
        <v>0</v>
      </c>
      <c r="AC41" s="360">
        <f t="shared" si="24"/>
        <v>0</v>
      </c>
      <c r="AD41" s="360">
        <f t="shared" si="24"/>
        <v>0</v>
      </c>
      <c r="AE41" s="360">
        <f t="shared" si="24"/>
        <v>0</v>
      </c>
      <c r="AF41" s="360">
        <f t="shared" si="24"/>
        <v>0</v>
      </c>
      <c r="AG41" s="360">
        <f t="shared" si="24"/>
        <v>0</v>
      </c>
      <c r="AH41" s="360">
        <f t="shared" si="24"/>
        <v>0</v>
      </c>
      <c r="AI41" s="360">
        <f t="shared" si="24"/>
        <v>0</v>
      </c>
      <c r="AJ41" s="360">
        <f t="shared" si="13"/>
        <v>0</v>
      </c>
      <c r="AK41" s="360">
        <f t="shared" si="13"/>
        <v>0</v>
      </c>
      <c r="AL41" s="360">
        <f t="shared" si="13"/>
        <v>0</v>
      </c>
      <c r="AM41" s="360">
        <f t="shared" si="13"/>
        <v>0</v>
      </c>
      <c r="AN41" s="361">
        <f t="shared" si="13"/>
        <v>0</v>
      </c>
      <c r="AO41" s="271">
        <f t="shared" si="25"/>
        <v>0</v>
      </c>
      <c r="AP41" s="272">
        <f t="shared" si="25"/>
        <v>0</v>
      </c>
      <c r="AQ41" s="272">
        <f t="shared" si="25"/>
        <v>0</v>
      </c>
      <c r="AR41" s="272">
        <f t="shared" si="25"/>
        <v>0</v>
      </c>
      <c r="AS41" s="272">
        <f t="shared" si="25"/>
        <v>0</v>
      </c>
      <c r="AT41" s="272">
        <f t="shared" si="26"/>
        <v>0</v>
      </c>
      <c r="AU41" s="272">
        <f t="shared" si="26"/>
        <v>0</v>
      </c>
      <c r="AV41" s="272">
        <f t="shared" si="26"/>
        <v>0</v>
      </c>
      <c r="AW41" s="272">
        <f t="shared" si="26"/>
        <v>0</v>
      </c>
      <c r="AX41" s="272">
        <f t="shared" si="26"/>
        <v>0</v>
      </c>
      <c r="AY41" s="272">
        <f t="shared" si="26"/>
        <v>0</v>
      </c>
      <c r="AZ41" s="272">
        <f t="shared" si="26"/>
        <v>0</v>
      </c>
      <c r="BA41" s="272">
        <f t="shared" si="26"/>
        <v>0</v>
      </c>
      <c r="BB41" s="260"/>
      <c r="BC41" s="260"/>
      <c r="BD41" s="275">
        <f t="shared" si="5"/>
        <v>0</v>
      </c>
    </row>
    <row r="42" spans="1:56" ht="14.5" outlineLevel="1" x14ac:dyDescent="0.35">
      <c r="A42" s="276">
        <f>VLOOKUP(B42,Planning!B:F,5,FALSE)</f>
        <v>0</v>
      </c>
      <c r="B42" s="365"/>
      <c r="C42" s="358"/>
      <c r="D42" s="359" t="str">
        <f t="shared" si="17"/>
        <v/>
      </c>
      <c r="E42" s="359"/>
      <c r="F42" s="360">
        <f t="shared" si="20"/>
        <v>0</v>
      </c>
      <c r="G42" s="360">
        <f t="shared" si="20"/>
        <v>0</v>
      </c>
      <c r="H42" s="360">
        <f t="shared" si="20"/>
        <v>0</v>
      </c>
      <c r="I42" s="360">
        <f t="shared" si="20"/>
        <v>0</v>
      </c>
      <c r="J42" s="360">
        <f t="shared" si="20"/>
        <v>0</v>
      </c>
      <c r="K42" s="360">
        <f t="shared" si="20"/>
        <v>0</v>
      </c>
      <c r="L42" s="360">
        <f t="shared" si="20"/>
        <v>0</v>
      </c>
      <c r="M42" s="360">
        <f t="shared" si="20"/>
        <v>0</v>
      </c>
      <c r="N42" s="360">
        <f t="shared" si="20"/>
        <v>0</v>
      </c>
      <c r="O42" s="360">
        <f t="shared" si="20"/>
        <v>0</v>
      </c>
      <c r="P42" s="360">
        <f t="shared" si="19"/>
        <v>0</v>
      </c>
      <c r="Q42" s="360">
        <f t="shared" si="19"/>
        <v>0</v>
      </c>
      <c r="R42" s="360">
        <f t="shared" si="19"/>
        <v>0</v>
      </c>
      <c r="S42" s="360">
        <f t="shared" si="19"/>
        <v>0</v>
      </c>
      <c r="T42" s="360">
        <f t="shared" si="19"/>
        <v>0</v>
      </c>
      <c r="U42" s="360">
        <f t="shared" si="19"/>
        <v>0</v>
      </c>
      <c r="V42" s="360">
        <f t="shared" si="19"/>
        <v>0</v>
      </c>
      <c r="W42" s="360">
        <f t="shared" si="19"/>
        <v>0</v>
      </c>
      <c r="X42" s="360">
        <f t="shared" si="19"/>
        <v>0</v>
      </c>
      <c r="Y42" s="360">
        <f t="shared" si="19"/>
        <v>0</v>
      </c>
      <c r="Z42" s="360">
        <f t="shared" si="24"/>
        <v>0</v>
      </c>
      <c r="AA42" s="360">
        <f t="shared" si="24"/>
        <v>0</v>
      </c>
      <c r="AB42" s="360">
        <f t="shared" si="24"/>
        <v>0</v>
      </c>
      <c r="AC42" s="360">
        <f t="shared" si="24"/>
        <v>0</v>
      </c>
      <c r="AD42" s="360">
        <f t="shared" si="24"/>
        <v>0</v>
      </c>
      <c r="AE42" s="360">
        <f t="shared" si="24"/>
        <v>0</v>
      </c>
      <c r="AF42" s="360">
        <f t="shared" si="24"/>
        <v>0</v>
      </c>
      <c r="AG42" s="360">
        <f t="shared" si="24"/>
        <v>0</v>
      </c>
      <c r="AH42" s="360">
        <f t="shared" si="24"/>
        <v>0</v>
      </c>
      <c r="AI42" s="360">
        <f t="shared" si="24"/>
        <v>0</v>
      </c>
      <c r="AJ42" s="360">
        <f t="shared" si="13"/>
        <v>0</v>
      </c>
      <c r="AK42" s="360">
        <f t="shared" si="13"/>
        <v>0</v>
      </c>
      <c r="AL42" s="360">
        <f t="shared" si="13"/>
        <v>0</v>
      </c>
      <c r="AM42" s="360">
        <f t="shared" si="13"/>
        <v>0</v>
      </c>
      <c r="AN42" s="361">
        <f t="shared" si="13"/>
        <v>0</v>
      </c>
      <c r="AO42" s="271">
        <f t="shared" si="25"/>
        <v>0</v>
      </c>
      <c r="AP42" s="272">
        <f t="shared" si="25"/>
        <v>0</v>
      </c>
      <c r="AQ42" s="272">
        <f t="shared" si="25"/>
        <v>0</v>
      </c>
      <c r="AR42" s="272">
        <f t="shared" si="25"/>
        <v>0</v>
      </c>
      <c r="AS42" s="272">
        <f t="shared" si="25"/>
        <v>0</v>
      </c>
      <c r="AT42" s="272">
        <f t="shared" si="26"/>
        <v>0</v>
      </c>
      <c r="AU42" s="272">
        <f t="shared" si="26"/>
        <v>0</v>
      </c>
      <c r="AV42" s="272">
        <f t="shared" si="26"/>
        <v>0</v>
      </c>
      <c r="AW42" s="272">
        <f t="shared" si="26"/>
        <v>0</v>
      </c>
      <c r="AX42" s="272">
        <f t="shared" si="26"/>
        <v>0</v>
      </c>
      <c r="AY42" s="272">
        <f t="shared" si="26"/>
        <v>0</v>
      </c>
      <c r="AZ42" s="272">
        <f t="shared" si="26"/>
        <v>0</v>
      </c>
      <c r="BA42" s="272">
        <f t="shared" si="26"/>
        <v>0</v>
      </c>
      <c r="BB42" s="260"/>
      <c r="BC42" s="260"/>
      <c r="BD42" s="275">
        <f t="shared" si="5"/>
        <v>0</v>
      </c>
    </row>
    <row r="43" spans="1:56" ht="14.5" outlineLevel="1" x14ac:dyDescent="0.35">
      <c r="A43" s="276">
        <f>VLOOKUP(B43,Planning!B:F,5,FALSE)</f>
        <v>0</v>
      </c>
      <c r="B43" s="365"/>
      <c r="C43" s="358"/>
      <c r="D43" s="359" t="str">
        <f t="shared" si="17"/>
        <v/>
      </c>
      <c r="E43" s="359"/>
      <c r="F43" s="360">
        <f t="shared" si="20"/>
        <v>0</v>
      </c>
      <c r="G43" s="360">
        <f t="shared" si="20"/>
        <v>0</v>
      </c>
      <c r="H43" s="360">
        <f t="shared" si="20"/>
        <v>0</v>
      </c>
      <c r="I43" s="360">
        <f t="shared" si="20"/>
        <v>0</v>
      </c>
      <c r="J43" s="360">
        <f t="shared" si="20"/>
        <v>0</v>
      </c>
      <c r="K43" s="360">
        <f t="shared" si="20"/>
        <v>0</v>
      </c>
      <c r="L43" s="360">
        <f t="shared" si="20"/>
        <v>0</v>
      </c>
      <c r="M43" s="360">
        <f t="shared" si="20"/>
        <v>0</v>
      </c>
      <c r="N43" s="360">
        <f t="shared" si="20"/>
        <v>0</v>
      </c>
      <c r="O43" s="360">
        <f t="shared" si="20"/>
        <v>0</v>
      </c>
      <c r="P43" s="360">
        <f t="shared" si="19"/>
        <v>0</v>
      </c>
      <c r="Q43" s="360">
        <f t="shared" si="19"/>
        <v>0</v>
      </c>
      <c r="R43" s="360">
        <f t="shared" si="19"/>
        <v>0</v>
      </c>
      <c r="S43" s="360">
        <f t="shared" si="19"/>
        <v>0</v>
      </c>
      <c r="T43" s="360">
        <f t="shared" si="19"/>
        <v>0</v>
      </c>
      <c r="U43" s="360">
        <f t="shared" si="19"/>
        <v>0</v>
      </c>
      <c r="V43" s="360">
        <f t="shared" si="19"/>
        <v>0</v>
      </c>
      <c r="W43" s="360">
        <f t="shared" si="19"/>
        <v>0</v>
      </c>
      <c r="X43" s="360">
        <f t="shared" si="19"/>
        <v>0</v>
      </c>
      <c r="Y43" s="360">
        <f t="shared" si="19"/>
        <v>0</v>
      </c>
      <c r="Z43" s="360">
        <f t="shared" si="24"/>
        <v>0</v>
      </c>
      <c r="AA43" s="360">
        <f t="shared" si="24"/>
        <v>0</v>
      </c>
      <c r="AB43" s="360">
        <f t="shared" si="24"/>
        <v>0</v>
      </c>
      <c r="AC43" s="360">
        <f t="shared" si="24"/>
        <v>0</v>
      </c>
      <c r="AD43" s="360">
        <f t="shared" si="24"/>
        <v>0</v>
      </c>
      <c r="AE43" s="360">
        <f t="shared" si="24"/>
        <v>0</v>
      </c>
      <c r="AF43" s="360">
        <f t="shared" si="24"/>
        <v>0</v>
      </c>
      <c r="AG43" s="360">
        <f t="shared" si="24"/>
        <v>0</v>
      </c>
      <c r="AH43" s="360">
        <f t="shared" si="24"/>
        <v>0</v>
      </c>
      <c r="AI43" s="360">
        <f t="shared" si="24"/>
        <v>0</v>
      </c>
      <c r="AJ43" s="360">
        <f t="shared" si="13"/>
        <v>0</v>
      </c>
      <c r="AK43" s="360">
        <f t="shared" si="13"/>
        <v>0</v>
      </c>
      <c r="AL43" s="360">
        <f t="shared" si="13"/>
        <v>0</v>
      </c>
      <c r="AM43" s="360">
        <f t="shared" si="13"/>
        <v>0</v>
      </c>
      <c r="AN43" s="361">
        <f t="shared" si="13"/>
        <v>0</v>
      </c>
      <c r="AO43" s="271">
        <f t="shared" si="25"/>
        <v>0</v>
      </c>
      <c r="AP43" s="272">
        <f t="shared" si="25"/>
        <v>0</v>
      </c>
      <c r="AQ43" s="272">
        <f t="shared" si="25"/>
        <v>0</v>
      </c>
      <c r="AR43" s="272">
        <f t="shared" si="25"/>
        <v>0</v>
      </c>
      <c r="AS43" s="272">
        <f t="shared" si="25"/>
        <v>0</v>
      </c>
      <c r="AT43" s="272">
        <f t="shared" si="26"/>
        <v>0</v>
      </c>
      <c r="AU43" s="272">
        <f t="shared" si="26"/>
        <v>0</v>
      </c>
      <c r="AV43" s="272">
        <f t="shared" si="26"/>
        <v>0</v>
      </c>
      <c r="AW43" s="272">
        <f t="shared" si="26"/>
        <v>0</v>
      </c>
      <c r="AX43" s="272">
        <f t="shared" si="26"/>
        <v>0</v>
      </c>
      <c r="AY43" s="272">
        <f t="shared" si="26"/>
        <v>0</v>
      </c>
      <c r="AZ43" s="272">
        <f t="shared" si="26"/>
        <v>0</v>
      </c>
      <c r="BA43" s="272">
        <f t="shared" si="26"/>
        <v>0</v>
      </c>
      <c r="BB43" s="260"/>
      <c r="BC43" s="260"/>
      <c r="BD43" s="275">
        <f t="shared" si="5"/>
        <v>0</v>
      </c>
    </row>
    <row r="44" spans="1:56" ht="14.5" outlineLevel="1" x14ac:dyDescent="0.35">
      <c r="A44" s="276">
        <f>VLOOKUP(B44,Planning!B:F,5,FALSE)</f>
        <v>0</v>
      </c>
      <c r="B44" s="365"/>
      <c r="C44" s="358"/>
      <c r="D44" s="359" t="str">
        <f t="shared" si="17"/>
        <v/>
      </c>
      <c r="E44" s="359"/>
      <c r="F44" s="360">
        <f t="shared" si="20"/>
        <v>0</v>
      </c>
      <c r="G44" s="360">
        <f t="shared" si="20"/>
        <v>0</v>
      </c>
      <c r="H44" s="360">
        <f t="shared" si="20"/>
        <v>0</v>
      </c>
      <c r="I44" s="360">
        <f t="shared" si="20"/>
        <v>0</v>
      </c>
      <c r="J44" s="360">
        <f t="shared" si="20"/>
        <v>0</v>
      </c>
      <c r="K44" s="360">
        <f t="shared" si="20"/>
        <v>0</v>
      </c>
      <c r="L44" s="360">
        <f t="shared" si="20"/>
        <v>0</v>
      </c>
      <c r="M44" s="360">
        <f t="shared" si="20"/>
        <v>0</v>
      </c>
      <c r="N44" s="360">
        <f t="shared" si="20"/>
        <v>0</v>
      </c>
      <c r="O44" s="360">
        <f t="shared" si="20"/>
        <v>0</v>
      </c>
      <c r="P44" s="360">
        <f t="shared" si="19"/>
        <v>0</v>
      </c>
      <c r="Q44" s="360">
        <f t="shared" si="19"/>
        <v>0</v>
      </c>
      <c r="R44" s="360">
        <f t="shared" si="19"/>
        <v>0</v>
      </c>
      <c r="S44" s="360">
        <f t="shared" si="19"/>
        <v>0</v>
      </c>
      <c r="T44" s="360">
        <f t="shared" si="19"/>
        <v>0</v>
      </c>
      <c r="U44" s="360">
        <f t="shared" si="19"/>
        <v>0</v>
      </c>
      <c r="V44" s="360">
        <f t="shared" si="19"/>
        <v>0</v>
      </c>
      <c r="W44" s="360">
        <f t="shared" si="19"/>
        <v>0</v>
      </c>
      <c r="X44" s="360">
        <f t="shared" si="19"/>
        <v>0</v>
      </c>
      <c r="Y44" s="360">
        <f t="shared" si="19"/>
        <v>0</v>
      </c>
      <c r="Z44" s="360">
        <f t="shared" si="24"/>
        <v>0</v>
      </c>
      <c r="AA44" s="360">
        <f t="shared" si="24"/>
        <v>0</v>
      </c>
      <c r="AB44" s="360">
        <f t="shared" si="24"/>
        <v>0</v>
      </c>
      <c r="AC44" s="360">
        <f t="shared" si="24"/>
        <v>0</v>
      </c>
      <c r="AD44" s="360">
        <f t="shared" si="24"/>
        <v>0</v>
      </c>
      <c r="AE44" s="360">
        <f t="shared" si="24"/>
        <v>0</v>
      </c>
      <c r="AF44" s="360">
        <f t="shared" si="24"/>
        <v>0</v>
      </c>
      <c r="AG44" s="360">
        <f t="shared" si="24"/>
        <v>0</v>
      </c>
      <c r="AH44" s="360">
        <f t="shared" si="24"/>
        <v>0</v>
      </c>
      <c r="AI44" s="360">
        <f t="shared" si="24"/>
        <v>0</v>
      </c>
      <c r="AJ44" s="360">
        <f t="shared" si="13"/>
        <v>0</v>
      </c>
      <c r="AK44" s="360">
        <f t="shared" si="13"/>
        <v>0</v>
      </c>
      <c r="AL44" s="360">
        <f t="shared" si="13"/>
        <v>0</v>
      </c>
      <c r="AM44" s="360">
        <f t="shared" si="13"/>
        <v>0</v>
      </c>
      <c r="AN44" s="361">
        <f t="shared" si="13"/>
        <v>0</v>
      </c>
      <c r="AO44" s="271"/>
      <c r="AP44" s="272"/>
      <c r="AQ44" s="272"/>
      <c r="AR44" s="272"/>
      <c r="AS44" s="272"/>
      <c r="AT44" s="272"/>
      <c r="AU44" s="272"/>
      <c r="AV44" s="272"/>
      <c r="AW44" s="272"/>
      <c r="AX44" s="272"/>
      <c r="AY44" s="272"/>
      <c r="AZ44" s="272"/>
      <c r="BA44" s="272"/>
      <c r="BB44" s="260"/>
      <c r="BC44" s="260"/>
      <c r="BD44" s="275">
        <f t="shared" si="5"/>
        <v>0</v>
      </c>
    </row>
    <row r="45" spans="1:56" ht="14.5" outlineLevel="1" x14ac:dyDescent="0.35">
      <c r="A45" s="276">
        <f>VLOOKUP(B45,Planning!B:F,5,FALSE)</f>
        <v>0</v>
      </c>
      <c r="B45" s="365"/>
      <c r="C45" s="358"/>
      <c r="D45" s="359" t="str">
        <f t="shared" si="17"/>
        <v/>
      </c>
      <c r="E45" s="359"/>
      <c r="F45" s="360">
        <f t="shared" si="20"/>
        <v>0</v>
      </c>
      <c r="G45" s="360">
        <f t="shared" si="20"/>
        <v>0</v>
      </c>
      <c r="H45" s="360">
        <f t="shared" si="20"/>
        <v>0</v>
      </c>
      <c r="I45" s="360">
        <f t="shared" si="20"/>
        <v>0</v>
      </c>
      <c r="J45" s="360">
        <f t="shared" si="20"/>
        <v>0</v>
      </c>
      <c r="K45" s="360">
        <f t="shared" si="20"/>
        <v>0</v>
      </c>
      <c r="L45" s="360">
        <f t="shared" si="20"/>
        <v>0</v>
      </c>
      <c r="M45" s="360">
        <f t="shared" si="20"/>
        <v>0</v>
      </c>
      <c r="N45" s="360">
        <f t="shared" si="20"/>
        <v>0</v>
      </c>
      <c r="O45" s="360">
        <f t="shared" si="20"/>
        <v>0</v>
      </c>
      <c r="P45" s="360">
        <f t="shared" si="19"/>
        <v>0</v>
      </c>
      <c r="Q45" s="360">
        <f t="shared" si="19"/>
        <v>0</v>
      </c>
      <c r="R45" s="360">
        <f t="shared" si="19"/>
        <v>0</v>
      </c>
      <c r="S45" s="360">
        <f t="shared" si="19"/>
        <v>0</v>
      </c>
      <c r="T45" s="360">
        <f t="shared" si="19"/>
        <v>0</v>
      </c>
      <c r="U45" s="360">
        <f t="shared" si="19"/>
        <v>0</v>
      </c>
      <c r="V45" s="360">
        <f t="shared" si="19"/>
        <v>0</v>
      </c>
      <c r="W45" s="360">
        <f t="shared" si="19"/>
        <v>0</v>
      </c>
      <c r="X45" s="360">
        <f t="shared" si="19"/>
        <v>0</v>
      </c>
      <c r="Y45" s="360">
        <f t="shared" si="19"/>
        <v>0</v>
      </c>
      <c r="Z45" s="360">
        <f t="shared" si="24"/>
        <v>0</v>
      </c>
      <c r="AA45" s="360">
        <f t="shared" si="24"/>
        <v>0</v>
      </c>
      <c r="AB45" s="360">
        <f t="shared" si="24"/>
        <v>0</v>
      </c>
      <c r="AC45" s="360">
        <f t="shared" si="24"/>
        <v>0</v>
      </c>
      <c r="AD45" s="360">
        <f t="shared" si="24"/>
        <v>0</v>
      </c>
      <c r="AE45" s="360">
        <f t="shared" si="24"/>
        <v>0</v>
      </c>
      <c r="AF45" s="360">
        <f t="shared" si="24"/>
        <v>0</v>
      </c>
      <c r="AG45" s="360">
        <f t="shared" si="24"/>
        <v>0</v>
      </c>
      <c r="AH45" s="360">
        <f t="shared" si="24"/>
        <v>0</v>
      </c>
      <c r="AI45" s="360">
        <f t="shared" si="24"/>
        <v>0</v>
      </c>
      <c r="AJ45" s="360">
        <f t="shared" si="13"/>
        <v>0</v>
      </c>
      <c r="AK45" s="360">
        <f t="shared" si="13"/>
        <v>0</v>
      </c>
      <c r="AL45" s="360">
        <f t="shared" si="13"/>
        <v>0</v>
      </c>
      <c r="AM45" s="360">
        <f t="shared" si="13"/>
        <v>0</v>
      </c>
      <c r="AN45" s="361">
        <f t="shared" si="13"/>
        <v>0</v>
      </c>
      <c r="AO45" s="271"/>
      <c r="AP45" s="272"/>
      <c r="AQ45" s="272"/>
      <c r="AR45" s="272"/>
      <c r="AS45" s="272"/>
      <c r="AT45" s="272"/>
      <c r="AU45" s="272"/>
      <c r="AV45" s="272"/>
      <c r="AW45" s="272"/>
      <c r="AX45" s="272"/>
      <c r="AY45" s="272"/>
      <c r="AZ45" s="272"/>
      <c r="BA45" s="272"/>
      <c r="BB45" s="260"/>
      <c r="BC45" s="260"/>
      <c r="BD45" s="275">
        <f>SUM(F45:BA45)/2</f>
        <v>0</v>
      </c>
    </row>
    <row r="46" spans="1:56" ht="14.5" outlineLevel="1" x14ac:dyDescent="0.35">
      <c r="A46" s="276">
        <f>VLOOKUP(B46,Planning!B:F,5,FALSE)</f>
        <v>0</v>
      </c>
      <c r="B46" s="365"/>
      <c r="C46" s="358"/>
      <c r="D46" s="359" t="str">
        <f t="shared" si="17"/>
        <v/>
      </c>
      <c r="E46" s="359"/>
      <c r="F46" s="360">
        <f t="shared" si="20"/>
        <v>0</v>
      </c>
      <c r="G46" s="360">
        <f t="shared" si="20"/>
        <v>0</v>
      </c>
      <c r="H46" s="360">
        <f t="shared" si="20"/>
        <v>0</v>
      </c>
      <c r="I46" s="360">
        <f t="shared" si="20"/>
        <v>0</v>
      </c>
      <c r="J46" s="360">
        <f t="shared" si="20"/>
        <v>0</v>
      </c>
      <c r="K46" s="360">
        <f t="shared" si="20"/>
        <v>0</v>
      </c>
      <c r="L46" s="360">
        <f t="shared" si="20"/>
        <v>0</v>
      </c>
      <c r="M46" s="360">
        <f t="shared" si="20"/>
        <v>0</v>
      </c>
      <c r="N46" s="360">
        <f t="shared" si="20"/>
        <v>0</v>
      </c>
      <c r="O46" s="360">
        <f t="shared" si="20"/>
        <v>0</v>
      </c>
      <c r="P46" s="360">
        <f t="shared" si="19"/>
        <v>0</v>
      </c>
      <c r="Q46" s="360">
        <f t="shared" si="19"/>
        <v>0</v>
      </c>
      <c r="R46" s="360">
        <f t="shared" si="19"/>
        <v>0</v>
      </c>
      <c r="S46" s="360">
        <f t="shared" si="19"/>
        <v>0</v>
      </c>
      <c r="T46" s="360">
        <f t="shared" si="19"/>
        <v>0</v>
      </c>
      <c r="U46" s="360">
        <f t="shared" si="19"/>
        <v>0</v>
      </c>
      <c r="V46" s="360">
        <f t="shared" si="19"/>
        <v>0</v>
      </c>
      <c r="W46" s="360">
        <f t="shared" si="19"/>
        <v>0</v>
      </c>
      <c r="X46" s="360">
        <f t="shared" si="19"/>
        <v>0</v>
      </c>
      <c r="Y46" s="360">
        <f t="shared" si="19"/>
        <v>0</v>
      </c>
      <c r="Z46" s="360">
        <f t="shared" si="24"/>
        <v>0</v>
      </c>
      <c r="AA46" s="360">
        <f t="shared" si="24"/>
        <v>0</v>
      </c>
      <c r="AB46" s="360">
        <f t="shared" si="24"/>
        <v>0</v>
      </c>
      <c r="AC46" s="360">
        <f t="shared" si="24"/>
        <v>0</v>
      </c>
      <c r="AD46" s="360">
        <f t="shared" si="24"/>
        <v>0</v>
      </c>
      <c r="AE46" s="360">
        <f t="shared" si="24"/>
        <v>0</v>
      </c>
      <c r="AF46" s="360">
        <f t="shared" si="24"/>
        <v>0</v>
      </c>
      <c r="AG46" s="360">
        <f t="shared" si="24"/>
        <v>0</v>
      </c>
      <c r="AH46" s="360">
        <f t="shared" si="24"/>
        <v>0</v>
      </c>
      <c r="AI46" s="360">
        <f t="shared" si="24"/>
        <v>0</v>
      </c>
      <c r="AJ46" s="360">
        <f t="shared" si="13"/>
        <v>0</v>
      </c>
      <c r="AK46" s="360">
        <f t="shared" si="13"/>
        <v>0</v>
      </c>
      <c r="AL46" s="360">
        <f t="shared" si="13"/>
        <v>0</v>
      </c>
      <c r="AM46" s="360">
        <f t="shared" si="13"/>
        <v>0</v>
      </c>
      <c r="AN46" s="361">
        <f t="shared" si="13"/>
        <v>0</v>
      </c>
      <c r="AO46" s="271">
        <f t="shared" ref="AO46:AS62" si="27">IFERROR(INDEX(Horaires,MATCH($D46,Horaires_v,0),MATCH(AO$2,Horaires_h,0)),0)</f>
        <v>0</v>
      </c>
      <c r="AP46" s="272">
        <f t="shared" si="27"/>
        <v>0</v>
      </c>
      <c r="AQ46" s="272">
        <f t="shared" si="27"/>
        <v>0</v>
      </c>
      <c r="AR46" s="272">
        <f t="shared" si="27"/>
        <v>0</v>
      </c>
      <c r="AS46" s="272">
        <f t="shared" si="27"/>
        <v>0</v>
      </c>
      <c r="AT46" s="272">
        <f t="shared" ref="AT46:BA62" si="28">IFERROR(INDEX(Horaires,MATCH($D46,Horaires_v,0),MATCH(AT$2,Horaires_h,0)),0)</f>
        <v>0</v>
      </c>
      <c r="AU46" s="272">
        <f t="shared" si="28"/>
        <v>0</v>
      </c>
      <c r="AV46" s="272">
        <f t="shared" si="28"/>
        <v>0</v>
      </c>
      <c r="AW46" s="272">
        <f t="shared" si="28"/>
        <v>0</v>
      </c>
      <c r="AX46" s="272">
        <f t="shared" si="28"/>
        <v>0</v>
      </c>
      <c r="AY46" s="272">
        <f t="shared" si="28"/>
        <v>0</v>
      </c>
      <c r="AZ46" s="272">
        <f t="shared" si="28"/>
        <v>0</v>
      </c>
      <c r="BA46" s="272">
        <f t="shared" si="28"/>
        <v>0</v>
      </c>
      <c r="BB46" s="260"/>
      <c r="BC46" s="260"/>
      <c r="BD46" s="275">
        <f t="shared" si="5"/>
        <v>0</v>
      </c>
    </row>
    <row r="47" spans="1:56" ht="14.5" outlineLevel="1" x14ac:dyDescent="0.35">
      <c r="A47" s="276">
        <f>VLOOKUP(B47,Planning!B:F,5,FALSE)</f>
        <v>0</v>
      </c>
      <c r="B47" s="365"/>
      <c r="C47" s="358"/>
      <c r="D47" s="359" t="str">
        <f t="shared" si="17"/>
        <v/>
      </c>
      <c r="E47" s="359"/>
      <c r="F47" s="360">
        <f t="shared" si="20"/>
        <v>0</v>
      </c>
      <c r="G47" s="360">
        <f t="shared" si="20"/>
        <v>0</v>
      </c>
      <c r="H47" s="360">
        <f t="shared" si="20"/>
        <v>0</v>
      </c>
      <c r="I47" s="360">
        <f t="shared" si="20"/>
        <v>0</v>
      </c>
      <c r="J47" s="360">
        <f t="shared" si="20"/>
        <v>0</v>
      </c>
      <c r="K47" s="360">
        <f t="shared" si="20"/>
        <v>0</v>
      </c>
      <c r="L47" s="360">
        <f t="shared" si="20"/>
        <v>0</v>
      </c>
      <c r="M47" s="360">
        <f t="shared" si="20"/>
        <v>0</v>
      </c>
      <c r="N47" s="360">
        <f t="shared" si="20"/>
        <v>0</v>
      </c>
      <c r="O47" s="360">
        <f t="shared" si="20"/>
        <v>0</v>
      </c>
      <c r="P47" s="360">
        <f t="shared" si="19"/>
        <v>0</v>
      </c>
      <c r="Q47" s="360">
        <f t="shared" si="19"/>
        <v>0</v>
      </c>
      <c r="R47" s="360">
        <f t="shared" si="19"/>
        <v>0</v>
      </c>
      <c r="S47" s="360">
        <f t="shared" si="19"/>
        <v>0</v>
      </c>
      <c r="T47" s="360">
        <f t="shared" si="19"/>
        <v>0</v>
      </c>
      <c r="U47" s="360">
        <f t="shared" si="19"/>
        <v>0</v>
      </c>
      <c r="V47" s="360">
        <f t="shared" si="19"/>
        <v>0</v>
      </c>
      <c r="W47" s="360">
        <f t="shared" si="19"/>
        <v>0</v>
      </c>
      <c r="X47" s="360">
        <f t="shared" si="19"/>
        <v>0</v>
      </c>
      <c r="Y47" s="360">
        <f t="shared" si="19"/>
        <v>0</v>
      </c>
      <c r="Z47" s="360">
        <f t="shared" si="24"/>
        <v>0</v>
      </c>
      <c r="AA47" s="360">
        <f t="shared" si="24"/>
        <v>0</v>
      </c>
      <c r="AB47" s="360">
        <f t="shared" si="24"/>
        <v>0</v>
      </c>
      <c r="AC47" s="360">
        <f t="shared" si="24"/>
        <v>0</v>
      </c>
      <c r="AD47" s="360">
        <f t="shared" si="24"/>
        <v>0</v>
      </c>
      <c r="AE47" s="360">
        <f t="shared" si="24"/>
        <v>0</v>
      </c>
      <c r="AF47" s="360">
        <f t="shared" si="24"/>
        <v>0</v>
      </c>
      <c r="AG47" s="360">
        <f t="shared" si="24"/>
        <v>0</v>
      </c>
      <c r="AH47" s="360">
        <f t="shared" si="24"/>
        <v>0</v>
      </c>
      <c r="AI47" s="360">
        <f t="shared" si="24"/>
        <v>0</v>
      </c>
      <c r="AJ47" s="360">
        <f t="shared" si="13"/>
        <v>0</v>
      </c>
      <c r="AK47" s="360">
        <f t="shared" si="13"/>
        <v>0</v>
      </c>
      <c r="AL47" s="360">
        <f t="shared" si="13"/>
        <v>0</v>
      </c>
      <c r="AM47" s="360">
        <f t="shared" si="13"/>
        <v>0</v>
      </c>
      <c r="AN47" s="361">
        <f t="shared" si="13"/>
        <v>0</v>
      </c>
      <c r="AO47" s="271">
        <f t="shared" si="27"/>
        <v>0</v>
      </c>
      <c r="AP47" s="272">
        <f t="shared" si="27"/>
        <v>0</v>
      </c>
      <c r="AQ47" s="272">
        <f t="shared" si="27"/>
        <v>0</v>
      </c>
      <c r="AR47" s="272">
        <f t="shared" si="27"/>
        <v>0</v>
      </c>
      <c r="AS47" s="272">
        <f t="shared" si="27"/>
        <v>0</v>
      </c>
      <c r="AT47" s="272">
        <f t="shared" si="28"/>
        <v>0</v>
      </c>
      <c r="AU47" s="272">
        <f t="shared" si="28"/>
        <v>0</v>
      </c>
      <c r="AV47" s="272">
        <f t="shared" si="28"/>
        <v>0</v>
      </c>
      <c r="AW47" s="272">
        <f t="shared" si="28"/>
        <v>0</v>
      </c>
      <c r="AX47" s="272">
        <f t="shared" si="28"/>
        <v>0</v>
      </c>
      <c r="AY47" s="272">
        <f t="shared" si="28"/>
        <v>0</v>
      </c>
      <c r="AZ47" s="272">
        <f t="shared" si="28"/>
        <v>0</v>
      </c>
      <c r="BA47" s="272">
        <f t="shared" si="28"/>
        <v>0</v>
      </c>
      <c r="BB47" s="260"/>
      <c r="BC47" s="260"/>
      <c r="BD47" s="275">
        <f t="shared" si="5"/>
        <v>0</v>
      </c>
    </row>
    <row r="48" spans="1:56" ht="14.5" outlineLevel="1" x14ac:dyDescent="0.35">
      <c r="A48" s="276">
        <f>VLOOKUP(B48,Planning!B:F,5,FALSE)</f>
        <v>0</v>
      </c>
      <c r="B48" s="365"/>
      <c r="C48" s="358"/>
      <c r="D48" s="359" t="str">
        <f t="shared" si="17"/>
        <v/>
      </c>
      <c r="E48" s="359"/>
      <c r="F48" s="360">
        <f t="shared" si="20"/>
        <v>0</v>
      </c>
      <c r="G48" s="360">
        <f t="shared" si="20"/>
        <v>0</v>
      </c>
      <c r="H48" s="360">
        <f t="shared" si="20"/>
        <v>0</v>
      </c>
      <c r="I48" s="360">
        <f t="shared" si="20"/>
        <v>0</v>
      </c>
      <c r="J48" s="360">
        <f t="shared" si="20"/>
        <v>0</v>
      </c>
      <c r="K48" s="360">
        <f t="shared" si="20"/>
        <v>0</v>
      </c>
      <c r="L48" s="360">
        <f t="shared" si="20"/>
        <v>0</v>
      </c>
      <c r="M48" s="360">
        <f t="shared" si="20"/>
        <v>0</v>
      </c>
      <c r="N48" s="360">
        <f t="shared" si="20"/>
        <v>0</v>
      </c>
      <c r="O48" s="360">
        <f t="shared" si="20"/>
        <v>0</v>
      </c>
      <c r="P48" s="360">
        <f t="shared" si="19"/>
        <v>0</v>
      </c>
      <c r="Q48" s="360">
        <f t="shared" si="19"/>
        <v>0</v>
      </c>
      <c r="R48" s="360">
        <f t="shared" si="19"/>
        <v>0</v>
      </c>
      <c r="S48" s="360">
        <f t="shared" si="19"/>
        <v>0</v>
      </c>
      <c r="T48" s="360">
        <f t="shared" si="19"/>
        <v>0</v>
      </c>
      <c r="U48" s="360">
        <f t="shared" si="19"/>
        <v>0</v>
      </c>
      <c r="V48" s="360">
        <f t="shared" si="19"/>
        <v>0</v>
      </c>
      <c r="W48" s="360">
        <f t="shared" si="19"/>
        <v>0</v>
      </c>
      <c r="X48" s="360">
        <f t="shared" si="19"/>
        <v>0</v>
      </c>
      <c r="Y48" s="360">
        <f t="shared" si="19"/>
        <v>0</v>
      </c>
      <c r="Z48" s="360">
        <f t="shared" si="24"/>
        <v>0</v>
      </c>
      <c r="AA48" s="360">
        <f t="shared" si="24"/>
        <v>0</v>
      </c>
      <c r="AB48" s="360">
        <f t="shared" si="24"/>
        <v>0</v>
      </c>
      <c r="AC48" s="360">
        <f t="shared" si="24"/>
        <v>0</v>
      </c>
      <c r="AD48" s="360">
        <f t="shared" si="24"/>
        <v>0</v>
      </c>
      <c r="AE48" s="360">
        <f t="shared" si="24"/>
        <v>0</v>
      </c>
      <c r="AF48" s="360">
        <f t="shared" si="24"/>
        <v>0</v>
      </c>
      <c r="AG48" s="360">
        <f t="shared" si="24"/>
        <v>0</v>
      </c>
      <c r="AH48" s="360">
        <f t="shared" si="24"/>
        <v>0</v>
      </c>
      <c r="AI48" s="360">
        <f t="shared" si="24"/>
        <v>0</v>
      </c>
      <c r="AJ48" s="360">
        <f t="shared" si="13"/>
        <v>0</v>
      </c>
      <c r="AK48" s="360">
        <f t="shared" si="13"/>
        <v>0</v>
      </c>
      <c r="AL48" s="360">
        <f t="shared" si="13"/>
        <v>0</v>
      </c>
      <c r="AM48" s="360">
        <f t="shared" si="13"/>
        <v>0</v>
      </c>
      <c r="AN48" s="361">
        <f t="shared" si="13"/>
        <v>0</v>
      </c>
      <c r="AO48" s="271">
        <f t="shared" ref="AO48:BA48" si="29">IFERROR(INDEX(Horaires,MATCH($D48,Horaires_v,0),MATCH(AO$2,Horaires_h,0)),0)</f>
        <v>0</v>
      </c>
      <c r="AP48" s="272">
        <f t="shared" si="29"/>
        <v>0</v>
      </c>
      <c r="AQ48" s="272">
        <f t="shared" si="29"/>
        <v>0</v>
      </c>
      <c r="AR48" s="272">
        <f t="shared" si="29"/>
        <v>0</v>
      </c>
      <c r="AS48" s="272">
        <f t="shared" si="29"/>
        <v>0</v>
      </c>
      <c r="AT48" s="272">
        <f t="shared" si="29"/>
        <v>0</v>
      </c>
      <c r="AU48" s="272">
        <f t="shared" si="29"/>
        <v>0</v>
      </c>
      <c r="AV48" s="272">
        <f t="shared" si="29"/>
        <v>0</v>
      </c>
      <c r="AW48" s="272">
        <f t="shared" si="29"/>
        <v>0</v>
      </c>
      <c r="AX48" s="272">
        <f t="shared" si="29"/>
        <v>0</v>
      </c>
      <c r="AY48" s="272">
        <f t="shared" si="29"/>
        <v>0</v>
      </c>
      <c r="AZ48" s="272">
        <f t="shared" si="29"/>
        <v>0</v>
      </c>
      <c r="BA48" s="272">
        <f t="shared" si="29"/>
        <v>0</v>
      </c>
      <c r="BB48" s="260"/>
      <c r="BC48" s="260"/>
      <c r="BD48" s="275">
        <f t="shared" si="5"/>
        <v>0</v>
      </c>
    </row>
    <row r="49" spans="1:56" ht="14.5" outlineLevel="1" x14ac:dyDescent="0.35">
      <c r="A49" s="276">
        <f>VLOOKUP(B49,Planning!B:F,5,FALSE)</f>
        <v>0</v>
      </c>
      <c r="B49" s="365"/>
      <c r="C49" s="358"/>
      <c r="D49" s="359" t="str">
        <f t="shared" si="17"/>
        <v/>
      </c>
      <c r="E49" s="359"/>
      <c r="F49" s="360">
        <f t="shared" si="20"/>
        <v>0</v>
      </c>
      <c r="G49" s="360">
        <f t="shared" si="20"/>
        <v>0</v>
      </c>
      <c r="H49" s="360">
        <f t="shared" si="20"/>
        <v>0</v>
      </c>
      <c r="I49" s="360">
        <f t="shared" si="20"/>
        <v>0</v>
      </c>
      <c r="J49" s="360">
        <f t="shared" si="20"/>
        <v>0</v>
      </c>
      <c r="K49" s="360">
        <f t="shared" si="20"/>
        <v>0</v>
      </c>
      <c r="L49" s="360">
        <f t="shared" si="20"/>
        <v>0</v>
      </c>
      <c r="M49" s="360">
        <f t="shared" si="20"/>
        <v>0</v>
      </c>
      <c r="N49" s="360">
        <f t="shared" si="20"/>
        <v>0</v>
      </c>
      <c r="O49" s="360">
        <f t="shared" si="20"/>
        <v>0</v>
      </c>
      <c r="P49" s="360">
        <f t="shared" si="19"/>
        <v>0</v>
      </c>
      <c r="Q49" s="360">
        <f t="shared" si="19"/>
        <v>0</v>
      </c>
      <c r="R49" s="360">
        <f t="shared" si="19"/>
        <v>0</v>
      </c>
      <c r="S49" s="360">
        <f t="shared" si="19"/>
        <v>0</v>
      </c>
      <c r="T49" s="360">
        <f t="shared" si="19"/>
        <v>0</v>
      </c>
      <c r="U49" s="360">
        <f t="shared" si="19"/>
        <v>0</v>
      </c>
      <c r="V49" s="360">
        <f t="shared" si="19"/>
        <v>0</v>
      </c>
      <c r="W49" s="360">
        <f t="shared" si="19"/>
        <v>0</v>
      </c>
      <c r="X49" s="360">
        <f t="shared" si="19"/>
        <v>0</v>
      </c>
      <c r="Y49" s="360">
        <f t="shared" si="19"/>
        <v>0</v>
      </c>
      <c r="Z49" s="360">
        <f t="shared" si="24"/>
        <v>0</v>
      </c>
      <c r="AA49" s="360">
        <f t="shared" si="24"/>
        <v>0</v>
      </c>
      <c r="AB49" s="360">
        <f t="shared" si="24"/>
        <v>0</v>
      </c>
      <c r="AC49" s="360">
        <f t="shared" si="24"/>
        <v>0</v>
      </c>
      <c r="AD49" s="360">
        <f t="shared" si="24"/>
        <v>0</v>
      </c>
      <c r="AE49" s="360">
        <f t="shared" si="24"/>
        <v>0</v>
      </c>
      <c r="AF49" s="360">
        <f t="shared" si="24"/>
        <v>0</v>
      </c>
      <c r="AG49" s="360">
        <f t="shared" si="24"/>
        <v>0</v>
      </c>
      <c r="AH49" s="360">
        <f t="shared" si="24"/>
        <v>0</v>
      </c>
      <c r="AI49" s="360">
        <f t="shared" si="24"/>
        <v>0</v>
      </c>
      <c r="AJ49" s="360">
        <f t="shared" si="13"/>
        <v>0</v>
      </c>
      <c r="AK49" s="360">
        <f t="shared" si="13"/>
        <v>0</v>
      </c>
      <c r="AL49" s="360">
        <f t="shared" si="13"/>
        <v>0</v>
      </c>
      <c r="AM49" s="360">
        <f t="shared" si="13"/>
        <v>0</v>
      </c>
      <c r="AN49" s="361">
        <f t="shared" si="13"/>
        <v>0</v>
      </c>
      <c r="AO49" s="271">
        <f t="shared" si="27"/>
        <v>0</v>
      </c>
      <c r="AP49" s="272">
        <f t="shared" si="27"/>
        <v>0</v>
      </c>
      <c r="AQ49" s="272">
        <f t="shared" si="27"/>
        <v>0</v>
      </c>
      <c r="AR49" s="272">
        <f t="shared" si="27"/>
        <v>0</v>
      </c>
      <c r="AS49" s="272">
        <f t="shared" si="27"/>
        <v>0</v>
      </c>
      <c r="AT49" s="272">
        <f t="shared" si="28"/>
        <v>0</v>
      </c>
      <c r="AU49" s="272">
        <f t="shared" si="28"/>
        <v>0</v>
      </c>
      <c r="AV49" s="272">
        <f t="shared" si="28"/>
        <v>0</v>
      </c>
      <c r="AW49" s="272">
        <f t="shared" si="28"/>
        <v>0</v>
      </c>
      <c r="AX49" s="272">
        <f t="shared" si="28"/>
        <v>0</v>
      </c>
      <c r="AY49" s="272">
        <f t="shared" si="28"/>
        <v>0</v>
      </c>
      <c r="AZ49" s="272">
        <f t="shared" si="28"/>
        <v>0</v>
      </c>
      <c r="BA49" s="272">
        <f t="shared" si="28"/>
        <v>0</v>
      </c>
      <c r="BB49" s="260"/>
      <c r="BC49" s="260"/>
      <c r="BD49" s="275">
        <f t="shared" si="5"/>
        <v>0</v>
      </c>
    </row>
    <row r="50" spans="1:56" ht="14.5" outlineLevel="1" x14ac:dyDescent="0.35">
      <c r="A50" s="276">
        <f>VLOOKUP(B50,Planning!B:F,5,FALSE)</f>
        <v>0</v>
      </c>
      <c r="B50" s="365"/>
      <c r="C50" s="358"/>
      <c r="D50" s="359" t="str">
        <f t="shared" si="17"/>
        <v/>
      </c>
      <c r="E50" s="359"/>
      <c r="F50" s="360">
        <f t="shared" si="20"/>
        <v>0</v>
      </c>
      <c r="G50" s="360">
        <f t="shared" si="20"/>
        <v>0</v>
      </c>
      <c r="H50" s="360">
        <f t="shared" si="20"/>
        <v>0</v>
      </c>
      <c r="I50" s="360">
        <f t="shared" si="20"/>
        <v>0</v>
      </c>
      <c r="J50" s="360">
        <f t="shared" si="20"/>
        <v>0</v>
      </c>
      <c r="K50" s="360">
        <f t="shared" si="20"/>
        <v>0</v>
      </c>
      <c r="L50" s="360">
        <f t="shared" si="20"/>
        <v>0</v>
      </c>
      <c r="M50" s="360">
        <f t="shared" si="20"/>
        <v>0</v>
      </c>
      <c r="N50" s="360">
        <f t="shared" si="20"/>
        <v>0</v>
      </c>
      <c r="O50" s="360">
        <f t="shared" si="20"/>
        <v>0</v>
      </c>
      <c r="P50" s="360">
        <f t="shared" si="19"/>
        <v>0</v>
      </c>
      <c r="Q50" s="360">
        <f t="shared" si="19"/>
        <v>0</v>
      </c>
      <c r="R50" s="360">
        <f t="shared" si="19"/>
        <v>0</v>
      </c>
      <c r="S50" s="360">
        <f t="shared" si="19"/>
        <v>0</v>
      </c>
      <c r="T50" s="360">
        <f t="shared" si="19"/>
        <v>0</v>
      </c>
      <c r="U50" s="360">
        <f t="shared" si="19"/>
        <v>0</v>
      </c>
      <c r="V50" s="360">
        <f t="shared" si="19"/>
        <v>0</v>
      </c>
      <c r="W50" s="360">
        <f t="shared" si="19"/>
        <v>0</v>
      </c>
      <c r="X50" s="360">
        <f t="shared" si="19"/>
        <v>0</v>
      </c>
      <c r="Y50" s="360">
        <f t="shared" si="19"/>
        <v>0</v>
      </c>
      <c r="Z50" s="360">
        <f t="shared" si="24"/>
        <v>0</v>
      </c>
      <c r="AA50" s="360">
        <f t="shared" si="24"/>
        <v>0</v>
      </c>
      <c r="AB50" s="360">
        <f t="shared" si="24"/>
        <v>0</v>
      </c>
      <c r="AC50" s="360">
        <f t="shared" si="24"/>
        <v>0</v>
      </c>
      <c r="AD50" s="360">
        <f t="shared" si="24"/>
        <v>0</v>
      </c>
      <c r="AE50" s="360">
        <f t="shared" si="24"/>
        <v>0</v>
      </c>
      <c r="AF50" s="360">
        <f t="shared" si="24"/>
        <v>0</v>
      </c>
      <c r="AG50" s="360">
        <f t="shared" si="24"/>
        <v>0</v>
      </c>
      <c r="AH50" s="360">
        <f t="shared" si="24"/>
        <v>0</v>
      </c>
      <c r="AI50" s="360">
        <f t="shared" si="24"/>
        <v>0</v>
      </c>
      <c r="AJ50" s="360">
        <f t="shared" si="13"/>
        <v>0</v>
      </c>
      <c r="AK50" s="360">
        <f t="shared" si="13"/>
        <v>0</v>
      </c>
      <c r="AL50" s="360">
        <f t="shared" si="13"/>
        <v>0</v>
      </c>
      <c r="AM50" s="360">
        <f t="shared" si="13"/>
        <v>0</v>
      </c>
      <c r="AN50" s="361">
        <f t="shared" si="13"/>
        <v>0</v>
      </c>
      <c r="AO50" s="271">
        <f t="shared" si="27"/>
        <v>0</v>
      </c>
      <c r="AP50" s="272">
        <f t="shared" si="27"/>
        <v>0</v>
      </c>
      <c r="AQ50" s="272">
        <f t="shared" si="27"/>
        <v>0</v>
      </c>
      <c r="AR50" s="272">
        <f t="shared" si="27"/>
        <v>0</v>
      </c>
      <c r="AS50" s="272">
        <f t="shared" si="27"/>
        <v>0</v>
      </c>
      <c r="AT50" s="272">
        <f t="shared" si="28"/>
        <v>0</v>
      </c>
      <c r="AU50" s="272">
        <f t="shared" si="28"/>
        <v>0</v>
      </c>
      <c r="AV50" s="272">
        <f t="shared" si="28"/>
        <v>0</v>
      </c>
      <c r="AW50" s="272">
        <f t="shared" si="28"/>
        <v>0</v>
      </c>
      <c r="AX50" s="272">
        <f t="shared" si="28"/>
        <v>0</v>
      </c>
      <c r="AY50" s="272">
        <f t="shared" si="28"/>
        <v>0</v>
      </c>
      <c r="AZ50" s="272">
        <f t="shared" si="28"/>
        <v>0</v>
      </c>
      <c r="BA50" s="272">
        <f t="shared" si="28"/>
        <v>0</v>
      </c>
      <c r="BB50" s="260"/>
      <c r="BC50" s="260"/>
      <c r="BD50" s="275">
        <f t="shared" si="5"/>
        <v>0</v>
      </c>
    </row>
    <row r="51" spans="1:56" ht="14.5" outlineLevel="1" x14ac:dyDescent="0.35">
      <c r="A51" s="276">
        <f>VLOOKUP(B51,Planning!B:F,5,FALSE)</f>
        <v>0</v>
      </c>
      <c r="B51" s="365"/>
      <c r="C51" s="358"/>
      <c r="D51" s="359" t="str">
        <f t="shared" si="17"/>
        <v/>
      </c>
      <c r="E51" s="359"/>
      <c r="F51" s="360">
        <f t="shared" si="20"/>
        <v>0</v>
      </c>
      <c r="G51" s="360">
        <f t="shared" si="20"/>
        <v>0</v>
      </c>
      <c r="H51" s="360">
        <f t="shared" si="20"/>
        <v>0</v>
      </c>
      <c r="I51" s="360">
        <f t="shared" si="20"/>
        <v>0</v>
      </c>
      <c r="J51" s="360">
        <f t="shared" si="20"/>
        <v>0</v>
      </c>
      <c r="K51" s="360">
        <f t="shared" si="20"/>
        <v>0</v>
      </c>
      <c r="L51" s="360">
        <f t="shared" si="20"/>
        <v>0</v>
      </c>
      <c r="M51" s="360">
        <f t="shared" si="20"/>
        <v>0</v>
      </c>
      <c r="N51" s="360">
        <f t="shared" si="20"/>
        <v>0</v>
      </c>
      <c r="O51" s="360">
        <f t="shared" si="20"/>
        <v>0</v>
      </c>
      <c r="P51" s="360">
        <f t="shared" si="19"/>
        <v>0</v>
      </c>
      <c r="Q51" s="360">
        <f t="shared" si="19"/>
        <v>0</v>
      </c>
      <c r="R51" s="360">
        <f t="shared" si="19"/>
        <v>0</v>
      </c>
      <c r="S51" s="360">
        <f t="shared" si="19"/>
        <v>0</v>
      </c>
      <c r="T51" s="360">
        <f t="shared" si="19"/>
        <v>0</v>
      </c>
      <c r="U51" s="360">
        <f t="shared" si="19"/>
        <v>0</v>
      </c>
      <c r="V51" s="360">
        <f t="shared" si="19"/>
        <v>0</v>
      </c>
      <c r="W51" s="360">
        <f t="shared" si="19"/>
        <v>0</v>
      </c>
      <c r="X51" s="360">
        <f t="shared" si="19"/>
        <v>0</v>
      </c>
      <c r="Y51" s="360">
        <f t="shared" si="19"/>
        <v>0</v>
      </c>
      <c r="Z51" s="360">
        <f t="shared" si="24"/>
        <v>0</v>
      </c>
      <c r="AA51" s="360">
        <f t="shared" si="24"/>
        <v>0</v>
      </c>
      <c r="AB51" s="360">
        <f t="shared" si="24"/>
        <v>0</v>
      </c>
      <c r="AC51" s="360">
        <f t="shared" si="24"/>
        <v>0</v>
      </c>
      <c r="AD51" s="360">
        <f t="shared" si="24"/>
        <v>0</v>
      </c>
      <c r="AE51" s="360">
        <f t="shared" si="24"/>
        <v>0</v>
      </c>
      <c r="AF51" s="360">
        <f t="shared" si="24"/>
        <v>0</v>
      </c>
      <c r="AG51" s="360">
        <f t="shared" si="24"/>
        <v>0</v>
      </c>
      <c r="AH51" s="360">
        <f t="shared" si="24"/>
        <v>0</v>
      </c>
      <c r="AI51" s="360">
        <f t="shared" si="24"/>
        <v>0</v>
      </c>
      <c r="AJ51" s="360">
        <f t="shared" si="13"/>
        <v>0</v>
      </c>
      <c r="AK51" s="360">
        <f t="shared" si="13"/>
        <v>0</v>
      </c>
      <c r="AL51" s="360">
        <f t="shared" si="13"/>
        <v>0</v>
      </c>
      <c r="AM51" s="360">
        <f t="shared" si="13"/>
        <v>0</v>
      </c>
      <c r="AN51" s="361">
        <f t="shared" si="13"/>
        <v>0</v>
      </c>
      <c r="AO51" s="271">
        <f t="shared" si="27"/>
        <v>0</v>
      </c>
      <c r="AP51" s="272">
        <f t="shared" si="27"/>
        <v>0</v>
      </c>
      <c r="AQ51" s="272">
        <f t="shared" si="27"/>
        <v>0</v>
      </c>
      <c r="AR51" s="272">
        <f t="shared" si="27"/>
        <v>0</v>
      </c>
      <c r="AS51" s="272">
        <f t="shared" si="27"/>
        <v>0</v>
      </c>
      <c r="AT51" s="272">
        <f t="shared" si="28"/>
        <v>0</v>
      </c>
      <c r="AU51" s="272">
        <f t="shared" si="28"/>
        <v>0</v>
      </c>
      <c r="AV51" s="272">
        <f t="shared" si="28"/>
        <v>0</v>
      </c>
      <c r="AW51" s="272">
        <f t="shared" si="28"/>
        <v>0</v>
      </c>
      <c r="AX51" s="272">
        <f t="shared" si="28"/>
        <v>0</v>
      </c>
      <c r="AY51" s="272">
        <f t="shared" si="28"/>
        <v>0</v>
      </c>
      <c r="AZ51" s="272">
        <f t="shared" si="28"/>
        <v>0</v>
      </c>
      <c r="BA51" s="272">
        <f t="shared" si="28"/>
        <v>0</v>
      </c>
      <c r="BB51" s="260"/>
      <c r="BC51" s="260"/>
      <c r="BD51" s="275">
        <f t="shared" si="5"/>
        <v>0</v>
      </c>
    </row>
    <row r="52" spans="1:56" ht="14.5" outlineLevel="1" x14ac:dyDescent="0.35">
      <c r="A52" s="276">
        <f>VLOOKUP(B52,Planning!B:F,5,FALSE)</f>
        <v>0</v>
      </c>
      <c r="B52" s="365"/>
      <c r="C52" s="358"/>
      <c r="D52" s="359" t="str">
        <f t="shared" si="17"/>
        <v/>
      </c>
      <c r="E52" s="359"/>
      <c r="F52" s="360">
        <f t="shared" si="20"/>
        <v>0</v>
      </c>
      <c r="G52" s="360">
        <f t="shared" si="20"/>
        <v>0</v>
      </c>
      <c r="H52" s="360">
        <f t="shared" si="20"/>
        <v>0</v>
      </c>
      <c r="I52" s="360">
        <f t="shared" si="20"/>
        <v>0</v>
      </c>
      <c r="J52" s="360">
        <f t="shared" si="20"/>
        <v>0</v>
      </c>
      <c r="K52" s="360">
        <f t="shared" si="20"/>
        <v>0</v>
      </c>
      <c r="L52" s="360">
        <f t="shared" si="20"/>
        <v>0</v>
      </c>
      <c r="M52" s="360">
        <f t="shared" si="20"/>
        <v>0</v>
      </c>
      <c r="N52" s="360">
        <f t="shared" si="20"/>
        <v>0</v>
      </c>
      <c r="O52" s="360">
        <f t="shared" si="20"/>
        <v>0</v>
      </c>
      <c r="P52" s="360">
        <f t="shared" si="19"/>
        <v>0</v>
      </c>
      <c r="Q52" s="360">
        <f t="shared" si="19"/>
        <v>0</v>
      </c>
      <c r="R52" s="360">
        <f t="shared" si="19"/>
        <v>0</v>
      </c>
      <c r="S52" s="360">
        <f t="shared" si="19"/>
        <v>0</v>
      </c>
      <c r="T52" s="360">
        <f t="shared" si="19"/>
        <v>0</v>
      </c>
      <c r="U52" s="360">
        <f t="shared" si="19"/>
        <v>0</v>
      </c>
      <c r="V52" s="360">
        <f t="shared" si="19"/>
        <v>0</v>
      </c>
      <c r="W52" s="360">
        <f t="shared" si="19"/>
        <v>0</v>
      </c>
      <c r="X52" s="360">
        <f t="shared" si="19"/>
        <v>0</v>
      </c>
      <c r="Y52" s="360">
        <f t="shared" si="19"/>
        <v>0</v>
      </c>
      <c r="Z52" s="360">
        <f t="shared" si="24"/>
        <v>0</v>
      </c>
      <c r="AA52" s="360">
        <f t="shared" si="24"/>
        <v>0</v>
      </c>
      <c r="AB52" s="360">
        <f t="shared" si="24"/>
        <v>0</v>
      </c>
      <c r="AC52" s="360">
        <f t="shared" si="24"/>
        <v>0</v>
      </c>
      <c r="AD52" s="360">
        <f t="shared" si="24"/>
        <v>0</v>
      </c>
      <c r="AE52" s="360">
        <f t="shared" si="24"/>
        <v>0</v>
      </c>
      <c r="AF52" s="360">
        <f t="shared" si="24"/>
        <v>0</v>
      </c>
      <c r="AG52" s="360">
        <f t="shared" si="24"/>
        <v>0</v>
      </c>
      <c r="AH52" s="360">
        <f t="shared" si="24"/>
        <v>0</v>
      </c>
      <c r="AI52" s="360">
        <f t="shared" si="24"/>
        <v>0</v>
      </c>
      <c r="AJ52" s="360">
        <f t="shared" si="13"/>
        <v>0</v>
      </c>
      <c r="AK52" s="360">
        <f t="shared" si="13"/>
        <v>0</v>
      </c>
      <c r="AL52" s="360">
        <f t="shared" si="13"/>
        <v>0</v>
      </c>
      <c r="AM52" s="360">
        <f t="shared" si="13"/>
        <v>0</v>
      </c>
      <c r="AN52" s="361">
        <f t="shared" si="13"/>
        <v>0</v>
      </c>
      <c r="AO52" s="271">
        <f t="shared" si="27"/>
        <v>0</v>
      </c>
      <c r="AP52" s="272">
        <f t="shared" si="27"/>
        <v>0</v>
      </c>
      <c r="AQ52" s="272">
        <f t="shared" si="27"/>
        <v>0</v>
      </c>
      <c r="AR52" s="272">
        <f t="shared" si="27"/>
        <v>0</v>
      </c>
      <c r="AS52" s="272">
        <f t="shared" si="27"/>
        <v>0</v>
      </c>
      <c r="AT52" s="272">
        <f t="shared" si="28"/>
        <v>0</v>
      </c>
      <c r="AU52" s="272">
        <f t="shared" si="28"/>
        <v>0</v>
      </c>
      <c r="AV52" s="272">
        <f t="shared" si="28"/>
        <v>0</v>
      </c>
      <c r="AW52" s="272">
        <f t="shared" si="28"/>
        <v>0</v>
      </c>
      <c r="AX52" s="272">
        <f t="shared" si="28"/>
        <v>0</v>
      </c>
      <c r="AY52" s="272">
        <f t="shared" si="28"/>
        <v>0</v>
      </c>
      <c r="AZ52" s="272">
        <f t="shared" si="28"/>
        <v>0</v>
      </c>
      <c r="BA52" s="272">
        <f t="shared" si="28"/>
        <v>0</v>
      </c>
      <c r="BB52" s="260"/>
      <c r="BC52" s="260"/>
      <c r="BD52" s="275">
        <f t="shared" si="5"/>
        <v>0</v>
      </c>
    </row>
    <row r="53" spans="1:56" ht="14.5" outlineLevel="1" x14ac:dyDescent="0.35">
      <c r="A53" s="276">
        <f>VLOOKUP(B53,Planning!B:F,5,FALSE)</f>
        <v>0</v>
      </c>
      <c r="B53" s="365"/>
      <c r="C53" s="358"/>
      <c r="D53" s="359" t="str">
        <f t="shared" si="17"/>
        <v/>
      </c>
      <c r="E53" s="359"/>
      <c r="F53" s="360">
        <f t="shared" si="20"/>
        <v>0</v>
      </c>
      <c r="G53" s="360">
        <f t="shared" si="20"/>
        <v>0</v>
      </c>
      <c r="H53" s="360">
        <f t="shared" si="20"/>
        <v>0</v>
      </c>
      <c r="I53" s="360">
        <f t="shared" si="20"/>
        <v>0</v>
      </c>
      <c r="J53" s="360">
        <f t="shared" si="20"/>
        <v>0</v>
      </c>
      <c r="K53" s="360">
        <f t="shared" si="20"/>
        <v>0</v>
      </c>
      <c r="L53" s="360">
        <f t="shared" si="20"/>
        <v>0</v>
      </c>
      <c r="M53" s="360">
        <f t="shared" si="20"/>
        <v>0</v>
      </c>
      <c r="N53" s="360">
        <f t="shared" si="20"/>
        <v>0</v>
      </c>
      <c r="O53" s="360">
        <f t="shared" si="20"/>
        <v>0</v>
      </c>
      <c r="P53" s="360">
        <f t="shared" si="19"/>
        <v>0</v>
      </c>
      <c r="Q53" s="360">
        <f t="shared" si="19"/>
        <v>0</v>
      </c>
      <c r="R53" s="360">
        <f t="shared" si="19"/>
        <v>0</v>
      </c>
      <c r="S53" s="360">
        <f t="shared" si="19"/>
        <v>0</v>
      </c>
      <c r="T53" s="360">
        <f t="shared" si="19"/>
        <v>0</v>
      </c>
      <c r="U53" s="360">
        <f t="shared" si="19"/>
        <v>0</v>
      </c>
      <c r="V53" s="360">
        <f t="shared" si="19"/>
        <v>0</v>
      </c>
      <c r="W53" s="360">
        <f t="shared" si="19"/>
        <v>0</v>
      </c>
      <c r="X53" s="360">
        <f t="shared" si="19"/>
        <v>0</v>
      </c>
      <c r="Y53" s="360">
        <f t="shared" si="19"/>
        <v>0</v>
      </c>
      <c r="Z53" s="360">
        <f t="shared" si="24"/>
        <v>0</v>
      </c>
      <c r="AA53" s="360">
        <f t="shared" si="24"/>
        <v>0</v>
      </c>
      <c r="AB53" s="360">
        <f t="shared" si="24"/>
        <v>0</v>
      </c>
      <c r="AC53" s="360">
        <f t="shared" si="24"/>
        <v>0</v>
      </c>
      <c r="AD53" s="360">
        <f t="shared" si="24"/>
        <v>0</v>
      </c>
      <c r="AE53" s="360">
        <f t="shared" si="24"/>
        <v>0</v>
      </c>
      <c r="AF53" s="360">
        <f t="shared" si="24"/>
        <v>0</v>
      </c>
      <c r="AG53" s="360">
        <f t="shared" si="24"/>
        <v>0</v>
      </c>
      <c r="AH53" s="360">
        <f t="shared" si="24"/>
        <v>0</v>
      </c>
      <c r="AI53" s="360">
        <f t="shared" si="24"/>
        <v>0</v>
      </c>
      <c r="AJ53" s="360">
        <f t="shared" si="13"/>
        <v>0</v>
      </c>
      <c r="AK53" s="360">
        <f t="shared" si="13"/>
        <v>0</v>
      </c>
      <c r="AL53" s="360">
        <f t="shared" si="13"/>
        <v>0</v>
      </c>
      <c r="AM53" s="360">
        <f t="shared" si="13"/>
        <v>0</v>
      </c>
      <c r="AN53" s="361">
        <f t="shared" si="13"/>
        <v>0</v>
      </c>
      <c r="AO53" s="271">
        <f t="shared" si="27"/>
        <v>0</v>
      </c>
      <c r="AP53" s="272">
        <f t="shared" si="27"/>
        <v>0</v>
      </c>
      <c r="AQ53" s="272">
        <f t="shared" si="27"/>
        <v>0</v>
      </c>
      <c r="AR53" s="272">
        <f t="shared" si="27"/>
        <v>0</v>
      </c>
      <c r="AS53" s="272">
        <f t="shared" si="27"/>
        <v>0</v>
      </c>
      <c r="AT53" s="272">
        <f t="shared" si="28"/>
        <v>0</v>
      </c>
      <c r="AU53" s="272">
        <f t="shared" si="28"/>
        <v>0</v>
      </c>
      <c r="AV53" s="272">
        <f t="shared" si="28"/>
        <v>0</v>
      </c>
      <c r="AW53" s="272">
        <f t="shared" si="28"/>
        <v>0</v>
      </c>
      <c r="AX53" s="272">
        <f t="shared" si="28"/>
        <v>0</v>
      </c>
      <c r="AY53" s="272">
        <f t="shared" si="28"/>
        <v>0</v>
      </c>
      <c r="AZ53" s="272">
        <f t="shared" si="28"/>
        <v>0</v>
      </c>
      <c r="BA53" s="272">
        <f t="shared" si="28"/>
        <v>0</v>
      </c>
      <c r="BB53" s="260"/>
      <c r="BC53" s="260"/>
      <c r="BD53" s="275">
        <f t="shared" si="5"/>
        <v>0</v>
      </c>
    </row>
    <row r="54" spans="1:56" ht="14.5" outlineLevel="1" x14ac:dyDescent="0.35">
      <c r="A54" s="276">
        <f>VLOOKUP(B54,Planning!B:F,5,FALSE)</f>
        <v>0</v>
      </c>
      <c r="B54" s="365"/>
      <c r="C54" s="358"/>
      <c r="D54" s="359" t="str">
        <f t="shared" si="17"/>
        <v/>
      </c>
      <c r="E54" s="359"/>
      <c r="F54" s="360">
        <f t="shared" si="20"/>
        <v>0</v>
      </c>
      <c r="G54" s="360">
        <f t="shared" si="20"/>
        <v>0</v>
      </c>
      <c r="H54" s="360">
        <f t="shared" si="20"/>
        <v>0</v>
      </c>
      <c r="I54" s="360">
        <f t="shared" si="20"/>
        <v>0</v>
      </c>
      <c r="J54" s="360">
        <f t="shared" si="20"/>
        <v>0</v>
      </c>
      <c r="K54" s="360">
        <f t="shared" si="20"/>
        <v>0</v>
      </c>
      <c r="L54" s="360">
        <f t="shared" si="20"/>
        <v>0</v>
      </c>
      <c r="M54" s="360">
        <f t="shared" si="20"/>
        <v>0</v>
      </c>
      <c r="N54" s="360">
        <f t="shared" si="20"/>
        <v>0</v>
      </c>
      <c r="O54" s="360">
        <f t="shared" si="20"/>
        <v>0</v>
      </c>
      <c r="P54" s="360">
        <f t="shared" si="19"/>
        <v>0</v>
      </c>
      <c r="Q54" s="360">
        <f t="shared" si="19"/>
        <v>0</v>
      </c>
      <c r="R54" s="360">
        <f t="shared" si="19"/>
        <v>0</v>
      </c>
      <c r="S54" s="360">
        <f t="shared" si="19"/>
        <v>0</v>
      </c>
      <c r="T54" s="360">
        <f t="shared" si="19"/>
        <v>0</v>
      </c>
      <c r="U54" s="360">
        <f t="shared" si="19"/>
        <v>0</v>
      </c>
      <c r="V54" s="360">
        <f t="shared" si="19"/>
        <v>0</v>
      </c>
      <c r="W54" s="360">
        <f t="shared" si="19"/>
        <v>0</v>
      </c>
      <c r="X54" s="360">
        <f t="shared" si="19"/>
        <v>0</v>
      </c>
      <c r="Y54" s="360">
        <f t="shared" si="19"/>
        <v>0</v>
      </c>
      <c r="Z54" s="360">
        <f t="shared" si="24"/>
        <v>0</v>
      </c>
      <c r="AA54" s="360">
        <f t="shared" si="24"/>
        <v>0</v>
      </c>
      <c r="AB54" s="360">
        <f t="shared" si="24"/>
        <v>0</v>
      </c>
      <c r="AC54" s="360">
        <f t="shared" si="24"/>
        <v>0</v>
      </c>
      <c r="AD54" s="360">
        <f t="shared" si="24"/>
        <v>0</v>
      </c>
      <c r="AE54" s="360">
        <f t="shared" si="24"/>
        <v>0</v>
      </c>
      <c r="AF54" s="360">
        <f t="shared" si="24"/>
        <v>0</v>
      </c>
      <c r="AG54" s="360">
        <f t="shared" si="24"/>
        <v>0</v>
      </c>
      <c r="AH54" s="360">
        <f t="shared" si="24"/>
        <v>0</v>
      </c>
      <c r="AI54" s="360">
        <f t="shared" si="24"/>
        <v>0</v>
      </c>
      <c r="AJ54" s="360">
        <f t="shared" si="13"/>
        <v>0</v>
      </c>
      <c r="AK54" s="360">
        <f t="shared" si="13"/>
        <v>0</v>
      </c>
      <c r="AL54" s="360">
        <f t="shared" si="13"/>
        <v>0</v>
      </c>
      <c r="AM54" s="360">
        <f t="shared" si="13"/>
        <v>0</v>
      </c>
      <c r="AN54" s="361">
        <f t="shared" si="13"/>
        <v>0</v>
      </c>
      <c r="AO54" s="271">
        <f t="shared" si="27"/>
        <v>0</v>
      </c>
      <c r="AP54" s="272">
        <f t="shared" si="27"/>
        <v>0</v>
      </c>
      <c r="AQ54" s="272">
        <f t="shared" si="27"/>
        <v>0</v>
      </c>
      <c r="AR54" s="272">
        <f t="shared" si="27"/>
        <v>0</v>
      </c>
      <c r="AS54" s="272">
        <f t="shared" si="27"/>
        <v>0</v>
      </c>
      <c r="AT54" s="272">
        <f t="shared" si="28"/>
        <v>0</v>
      </c>
      <c r="AU54" s="272">
        <f t="shared" si="28"/>
        <v>0</v>
      </c>
      <c r="AV54" s="272">
        <f t="shared" si="28"/>
        <v>0</v>
      </c>
      <c r="AW54" s="272">
        <f t="shared" si="28"/>
        <v>0</v>
      </c>
      <c r="AX54" s="272">
        <f t="shared" si="28"/>
        <v>0</v>
      </c>
      <c r="AY54" s="272">
        <f t="shared" si="28"/>
        <v>0</v>
      </c>
      <c r="AZ54" s="272">
        <f t="shared" si="28"/>
        <v>0</v>
      </c>
      <c r="BA54" s="272">
        <f t="shared" si="28"/>
        <v>0</v>
      </c>
      <c r="BB54" s="260"/>
      <c r="BC54" s="260"/>
      <c r="BD54" s="275">
        <f t="shared" si="5"/>
        <v>0</v>
      </c>
    </row>
    <row r="55" spans="1:56" ht="14.5" outlineLevel="1" x14ac:dyDescent="0.35">
      <c r="A55" s="276">
        <f>VLOOKUP(B55,Planning!B:F,5,FALSE)</f>
        <v>0</v>
      </c>
      <c r="B55" s="365"/>
      <c r="C55" s="358"/>
      <c r="D55" s="359" t="str">
        <f t="shared" si="17"/>
        <v/>
      </c>
      <c r="E55" s="359"/>
      <c r="F55" s="360">
        <f t="shared" si="20"/>
        <v>0</v>
      </c>
      <c r="G55" s="360">
        <f t="shared" si="20"/>
        <v>0</v>
      </c>
      <c r="H55" s="360">
        <f t="shared" si="20"/>
        <v>0</v>
      </c>
      <c r="I55" s="360">
        <f t="shared" si="20"/>
        <v>0</v>
      </c>
      <c r="J55" s="360">
        <f t="shared" si="20"/>
        <v>0</v>
      </c>
      <c r="K55" s="360">
        <f t="shared" si="20"/>
        <v>0</v>
      </c>
      <c r="L55" s="360">
        <f t="shared" si="20"/>
        <v>0</v>
      </c>
      <c r="M55" s="360">
        <f t="shared" si="20"/>
        <v>0</v>
      </c>
      <c r="N55" s="360">
        <f t="shared" si="20"/>
        <v>0</v>
      </c>
      <c r="O55" s="360">
        <f t="shared" si="20"/>
        <v>0</v>
      </c>
      <c r="P55" s="360">
        <f t="shared" si="19"/>
        <v>0</v>
      </c>
      <c r="Q55" s="360">
        <f t="shared" si="19"/>
        <v>0</v>
      </c>
      <c r="R55" s="360">
        <f t="shared" si="19"/>
        <v>0</v>
      </c>
      <c r="S55" s="360">
        <f t="shared" si="19"/>
        <v>0</v>
      </c>
      <c r="T55" s="360">
        <f t="shared" si="19"/>
        <v>0</v>
      </c>
      <c r="U55" s="360">
        <f t="shared" si="19"/>
        <v>0</v>
      </c>
      <c r="V55" s="360">
        <f t="shared" si="19"/>
        <v>0</v>
      </c>
      <c r="W55" s="360">
        <f t="shared" si="19"/>
        <v>0</v>
      </c>
      <c r="X55" s="360">
        <f t="shared" si="19"/>
        <v>0</v>
      </c>
      <c r="Y55" s="360">
        <f t="shared" si="19"/>
        <v>0</v>
      </c>
      <c r="Z55" s="360">
        <f t="shared" si="24"/>
        <v>0</v>
      </c>
      <c r="AA55" s="360">
        <f t="shared" si="24"/>
        <v>0</v>
      </c>
      <c r="AB55" s="360">
        <f t="shared" si="24"/>
        <v>0</v>
      </c>
      <c r="AC55" s="360">
        <f t="shared" si="24"/>
        <v>0</v>
      </c>
      <c r="AD55" s="360">
        <f t="shared" si="24"/>
        <v>0</v>
      </c>
      <c r="AE55" s="360">
        <f t="shared" si="24"/>
        <v>0</v>
      </c>
      <c r="AF55" s="360">
        <f t="shared" si="24"/>
        <v>0</v>
      </c>
      <c r="AG55" s="360">
        <f t="shared" si="24"/>
        <v>0</v>
      </c>
      <c r="AH55" s="360">
        <f t="shared" si="24"/>
        <v>0</v>
      </c>
      <c r="AI55" s="360">
        <f t="shared" si="24"/>
        <v>0</v>
      </c>
      <c r="AJ55" s="360">
        <f t="shared" si="13"/>
        <v>0</v>
      </c>
      <c r="AK55" s="360">
        <f t="shared" si="13"/>
        <v>0</v>
      </c>
      <c r="AL55" s="360">
        <f t="shared" si="13"/>
        <v>0</v>
      </c>
      <c r="AM55" s="360">
        <f t="shared" si="13"/>
        <v>0</v>
      </c>
      <c r="AN55" s="361">
        <f t="shared" si="13"/>
        <v>0</v>
      </c>
      <c r="AO55" s="271"/>
      <c r="AP55" s="272"/>
      <c r="AQ55" s="272"/>
      <c r="AR55" s="272"/>
      <c r="AS55" s="272"/>
      <c r="AT55" s="272"/>
      <c r="AU55" s="272"/>
      <c r="AV55" s="272"/>
      <c r="AW55" s="272"/>
      <c r="AX55" s="272"/>
      <c r="AY55" s="272"/>
      <c r="AZ55" s="272"/>
      <c r="BA55" s="272"/>
      <c r="BB55" s="260"/>
      <c r="BC55" s="260"/>
      <c r="BD55" s="275">
        <f t="shared" si="5"/>
        <v>0</v>
      </c>
    </row>
    <row r="56" spans="1:56" ht="14.5" outlineLevel="1" x14ac:dyDescent="0.35">
      <c r="A56" s="276">
        <f>VLOOKUP(B56,Planning!B:F,5,FALSE)</f>
        <v>0</v>
      </c>
      <c r="B56" s="365"/>
      <c r="C56" s="358"/>
      <c r="D56" s="359" t="str">
        <f t="shared" si="17"/>
        <v/>
      </c>
      <c r="E56" s="359"/>
      <c r="F56" s="360">
        <f t="shared" si="20"/>
        <v>0</v>
      </c>
      <c r="G56" s="360">
        <f t="shared" si="20"/>
        <v>0</v>
      </c>
      <c r="H56" s="360">
        <f t="shared" si="20"/>
        <v>0</v>
      </c>
      <c r="I56" s="360">
        <f t="shared" si="20"/>
        <v>0</v>
      </c>
      <c r="J56" s="360">
        <f t="shared" si="20"/>
        <v>0</v>
      </c>
      <c r="K56" s="360">
        <f t="shared" si="20"/>
        <v>0</v>
      </c>
      <c r="L56" s="360">
        <f t="shared" si="20"/>
        <v>0</v>
      </c>
      <c r="M56" s="360">
        <f t="shared" si="20"/>
        <v>0</v>
      </c>
      <c r="N56" s="360">
        <f t="shared" si="20"/>
        <v>0</v>
      </c>
      <c r="O56" s="360">
        <f t="shared" si="20"/>
        <v>0</v>
      </c>
      <c r="P56" s="360">
        <f t="shared" si="19"/>
        <v>0</v>
      </c>
      <c r="Q56" s="360">
        <f t="shared" si="19"/>
        <v>0</v>
      </c>
      <c r="R56" s="360">
        <f t="shared" si="19"/>
        <v>0</v>
      </c>
      <c r="S56" s="360">
        <f t="shared" si="19"/>
        <v>0</v>
      </c>
      <c r="T56" s="360">
        <f t="shared" si="19"/>
        <v>0</v>
      </c>
      <c r="U56" s="360">
        <f t="shared" si="19"/>
        <v>0</v>
      </c>
      <c r="V56" s="360">
        <f t="shared" si="19"/>
        <v>0</v>
      </c>
      <c r="W56" s="360">
        <f t="shared" si="19"/>
        <v>0</v>
      </c>
      <c r="X56" s="360">
        <f t="shared" si="19"/>
        <v>0</v>
      </c>
      <c r="Y56" s="360">
        <f t="shared" si="19"/>
        <v>0</v>
      </c>
      <c r="Z56" s="360">
        <f t="shared" si="24"/>
        <v>0</v>
      </c>
      <c r="AA56" s="360">
        <f t="shared" si="24"/>
        <v>0</v>
      </c>
      <c r="AB56" s="360">
        <f t="shared" si="24"/>
        <v>0</v>
      </c>
      <c r="AC56" s="360">
        <f t="shared" si="24"/>
        <v>0</v>
      </c>
      <c r="AD56" s="360">
        <f t="shared" si="24"/>
        <v>0</v>
      </c>
      <c r="AE56" s="360">
        <f t="shared" si="24"/>
        <v>0</v>
      </c>
      <c r="AF56" s="360">
        <f t="shared" si="24"/>
        <v>0</v>
      </c>
      <c r="AG56" s="360">
        <f t="shared" si="24"/>
        <v>0</v>
      </c>
      <c r="AH56" s="360">
        <f t="shared" si="24"/>
        <v>0</v>
      </c>
      <c r="AI56" s="360">
        <f t="shared" si="24"/>
        <v>0</v>
      </c>
      <c r="AJ56" s="360">
        <f t="shared" si="13"/>
        <v>0</v>
      </c>
      <c r="AK56" s="360">
        <f t="shared" si="13"/>
        <v>0</v>
      </c>
      <c r="AL56" s="360">
        <f t="shared" si="13"/>
        <v>0</v>
      </c>
      <c r="AM56" s="360">
        <f t="shared" si="13"/>
        <v>0</v>
      </c>
      <c r="AN56" s="361">
        <f t="shared" si="13"/>
        <v>0</v>
      </c>
      <c r="AO56" s="271">
        <f t="shared" si="27"/>
        <v>0</v>
      </c>
      <c r="AP56" s="272">
        <f t="shared" si="27"/>
        <v>0</v>
      </c>
      <c r="AQ56" s="272">
        <f t="shared" si="27"/>
        <v>0</v>
      </c>
      <c r="AR56" s="272">
        <f t="shared" si="27"/>
        <v>0</v>
      </c>
      <c r="AS56" s="272">
        <f t="shared" si="27"/>
        <v>0</v>
      </c>
      <c r="AT56" s="272">
        <f t="shared" si="28"/>
        <v>0</v>
      </c>
      <c r="AU56" s="272">
        <f t="shared" si="28"/>
        <v>0</v>
      </c>
      <c r="AV56" s="272">
        <f t="shared" si="28"/>
        <v>0</v>
      </c>
      <c r="AW56" s="272">
        <f t="shared" si="28"/>
        <v>0</v>
      </c>
      <c r="AX56" s="272">
        <f t="shared" si="28"/>
        <v>0</v>
      </c>
      <c r="AY56" s="272">
        <f t="shared" si="28"/>
        <v>0</v>
      </c>
      <c r="AZ56" s="272">
        <f t="shared" si="28"/>
        <v>0</v>
      </c>
      <c r="BA56" s="272">
        <f t="shared" si="28"/>
        <v>0</v>
      </c>
      <c r="BB56" s="260"/>
      <c r="BC56" s="260"/>
      <c r="BD56" s="275">
        <f t="shared" si="5"/>
        <v>0</v>
      </c>
    </row>
    <row r="57" spans="1:56" ht="14.5" outlineLevel="1" x14ac:dyDescent="0.35">
      <c r="A57" s="276">
        <f>VLOOKUP(B57,Planning!B:F,5,FALSE)</f>
        <v>0</v>
      </c>
      <c r="B57" s="365"/>
      <c r="C57" s="358"/>
      <c r="D57" s="359" t="str">
        <f t="shared" si="17"/>
        <v/>
      </c>
      <c r="E57" s="359"/>
      <c r="F57" s="360">
        <f t="shared" si="20"/>
        <v>0</v>
      </c>
      <c r="G57" s="360">
        <f t="shared" si="20"/>
        <v>0</v>
      </c>
      <c r="H57" s="360">
        <f t="shared" si="20"/>
        <v>0</v>
      </c>
      <c r="I57" s="360">
        <f t="shared" si="20"/>
        <v>0</v>
      </c>
      <c r="J57" s="360">
        <f t="shared" si="20"/>
        <v>0</v>
      </c>
      <c r="K57" s="360">
        <f t="shared" si="20"/>
        <v>0</v>
      </c>
      <c r="L57" s="360">
        <f t="shared" si="20"/>
        <v>0</v>
      </c>
      <c r="M57" s="360">
        <f t="shared" si="20"/>
        <v>0</v>
      </c>
      <c r="N57" s="360">
        <f t="shared" si="20"/>
        <v>0</v>
      </c>
      <c r="O57" s="360">
        <f t="shared" si="20"/>
        <v>0</v>
      </c>
      <c r="P57" s="360">
        <f t="shared" si="19"/>
        <v>0</v>
      </c>
      <c r="Q57" s="360">
        <f t="shared" si="19"/>
        <v>0</v>
      </c>
      <c r="R57" s="360">
        <f t="shared" si="19"/>
        <v>0</v>
      </c>
      <c r="S57" s="360">
        <f t="shared" si="19"/>
        <v>0</v>
      </c>
      <c r="T57" s="360">
        <f t="shared" si="19"/>
        <v>0</v>
      </c>
      <c r="U57" s="360">
        <f t="shared" si="19"/>
        <v>0</v>
      </c>
      <c r="V57" s="360">
        <f t="shared" si="19"/>
        <v>0</v>
      </c>
      <c r="W57" s="360">
        <f t="shared" si="19"/>
        <v>0</v>
      </c>
      <c r="X57" s="360">
        <f t="shared" si="19"/>
        <v>0</v>
      </c>
      <c r="Y57" s="360">
        <f t="shared" si="19"/>
        <v>0</v>
      </c>
      <c r="Z57" s="360">
        <f t="shared" si="24"/>
        <v>0</v>
      </c>
      <c r="AA57" s="360">
        <f t="shared" si="24"/>
        <v>0</v>
      </c>
      <c r="AB57" s="360">
        <f t="shared" si="24"/>
        <v>0</v>
      </c>
      <c r="AC57" s="360">
        <f t="shared" si="24"/>
        <v>0</v>
      </c>
      <c r="AD57" s="360">
        <f t="shared" si="24"/>
        <v>0</v>
      </c>
      <c r="AE57" s="360">
        <f t="shared" si="24"/>
        <v>0</v>
      </c>
      <c r="AF57" s="360">
        <f t="shared" si="24"/>
        <v>0</v>
      </c>
      <c r="AG57" s="360">
        <f t="shared" si="24"/>
        <v>0</v>
      </c>
      <c r="AH57" s="360">
        <f t="shared" si="24"/>
        <v>0</v>
      </c>
      <c r="AI57" s="360">
        <f t="shared" si="24"/>
        <v>0</v>
      </c>
      <c r="AJ57" s="360">
        <f t="shared" si="13"/>
        <v>0</v>
      </c>
      <c r="AK57" s="360">
        <f t="shared" si="13"/>
        <v>0</v>
      </c>
      <c r="AL57" s="360">
        <f t="shared" si="13"/>
        <v>0</v>
      </c>
      <c r="AM57" s="360">
        <f t="shared" si="13"/>
        <v>0</v>
      </c>
      <c r="AN57" s="361">
        <f t="shared" si="13"/>
        <v>0</v>
      </c>
      <c r="AO57" s="271">
        <f t="shared" si="27"/>
        <v>0</v>
      </c>
      <c r="AP57" s="272">
        <f t="shared" si="27"/>
        <v>0</v>
      </c>
      <c r="AQ57" s="272">
        <f t="shared" si="27"/>
        <v>0</v>
      </c>
      <c r="AR57" s="272">
        <f t="shared" si="27"/>
        <v>0</v>
      </c>
      <c r="AS57" s="272">
        <f t="shared" si="27"/>
        <v>0</v>
      </c>
      <c r="AT57" s="272">
        <f t="shared" si="28"/>
        <v>0</v>
      </c>
      <c r="AU57" s="272">
        <f t="shared" si="28"/>
        <v>0</v>
      </c>
      <c r="AV57" s="272">
        <f t="shared" si="28"/>
        <v>0</v>
      </c>
      <c r="AW57" s="272">
        <f t="shared" si="28"/>
        <v>0</v>
      </c>
      <c r="AX57" s="272">
        <f t="shared" si="28"/>
        <v>0</v>
      </c>
      <c r="AY57" s="272">
        <f t="shared" si="28"/>
        <v>0</v>
      </c>
      <c r="AZ57" s="272">
        <f t="shared" si="28"/>
        <v>0</v>
      </c>
      <c r="BA57" s="272">
        <f t="shared" si="28"/>
        <v>0</v>
      </c>
      <c r="BB57" s="260"/>
      <c r="BC57" s="260"/>
      <c r="BD57" s="275">
        <f t="shared" si="5"/>
        <v>0</v>
      </c>
    </row>
    <row r="58" spans="1:56" ht="14.5" outlineLevel="1" x14ac:dyDescent="0.35">
      <c r="A58" s="276">
        <f>VLOOKUP(B58,Planning!B:F,5,FALSE)</f>
        <v>0</v>
      </c>
      <c r="B58" s="365"/>
      <c r="C58" s="358"/>
      <c r="D58" s="359" t="str">
        <f t="shared" si="17"/>
        <v/>
      </c>
      <c r="E58" s="359"/>
      <c r="F58" s="360">
        <f t="shared" si="20"/>
        <v>0</v>
      </c>
      <c r="G58" s="360">
        <f t="shared" si="20"/>
        <v>0</v>
      </c>
      <c r="H58" s="360">
        <f t="shared" si="20"/>
        <v>0</v>
      </c>
      <c r="I58" s="360">
        <f t="shared" si="20"/>
        <v>0</v>
      </c>
      <c r="J58" s="360">
        <f t="shared" si="20"/>
        <v>0</v>
      </c>
      <c r="K58" s="360">
        <f t="shared" si="20"/>
        <v>0</v>
      </c>
      <c r="L58" s="360">
        <f t="shared" si="20"/>
        <v>0</v>
      </c>
      <c r="M58" s="360">
        <f t="shared" si="20"/>
        <v>0</v>
      </c>
      <c r="N58" s="360">
        <f t="shared" si="20"/>
        <v>0</v>
      </c>
      <c r="O58" s="360">
        <f t="shared" si="20"/>
        <v>0</v>
      </c>
      <c r="P58" s="360">
        <f t="shared" si="19"/>
        <v>0</v>
      </c>
      <c r="Q58" s="360">
        <f t="shared" si="19"/>
        <v>0</v>
      </c>
      <c r="R58" s="360">
        <f t="shared" si="19"/>
        <v>0</v>
      </c>
      <c r="S58" s="360">
        <f t="shared" si="19"/>
        <v>0</v>
      </c>
      <c r="T58" s="360">
        <f t="shared" si="19"/>
        <v>0</v>
      </c>
      <c r="U58" s="360">
        <f t="shared" si="19"/>
        <v>0</v>
      </c>
      <c r="V58" s="360">
        <f t="shared" si="19"/>
        <v>0</v>
      </c>
      <c r="W58" s="360">
        <f t="shared" si="19"/>
        <v>0</v>
      </c>
      <c r="X58" s="360">
        <f t="shared" si="19"/>
        <v>0</v>
      </c>
      <c r="Y58" s="360">
        <f t="shared" si="19"/>
        <v>0</v>
      </c>
      <c r="Z58" s="360">
        <f t="shared" si="24"/>
        <v>0</v>
      </c>
      <c r="AA58" s="360">
        <f t="shared" si="24"/>
        <v>0</v>
      </c>
      <c r="AB58" s="360">
        <f t="shared" si="24"/>
        <v>0</v>
      </c>
      <c r="AC58" s="360">
        <f t="shared" si="24"/>
        <v>0</v>
      </c>
      <c r="AD58" s="360">
        <f t="shared" si="24"/>
        <v>0</v>
      </c>
      <c r="AE58" s="360">
        <f t="shared" si="24"/>
        <v>0</v>
      </c>
      <c r="AF58" s="360">
        <f t="shared" si="24"/>
        <v>0</v>
      </c>
      <c r="AG58" s="360">
        <f t="shared" si="24"/>
        <v>0</v>
      </c>
      <c r="AH58" s="360">
        <f t="shared" si="24"/>
        <v>0</v>
      </c>
      <c r="AI58" s="360">
        <f t="shared" si="24"/>
        <v>0</v>
      </c>
      <c r="AJ58" s="360">
        <f t="shared" si="13"/>
        <v>0</v>
      </c>
      <c r="AK58" s="360">
        <f t="shared" si="13"/>
        <v>0</v>
      </c>
      <c r="AL58" s="360">
        <f t="shared" si="13"/>
        <v>0</v>
      </c>
      <c r="AM58" s="360">
        <f t="shared" si="13"/>
        <v>0</v>
      </c>
      <c r="AN58" s="361">
        <f t="shared" si="13"/>
        <v>0</v>
      </c>
      <c r="AO58" s="271">
        <f t="shared" si="27"/>
        <v>0</v>
      </c>
      <c r="AP58" s="272">
        <f t="shared" si="27"/>
        <v>0</v>
      </c>
      <c r="AQ58" s="272">
        <f t="shared" si="27"/>
        <v>0</v>
      </c>
      <c r="AR58" s="272">
        <f t="shared" si="27"/>
        <v>0</v>
      </c>
      <c r="AS58" s="272">
        <f t="shared" si="27"/>
        <v>0</v>
      </c>
      <c r="AT58" s="272">
        <f t="shared" si="28"/>
        <v>0</v>
      </c>
      <c r="AU58" s="272">
        <f t="shared" si="28"/>
        <v>0</v>
      </c>
      <c r="AV58" s="272">
        <f t="shared" si="28"/>
        <v>0</v>
      </c>
      <c r="AW58" s="272">
        <f t="shared" si="28"/>
        <v>0</v>
      </c>
      <c r="AX58" s="272">
        <f t="shared" si="28"/>
        <v>0</v>
      </c>
      <c r="AY58" s="272">
        <f t="shared" si="28"/>
        <v>0</v>
      </c>
      <c r="AZ58" s="272">
        <f t="shared" si="28"/>
        <v>0</v>
      </c>
      <c r="BA58" s="272">
        <f t="shared" si="28"/>
        <v>0</v>
      </c>
      <c r="BB58" s="260"/>
      <c r="BC58" s="260"/>
      <c r="BD58" s="275">
        <f t="shared" si="5"/>
        <v>0</v>
      </c>
    </row>
    <row r="59" spans="1:56" ht="14.5" outlineLevel="1" x14ac:dyDescent="0.35">
      <c r="A59" s="276">
        <f>VLOOKUP(B59,Planning!B:F,5,FALSE)</f>
        <v>0</v>
      </c>
      <c r="B59" s="365"/>
      <c r="C59" s="358"/>
      <c r="D59" s="359" t="str">
        <f t="shared" si="17"/>
        <v/>
      </c>
      <c r="E59" s="359"/>
      <c r="F59" s="360">
        <f t="shared" si="20"/>
        <v>0</v>
      </c>
      <c r="G59" s="360">
        <f t="shared" si="20"/>
        <v>0</v>
      </c>
      <c r="H59" s="360">
        <f t="shared" si="20"/>
        <v>0</v>
      </c>
      <c r="I59" s="360">
        <f t="shared" si="20"/>
        <v>0</v>
      </c>
      <c r="J59" s="360">
        <f t="shared" si="20"/>
        <v>0</v>
      </c>
      <c r="K59" s="360">
        <f t="shared" si="20"/>
        <v>0</v>
      </c>
      <c r="L59" s="360">
        <f t="shared" si="20"/>
        <v>0</v>
      </c>
      <c r="M59" s="360">
        <f t="shared" si="20"/>
        <v>0</v>
      </c>
      <c r="N59" s="360">
        <f t="shared" si="20"/>
        <v>0</v>
      </c>
      <c r="O59" s="360">
        <f t="shared" si="20"/>
        <v>0</v>
      </c>
      <c r="P59" s="360">
        <f t="shared" si="19"/>
        <v>0</v>
      </c>
      <c r="Q59" s="360">
        <f t="shared" si="19"/>
        <v>0</v>
      </c>
      <c r="R59" s="360">
        <f t="shared" si="19"/>
        <v>0</v>
      </c>
      <c r="S59" s="360">
        <f t="shared" si="19"/>
        <v>0</v>
      </c>
      <c r="T59" s="360">
        <f t="shared" si="19"/>
        <v>0</v>
      </c>
      <c r="U59" s="360">
        <f t="shared" si="19"/>
        <v>0</v>
      </c>
      <c r="V59" s="360">
        <f t="shared" si="19"/>
        <v>0</v>
      </c>
      <c r="W59" s="360">
        <f t="shared" si="19"/>
        <v>0</v>
      </c>
      <c r="X59" s="360">
        <f t="shared" si="19"/>
        <v>0</v>
      </c>
      <c r="Y59" s="360">
        <f t="shared" si="19"/>
        <v>0</v>
      </c>
      <c r="Z59" s="360">
        <f t="shared" si="24"/>
        <v>0</v>
      </c>
      <c r="AA59" s="360">
        <f t="shared" si="24"/>
        <v>0</v>
      </c>
      <c r="AB59" s="360">
        <f t="shared" si="24"/>
        <v>0</v>
      </c>
      <c r="AC59" s="360">
        <f t="shared" si="24"/>
        <v>0</v>
      </c>
      <c r="AD59" s="360">
        <f t="shared" si="24"/>
        <v>0</v>
      </c>
      <c r="AE59" s="360">
        <f t="shared" si="24"/>
        <v>0</v>
      </c>
      <c r="AF59" s="360">
        <f t="shared" si="24"/>
        <v>0</v>
      </c>
      <c r="AG59" s="360">
        <f t="shared" si="24"/>
        <v>0</v>
      </c>
      <c r="AH59" s="360">
        <f t="shared" si="24"/>
        <v>0</v>
      </c>
      <c r="AI59" s="360">
        <f t="shared" si="24"/>
        <v>0</v>
      </c>
      <c r="AJ59" s="360">
        <f t="shared" si="13"/>
        <v>0</v>
      </c>
      <c r="AK59" s="360">
        <f t="shared" si="13"/>
        <v>0</v>
      </c>
      <c r="AL59" s="360">
        <f t="shared" si="13"/>
        <v>0</v>
      </c>
      <c r="AM59" s="360">
        <f t="shared" si="13"/>
        <v>0</v>
      </c>
      <c r="AN59" s="361">
        <f t="shared" si="13"/>
        <v>0</v>
      </c>
      <c r="AO59" s="271">
        <f t="shared" si="27"/>
        <v>0</v>
      </c>
      <c r="AP59" s="272">
        <f t="shared" si="27"/>
        <v>0</v>
      </c>
      <c r="AQ59" s="272">
        <f t="shared" si="27"/>
        <v>0</v>
      </c>
      <c r="AR59" s="272">
        <f t="shared" si="27"/>
        <v>0</v>
      </c>
      <c r="AS59" s="272">
        <f t="shared" si="27"/>
        <v>0</v>
      </c>
      <c r="AT59" s="272">
        <f t="shared" si="28"/>
        <v>0</v>
      </c>
      <c r="AU59" s="272">
        <f t="shared" si="28"/>
        <v>0</v>
      </c>
      <c r="AV59" s="272">
        <f t="shared" si="28"/>
        <v>0</v>
      </c>
      <c r="AW59" s="272">
        <f t="shared" si="28"/>
        <v>0</v>
      </c>
      <c r="AX59" s="272">
        <f t="shared" si="28"/>
        <v>0</v>
      </c>
      <c r="AY59" s="272">
        <f t="shared" si="28"/>
        <v>0</v>
      </c>
      <c r="AZ59" s="272">
        <f t="shared" si="28"/>
        <v>0</v>
      </c>
      <c r="BA59" s="272">
        <f t="shared" si="28"/>
        <v>0</v>
      </c>
      <c r="BB59" s="260"/>
      <c r="BC59" s="260"/>
      <c r="BD59" s="275">
        <f t="shared" si="5"/>
        <v>0</v>
      </c>
    </row>
    <row r="60" spans="1:56" ht="14.5" outlineLevel="1" x14ac:dyDescent="0.35">
      <c r="A60" s="276">
        <f>VLOOKUP(B60,Planning!B:F,5,FALSE)</f>
        <v>0</v>
      </c>
      <c r="B60" s="365"/>
      <c r="C60" s="358"/>
      <c r="D60" s="359" t="str">
        <f t="shared" si="17"/>
        <v/>
      </c>
      <c r="E60" s="359"/>
      <c r="F60" s="360">
        <f t="shared" si="20"/>
        <v>0</v>
      </c>
      <c r="G60" s="360">
        <f t="shared" si="20"/>
        <v>0</v>
      </c>
      <c r="H60" s="360">
        <f t="shared" si="20"/>
        <v>0</v>
      </c>
      <c r="I60" s="360">
        <f t="shared" si="20"/>
        <v>0</v>
      </c>
      <c r="J60" s="360">
        <f t="shared" si="20"/>
        <v>0</v>
      </c>
      <c r="K60" s="360">
        <f t="shared" ref="K60:Y71" si="30">IFERROR(INDEX(Horaires,MATCH($D60,Horaires_v,0),MATCH(K$2,Horaires_h,0)),0)</f>
        <v>0</v>
      </c>
      <c r="L60" s="360">
        <f t="shared" si="30"/>
        <v>0</v>
      </c>
      <c r="M60" s="360">
        <f t="shared" si="30"/>
        <v>0</v>
      </c>
      <c r="N60" s="360">
        <f t="shared" si="30"/>
        <v>0</v>
      </c>
      <c r="O60" s="360">
        <f t="shared" si="30"/>
        <v>0</v>
      </c>
      <c r="P60" s="360">
        <f t="shared" si="30"/>
        <v>0</v>
      </c>
      <c r="Q60" s="360">
        <f t="shared" si="30"/>
        <v>0</v>
      </c>
      <c r="R60" s="360">
        <f t="shared" si="30"/>
        <v>0</v>
      </c>
      <c r="S60" s="360">
        <f t="shared" si="30"/>
        <v>0</v>
      </c>
      <c r="T60" s="360">
        <f t="shared" si="30"/>
        <v>0</v>
      </c>
      <c r="U60" s="360">
        <f t="shared" si="30"/>
        <v>0</v>
      </c>
      <c r="V60" s="360">
        <f t="shared" si="30"/>
        <v>0</v>
      </c>
      <c r="W60" s="360">
        <f t="shared" si="30"/>
        <v>0</v>
      </c>
      <c r="X60" s="360">
        <f t="shared" si="30"/>
        <v>0</v>
      </c>
      <c r="Y60" s="360">
        <f t="shared" si="30"/>
        <v>0</v>
      </c>
      <c r="Z60" s="360">
        <f t="shared" si="24"/>
        <v>0</v>
      </c>
      <c r="AA60" s="360">
        <f t="shared" si="24"/>
        <v>0</v>
      </c>
      <c r="AB60" s="360">
        <f t="shared" si="24"/>
        <v>0</v>
      </c>
      <c r="AC60" s="360">
        <f t="shared" si="24"/>
        <v>0</v>
      </c>
      <c r="AD60" s="360">
        <f t="shared" si="24"/>
        <v>0</v>
      </c>
      <c r="AE60" s="360">
        <f t="shared" si="24"/>
        <v>0</v>
      </c>
      <c r="AF60" s="360">
        <f t="shared" si="24"/>
        <v>0</v>
      </c>
      <c r="AG60" s="360">
        <f t="shared" si="24"/>
        <v>0</v>
      </c>
      <c r="AH60" s="360">
        <f t="shared" si="24"/>
        <v>0</v>
      </c>
      <c r="AI60" s="360">
        <f t="shared" si="24"/>
        <v>0</v>
      </c>
      <c r="AJ60" s="360">
        <f t="shared" si="13"/>
        <v>0</v>
      </c>
      <c r="AK60" s="360">
        <f t="shared" si="13"/>
        <v>0</v>
      </c>
      <c r="AL60" s="360">
        <f t="shared" si="13"/>
        <v>0</v>
      </c>
      <c r="AM60" s="360">
        <f t="shared" si="13"/>
        <v>0</v>
      </c>
      <c r="AN60" s="361">
        <f t="shared" si="13"/>
        <v>0</v>
      </c>
      <c r="AO60" s="271">
        <f t="shared" si="27"/>
        <v>0</v>
      </c>
      <c r="AP60" s="272">
        <f t="shared" si="27"/>
        <v>0</v>
      </c>
      <c r="AQ60" s="272">
        <f t="shared" si="27"/>
        <v>0</v>
      </c>
      <c r="AR60" s="272">
        <f t="shared" si="27"/>
        <v>0</v>
      </c>
      <c r="AS60" s="272">
        <f t="shared" si="27"/>
        <v>0</v>
      </c>
      <c r="AT60" s="272">
        <f t="shared" si="28"/>
        <v>0</v>
      </c>
      <c r="AU60" s="272">
        <f t="shared" si="28"/>
        <v>0</v>
      </c>
      <c r="AV60" s="272">
        <f t="shared" si="28"/>
        <v>0</v>
      </c>
      <c r="AW60" s="272">
        <f t="shared" si="28"/>
        <v>0</v>
      </c>
      <c r="AX60" s="272">
        <f t="shared" si="28"/>
        <v>0</v>
      </c>
      <c r="AY60" s="272">
        <f t="shared" si="28"/>
        <v>0</v>
      </c>
      <c r="AZ60" s="272">
        <f t="shared" si="28"/>
        <v>0</v>
      </c>
      <c r="BA60" s="272">
        <f t="shared" si="28"/>
        <v>0</v>
      </c>
      <c r="BB60" s="260"/>
      <c r="BC60" s="260"/>
      <c r="BD60" s="275">
        <f t="shared" si="5"/>
        <v>0</v>
      </c>
    </row>
    <row r="61" spans="1:56" ht="14.5" outlineLevel="1" x14ac:dyDescent="0.35">
      <c r="A61" s="276">
        <f>VLOOKUP(B61,Planning!B:F,5,FALSE)</f>
        <v>0</v>
      </c>
      <c r="B61" s="365"/>
      <c r="C61" s="358"/>
      <c r="D61" s="359" t="str">
        <f t="shared" si="17"/>
        <v/>
      </c>
      <c r="E61" s="359"/>
      <c r="F61" s="360">
        <f t="shared" ref="F61:O71" si="31">IFERROR(INDEX(Horaires,MATCH($D61,Horaires_v,0),MATCH(F$2,Horaires_h,0)),0)</f>
        <v>0</v>
      </c>
      <c r="G61" s="360">
        <f t="shared" si="31"/>
        <v>0</v>
      </c>
      <c r="H61" s="360">
        <f t="shared" si="31"/>
        <v>0</v>
      </c>
      <c r="I61" s="360">
        <f t="shared" si="31"/>
        <v>0</v>
      </c>
      <c r="J61" s="360">
        <f t="shared" si="31"/>
        <v>0</v>
      </c>
      <c r="K61" s="360">
        <f t="shared" si="31"/>
        <v>0</v>
      </c>
      <c r="L61" s="360">
        <f t="shared" si="31"/>
        <v>0</v>
      </c>
      <c r="M61" s="360">
        <f t="shared" si="31"/>
        <v>0</v>
      </c>
      <c r="N61" s="360">
        <f t="shared" si="31"/>
        <v>0</v>
      </c>
      <c r="O61" s="360">
        <f t="shared" si="31"/>
        <v>0</v>
      </c>
      <c r="P61" s="360">
        <f t="shared" si="30"/>
        <v>0</v>
      </c>
      <c r="Q61" s="360">
        <f t="shared" si="30"/>
        <v>0</v>
      </c>
      <c r="R61" s="360">
        <f t="shared" si="30"/>
        <v>0</v>
      </c>
      <c r="S61" s="360">
        <f t="shared" si="30"/>
        <v>0</v>
      </c>
      <c r="T61" s="360">
        <f t="shared" si="30"/>
        <v>0</v>
      </c>
      <c r="U61" s="360">
        <f t="shared" si="30"/>
        <v>0</v>
      </c>
      <c r="V61" s="360">
        <f t="shared" si="30"/>
        <v>0</v>
      </c>
      <c r="W61" s="360">
        <f t="shared" si="30"/>
        <v>0</v>
      </c>
      <c r="X61" s="360">
        <f t="shared" si="30"/>
        <v>0</v>
      </c>
      <c r="Y61" s="360">
        <f t="shared" si="30"/>
        <v>0</v>
      </c>
      <c r="Z61" s="360">
        <f t="shared" si="24"/>
        <v>0</v>
      </c>
      <c r="AA61" s="360">
        <f t="shared" si="24"/>
        <v>0</v>
      </c>
      <c r="AB61" s="360">
        <f t="shared" si="24"/>
        <v>0</v>
      </c>
      <c r="AC61" s="360">
        <f t="shared" si="24"/>
        <v>0</v>
      </c>
      <c r="AD61" s="360">
        <f t="shared" si="24"/>
        <v>0</v>
      </c>
      <c r="AE61" s="360">
        <f t="shared" si="24"/>
        <v>0</v>
      </c>
      <c r="AF61" s="360">
        <f t="shared" si="24"/>
        <v>0</v>
      </c>
      <c r="AG61" s="360">
        <f t="shared" si="24"/>
        <v>0</v>
      </c>
      <c r="AH61" s="360">
        <f t="shared" si="24"/>
        <v>0</v>
      </c>
      <c r="AI61" s="360">
        <f t="shared" si="24"/>
        <v>0</v>
      </c>
      <c r="AJ61" s="360">
        <f t="shared" si="13"/>
        <v>0</v>
      </c>
      <c r="AK61" s="360">
        <f t="shared" si="13"/>
        <v>0</v>
      </c>
      <c r="AL61" s="360">
        <f t="shared" si="13"/>
        <v>0</v>
      </c>
      <c r="AM61" s="360">
        <f t="shared" si="13"/>
        <v>0</v>
      </c>
      <c r="AN61" s="361">
        <f t="shared" si="13"/>
        <v>0</v>
      </c>
      <c r="AO61" s="271">
        <f t="shared" si="27"/>
        <v>0</v>
      </c>
      <c r="AP61" s="272">
        <f t="shared" si="27"/>
        <v>0</v>
      </c>
      <c r="AQ61" s="272">
        <f t="shared" si="27"/>
        <v>0</v>
      </c>
      <c r="AR61" s="272">
        <f t="shared" si="27"/>
        <v>0</v>
      </c>
      <c r="AS61" s="272">
        <f t="shared" si="27"/>
        <v>0</v>
      </c>
      <c r="AT61" s="272">
        <f t="shared" si="28"/>
        <v>0</v>
      </c>
      <c r="AU61" s="272">
        <f t="shared" si="28"/>
        <v>0</v>
      </c>
      <c r="AV61" s="272">
        <f t="shared" si="28"/>
        <v>0</v>
      </c>
      <c r="AW61" s="272">
        <f t="shared" si="28"/>
        <v>0</v>
      </c>
      <c r="AX61" s="272">
        <f t="shared" si="28"/>
        <v>0</v>
      </c>
      <c r="AY61" s="272">
        <f t="shared" si="28"/>
        <v>0</v>
      </c>
      <c r="AZ61" s="272">
        <f t="shared" si="28"/>
        <v>0</v>
      </c>
      <c r="BA61" s="272">
        <f t="shared" si="28"/>
        <v>0</v>
      </c>
      <c r="BB61" s="260"/>
      <c r="BC61" s="260"/>
      <c r="BD61" s="275">
        <f t="shared" si="5"/>
        <v>0</v>
      </c>
    </row>
    <row r="62" spans="1:56" ht="14.5" outlineLevel="1" x14ac:dyDescent="0.35">
      <c r="A62" s="276">
        <f>VLOOKUP(B62,Planning!B:F,5,FALSE)</f>
        <v>0</v>
      </c>
      <c r="B62" s="365"/>
      <c r="C62" s="358"/>
      <c r="D62" s="359" t="str">
        <f t="shared" si="17"/>
        <v/>
      </c>
      <c r="E62" s="359"/>
      <c r="F62" s="360">
        <f t="shared" si="31"/>
        <v>0</v>
      </c>
      <c r="G62" s="360">
        <f t="shared" si="31"/>
        <v>0</v>
      </c>
      <c r="H62" s="360">
        <f t="shared" si="31"/>
        <v>0</v>
      </c>
      <c r="I62" s="360">
        <f t="shared" si="31"/>
        <v>0</v>
      </c>
      <c r="J62" s="360">
        <f t="shared" si="31"/>
        <v>0</v>
      </c>
      <c r="K62" s="360">
        <f t="shared" si="31"/>
        <v>0</v>
      </c>
      <c r="L62" s="360">
        <f t="shared" si="31"/>
        <v>0</v>
      </c>
      <c r="M62" s="360">
        <f t="shared" si="31"/>
        <v>0</v>
      </c>
      <c r="N62" s="360">
        <f t="shared" si="31"/>
        <v>0</v>
      </c>
      <c r="O62" s="360">
        <f t="shared" si="31"/>
        <v>0</v>
      </c>
      <c r="P62" s="360">
        <f t="shared" si="30"/>
        <v>0</v>
      </c>
      <c r="Q62" s="360">
        <f t="shared" si="30"/>
        <v>0</v>
      </c>
      <c r="R62" s="360">
        <f t="shared" si="30"/>
        <v>0</v>
      </c>
      <c r="S62" s="360">
        <f t="shared" si="30"/>
        <v>0</v>
      </c>
      <c r="T62" s="360">
        <f t="shared" si="30"/>
        <v>0</v>
      </c>
      <c r="U62" s="360">
        <f t="shared" si="30"/>
        <v>0</v>
      </c>
      <c r="V62" s="360">
        <f t="shared" si="30"/>
        <v>0</v>
      </c>
      <c r="W62" s="360">
        <f t="shared" si="30"/>
        <v>0</v>
      </c>
      <c r="X62" s="360">
        <f t="shared" si="30"/>
        <v>0</v>
      </c>
      <c r="Y62" s="360">
        <f t="shared" si="30"/>
        <v>0</v>
      </c>
      <c r="Z62" s="360">
        <f t="shared" si="24"/>
        <v>0</v>
      </c>
      <c r="AA62" s="360">
        <f t="shared" si="24"/>
        <v>0</v>
      </c>
      <c r="AB62" s="360">
        <f t="shared" si="24"/>
        <v>0</v>
      </c>
      <c r="AC62" s="360">
        <f t="shared" si="24"/>
        <v>0</v>
      </c>
      <c r="AD62" s="360">
        <f t="shared" si="24"/>
        <v>0</v>
      </c>
      <c r="AE62" s="360">
        <f t="shared" si="24"/>
        <v>0</v>
      </c>
      <c r="AF62" s="360">
        <f t="shared" si="24"/>
        <v>0</v>
      </c>
      <c r="AG62" s="360">
        <f t="shared" si="24"/>
        <v>0</v>
      </c>
      <c r="AH62" s="360">
        <f t="shared" si="24"/>
        <v>0</v>
      </c>
      <c r="AI62" s="360">
        <f t="shared" si="24"/>
        <v>0</v>
      </c>
      <c r="AJ62" s="360">
        <f t="shared" si="13"/>
        <v>0</v>
      </c>
      <c r="AK62" s="360">
        <f t="shared" si="13"/>
        <v>0</v>
      </c>
      <c r="AL62" s="360">
        <f t="shared" si="13"/>
        <v>0</v>
      </c>
      <c r="AM62" s="360">
        <f t="shared" si="13"/>
        <v>0</v>
      </c>
      <c r="AN62" s="361">
        <f t="shared" si="13"/>
        <v>0</v>
      </c>
      <c r="AO62" s="271">
        <f t="shared" si="27"/>
        <v>0</v>
      </c>
      <c r="AP62" s="272">
        <f t="shared" si="27"/>
        <v>0</v>
      </c>
      <c r="AQ62" s="272">
        <f t="shared" si="27"/>
        <v>0</v>
      </c>
      <c r="AR62" s="272">
        <f t="shared" si="27"/>
        <v>0</v>
      </c>
      <c r="AS62" s="272">
        <f t="shared" si="27"/>
        <v>0</v>
      </c>
      <c r="AT62" s="272">
        <f t="shared" si="28"/>
        <v>0</v>
      </c>
      <c r="AU62" s="272">
        <f t="shared" si="28"/>
        <v>0</v>
      </c>
      <c r="AV62" s="272">
        <f t="shared" si="28"/>
        <v>0</v>
      </c>
      <c r="AW62" s="272">
        <f t="shared" si="28"/>
        <v>0</v>
      </c>
      <c r="AX62" s="272">
        <f t="shared" si="28"/>
        <v>0</v>
      </c>
      <c r="AY62" s="272">
        <f t="shared" si="28"/>
        <v>0</v>
      </c>
      <c r="AZ62" s="272">
        <f t="shared" si="28"/>
        <v>0</v>
      </c>
      <c r="BA62" s="272">
        <f t="shared" si="28"/>
        <v>0</v>
      </c>
      <c r="BB62" s="260"/>
      <c r="BC62" s="260"/>
      <c r="BD62" s="275">
        <f t="shared" si="5"/>
        <v>0</v>
      </c>
    </row>
    <row r="63" spans="1:56" ht="14.5" outlineLevel="1" x14ac:dyDescent="0.35">
      <c r="A63" s="276">
        <f>VLOOKUP(B63,Planning!B:F,5,FALSE)</f>
        <v>0</v>
      </c>
      <c r="B63" s="365"/>
      <c r="C63" s="358"/>
      <c r="D63" s="359" t="str">
        <f t="shared" si="17"/>
        <v/>
      </c>
      <c r="E63" s="359"/>
      <c r="F63" s="360">
        <f t="shared" si="31"/>
        <v>0</v>
      </c>
      <c r="G63" s="360">
        <f t="shared" si="31"/>
        <v>0</v>
      </c>
      <c r="H63" s="360">
        <f t="shared" si="31"/>
        <v>0</v>
      </c>
      <c r="I63" s="360">
        <f t="shared" si="31"/>
        <v>0</v>
      </c>
      <c r="J63" s="360">
        <f t="shared" si="31"/>
        <v>0</v>
      </c>
      <c r="K63" s="360">
        <f t="shared" si="31"/>
        <v>0</v>
      </c>
      <c r="L63" s="360">
        <f t="shared" si="31"/>
        <v>0</v>
      </c>
      <c r="M63" s="360">
        <f t="shared" si="31"/>
        <v>0</v>
      </c>
      <c r="N63" s="360">
        <f t="shared" si="31"/>
        <v>0</v>
      </c>
      <c r="O63" s="360">
        <f t="shared" si="31"/>
        <v>0</v>
      </c>
      <c r="P63" s="360">
        <f t="shared" si="30"/>
        <v>0</v>
      </c>
      <c r="Q63" s="360">
        <f t="shared" si="30"/>
        <v>0</v>
      </c>
      <c r="R63" s="360">
        <f t="shared" si="30"/>
        <v>0</v>
      </c>
      <c r="S63" s="360">
        <f t="shared" si="30"/>
        <v>0</v>
      </c>
      <c r="T63" s="360">
        <f t="shared" si="30"/>
        <v>0</v>
      </c>
      <c r="U63" s="360">
        <f t="shared" si="30"/>
        <v>0</v>
      </c>
      <c r="V63" s="360">
        <f t="shared" si="30"/>
        <v>0</v>
      </c>
      <c r="W63" s="360">
        <f t="shared" si="30"/>
        <v>0</v>
      </c>
      <c r="X63" s="360">
        <f t="shared" si="30"/>
        <v>0</v>
      </c>
      <c r="Y63" s="360">
        <f t="shared" si="30"/>
        <v>0</v>
      </c>
      <c r="Z63" s="360">
        <f t="shared" si="24"/>
        <v>0</v>
      </c>
      <c r="AA63" s="360">
        <f t="shared" si="24"/>
        <v>0</v>
      </c>
      <c r="AB63" s="360">
        <f t="shared" si="24"/>
        <v>0</v>
      </c>
      <c r="AC63" s="360">
        <f t="shared" si="24"/>
        <v>0</v>
      </c>
      <c r="AD63" s="360">
        <f t="shared" si="24"/>
        <v>0</v>
      </c>
      <c r="AE63" s="360">
        <f t="shared" si="24"/>
        <v>0</v>
      </c>
      <c r="AF63" s="360">
        <f t="shared" si="24"/>
        <v>0</v>
      </c>
      <c r="AG63" s="360">
        <f t="shared" si="24"/>
        <v>0</v>
      </c>
      <c r="AH63" s="360">
        <f t="shared" ref="Z63:AI71" si="32">IFERROR(INDEX(Horaires,MATCH($D63,Horaires_v,0),MATCH(AH$2,Horaires_h,0)),0)</f>
        <v>0</v>
      </c>
      <c r="AI63" s="360">
        <f t="shared" si="32"/>
        <v>0</v>
      </c>
      <c r="AJ63" s="360">
        <f t="shared" si="13"/>
        <v>0</v>
      </c>
      <c r="AK63" s="360">
        <f t="shared" si="13"/>
        <v>0</v>
      </c>
      <c r="AL63" s="360">
        <f t="shared" si="13"/>
        <v>0</v>
      </c>
      <c r="AM63" s="360">
        <f t="shared" si="13"/>
        <v>0</v>
      </c>
      <c r="AN63" s="361">
        <f t="shared" si="13"/>
        <v>0</v>
      </c>
      <c r="AO63" s="271">
        <f t="shared" ref="AO63:BA63" si="33">IFERROR(INDEX(Horaires,MATCH($D63,Horaires_v,0),MATCH(AO$2,Horaires_h,0)),0)</f>
        <v>0</v>
      </c>
      <c r="AP63" s="272">
        <f t="shared" si="33"/>
        <v>0</v>
      </c>
      <c r="AQ63" s="272">
        <f t="shared" si="33"/>
        <v>0</v>
      </c>
      <c r="AR63" s="272">
        <f t="shared" si="33"/>
        <v>0</v>
      </c>
      <c r="AS63" s="272">
        <f t="shared" si="33"/>
        <v>0</v>
      </c>
      <c r="AT63" s="272">
        <f t="shared" si="33"/>
        <v>0</v>
      </c>
      <c r="AU63" s="272">
        <f t="shared" si="33"/>
        <v>0</v>
      </c>
      <c r="AV63" s="272">
        <f t="shared" si="33"/>
        <v>0</v>
      </c>
      <c r="AW63" s="272">
        <f t="shared" si="33"/>
        <v>0</v>
      </c>
      <c r="AX63" s="272">
        <f t="shared" si="33"/>
        <v>0</v>
      </c>
      <c r="AY63" s="272">
        <f t="shared" si="33"/>
        <v>0</v>
      </c>
      <c r="AZ63" s="272">
        <f t="shared" si="33"/>
        <v>0</v>
      </c>
      <c r="BA63" s="272">
        <f t="shared" si="33"/>
        <v>0</v>
      </c>
      <c r="BB63" s="260"/>
      <c r="BC63" s="260"/>
      <c r="BD63" s="275">
        <f t="shared" si="5"/>
        <v>0</v>
      </c>
    </row>
    <row r="64" spans="1:56" ht="14.5" outlineLevel="1" x14ac:dyDescent="0.35">
      <c r="A64" s="276">
        <f>VLOOKUP(B64,Planning!B:F,5,FALSE)</f>
        <v>0</v>
      </c>
      <c r="B64" s="365"/>
      <c r="C64" s="358"/>
      <c r="D64" s="359" t="str">
        <f t="shared" si="17"/>
        <v/>
      </c>
      <c r="E64" s="359"/>
      <c r="F64" s="360">
        <f t="shared" si="31"/>
        <v>0</v>
      </c>
      <c r="G64" s="360">
        <f t="shared" si="31"/>
        <v>0</v>
      </c>
      <c r="H64" s="360">
        <f t="shared" si="31"/>
        <v>0</v>
      </c>
      <c r="I64" s="360">
        <f t="shared" si="31"/>
        <v>0</v>
      </c>
      <c r="J64" s="360">
        <f t="shared" si="31"/>
        <v>0</v>
      </c>
      <c r="K64" s="360">
        <f t="shared" si="31"/>
        <v>0</v>
      </c>
      <c r="L64" s="360">
        <f t="shared" si="31"/>
        <v>0</v>
      </c>
      <c r="M64" s="360">
        <f t="shared" si="31"/>
        <v>0</v>
      </c>
      <c r="N64" s="360">
        <f t="shared" si="31"/>
        <v>0</v>
      </c>
      <c r="O64" s="360">
        <f t="shared" si="31"/>
        <v>0</v>
      </c>
      <c r="P64" s="360">
        <f t="shared" si="30"/>
        <v>0</v>
      </c>
      <c r="Q64" s="360">
        <f t="shared" si="30"/>
        <v>0</v>
      </c>
      <c r="R64" s="360">
        <f t="shared" si="30"/>
        <v>0</v>
      </c>
      <c r="S64" s="360">
        <f t="shared" si="30"/>
        <v>0</v>
      </c>
      <c r="T64" s="360">
        <f t="shared" si="30"/>
        <v>0</v>
      </c>
      <c r="U64" s="360">
        <f t="shared" si="30"/>
        <v>0</v>
      </c>
      <c r="V64" s="360">
        <f t="shared" si="30"/>
        <v>0</v>
      </c>
      <c r="W64" s="360">
        <f t="shared" si="30"/>
        <v>0</v>
      </c>
      <c r="X64" s="360">
        <f t="shared" si="30"/>
        <v>0</v>
      </c>
      <c r="Y64" s="360">
        <f t="shared" si="30"/>
        <v>0</v>
      </c>
      <c r="Z64" s="360">
        <f t="shared" si="32"/>
        <v>0</v>
      </c>
      <c r="AA64" s="360">
        <f t="shared" si="32"/>
        <v>0</v>
      </c>
      <c r="AB64" s="360">
        <f t="shared" si="32"/>
        <v>0</v>
      </c>
      <c r="AC64" s="360">
        <f t="shared" si="32"/>
        <v>0</v>
      </c>
      <c r="AD64" s="360">
        <f t="shared" si="32"/>
        <v>0</v>
      </c>
      <c r="AE64" s="360">
        <f t="shared" si="32"/>
        <v>0</v>
      </c>
      <c r="AF64" s="360">
        <f t="shared" si="32"/>
        <v>0</v>
      </c>
      <c r="AG64" s="360">
        <f t="shared" si="32"/>
        <v>0</v>
      </c>
      <c r="AH64" s="360">
        <f t="shared" si="32"/>
        <v>0</v>
      </c>
      <c r="AI64" s="360">
        <f t="shared" si="32"/>
        <v>0</v>
      </c>
      <c r="AJ64" s="360">
        <f t="shared" si="13"/>
        <v>0</v>
      </c>
      <c r="AK64" s="360">
        <f t="shared" si="13"/>
        <v>0</v>
      </c>
      <c r="AL64" s="360">
        <f t="shared" si="13"/>
        <v>0</v>
      </c>
      <c r="AM64" s="360">
        <f t="shared" si="13"/>
        <v>0</v>
      </c>
      <c r="AN64" s="361">
        <f t="shared" si="13"/>
        <v>0</v>
      </c>
      <c r="AO64" s="271"/>
      <c r="AP64" s="272"/>
      <c r="AQ64" s="272"/>
      <c r="AR64" s="272"/>
      <c r="AS64" s="272"/>
      <c r="AT64" s="272"/>
      <c r="AU64" s="272"/>
      <c r="AV64" s="272"/>
      <c r="AW64" s="272"/>
      <c r="AX64" s="272"/>
      <c r="AY64" s="272"/>
      <c r="AZ64" s="272"/>
      <c r="BA64" s="272"/>
      <c r="BB64" s="260"/>
      <c r="BC64" s="260"/>
      <c r="BD64" s="275">
        <f t="shared" si="5"/>
        <v>0</v>
      </c>
    </row>
    <row r="65" spans="1:78" ht="14.5" outlineLevel="1" x14ac:dyDescent="0.35">
      <c r="A65" s="276">
        <f>VLOOKUP(B65,Planning!B:F,5,FALSE)</f>
        <v>0</v>
      </c>
      <c r="B65" s="365"/>
      <c r="C65" s="358"/>
      <c r="D65" s="359" t="str">
        <f t="shared" si="17"/>
        <v/>
      </c>
      <c r="E65" s="359"/>
      <c r="F65" s="360">
        <f t="shared" si="31"/>
        <v>0</v>
      </c>
      <c r="G65" s="360">
        <f t="shared" si="31"/>
        <v>0</v>
      </c>
      <c r="H65" s="360">
        <f t="shared" si="31"/>
        <v>0</v>
      </c>
      <c r="I65" s="360">
        <f t="shared" si="31"/>
        <v>0</v>
      </c>
      <c r="J65" s="360">
        <f t="shared" si="31"/>
        <v>0</v>
      </c>
      <c r="K65" s="360">
        <f t="shared" si="31"/>
        <v>0</v>
      </c>
      <c r="L65" s="360">
        <f t="shared" si="31"/>
        <v>0</v>
      </c>
      <c r="M65" s="360">
        <f t="shared" si="31"/>
        <v>0</v>
      </c>
      <c r="N65" s="360">
        <f t="shared" si="31"/>
        <v>0</v>
      </c>
      <c r="O65" s="360">
        <f t="shared" si="31"/>
        <v>0</v>
      </c>
      <c r="P65" s="360">
        <f t="shared" si="30"/>
        <v>0</v>
      </c>
      <c r="Q65" s="360">
        <f t="shared" si="30"/>
        <v>0</v>
      </c>
      <c r="R65" s="360">
        <f t="shared" si="30"/>
        <v>0</v>
      </c>
      <c r="S65" s="360">
        <f t="shared" si="30"/>
        <v>0</v>
      </c>
      <c r="T65" s="360">
        <f t="shared" si="30"/>
        <v>0</v>
      </c>
      <c r="U65" s="360">
        <f t="shared" si="30"/>
        <v>0</v>
      </c>
      <c r="V65" s="360">
        <f t="shared" si="30"/>
        <v>0</v>
      </c>
      <c r="W65" s="360">
        <f t="shared" si="30"/>
        <v>0</v>
      </c>
      <c r="X65" s="360">
        <f t="shared" si="30"/>
        <v>0</v>
      </c>
      <c r="Y65" s="360">
        <f t="shared" si="30"/>
        <v>0</v>
      </c>
      <c r="Z65" s="360">
        <f t="shared" si="32"/>
        <v>0</v>
      </c>
      <c r="AA65" s="360">
        <f t="shared" si="32"/>
        <v>0</v>
      </c>
      <c r="AB65" s="360">
        <f t="shared" si="32"/>
        <v>0</v>
      </c>
      <c r="AC65" s="360">
        <f t="shared" si="32"/>
        <v>0</v>
      </c>
      <c r="AD65" s="360">
        <f t="shared" si="32"/>
        <v>0</v>
      </c>
      <c r="AE65" s="360">
        <f t="shared" si="32"/>
        <v>0</v>
      </c>
      <c r="AF65" s="360">
        <f t="shared" si="32"/>
        <v>0</v>
      </c>
      <c r="AG65" s="360">
        <f t="shared" si="32"/>
        <v>0</v>
      </c>
      <c r="AH65" s="360">
        <f t="shared" si="32"/>
        <v>0</v>
      </c>
      <c r="AI65" s="360">
        <f t="shared" si="32"/>
        <v>0</v>
      </c>
      <c r="AJ65" s="360">
        <f t="shared" si="13"/>
        <v>0</v>
      </c>
      <c r="AK65" s="360">
        <f t="shared" si="13"/>
        <v>0</v>
      </c>
      <c r="AL65" s="360">
        <f t="shared" si="13"/>
        <v>0</v>
      </c>
      <c r="AM65" s="360">
        <f t="shared" si="13"/>
        <v>0</v>
      </c>
      <c r="AN65" s="361">
        <f t="shared" si="13"/>
        <v>0</v>
      </c>
      <c r="AO65" s="271">
        <f t="shared" ref="AO65:AS71" si="34">IFERROR(INDEX(Horaires,MATCH($D65,Horaires_v,0),MATCH(AO$2,Horaires_h,0)),0)</f>
        <v>0</v>
      </c>
      <c r="AP65" s="272">
        <f t="shared" si="34"/>
        <v>0</v>
      </c>
      <c r="AQ65" s="272">
        <f t="shared" si="34"/>
        <v>0</v>
      </c>
      <c r="AR65" s="272">
        <f t="shared" si="34"/>
        <v>0</v>
      </c>
      <c r="AS65" s="272">
        <f t="shared" si="34"/>
        <v>0</v>
      </c>
      <c r="AT65" s="272">
        <f t="shared" ref="AT65:BA71" si="35">IFERROR(INDEX(Horaires,MATCH($D65,Horaires_v,0),MATCH(AT$2,Horaires_h,0)),0)</f>
        <v>0</v>
      </c>
      <c r="AU65" s="272">
        <f t="shared" si="35"/>
        <v>0</v>
      </c>
      <c r="AV65" s="272">
        <f t="shared" si="35"/>
        <v>0</v>
      </c>
      <c r="AW65" s="272">
        <f t="shared" si="35"/>
        <v>0</v>
      </c>
      <c r="AX65" s="272">
        <f t="shared" si="35"/>
        <v>0</v>
      </c>
      <c r="AY65" s="272">
        <f t="shared" si="35"/>
        <v>0</v>
      </c>
      <c r="AZ65" s="272">
        <f t="shared" si="35"/>
        <v>0</v>
      </c>
      <c r="BA65" s="272">
        <f t="shared" si="35"/>
        <v>0</v>
      </c>
      <c r="BB65" s="260"/>
      <c r="BC65" s="260"/>
      <c r="BD65" s="275">
        <f t="shared" si="5"/>
        <v>0</v>
      </c>
    </row>
    <row r="66" spans="1:78" ht="14.5" outlineLevel="1" x14ac:dyDescent="0.35">
      <c r="A66" s="276">
        <f>VLOOKUP(B66,Planning!B:F,5,FALSE)</f>
        <v>0</v>
      </c>
      <c r="B66" s="365"/>
      <c r="C66" s="358"/>
      <c r="D66" s="359" t="str">
        <f t="shared" si="17"/>
        <v/>
      </c>
      <c r="E66" s="359"/>
      <c r="F66" s="360">
        <f t="shared" si="31"/>
        <v>0</v>
      </c>
      <c r="G66" s="360">
        <f t="shared" si="31"/>
        <v>0</v>
      </c>
      <c r="H66" s="360">
        <f t="shared" si="31"/>
        <v>0</v>
      </c>
      <c r="I66" s="360">
        <f t="shared" si="31"/>
        <v>0</v>
      </c>
      <c r="J66" s="360">
        <f t="shared" si="31"/>
        <v>0</v>
      </c>
      <c r="K66" s="360">
        <f t="shared" si="31"/>
        <v>0</v>
      </c>
      <c r="L66" s="360">
        <f t="shared" si="31"/>
        <v>0</v>
      </c>
      <c r="M66" s="360">
        <f t="shared" si="31"/>
        <v>0</v>
      </c>
      <c r="N66" s="360">
        <f t="shared" si="31"/>
        <v>0</v>
      </c>
      <c r="O66" s="360">
        <f t="shared" si="31"/>
        <v>0</v>
      </c>
      <c r="P66" s="360">
        <f t="shared" si="30"/>
        <v>0</v>
      </c>
      <c r="Q66" s="360">
        <f t="shared" si="30"/>
        <v>0</v>
      </c>
      <c r="R66" s="360">
        <f t="shared" si="30"/>
        <v>0</v>
      </c>
      <c r="S66" s="360">
        <f t="shared" si="30"/>
        <v>0</v>
      </c>
      <c r="T66" s="360">
        <f t="shared" si="30"/>
        <v>0</v>
      </c>
      <c r="U66" s="360">
        <f t="shared" si="30"/>
        <v>0</v>
      </c>
      <c r="V66" s="360">
        <f t="shared" si="30"/>
        <v>0</v>
      </c>
      <c r="W66" s="360">
        <f t="shared" si="30"/>
        <v>0</v>
      </c>
      <c r="X66" s="360">
        <f t="shared" si="30"/>
        <v>0</v>
      </c>
      <c r="Y66" s="360">
        <f t="shared" si="30"/>
        <v>0</v>
      </c>
      <c r="Z66" s="360">
        <f t="shared" si="32"/>
        <v>0</v>
      </c>
      <c r="AA66" s="360">
        <f t="shared" si="32"/>
        <v>0</v>
      </c>
      <c r="AB66" s="360">
        <f t="shared" si="32"/>
        <v>0</v>
      </c>
      <c r="AC66" s="360">
        <f t="shared" si="32"/>
        <v>0</v>
      </c>
      <c r="AD66" s="360">
        <f t="shared" si="32"/>
        <v>0</v>
      </c>
      <c r="AE66" s="360">
        <f t="shared" si="32"/>
        <v>0</v>
      </c>
      <c r="AF66" s="360">
        <f t="shared" si="32"/>
        <v>0</v>
      </c>
      <c r="AG66" s="360">
        <f t="shared" si="32"/>
        <v>0</v>
      </c>
      <c r="AH66" s="360">
        <f t="shared" si="32"/>
        <v>0</v>
      </c>
      <c r="AI66" s="360">
        <f t="shared" si="32"/>
        <v>0</v>
      </c>
      <c r="AJ66" s="360">
        <f t="shared" si="13"/>
        <v>0</v>
      </c>
      <c r="AK66" s="360">
        <f t="shared" si="13"/>
        <v>0</v>
      </c>
      <c r="AL66" s="360">
        <f t="shared" si="13"/>
        <v>0</v>
      </c>
      <c r="AM66" s="360">
        <f t="shared" si="13"/>
        <v>0</v>
      </c>
      <c r="AN66" s="361">
        <f t="shared" si="13"/>
        <v>0</v>
      </c>
      <c r="AO66" s="271"/>
      <c r="AP66" s="272"/>
      <c r="AQ66" s="272"/>
      <c r="AR66" s="272"/>
      <c r="AS66" s="272"/>
      <c r="AT66" s="272"/>
      <c r="AU66" s="272"/>
      <c r="AV66" s="272"/>
      <c r="AW66" s="272"/>
      <c r="AX66" s="272"/>
      <c r="AY66" s="272"/>
      <c r="AZ66" s="272"/>
      <c r="BA66" s="272"/>
      <c r="BB66" s="260"/>
      <c r="BC66" s="260"/>
      <c r="BD66" s="275">
        <f t="shared" si="5"/>
        <v>0</v>
      </c>
    </row>
    <row r="67" spans="1:78" ht="14.5" outlineLevel="1" x14ac:dyDescent="0.35">
      <c r="A67" s="276">
        <f>VLOOKUP(B67,Planning!B:F,5,FALSE)</f>
        <v>0</v>
      </c>
      <c r="B67" s="365"/>
      <c r="C67" s="358"/>
      <c r="D67" s="359" t="str">
        <f t="shared" si="17"/>
        <v/>
      </c>
      <c r="E67" s="359"/>
      <c r="F67" s="360">
        <f t="shared" si="31"/>
        <v>0</v>
      </c>
      <c r="G67" s="360">
        <f t="shared" si="31"/>
        <v>0</v>
      </c>
      <c r="H67" s="360">
        <f t="shared" si="31"/>
        <v>0</v>
      </c>
      <c r="I67" s="360">
        <f t="shared" si="31"/>
        <v>0</v>
      </c>
      <c r="J67" s="360">
        <f t="shared" si="31"/>
        <v>0</v>
      </c>
      <c r="K67" s="360">
        <f t="shared" si="31"/>
        <v>0</v>
      </c>
      <c r="L67" s="360">
        <f t="shared" si="31"/>
        <v>0</v>
      </c>
      <c r="M67" s="360">
        <f t="shared" si="31"/>
        <v>0</v>
      </c>
      <c r="N67" s="360">
        <f t="shared" si="31"/>
        <v>0</v>
      </c>
      <c r="O67" s="360">
        <f t="shared" si="31"/>
        <v>0</v>
      </c>
      <c r="P67" s="360">
        <f t="shared" si="30"/>
        <v>0</v>
      </c>
      <c r="Q67" s="360">
        <f t="shared" si="30"/>
        <v>0</v>
      </c>
      <c r="R67" s="360">
        <f t="shared" si="30"/>
        <v>0</v>
      </c>
      <c r="S67" s="360">
        <f t="shared" si="30"/>
        <v>0</v>
      </c>
      <c r="T67" s="360">
        <f t="shared" si="30"/>
        <v>0</v>
      </c>
      <c r="U67" s="360">
        <f t="shared" si="30"/>
        <v>0</v>
      </c>
      <c r="V67" s="360">
        <f t="shared" si="30"/>
        <v>0</v>
      </c>
      <c r="W67" s="360">
        <f t="shared" si="30"/>
        <v>0</v>
      </c>
      <c r="X67" s="360">
        <f t="shared" si="30"/>
        <v>0</v>
      </c>
      <c r="Y67" s="360">
        <f t="shared" si="30"/>
        <v>0</v>
      </c>
      <c r="Z67" s="360">
        <f t="shared" si="32"/>
        <v>0</v>
      </c>
      <c r="AA67" s="360">
        <f t="shared" si="32"/>
        <v>0</v>
      </c>
      <c r="AB67" s="360">
        <f t="shared" si="32"/>
        <v>0</v>
      </c>
      <c r="AC67" s="360">
        <f t="shared" si="32"/>
        <v>0</v>
      </c>
      <c r="AD67" s="360">
        <f t="shared" si="32"/>
        <v>0</v>
      </c>
      <c r="AE67" s="360">
        <f t="shared" si="32"/>
        <v>0</v>
      </c>
      <c r="AF67" s="360">
        <f t="shared" si="32"/>
        <v>0</v>
      </c>
      <c r="AG67" s="360">
        <f t="shared" si="32"/>
        <v>0</v>
      </c>
      <c r="AH67" s="360">
        <f t="shared" si="32"/>
        <v>0</v>
      </c>
      <c r="AI67" s="360">
        <f t="shared" si="32"/>
        <v>0</v>
      </c>
      <c r="AJ67" s="360">
        <f t="shared" si="13"/>
        <v>0</v>
      </c>
      <c r="AK67" s="360">
        <f t="shared" si="13"/>
        <v>0</v>
      </c>
      <c r="AL67" s="360">
        <f t="shared" si="13"/>
        <v>0</v>
      </c>
      <c r="AM67" s="360">
        <f t="shared" si="13"/>
        <v>0</v>
      </c>
      <c r="AN67" s="361">
        <f t="shared" si="13"/>
        <v>0</v>
      </c>
      <c r="AO67" s="271">
        <f t="shared" si="34"/>
        <v>0</v>
      </c>
      <c r="AP67" s="272">
        <f t="shared" si="34"/>
        <v>0</v>
      </c>
      <c r="AQ67" s="272">
        <f t="shared" si="34"/>
        <v>0</v>
      </c>
      <c r="AR67" s="272">
        <f t="shared" si="34"/>
        <v>0</v>
      </c>
      <c r="AS67" s="272">
        <f t="shared" si="34"/>
        <v>0</v>
      </c>
      <c r="AT67" s="272">
        <f t="shared" si="35"/>
        <v>0</v>
      </c>
      <c r="AU67" s="272">
        <f t="shared" si="35"/>
        <v>0</v>
      </c>
      <c r="AV67" s="272">
        <f t="shared" si="35"/>
        <v>0</v>
      </c>
      <c r="AW67" s="272">
        <f t="shared" si="35"/>
        <v>0</v>
      </c>
      <c r="AX67" s="272">
        <f t="shared" si="35"/>
        <v>0</v>
      </c>
      <c r="AY67" s="272">
        <f t="shared" si="35"/>
        <v>0</v>
      </c>
      <c r="AZ67" s="272">
        <f t="shared" si="35"/>
        <v>0</v>
      </c>
      <c r="BA67" s="272">
        <f t="shared" si="35"/>
        <v>0</v>
      </c>
      <c r="BB67" s="260"/>
      <c r="BC67" s="260"/>
      <c r="BD67" s="275">
        <f t="shared" si="5"/>
        <v>0</v>
      </c>
    </row>
    <row r="68" spans="1:78" ht="14.5" outlineLevel="1" x14ac:dyDescent="0.35">
      <c r="A68" s="276">
        <f>VLOOKUP(B68,Planning!B:F,5,FALSE)</f>
        <v>0</v>
      </c>
      <c r="B68" s="365"/>
      <c r="C68" s="358"/>
      <c r="D68" s="359" t="str">
        <f t="shared" si="17"/>
        <v/>
      </c>
      <c r="E68" s="359"/>
      <c r="F68" s="360">
        <f t="shared" si="31"/>
        <v>0</v>
      </c>
      <c r="G68" s="360">
        <f t="shared" si="31"/>
        <v>0</v>
      </c>
      <c r="H68" s="360">
        <f t="shared" si="31"/>
        <v>0</v>
      </c>
      <c r="I68" s="360">
        <f t="shared" si="31"/>
        <v>0</v>
      </c>
      <c r="J68" s="360">
        <f t="shared" si="31"/>
        <v>0</v>
      </c>
      <c r="K68" s="360">
        <f t="shared" si="31"/>
        <v>0</v>
      </c>
      <c r="L68" s="360">
        <f t="shared" si="31"/>
        <v>0</v>
      </c>
      <c r="M68" s="360">
        <f t="shared" si="31"/>
        <v>0</v>
      </c>
      <c r="N68" s="360">
        <f t="shared" si="31"/>
        <v>0</v>
      </c>
      <c r="O68" s="360">
        <f t="shared" si="31"/>
        <v>0</v>
      </c>
      <c r="P68" s="360">
        <f t="shared" si="30"/>
        <v>0</v>
      </c>
      <c r="Q68" s="360">
        <f t="shared" si="30"/>
        <v>0</v>
      </c>
      <c r="R68" s="360">
        <f t="shared" si="30"/>
        <v>0</v>
      </c>
      <c r="S68" s="360">
        <f t="shared" si="30"/>
        <v>0</v>
      </c>
      <c r="T68" s="360">
        <f t="shared" si="30"/>
        <v>0</v>
      </c>
      <c r="U68" s="360">
        <f t="shared" si="30"/>
        <v>0</v>
      </c>
      <c r="V68" s="360">
        <f t="shared" si="30"/>
        <v>0</v>
      </c>
      <c r="W68" s="360">
        <f t="shared" si="30"/>
        <v>0</v>
      </c>
      <c r="X68" s="360">
        <f t="shared" si="30"/>
        <v>0</v>
      </c>
      <c r="Y68" s="360">
        <f t="shared" si="30"/>
        <v>0</v>
      </c>
      <c r="Z68" s="360">
        <f t="shared" si="32"/>
        <v>0</v>
      </c>
      <c r="AA68" s="360">
        <f t="shared" si="32"/>
        <v>0</v>
      </c>
      <c r="AB68" s="360">
        <f t="shared" si="32"/>
        <v>0</v>
      </c>
      <c r="AC68" s="360">
        <f t="shared" si="32"/>
        <v>0</v>
      </c>
      <c r="AD68" s="360">
        <f t="shared" si="32"/>
        <v>0</v>
      </c>
      <c r="AE68" s="360">
        <f t="shared" si="32"/>
        <v>0</v>
      </c>
      <c r="AF68" s="360">
        <f t="shared" si="32"/>
        <v>0</v>
      </c>
      <c r="AG68" s="360">
        <f t="shared" si="32"/>
        <v>0</v>
      </c>
      <c r="AH68" s="360">
        <f t="shared" si="32"/>
        <v>0</v>
      </c>
      <c r="AI68" s="360">
        <f t="shared" si="32"/>
        <v>0</v>
      </c>
      <c r="AJ68" s="360">
        <f t="shared" si="13"/>
        <v>0</v>
      </c>
      <c r="AK68" s="360">
        <f t="shared" si="13"/>
        <v>0</v>
      </c>
      <c r="AL68" s="360">
        <f t="shared" si="13"/>
        <v>0</v>
      </c>
      <c r="AM68" s="360">
        <f t="shared" si="13"/>
        <v>0</v>
      </c>
      <c r="AN68" s="361">
        <f t="shared" si="13"/>
        <v>0</v>
      </c>
      <c r="AO68" s="271">
        <f t="shared" si="34"/>
        <v>0</v>
      </c>
      <c r="AP68" s="272">
        <f t="shared" si="34"/>
        <v>0</v>
      </c>
      <c r="AQ68" s="272">
        <f t="shared" si="34"/>
        <v>0</v>
      </c>
      <c r="AR68" s="272">
        <f t="shared" si="34"/>
        <v>0</v>
      </c>
      <c r="AS68" s="272">
        <f t="shared" si="34"/>
        <v>0</v>
      </c>
      <c r="AT68" s="272">
        <f t="shared" si="35"/>
        <v>0</v>
      </c>
      <c r="AU68" s="272">
        <f t="shared" si="35"/>
        <v>0</v>
      </c>
      <c r="AV68" s="272">
        <f t="shared" si="35"/>
        <v>0</v>
      </c>
      <c r="AW68" s="272">
        <f t="shared" si="35"/>
        <v>0</v>
      </c>
      <c r="AX68" s="272">
        <f t="shared" si="35"/>
        <v>0</v>
      </c>
      <c r="AY68" s="272">
        <f t="shared" si="35"/>
        <v>0</v>
      </c>
      <c r="AZ68" s="272">
        <f t="shared" si="35"/>
        <v>0</v>
      </c>
      <c r="BA68" s="272">
        <f t="shared" si="35"/>
        <v>0</v>
      </c>
      <c r="BB68" s="260"/>
      <c r="BC68" s="260"/>
      <c r="BD68" s="275">
        <f>SUM(F68:BA68)/2</f>
        <v>0</v>
      </c>
    </row>
    <row r="69" spans="1:78" ht="14.5" outlineLevel="1" x14ac:dyDescent="0.35">
      <c r="A69" s="276">
        <f>VLOOKUP(B69,Planning!B:F,5,FALSE)</f>
        <v>0</v>
      </c>
      <c r="B69" s="365"/>
      <c r="C69" s="358"/>
      <c r="D69" s="359" t="str">
        <f t="shared" si="17"/>
        <v/>
      </c>
      <c r="E69" s="359"/>
      <c r="F69" s="360">
        <f t="shared" si="31"/>
        <v>0</v>
      </c>
      <c r="G69" s="360">
        <f t="shared" si="31"/>
        <v>0</v>
      </c>
      <c r="H69" s="360">
        <f t="shared" si="31"/>
        <v>0</v>
      </c>
      <c r="I69" s="360">
        <f t="shared" si="31"/>
        <v>0</v>
      </c>
      <c r="J69" s="360">
        <f t="shared" si="31"/>
        <v>0</v>
      </c>
      <c r="K69" s="360">
        <f t="shared" si="31"/>
        <v>0</v>
      </c>
      <c r="L69" s="360">
        <f t="shared" si="31"/>
        <v>0</v>
      </c>
      <c r="M69" s="360">
        <f t="shared" si="31"/>
        <v>0</v>
      </c>
      <c r="N69" s="360">
        <f t="shared" si="31"/>
        <v>0</v>
      </c>
      <c r="O69" s="360">
        <f t="shared" si="31"/>
        <v>0</v>
      </c>
      <c r="P69" s="360">
        <f t="shared" si="30"/>
        <v>0</v>
      </c>
      <c r="Q69" s="360">
        <f t="shared" si="30"/>
        <v>0</v>
      </c>
      <c r="R69" s="360">
        <f t="shared" si="30"/>
        <v>0</v>
      </c>
      <c r="S69" s="360">
        <f t="shared" si="30"/>
        <v>0</v>
      </c>
      <c r="T69" s="360">
        <f t="shared" si="30"/>
        <v>0</v>
      </c>
      <c r="U69" s="360">
        <f t="shared" si="30"/>
        <v>0</v>
      </c>
      <c r="V69" s="360">
        <f t="shared" si="30"/>
        <v>0</v>
      </c>
      <c r="W69" s="360">
        <f t="shared" si="30"/>
        <v>0</v>
      </c>
      <c r="X69" s="360">
        <f t="shared" si="30"/>
        <v>0</v>
      </c>
      <c r="Y69" s="360">
        <f t="shared" si="30"/>
        <v>0</v>
      </c>
      <c r="Z69" s="360">
        <f t="shared" si="32"/>
        <v>0</v>
      </c>
      <c r="AA69" s="360">
        <f t="shared" si="32"/>
        <v>0</v>
      </c>
      <c r="AB69" s="360">
        <f t="shared" si="32"/>
        <v>0</v>
      </c>
      <c r="AC69" s="360">
        <f t="shared" si="32"/>
        <v>0</v>
      </c>
      <c r="AD69" s="360">
        <f t="shared" si="32"/>
        <v>0</v>
      </c>
      <c r="AE69" s="360">
        <f t="shared" si="32"/>
        <v>0</v>
      </c>
      <c r="AF69" s="360">
        <f t="shared" si="32"/>
        <v>0</v>
      </c>
      <c r="AG69" s="360">
        <f t="shared" si="32"/>
        <v>0</v>
      </c>
      <c r="AH69" s="360">
        <f t="shared" si="32"/>
        <v>0</v>
      </c>
      <c r="AI69" s="360">
        <f t="shared" si="32"/>
        <v>0</v>
      </c>
      <c r="AJ69" s="360">
        <f t="shared" si="13"/>
        <v>0</v>
      </c>
      <c r="AK69" s="360">
        <f t="shared" si="13"/>
        <v>0</v>
      </c>
      <c r="AL69" s="360">
        <f t="shared" si="13"/>
        <v>0</v>
      </c>
      <c r="AM69" s="360">
        <f t="shared" si="13"/>
        <v>0</v>
      </c>
      <c r="AN69" s="361">
        <f t="shared" si="13"/>
        <v>0</v>
      </c>
      <c r="AO69" s="271">
        <f t="shared" si="34"/>
        <v>0</v>
      </c>
      <c r="AP69" s="272">
        <f t="shared" si="34"/>
        <v>0</v>
      </c>
      <c r="AQ69" s="272">
        <f t="shared" si="34"/>
        <v>0</v>
      </c>
      <c r="AR69" s="272">
        <f t="shared" si="34"/>
        <v>0</v>
      </c>
      <c r="AS69" s="272">
        <f t="shared" si="34"/>
        <v>0</v>
      </c>
      <c r="AT69" s="272">
        <f t="shared" si="35"/>
        <v>0</v>
      </c>
      <c r="AU69" s="272">
        <f t="shared" si="35"/>
        <v>0</v>
      </c>
      <c r="AV69" s="272">
        <f t="shared" si="35"/>
        <v>0</v>
      </c>
      <c r="AW69" s="272">
        <f t="shared" si="35"/>
        <v>0</v>
      </c>
      <c r="AX69" s="272">
        <f t="shared" si="35"/>
        <v>0</v>
      </c>
      <c r="AY69" s="272">
        <f t="shared" si="35"/>
        <v>0</v>
      </c>
      <c r="AZ69" s="272">
        <f t="shared" si="35"/>
        <v>0</v>
      </c>
      <c r="BA69" s="272">
        <f t="shared" si="35"/>
        <v>0</v>
      </c>
      <c r="BB69" s="260"/>
      <c r="BC69" s="260"/>
      <c r="BD69" s="275">
        <f>SUM(F69:BA69)/2</f>
        <v>0</v>
      </c>
    </row>
    <row r="70" spans="1:78" ht="14.5" outlineLevel="1" x14ac:dyDescent="0.35">
      <c r="A70" s="276">
        <f>VLOOKUP(B70,Planning!B:F,5,FALSE)</f>
        <v>0</v>
      </c>
      <c r="B70" s="365"/>
      <c r="C70" s="358"/>
      <c r="D70" s="359" t="str">
        <f t="shared" si="17"/>
        <v/>
      </c>
      <c r="E70" s="359"/>
      <c r="F70" s="360">
        <f t="shared" si="31"/>
        <v>0</v>
      </c>
      <c r="G70" s="360">
        <f t="shared" si="31"/>
        <v>0</v>
      </c>
      <c r="H70" s="360">
        <f t="shared" si="31"/>
        <v>0</v>
      </c>
      <c r="I70" s="360">
        <f t="shared" si="31"/>
        <v>0</v>
      </c>
      <c r="J70" s="360">
        <f t="shared" si="31"/>
        <v>0</v>
      </c>
      <c r="K70" s="360">
        <f t="shared" si="31"/>
        <v>0</v>
      </c>
      <c r="L70" s="360">
        <f t="shared" si="31"/>
        <v>0</v>
      </c>
      <c r="M70" s="360">
        <f t="shared" si="31"/>
        <v>0</v>
      </c>
      <c r="N70" s="360">
        <f t="shared" si="31"/>
        <v>0</v>
      </c>
      <c r="O70" s="360">
        <f t="shared" si="31"/>
        <v>0</v>
      </c>
      <c r="P70" s="360">
        <f t="shared" si="30"/>
        <v>0</v>
      </c>
      <c r="Q70" s="360">
        <f t="shared" si="30"/>
        <v>0</v>
      </c>
      <c r="R70" s="360">
        <f t="shared" si="30"/>
        <v>0</v>
      </c>
      <c r="S70" s="360">
        <f t="shared" si="30"/>
        <v>0</v>
      </c>
      <c r="T70" s="360">
        <f t="shared" si="30"/>
        <v>0</v>
      </c>
      <c r="U70" s="360">
        <f t="shared" si="30"/>
        <v>0</v>
      </c>
      <c r="V70" s="360">
        <f t="shared" si="30"/>
        <v>0</v>
      </c>
      <c r="W70" s="360">
        <f t="shared" si="30"/>
        <v>0</v>
      </c>
      <c r="X70" s="360">
        <f t="shared" si="30"/>
        <v>0</v>
      </c>
      <c r="Y70" s="360">
        <f t="shared" si="30"/>
        <v>0</v>
      </c>
      <c r="Z70" s="360">
        <f t="shared" si="32"/>
        <v>0</v>
      </c>
      <c r="AA70" s="360">
        <f t="shared" si="32"/>
        <v>0</v>
      </c>
      <c r="AB70" s="360">
        <f t="shared" si="32"/>
        <v>0</v>
      </c>
      <c r="AC70" s="360">
        <f t="shared" si="32"/>
        <v>0</v>
      </c>
      <c r="AD70" s="360">
        <f t="shared" si="32"/>
        <v>0</v>
      </c>
      <c r="AE70" s="360">
        <f t="shared" si="32"/>
        <v>0</v>
      </c>
      <c r="AF70" s="360">
        <f t="shared" si="32"/>
        <v>0</v>
      </c>
      <c r="AG70" s="360">
        <f t="shared" si="32"/>
        <v>0</v>
      </c>
      <c r="AH70" s="360">
        <f t="shared" si="32"/>
        <v>0</v>
      </c>
      <c r="AI70" s="360">
        <f t="shared" si="32"/>
        <v>0</v>
      </c>
      <c r="AJ70" s="360">
        <f t="shared" si="13"/>
        <v>0</v>
      </c>
      <c r="AK70" s="360">
        <f t="shared" si="13"/>
        <v>0</v>
      </c>
      <c r="AL70" s="360">
        <f t="shared" ref="AJ70:AN71" si="36">IFERROR(INDEX(Horaires,MATCH($D70,Horaires_v,0),MATCH(AL$2,Horaires_h,0)),0)</f>
        <v>0</v>
      </c>
      <c r="AM70" s="360">
        <f t="shared" si="36"/>
        <v>0</v>
      </c>
      <c r="AN70" s="361">
        <f t="shared" si="36"/>
        <v>0</v>
      </c>
      <c r="AO70" s="271">
        <f t="shared" si="34"/>
        <v>0</v>
      </c>
      <c r="AP70" s="272">
        <f t="shared" si="34"/>
        <v>0</v>
      </c>
      <c r="AQ70" s="272">
        <f t="shared" si="34"/>
        <v>0</v>
      </c>
      <c r="AR70" s="272">
        <f t="shared" si="34"/>
        <v>0</v>
      </c>
      <c r="AS70" s="272">
        <f t="shared" si="34"/>
        <v>0</v>
      </c>
      <c r="AT70" s="272">
        <f t="shared" si="35"/>
        <v>0</v>
      </c>
      <c r="AU70" s="272">
        <f t="shared" si="35"/>
        <v>0</v>
      </c>
      <c r="AV70" s="272">
        <f t="shared" si="35"/>
        <v>0</v>
      </c>
      <c r="AW70" s="272">
        <f t="shared" si="35"/>
        <v>0</v>
      </c>
      <c r="AX70" s="272">
        <f t="shared" si="35"/>
        <v>0</v>
      </c>
      <c r="AY70" s="272">
        <f t="shared" si="35"/>
        <v>0</v>
      </c>
      <c r="AZ70" s="272">
        <f t="shared" si="35"/>
        <v>0</v>
      </c>
      <c r="BA70" s="272">
        <f t="shared" si="35"/>
        <v>0</v>
      </c>
      <c r="BB70" s="260"/>
      <c r="BC70" s="260"/>
      <c r="BD70" s="275">
        <f>SUM(F70:BA70)/2</f>
        <v>0</v>
      </c>
    </row>
    <row r="71" spans="1:78" ht="13" outlineLevel="1" thickBot="1" x14ac:dyDescent="0.3">
      <c r="A71" s="355">
        <f>VLOOKUP(B71,Planning!B:F,5,FALSE)</f>
        <v>0</v>
      </c>
      <c r="B71" s="362"/>
      <c r="C71" s="363"/>
      <c r="D71" s="278" t="str">
        <f t="shared" ref="D71" si="37">IF(INDEX(Planning,MATCH(B71,Planning_v,0),MATCH($D$1,Planning_h))=0,"",INDEX(Planning,MATCH(B71,Planning_v,0),MATCH($D$1,Planning_h)))</f>
        <v/>
      </c>
      <c r="E71" s="278"/>
      <c r="F71" s="279">
        <f t="shared" si="31"/>
        <v>0</v>
      </c>
      <c r="G71" s="279">
        <f t="shared" si="31"/>
        <v>0</v>
      </c>
      <c r="H71" s="279">
        <f t="shared" si="31"/>
        <v>0</v>
      </c>
      <c r="I71" s="279">
        <f t="shared" si="31"/>
        <v>0</v>
      </c>
      <c r="J71" s="279">
        <f t="shared" si="31"/>
        <v>0</v>
      </c>
      <c r="K71" s="279">
        <f t="shared" si="31"/>
        <v>0</v>
      </c>
      <c r="L71" s="279">
        <f t="shared" si="31"/>
        <v>0</v>
      </c>
      <c r="M71" s="279">
        <f t="shared" si="31"/>
        <v>0</v>
      </c>
      <c r="N71" s="279">
        <f t="shared" si="31"/>
        <v>0</v>
      </c>
      <c r="O71" s="279">
        <f t="shared" si="31"/>
        <v>0</v>
      </c>
      <c r="P71" s="279">
        <f t="shared" si="30"/>
        <v>0</v>
      </c>
      <c r="Q71" s="279">
        <f t="shared" si="30"/>
        <v>0</v>
      </c>
      <c r="R71" s="279">
        <f t="shared" si="30"/>
        <v>0</v>
      </c>
      <c r="S71" s="279">
        <f t="shared" si="30"/>
        <v>0</v>
      </c>
      <c r="T71" s="279">
        <f t="shared" si="30"/>
        <v>0</v>
      </c>
      <c r="U71" s="279">
        <f t="shared" si="30"/>
        <v>0</v>
      </c>
      <c r="V71" s="279">
        <f t="shared" si="30"/>
        <v>0</v>
      </c>
      <c r="W71" s="279">
        <f t="shared" si="30"/>
        <v>0</v>
      </c>
      <c r="X71" s="279">
        <f t="shared" si="30"/>
        <v>0</v>
      </c>
      <c r="Y71" s="279">
        <f t="shared" si="30"/>
        <v>0</v>
      </c>
      <c r="Z71" s="279">
        <f t="shared" si="32"/>
        <v>0</v>
      </c>
      <c r="AA71" s="279">
        <f t="shared" si="32"/>
        <v>0</v>
      </c>
      <c r="AB71" s="279">
        <f t="shared" si="32"/>
        <v>0</v>
      </c>
      <c r="AC71" s="279">
        <f t="shared" si="32"/>
        <v>0</v>
      </c>
      <c r="AD71" s="279">
        <f t="shared" si="32"/>
        <v>0</v>
      </c>
      <c r="AE71" s="279">
        <f t="shared" si="32"/>
        <v>0</v>
      </c>
      <c r="AF71" s="279">
        <f t="shared" si="32"/>
        <v>0</v>
      </c>
      <c r="AG71" s="279">
        <f t="shared" si="32"/>
        <v>0</v>
      </c>
      <c r="AH71" s="279">
        <f t="shared" si="32"/>
        <v>0</v>
      </c>
      <c r="AI71" s="279">
        <f t="shared" si="32"/>
        <v>0</v>
      </c>
      <c r="AJ71" s="279">
        <f t="shared" si="36"/>
        <v>0</v>
      </c>
      <c r="AK71" s="279">
        <f t="shared" si="36"/>
        <v>0</v>
      </c>
      <c r="AL71" s="279">
        <f t="shared" si="36"/>
        <v>0</v>
      </c>
      <c r="AM71" s="279">
        <f t="shared" si="36"/>
        <v>0</v>
      </c>
      <c r="AN71" s="277">
        <f t="shared" si="36"/>
        <v>0</v>
      </c>
      <c r="AO71" s="271">
        <f t="shared" si="34"/>
        <v>0</v>
      </c>
      <c r="AP71" s="272">
        <f t="shared" si="34"/>
        <v>0</v>
      </c>
      <c r="AQ71" s="272">
        <f t="shared" si="34"/>
        <v>0</v>
      </c>
      <c r="AR71" s="272">
        <f t="shared" si="34"/>
        <v>0</v>
      </c>
      <c r="AS71" s="272">
        <f t="shared" si="34"/>
        <v>0</v>
      </c>
      <c r="AT71" s="272">
        <f t="shared" si="35"/>
        <v>0</v>
      </c>
      <c r="AU71" s="272">
        <f t="shared" si="35"/>
        <v>0</v>
      </c>
      <c r="AV71" s="272">
        <f t="shared" si="35"/>
        <v>0</v>
      </c>
      <c r="AW71" s="272">
        <f t="shared" si="35"/>
        <v>0</v>
      </c>
      <c r="AX71" s="272">
        <f t="shared" si="35"/>
        <v>0</v>
      </c>
      <c r="AY71" s="272">
        <f t="shared" si="35"/>
        <v>0</v>
      </c>
      <c r="AZ71" s="272">
        <f t="shared" si="35"/>
        <v>0</v>
      </c>
      <c r="BA71" s="272">
        <f t="shared" si="35"/>
        <v>0</v>
      </c>
      <c r="BB71" s="260"/>
      <c r="BC71" s="260"/>
      <c r="BD71" s="275">
        <f>SUM(F71:BA71)/2</f>
        <v>0</v>
      </c>
    </row>
    <row r="72" spans="1:78" ht="13" thickBot="1" x14ac:dyDescent="0.3">
      <c r="D72" s="280" t="s">
        <v>412</v>
      </c>
      <c r="E72" s="280"/>
      <c r="F72" s="356">
        <v>0</v>
      </c>
      <c r="G72" s="356">
        <v>2.0833333333333332E-2</v>
      </c>
      <c r="H72" s="356">
        <v>4.1666666666666699E-2</v>
      </c>
      <c r="I72" s="356">
        <v>6.25E-2</v>
      </c>
      <c r="J72" s="356">
        <v>8.3333333333333301E-2</v>
      </c>
      <c r="K72" s="356">
        <v>0.104166666666667</v>
      </c>
      <c r="L72" s="356">
        <v>0.125</v>
      </c>
      <c r="M72" s="356">
        <v>0.14583333333333301</v>
      </c>
      <c r="N72" s="356">
        <v>0.16666666666666699</v>
      </c>
      <c r="O72" s="356">
        <v>0.1875</v>
      </c>
      <c r="P72" s="356">
        <v>0.20833333333333301</v>
      </c>
      <c r="Q72" s="356">
        <v>0.22916666666666699</v>
      </c>
      <c r="R72" s="356">
        <v>0.25</v>
      </c>
      <c r="S72" s="356">
        <v>0.27083333333333298</v>
      </c>
      <c r="T72" s="356">
        <v>0.29166666666666702</v>
      </c>
      <c r="U72" s="356">
        <v>0.3125</v>
      </c>
      <c r="V72" s="356">
        <v>0.33333333333333298</v>
      </c>
      <c r="W72" s="356">
        <v>0.35416666666666702</v>
      </c>
      <c r="X72" s="356">
        <v>0.375</v>
      </c>
      <c r="Y72" s="356">
        <v>0.39583333333333298</v>
      </c>
      <c r="Z72" s="356">
        <v>0.41666666666666702</v>
      </c>
      <c r="AA72" s="356">
        <v>0.4375</v>
      </c>
      <c r="AB72" s="356">
        <v>0.45833333333333298</v>
      </c>
      <c r="AC72" s="356">
        <v>0.47916666666666702</v>
      </c>
      <c r="AD72" s="356">
        <v>0.5</v>
      </c>
      <c r="AE72" s="356">
        <v>0.52083333333333304</v>
      </c>
      <c r="AF72" s="356">
        <v>0.54166666666666696</v>
      </c>
      <c r="AG72" s="356">
        <v>0.5625</v>
      </c>
      <c r="AH72" s="356">
        <v>0.58333333333333304</v>
      </c>
      <c r="AI72" s="356">
        <v>0.60416666666666696</v>
      </c>
      <c r="AJ72" s="356">
        <v>0.625</v>
      </c>
      <c r="AK72" s="356">
        <v>0.64583333333333304</v>
      </c>
      <c r="AL72" s="356">
        <v>0.66666666666666696</v>
      </c>
      <c r="AM72" s="356">
        <v>0.6875</v>
      </c>
      <c r="AN72" s="356">
        <v>0.70833333333333304</v>
      </c>
      <c r="AO72" s="265">
        <v>0.72916666666666696</v>
      </c>
      <c r="AP72" s="265">
        <v>0.75</v>
      </c>
      <c r="AQ72" s="265">
        <v>0.77083333333333337</v>
      </c>
      <c r="AR72" s="265">
        <v>0.79166666666666663</v>
      </c>
      <c r="AS72" s="265">
        <v>0.8125</v>
      </c>
      <c r="AT72" s="265">
        <v>0.83333333333333304</v>
      </c>
      <c r="AU72" s="265">
        <v>0.85416666666666596</v>
      </c>
      <c r="AV72" s="265">
        <v>0.874999999999999</v>
      </c>
      <c r="AW72" s="265">
        <v>0.89583333333333304</v>
      </c>
      <c r="AX72" s="265">
        <v>0.91666666666666596</v>
      </c>
      <c r="AY72" s="265">
        <v>0.937499999999999</v>
      </c>
      <c r="AZ72" s="265">
        <v>0.95833333333333204</v>
      </c>
      <c r="BA72" s="265">
        <v>0.97916666666666596</v>
      </c>
      <c r="BB72" s="260"/>
      <c r="BC72" s="260"/>
      <c r="BD72" s="260"/>
    </row>
    <row r="73" spans="1:78" ht="13.5" customHeight="1" thickTop="1" x14ac:dyDescent="0.25">
      <c r="A73" s="531" t="s">
        <v>413</v>
      </c>
      <c r="B73" s="532"/>
      <c r="C73" s="281"/>
      <c r="D73" s="281" t="s">
        <v>414</v>
      </c>
      <c r="E73" s="282" t="b">
        <v>1</v>
      </c>
      <c r="F73" s="283">
        <f t="shared" ref="F73:T73" si="38">SUMIFS(F3:F71,$A$3:$A$71,$BD$74)</f>
        <v>0</v>
      </c>
      <c r="G73" s="283">
        <f t="shared" si="38"/>
        <v>0</v>
      </c>
      <c r="H73" s="283">
        <f t="shared" si="38"/>
        <v>0</v>
      </c>
      <c r="I73" s="283">
        <f t="shared" si="38"/>
        <v>0</v>
      </c>
      <c r="J73" s="283">
        <f t="shared" si="38"/>
        <v>0</v>
      </c>
      <c r="K73" s="283">
        <f t="shared" si="38"/>
        <v>0</v>
      </c>
      <c r="L73" s="283">
        <f t="shared" si="38"/>
        <v>0</v>
      </c>
      <c r="M73" s="283">
        <f t="shared" si="38"/>
        <v>0</v>
      </c>
      <c r="N73" s="283">
        <f t="shared" si="38"/>
        <v>0</v>
      </c>
      <c r="O73" s="283">
        <f t="shared" si="38"/>
        <v>0</v>
      </c>
      <c r="P73" s="283">
        <f t="shared" si="38"/>
        <v>0</v>
      </c>
      <c r="Q73" s="283">
        <f t="shared" si="38"/>
        <v>0</v>
      </c>
      <c r="R73" s="283">
        <f t="shared" si="38"/>
        <v>0</v>
      </c>
      <c r="S73" s="283">
        <f t="shared" si="38"/>
        <v>0</v>
      </c>
      <c r="T73" s="283">
        <f t="shared" si="38"/>
        <v>0</v>
      </c>
      <c r="U73" s="283">
        <f>SUMIFS(U3:U71,$A$3:$A$71,"*FRONT")</f>
        <v>0</v>
      </c>
      <c r="V73" s="283">
        <f>SUMIFS(V3:V71,$A$3:$A$71,"IAT")</f>
        <v>0</v>
      </c>
      <c r="W73" s="283">
        <f t="shared" ref="W73:AN73" si="39">SUMIFS(W3:W71,$A$3:$A$71,"IAT")</f>
        <v>0</v>
      </c>
      <c r="X73" s="283">
        <f t="shared" si="39"/>
        <v>0</v>
      </c>
      <c r="Y73" s="283">
        <f t="shared" si="39"/>
        <v>0</v>
      </c>
      <c r="Z73" s="283">
        <f t="shared" si="39"/>
        <v>0</v>
      </c>
      <c r="AA73" s="283">
        <f t="shared" si="39"/>
        <v>0</v>
      </c>
      <c r="AB73" s="283">
        <f t="shared" si="39"/>
        <v>0</v>
      </c>
      <c r="AC73" s="283">
        <f t="shared" si="39"/>
        <v>0</v>
      </c>
      <c r="AD73" s="283">
        <f t="shared" si="39"/>
        <v>0</v>
      </c>
      <c r="AE73" s="283">
        <f t="shared" si="39"/>
        <v>0</v>
      </c>
      <c r="AF73" s="283">
        <f t="shared" si="39"/>
        <v>0</v>
      </c>
      <c r="AG73" s="283">
        <f t="shared" si="39"/>
        <v>0</v>
      </c>
      <c r="AH73" s="283">
        <f t="shared" si="39"/>
        <v>0</v>
      </c>
      <c r="AI73" s="283">
        <f t="shared" si="39"/>
        <v>0</v>
      </c>
      <c r="AJ73" s="283">
        <f t="shared" si="39"/>
        <v>0</v>
      </c>
      <c r="AK73" s="283">
        <f t="shared" si="39"/>
        <v>0</v>
      </c>
      <c r="AL73" s="283">
        <f t="shared" si="39"/>
        <v>0</v>
      </c>
      <c r="AM73" s="283">
        <f t="shared" si="39"/>
        <v>0</v>
      </c>
      <c r="AN73" s="283">
        <f t="shared" si="39"/>
        <v>0</v>
      </c>
      <c r="AO73" s="283">
        <f t="shared" ref="AO73:BA73" si="40">SUMIFS(AO3:AO71,$A$3:$A$71,"*FRONT")</f>
        <v>0</v>
      </c>
      <c r="AP73" s="283">
        <f t="shared" si="40"/>
        <v>0</v>
      </c>
      <c r="AQ73" s="283">
        <f t="shared" si="40"/>
        <v>0</v>
      </c>
      <c r="AR73" s="283">
        <f t="shared" si="40"/>
        <v>0</v>
      </c>
      <c r="AS73" s="283">
        <f t="shared" si="40"/>
        <v>0</v>
      </c>
      <c r="AT73" s="283">
        <f t="shared" si="40"/>
        <v>0</v>
      </c>
      <c r="AU73" s="283">
        <f t="shared" si="40"/>
        <v>0</v>
      </c>
      <c r="AV73" s="283">
        <f t="shared" si="40"/>
        <v>0</v>
      </c>
      <c r="AW73" s="283">
        <f t="shared" si="40"/>
        <v>0</v>
      </c>
      <c r="AX73" s="283">
        <f t="shared" si="40"/>
        <v>0</v>
      </c>
      <c r="AY73" s="283">
        <f t="shared" si="40"/>
        <v>0</v>
      </c>
      <c r="AZ73" s="283">
        <f t="shared" si="40"/>
        <v>0</v>
      </c>
      <c r="BA73" s="283">
        <f t="shared" si="40"/>
        <v>0</v>
      </c>
      <c r="BB73" s="260"/>
      <c r="BC73" s="260"/>
      <c r="BF73" s="284" t="b">
        <v>1</v>
      </c>
      <c r="BG73" s="284" t="b">
        <v>1</v>
      </c>
      <c r="BH73" s="284" t="b">
        <v>1</v>
      </c>
      <c r="BI73" s="284" t="b">
        <v>1</v>
      </c>
      <c r="BJ73" s="284" t="b">
        <v>1</v>
      </c>
      <c r="BK73" s="284" t="b">
        <v>1</v>
      </c>
      <c r="BL73" s="284" t="b">
        <v>1</v>
      </c>
      <c r="BM73" s="284" t="b">
        <v>1</v>
      </c>
      <c r="BN73" s="284" t="b">
        <v>1</v>
      </c>
      <c r="BO73" s="284" t="b">
        <v>1</v>
      </c>
      <c r="BP73" s="284" t="b">
        <v>1</v>
      </c>
      <c r="BQ73" s="284" t="b">
        <v>1</v>
      </c>
      <c r="BR73" s="284" t="b">
        <v>1</v>
      </c>
      <c r="BS73" s="284" t="b">
        <v>1</v>
      </c>
      <c r="BT73" s="284" t="b">
        <v>1</v>
      </c>
      <c r="BU73" s="284" t="b">
        <v>1</v>
      </c>
      <c r="BV73" s="284" t="b">
        <v>1</v>
      </c>
      <c r="BW73" s="284" t="b">
        <v>1</v>
      </c>
      <c r="BX73" s="284" t="b">
        <v>1</v>
      </c>
      <c r="BY73" s="284" t="b">
        <v>1</v>
      </c>
      <c r="BZ73" s="284" t="b">
        <v>1</v>
      </c>
    </row>
    <row r="74" spans="1:78" ht="13.5" customHeight="1" x14ac:dyDescent="0.25">
      <c r="A74" s="285" t="s">
        <v>415</v>
      </c>
      <c r="B74" s="286">
        <v>0.85</v>
      </c>
      <c r="C74" s="287"/>
      <c r="D74" s="287" t="s">
        <v>416</v>
      </c>
      <c r="E74" s="288" t="b">
        <v>0</v>
      </c>
      <c r="F74" s="289">
        <f t="shared" ref="F74:U74" si="41">SUMIFS(F3:F71,$A$3:$A$71,"*BACK")</f>
        <v>0</v>
      </c>
      <c r="G74" s="289">
        <f t="shared" si="41"/>
        <v>0</v>
      </c>
      <c r="H74" s="289">
        <f t="shared" si="41"/>
        <v>0</v>
      </c>
      <c r="I74" s="289">
        <f t="shared" si="41"/>
        <v>0</v>
      </c>
      <c r="J74" s="289">
        <f t="shared" si="41"/>
        <v>0</v>
      </c>
      <c r="K74" s="289">
        <f t="shared" si="41"/>
        <v>0</v>
      </c>
      <c r="L74" s="289">
        <f t="shared" si="41"/>
        <v>0</v>
      </c>
      <c r="M74" s="289">
        <f t="shared" si="41"/>
        <v>0</v>
      </c>
      <c r="N74" s="289">
        <f t="shared" si="41"/>
        <v>0</v>
      </c>
      <c r="O74" s="289">
        <f t="shared" si="41"/>
        <v>0</v>
      </c>
      <c r="P74" s="289">
        <f t="shared" si="41"/>
        <v>0</v>
      </c>
      <c r="Q74" s="289">
        <f t="shared" si="41"/>
        <v>0</v>
      </c>
      <c r="R74" s="289">
        <f t="shared" si="41"/>
        <v>0</v>
      </c>
      <c r="S74" s="289">
        <f t="shared" si="41"/>
        <v>0</v>
      </c>
      <c r="T74" s="289">
        <f t="shared" si="41"/>
        <v>0</v>
      </c>
      <c r="U74" s="289">
        <f t="shared" si="41"/>
        <v>0</v>
      </c>
      <c r="V74" s="289">
        <f>SUMIFS(V3:V71,$A$3:$A$71,"BACK")</f>
        <v>0</v>
      </c>
      <c r="W74" s="289">
        <f t="shared" ref="W74:AN74" si="42">SUMIFS(W3:W71,$A$3:$A$71,"BACK")</f>
        <v>0</v>
      </c>
      <c r="X74" s="289">
        <f t="shared" si="42"/>
        <v>0</v>
      </c>
      <c r="Y74" s="289">
        <f t="shared" si="42"/>
        <v>0</v>
      </c>
      <c r="Z74" s="289">
        <f t="shared" si="42"/>
        <v>0</v>
      </c>
      <c r="AA74" s="289">
        <f t="shared" si="42"/>
        <v>0</v>
      </c>
      <c r="AB74" s="289">
        <f t="shared" si="42"/>
        <v>0</v>
      </c>
      <c r="AC74" s="289">
        <f t="shared" si="42"/>
        <v>0</v>
      </c>
      <c r="AD74" s="289">
        <f t="shared" si="42"/>
        <v>0</v>
      </c>
      <c r="AE74" s="289">
        <f t="shared" si="42"/>
        <v>0</v>
      </c>
      <c r="AF74" s="289">
        <f t="shared" si="42"/>
        <v>0</v>
      </c>
      <c r="AG74" s="289">
        <f t="shared" si="42"/>
        <v>0</v>
      </c>
      <c r="AH74" s="289">
        <f t="shared" si="42"/>
        <v>0</v>
      </c>
      <c r="AI74" s="289">
        <f t="shared" si="42"/>
        <v>0</v>
      </c>
      <c r="AJ74" s="289">
        <f t="shared" si="42"/>
        <v>0</v>
      </c>
      <c r="AK74" s="289">
        <f t="shared" si="42"/>
        <v>0</v>
      </c>
      <c r="AL74" s="289">
        <f t="shared" si="42"/>
        <v>0</v>
      </c>
      <c r="AM74" s="289">
        <f t="shared" si="42"/>
        <v>0</v>
      </c>
      <c r="AN74" s="289">
        <f t="shared" si="42"/>
        <v>0</v>
      </c>
      <c r="AO74" s="289">
        <f t="shared" ref="AO74:BA74" si="43">SUMIFS(AO3:AO71,$A$3:$A$71,"*BACK")</f>
        <v>0</v>
      </c>
      <c r="AP74" s="289">
        <f t="shared" si="43"/>
        <v>0</v>
      </c>
      <c r="AQ74" s="289">
        <f t="shared" si="43"/>
        <v>0</v>
      </c>
      <c r="AR74" s="289">
        <f t="shared" si="43"/>
        <v>0</v>
      </c>
      <c r="AS74" s="289">
        <f t="shared" si="43"/>
        <v>0</v>
      </c>
      <c r="AT74" s="289">
        <f t="shared" si="43"/>
        <v>0</v>
      </c>
      <c r="AU74" s="289">
        <f t="shared" si="43"/>
        <v>0</v>
      </c>
      <c r="AV74" s="289">
        <f t="shared" si="43"/>
        <v>0</v>
      </c>
      <c r="AW74" s="289">
        <f t="shared" si="43"/>
        <v>0</v>
      </c>
      <c r="AX74" s="289">
        <f t="shared" si="43"/>
        <v>0</v>
      </c>
      <c r="AY74" s="289">
        <f t="shared" si="43"/>
        <v>0</v>
      </c>
      <c r="AZ74" s="289">
        <f t="shared" si="43"/>
        <v>0</v>
      </c>
      <c r="BA74" s="289">
        <f t="shared" si="43"/>
        <v>0</v>
      </c>
      <c r="BB74" s="260"/>
      <c r="BC74" s="260"/>
      <c r="BF74" s="290" t="b">
        <v>0</v>
      </c>
      <c r="BG74" s="290" t="b">
        <v>0</v>
      </c>
      <c r="BH74" s="290" t="b">
        <v>0</v>
      </c>
      <c r="BI74" s="290" t="b">
        <v>0</v>
      </c>
      <c r="BJ74" s="290" t="b">
        <v>0</v>
      </c>
      <c r="BK74" s="290" t="b">
        <v>0</v>
      </c>
      <c r="BL74" s="290" t="b">
        <v>0</v>
      </c>
      <c r="BM74" s="290" t="b">
        <v>0</v>
      </c>
      <c r="BN74" s="290" t="b">
        <v>0</v>
      </c>
      <c r="BO74" s="290" t="b">
        <v>0</v>
      </c>
      <c r="BP74" s="290" t="b">
        <v>0</v>
      </c>
      <c r="BQ74" s="290" t="b">
        <v>0</v>
      </c>
      <c r="BR74" s="290"/>
      <c r="BS74" s="290" t="b">
        <v>0</v>
      </c>
      <c r="BT74" s="290" t="b">
        <v>0</v>
      </c>
      <c r="BU74" s="290" t="b">
        <v>0</v>
      </c>
      <c r="BV74" s="290" t="b">
        <v>0</v>
      </c>
      <c r="BW74" s="290" t="b">
        <v>0</v>
      </c>
      <c r="BX74" s="290" t="b">
        <v>0</v>
      </c>
      <c r="BY74" s="290"/>
      <c r="BZ74" s="290"/>
    </row>
    <row r="75" spans="1:78" ht="13.5" customHeight="1" x14ac:dyDescent="0.25">
      <c r="A75" s="285" t="s">
        <v>417</v>
      </c>
      <c r="B75" s="291">
        <v>7</v>
      </c>
      <c r="C75" s="292"/>
      <c r="D75" s="292" t="s">
        <v>418</v>
      </c>
      <c r="E75" s="293" t="b">
        <v>0</v>
      </c>
      <c r="F75" s="294">
        <f t="shared" ref="F75:BA75" si="44">SUMIFS(F3:F71,$A$3:$A$71,"*WIZMI")</f>
        <v>0</v>
      </c>
      <c r="G75" s="294">
        <f t="shared" si="44"/>
        <v>0</v>
      </c>
      <c r="H75" s="294">
        <f t="shared" si="44"/>
        <v>0</v>
      </c>
      <c r="I75" s="294">
        <f t="shared" si="44"/>
        <v>0</v>
      </c>
      <c r="J75" s="294">
        <f t="shared" si="44"/>
        <v>0</v>
      </c>
      <c r="K75" s="294">
        <f t="shared" si="44"/>
        <v>0</v>
      </c>
      <c r="L75" s="294">
        <f t="shared" si="44"/>
        <v>0</v>
      </c>
      <c r="M75" s="294">
        <f t="shared" si="44"/>
        <v>0</v>
      </c>
      <c r="N75" s="294">
        <f t="shared" si="44"/>
        <v>0</v>
      </c>
      <c r="O75" s="294">
        <f t="shared" si="44"/>
        <v>0</v>
      </c>
      <c r="P75" s="294">
        <f t="shared" si="44"/>
        <v>0</v>
      </c>
      <c r="Q75" s="294">
        <f t="shared" si="44"/>
        <v>0</v>
      </c>
      <c r="R75" s="294">
        <f t="shared" si="44"/>
        <v>0</v>
      </c>
      <c r="S75" s="294">
        <f t="shared" si="44"/>
        <v>0</v>
      </c>
      <c r="T75" s="294">
        <f t="shared" si="44"/>
        <v>0</v>
      </c>
      <c r="U75" s="294">
        <f t="shared" si="44"/>
        <v>0</v>
      </c>
      <c r="V75" s="294">
        <f t="shared" si="44"/>
        <v>0</v>
      </c>
      <c r="W75" s="294">
        <f t="shared" si="44"/>
        <v>0</v>
      </c>
      <c r="X75" s="294">
        <f t="shared" si="44"/>
        <v>0</v>
      </c>
      <c r="Y75" s="294">
        <f t="shared" si="44"/>
        <v>0</v>
      </c>
      <c r="Z75" s="294">
        <f t="shared" si="44"/>
        <v>0</v>
      </c>
      <c r="AA75" s="294">
        <f t="shared" si="44"/>
        <v>0</v>
      </c>
      <c r="AB75" s="294">
        <f t="shared" si="44"/>
        <v>0</v>
      </c>
      <c r="AC75" s="294">
        <f t="shared" si="44"/>
        <v>0</v>
      </c>
      <c r="AD75" s="294">
        <f t="shared" si="44"/>
        <v>0</v>
      </c>
      <c r="AE75" s="294">
        <f t="shared" si="44"/>
        <v>0</v>
      </c>
      <c r="AF75" s="294">
        <f t="shared" si="44"/>
        <v>0</v>
      </c>
      <c r="AG75" s="294">
        <f t="shared" si="44"/>
        <v>0</v>
      </c>
      <c r="AH75" s="294">
        <f t="shared" si="44"/>
        <v>0</v>
      </c>
      <c r="AI75" s="294">
        <f t="shared" si="44"/>
        <v>0</v>
      </c>
      <c r="AJ75" s="294">
        <f t="shared" si="44"/>
        <v>0</v>
      </c>
      <c r="AK75" s="294">
        <f t="shared" si="44"/>
        <v>0</v>
      </c>
      <c r="AL75" s="294">
        <f t="shared" si="44"/>
        <v>0</v>
      </c>
      <c r="AM75" s="294">
        <f t="shared" si="44"/>
        <v>0</v>
      </c>
      <c r="AN75" s="294">
        <f t="shared" si="44"/>
        <v>0</v>
      </c>
      <c r="AO75" s="294">
        <f t="shared" si="44"/>
        <v>0</v>
      </c>
      <c r="AP75" s="294">
        <f t="shared" si="44"/>
        <v>0</v>
      </c>
      <c r="AQ75" s="294">
        <f t="shared" si="44"/>
        <v>0</v>
      </c>
      <c r="AR75" s="294">
        <f t="shared" si="44"/>
        <v>0</v>
      </c>
      <c r="AS75" s="294">
        <f t="shared" si="44"/>
        <v>0</v>
      </c>
      <c r="AT75" s="294">
        <f t="shared" si="44"/>
        <v>0</v>
      </c>
      <c r="AU75" s="294">
        <f t="shared" si="44"/>
        <v>0</v>
      </c>
      <c r="AV75" s="294">
        <f t="shared" si="44"/>
        <v>0</v>
      </c>
      <c r="AW75" s="294">
        <f t="shared" si="44"/>
        <v>0</v>
      </c>
      <c r="AX75" s="294">
        <f t="shared" si="44"/>
        <v>0</v>
      </c>
      <c r="AY75" s="294">
        <f t="shared" si="44"/>
        <v>0</v>
      </c>
      <c r="AZ75" s="294">
        <f t="shared" si="44"/>
        <v>0</v>
      </c>
      <c r="BA75" s="294">
        <f t="shared" si="44"/>
        <v>0</v>
      </c>
      <c r="BB75" s="260"/>
      <c r="BC75" s="260"/>
      <c r="BF75" s="290" t="b">
        <v>0</v>
      </c>
      <c r="BG75" s="290" t="b">
        <v>0</v>
      </c>
      <c r="BH75" s="290" t="b">
        <v>0</v>
      </c>
      <c r="BI75" s="290" t="b">
        <v>0</v>
      </c>
      <c r="BJ75" s="290" t="b">
        <v>0</v>
      </c>
      <c r="BK75" s="290" t="b">
        <v>0</v>
      </c>
      <c r="BL75" s="290"/>
      <c r="BM75" s="290"/>
      <c r="BN75" s="290" t="b">
        <v>0</v>
      </c>
      <c r="BO75" s="290" t="b">
        <v>0</v>
      </c>
      <c r="BP75" s="290" t="b">
        <v>0</v>
      </c>
      <c r="BQ75" s="290" t="b">
        <v>0</v>
      </c>
      <c r="BR75" s="290" t="b">
        <v>0</v>
      </c>
      <c r="BS75" s="290" t="b">
        <v>0</v>
      </c>
      <c r="BT75" s="290"/>
      <c r="BU75" s="290" t="b">
        <v>0</v>
      </c>
      <c r="BV75" s="290" t="b">
        <v>0</v>
      </c>
      <c r="BW75" s="290" t="b">
        <v>0</v>
      </c>
      <c r="BX75" s="290" t="b">
        <v>0</v>
      </c>
      <c r="BY75" s="290"/>
      <c r="BZ75" s="290"/>
    </row>
    <row r="76" spans="1:78" ht="13.5" customHeight="1" thickBot="1" x14ac:dyDescent="0.3">
      <c r="A76" s="295" t="s">
        <v>419</v>
      </c>
      <c r="B76" s="296">
        <v>0.9</v>
      </c>
      <c r="C76" s="287"/>
      <c r="D76" s="287" t="s">
        <v>420</v>
      </c>
      <c r="E76" s="288" t="b">
        <v>0</v>
      </c>
      <c r="F76" s="289">
        <f t="shared" ref="F76:BA76" si="45">SUMIFS(F3:F71,$A$3:$A$71,"*MULTI")</f>
        <v>0</v>
      </c>
      <c r="G76" s="289">
        <f t="shared" si="45"/>
        <v>0</v>
      </c>
      <c r="H76" s="289">
        <f t="shared" si="45"/>
        <v>0</v>
      </c>
      <c r="I76" s="289">
        <f t="shared" si="45"/>
        <v>0</v>
      </c>
      <c r="J76" s="289">
        <f t="shared" si="45"/>
        <v>0</v>
      </c>
      <c r="K76" s="289">
        <f t="shared" si="45"/>
        <v>0</v>
      </c>
      <c r="L76" s="289">
        <f t="shared" si="45"/>
        <v>0</v>
      </c>
      <c r="M76" s="289">
        <f t="shared" si="45"/>
        <v>0</v>
      </c>
      <c r="N76" s="289">
        <f t="shared" si="45"/>
        <v>0</v>
      </c>
      <c r="O76" s="289">
        <f t="shared" si="45"/>
        <v>0</v>
      </c>
      <c r="P76" s="289">
        <f t="shared" si="45"/>
        <v>0</v>
      </c>
      <c r="Q76" s="289">
        <f t="shared" si="45"/>
        <v>0</v>
      </c>
      <c r="R76" s="289">
        <f t="shared" si="45"/>
        <v>0</v>
      </c>
      <c r="S76" s="289">
        <f t="shared" si="45"/>
        <v>0</v>
      </c>
      <c r="T76" s="289">
        <f t="shared" si="45"/>
        <v>0</v>
      </c>
      <c r="U76" s="289">
        <f t="shared" si="45"/>
        <v>0</v>
      </c>
      <c r="V76" s="289">
        <f t="shared" si="45"/>
        <v>0</v>
      </c>
      <c r="W76" s="289">
        <f t="shared" si="45"/>
        <v>0</v>
      </c>
      <c r="X76" s="289">
        <f t="shared" si="45"/>
        <v>0</v>
      </c>
      <c r="Y76" s="289">
        <f t="shared" si="45"/>
        <v>0</v>
      </c>
      <c r="Z76" s="289">
        <f t="shared" si="45"/>
        <v>0</v>
      </c>
      <c r="AA76" s="289">
        <f t="shared" si="45"/>
        <v>0</v>
      </c>
      <c r="AB76" s="289">
        <f t="shared" si="45"/>
        <v>0</v>
      </c>
      <c r="AC76" s="289">
        <f t="shared" si="45"/>
        <v>0</v>
      </c>
      <c r="AD76" s="289">
        <f t="shared" si="45"/>
        <v>0</v>
      </c>
      <c r="AE76" s="289">
        <f t="shared" si="45"/>
        <v>0</v>
      </c>
      <c r="AF76" s="289">
        <f t="shared" si="45"/>
        <v>0</v>
      </c>
      <c r="AG76" s="289">
        <f t="shared" si="45"/>
        <v>0</v>
      </c>
      <c r="AH76" s="289">
        <f t="shared" si="45"/>
        <v>0</v>
      </c>
      <c r="AI76" s="289">
        <f t="shared" si="45"/>
        <v>0</v>
      </c>
      <c r="AJ76" s="289">
        <f t="shared" si="45"/>
        <v>0</v>
      </c>
      <c r="AK76" s="289">
        <f t="shared" si="45"/>
        <v>0</v>
      </c>
      <c r="AL76" s="289">
        <f t="shared" si="45"/>
        <v>0</v>
      </c>
      <c r="AM76" s="289">
        <f t="shared" si="45"/>
        <v>0</v>
      </c>
      <c r="AN76" s="289">
        <f t="shared" si="45"/>
        <v>0</v>
      </c>
      <c r="AO76" s="289">
        <f t="shared" si="45"/>
        <v>0</v>
      </c>
      <c r="AP76" s="289">
        <f t="shared" si="45"/>
        <v>0</v>
      </c>
      <c r="AQ76" s="289">
        <f t="shared" si="45"/>
        <v>0</v>
      </c>
      <c r="AR76" s="289">
        <f t="shared" si="45"/>
        <v>0</v>
      </c>
      <c r="AS76" s="289">
        <f t="shared" si="45"/>
        <v>0</v>
      </c>
      <c r="AT76" s="289">
        <f t="shared" si="45"/>
        <v>0</v>
      </c>
      <c r="AU76" s="289">
        <f t="shared" si="45"/>
        <v>0</v>
      </c>
      <c r="AV76" s="289">
        <f t="shared" si="45"/>
        <v>0</v>
      </c>
      <c r="AW76" s="289">
        <f t="shared" si="45"/>
        <v>0</v>
      </c>
      <c r="AX76" s="289">
        <f t="shared" si="45"/>
        <v>0</v>
      </c>
      <c r="AY76" s="289">
        <f t="shared" si="45"/>
        <v>0</v>
      </c>
      <c r="AZ76" s="289">
        <f t="shared" si="45"/>
        <v>0</v>
      </c>
      <c r="BA76" s="289">
        <f t="shared" si="45"/>
        <v>0</v>
      </c>
      <c r="BB76" s="260"/>
      <c r="BC76" s="260"/>
      <c r="BF76" s="290" t="b">
        <v>0</v>
      </c>
      <c r="BG76" s="290" t="b">
        <v>0</v>
      </c>
      <c r="BH76" s="290" t="b">
        <v>0</v>
      </c>
      <c r="BI76" s="290"/>
      <c r="BJ76" s="290" t="b">
        <v>0</v>
      </c>
      <c r="BK76" s="290"/>
      <c r="BL76" s="290"/>
      <c r="BM76" s="290"/>
      <c r="BN76" s="290"/>
      <c r="BO76" s="290" t="b">
        <v>0</v>
      </c>
      <c r="BP76" s="290"/>
      <c r="BQ76" s="290"/>
      <c r="BR76" s="290"/>
      <c r="BS76" s="290"/>
      <c r="BT76" s="290"/>
      <c r="BU76" s="290"/>
      <c r="BV76" s="290" t="b">
        <v>0</v>
      </c>
      <c r="BW76" s="290" t="b">
        <v>0</v>
      </c>
      <c r="BX76" s="290" t="b">
        <v>0</v>
      </c>
      <c r="BY76" s="290"/>
      <c r="BZ76" s="290"/>
    </row>
    <row r="77" spans="1:78" ht="13.5" customHeight="1" thickTop="1" x14ac:dyDescent="0.25">
      <c r="A77" s="297"/>
      <c r="B77" s="298"/>
      <c r="C77" s="292"/>
      <c r="D77" s="292" t="s">
        <v>421</v>
      </c>
      <c r="E77" s="293" t="b">
        <v>0</v>
      </c>
      <c r="F77" s="294">
        <f t="shared" ref="F77:BA77" si="46">SUMIFS(F3:F71,$A$3:$A$71,"*COCKPIT")</f>
        <v>0</v>
      </c>
      <c r="G77" s="294">
        <f t="shared" si="46"/>
        <v>0</v>
      </c>
      <c r="H77" s="294">
        <f t="shared" si="46"/>
        <v>0</v>
      </c>
      <c r="I77" s="294">
        <f t="shared" si="46"/>
        <v>0</v>
      </c>
      <c r="J77" s="294">
        <f t="shared" si="46"/>
        <v>0</v>
      </c>
      <c r="K77" s="294">
        <f t="shared" si="46"/>
        <v>0</v>
      </c>
      <c r="L77" s="294">
        <f t="shared" si="46"/>
        <v>0</v>
      </c>
      <c r="M77" s="294">
        <f t="shared" si="46"/>
        <v>0</v>
      </c>
      <c r="N77" s="294">
        <f t="shared" si="46"/>
        <v>0</v>
      </c>
      <c r="O77" s="294">
        <f t="shared" si="46"/>
        <v>0</v>
      </c>
      <c r="P77" s="294">
        <f t="shared" si="46"/>
        <v>0</v>
      </c>
      <c r="Q77" s="294">
        <f t="shared" si="46"/>
        <v>0</v>
      </c>
      <c r="R77" s="294">
        <f t="shared" si="46"/>
        <v>0</v>
      </c>
      <c r="S77" s="294">
        <f t="shared" si="46"/>
        <v>0</v>
      </c>
      <c r="T77" s="294">
        <f t="shared" si="46"/>
        <v>0</v>
      </c>
      <c r="U77" s="294">
        <f t="shared" si="46"/>
        <v>0</v>
      </c>
      <c r="V77" s="294">
        <f t="shared" si="46"/>
        <v>0</v>
      </c>
      <c r="W77" s="294">
        <f t="shared" si="46"/>
        <v>0</v>
      </c>
      <c r="X77" s="294">
        <f t="shared" si="46"/>
        <v>0</v>
      </c>
      <c r="Y77" s="294">
        <f t="shared" si="46"/>
        <v>0</v>
      </c>
      <c r="Z77" s="294">
        <f t="shared" si="46"/>
        <v>0</v>
      </c>
      <c r="AA77" s="294">
        <f t="shared" si="46"/>
        <v>0</v>
      </c>
      <c r="AB77" s="294">
        <f t="shared" si="46"/>
        <v>0</v>
      </c>
      <c r="AC77" s="294">
        <f t="shared" si="46"/>
        <v>0</v>
      </c>
      <c r="AD77" s="294">
        <f t="shared" si="46"/>
        <v>0</v>
      </c>
      <c r="AE77" s="294">
        <f t="shared" si="46"/>
        <v>0</v>
      </c>
      <c r="AF77" s="294">
        <f t="shared" si="46"/>
        <v>0</v>
      </c>
      <c r="AG77" s="294">
        <f t="shared" si="46"/>
        <v>0</v>
      </c>
      <c r="AH77" s="294">
        <f t="shared" si="46"/>
        <v>0</v>
      </c>
      <c r="AI77" s="294">
        <f t="shared" si="46"/>
        <v>0</v>
      </c>
      <c r="AJ77" s="294">
        <f t="shared" si="46"/>
        <v>0</v>
      </c>
      <c r="AK77" s="294">
        <f t="shared" si="46"/>
        <v>0</v>
      </c>
      <c r="AL77" s="294">
        <f t="shared" si="46"/>
        <v>0</v>
      </c>
      <c r="AM77" s="294">
        <f t="shared" si="46"/>
        <v>0</v>
      </c>
      <c r="AN77" s="294">
        <f t="shared" si="46"/>
        <v>0</v>
      </c>
      <c r="AO77" s="294">
        <f t="shared" si="46"/>
        <v>0</v>
      </c>
      <c r="AP77" s="294">
        <f t="shared" si="46"/>
        <v>0</v>
      </c>
      <c r="AQ77" s="294">
        <f t="shared" si="46"/>
        <v>0</v>
      </c>
      <c r="AR77" s="294">
        <f t="shared" si="46"/>
        <v>0</v>
      </c>
      <c r="AS77" s="294">
        <f t="shared" si="46"/>
        <v>0</v>
      </c>
      <c r="AT77" s="294">
        <f t="shared" si="46"/>
        <v>0</v>
      </c>
      <c r="AU77" s="294">
        <f t="shared" si="46"/>
        <v>0</v>
      </c>
      <c r="AV77" s="294">
        <f t="shared" si="46"/>
        <v>0</v>
      </c>
      <c r="AW77" s="294">
        <f t="shared" si="46"/>
        <v>0</v>
      </c>
      <c r="AX77" s="294">
        <f t="shared" si="46"/>
        <v>0</v>
      </c>
      <c r="AY77" s="294">
        <f t="shared" si="46"/>
        <v>0</v>
      </c>
      <c r="AZ77" s="294">
        <f t="shared" si="46"/>
        <v>0</v>
      </c>
      <c r="BA77" s="294">
        <f t="shared" si="46"/>
        <v>0</v>
      </c>
      <c r="BB77" s="260"/>
      <c r="BC77" s="260"/>
      <c r="BF77" s="290" t="b">
        <v>0</v>
      </c>
      <c r="BG77" s="290" t="b">
        <v>0</v>
      </c>
      <c r="BH77" s="290" t="b">
        <v>0</v>
      </c>
      <c r="BI77" s="290"/>
      <c r="BJ77" s="290" t="b">
        <v>0</v>
      </c>
      <c r="BK77" s="290"/>
      <c r="BL77" s="290"/>
      <c r="BM77" s="290"/>
      <c r="BN77" s="290"/>
      <c r="BO77" s="290" t="b">
        <v>0</v>
      </c>
      <c r="BP77" s="290"/>
      <c r="BQ77" s="290"/>
      <c r="BR77" s="290"/>
      <c r="BS77" s="290"/>
      <c r="BT77" s="290"/>
      <c r="BU77" s="290"/>
      <c r="BV77" s="290" t="b">
        <v>0</v>
      </c>
      <c r="BW77" s="290" t="b">
        <v>0</v>
      </c>
      <c r="BX77" s="290" t="b">
        <v>0</v>
      </c>
      <c r="BY77" s="290"/>
      <c r="BZ77" s="290"/>
    </row>
    <row r="78" spans="1:78" ht="13.5" customHeight="1" x14ac:dyDescent="0.25">
      <c r="A78" s="299"/>
      <c r="B78" s="300"/>
      <c r="C78" s="287"/>
      <c r="D78" s="287" t="s">
        <v>422</v>
      </c>
      <c r="E78" s="288" t="b">
        <v>0</v>
      </c>
      <c r="F78" s="289">
        <f t="shared" ref="F78:BA78" si="47">SUMIFS(F3:F71,$A$3:$A$71,"CALL*")</f>
        <v>0</v>
      </c>
      <c r="G78" s="289">
        <f t="shared" si="47"/>
        <v>0</v>
      </c>
      <c r="H78" s="289">
        <f t="shared" si="47"/>
        <v>0</v>
      </c>
      <c r="I78" s="289">
        <f t="shared" si="47"/>
        <v>0</v>
      </c>
      <c r="J78" s="289">
        <f t="shared" si="47"/>
        <v>0</v>
      </c>
      <c r="K78" s="289">
        <f t="shared" si="47"/>
        <v>0</v>
      </c>
      <c r="L78" s="289">
        <f t="shared" si="47"/>
        <v>0</v>
      </c>
      <c r="M78" s="289">
        <f t="shared" si="47"/>
        <v>0</v>
      </c>
      <c r="N78" s="289">
        <f t="shared" si="47"/>
        <v>0</v>
      </c>
      <c r="O78" s="289">
        <f t="shared" si="47"/>
        <v>0</v>
      </c>
      <c r="P78" s="289">
        <f t="shared" si="47"/>
        <v>0</v>
      </c>
      <c r="Q78" s="289">
        <f t="shared" si="47"/>
        <v>0</v>
      </c>
      <c r="R78" s="289">
        <f t="shared" si="47"/>
        <v>0</v>
      </c>
      <c r="S78" s="289">
        <f t="shared" si="47"/>
        <v>0</v>
      </c>
      <c r="T78" s="289">
        <f t="shared" si="47"/>
        <v>0</v>
      </c>
      <c r="U78" s="289">
        <f t="shared" si="47"/>
        <v>0</v>
      </c>
      <c r="V78" s="289">
        <f t="shared" si="47"/>
        <v>0</v>
      </c>
      <c r="W78" s="289">
        <f t="shared" si="47"/>
        <v>0</v>
      </c>
      <c r="X78" s="289">
        <f t="shared" si="47"/>
        <v>0</v>
      </c>
      <c r="Y78" s="289">
        <f t="shared" si="47"/>
        <v>0</v>
      </c>
      <c r="Z78" s="289">
        <f t="shared" si="47"/>
        <v>0</v>
      </c>
      <c r="AA78" s="289">
        <f t="shared" si="47"/>
        <v>0</v>
      </c>
      <c r="AB78" s="289">
        <f t="shared" si="47"/>
        <v>0</v>
      </c>
      <c r="AC78" s="289">
        <f t="shared" si="47"/>
        <v>0</v>
      </c>
      <c r="AD78" s="289">
        <f t="shared" si="47"/>
        <v>0</v>
      </c>
      <c r="AE78" s="289">
        <f t="shared" si="47"/>
        <v>0</v>
      </c>
      <c r="AF78" s="289">
        <f t="shared" si="47"/>
        <v>0</v>
      </c>
      <c r="AG78" s="289">
        <f t="shared" si="47"/>
        <v>0</v>
      </c>
      <c r="AH78" s="289">
        <f t="shared" si="47"/>
        <v>0</v>
      </c>
      <c r="AI78" s="289">
        <f t="shared" si="47"/>
        <v>0</v>
      </c>
      <c r="AJ78" s="289">
        <f t="shared" si="47"/>
        <v>0</v>
      </c>
      <c r="AK78" s="289">
        <f t="shared" si="47"/>
        <v>0</v>
      </c>
      <c r="AL78" s="289">
        <f t="shared" si="47"/>
        <v>0</v>
      </c>
      <c r="AM78" s="289">
        <f t="shared" si="47"/>
        <v>0</v>
      </c>
      <c r="AN78" s="289">
        <f t="shared" si="47"/>
        <v>0</v>
      </c>
      <c r="AO78" s="289">
        <f t="shared" si="47"/>
        <v>0</v>
      </c>
      <c r="AP78" s="289">
        <f t="shared" si="47"/>
        <v>0</v>
      </c>
      <c r="AQ78" s="289">
        <f t="shared" si="47"/>
        <v>0</v>
      </c>
      <c r="AR78" s="289">
        <f t="shared" si="47"/>
        <v>0</v>
      </c>
      <c r="AS78" s="289">
        <f t="shared" si="47"/>
        <v>0</v>
      </c>
      <c r="AT78" s="289">
        <f t="shared" si="47"/>
        <v>0</v>
      </c>
      <c r="AU78" s="289">
        <f t="shared" si="47"/>
        <v>0</v>
      </c>
      <c r="AV78" s="289">
        <f t="shared" si="47"/>
        <v>0</v>
      </c>
      <c r="AW78" s="289">
        <f t="shared" si="47"/>
        <v>0</v>
      </c>
      <c r="AX78" s="289">
        <f t="shared" si="47"/>
        <v>0</v>
      </c>
      <c r="AY78" s="289">
        <f t="shared" si="47"/>
        <v>0</v>
      </c>
      <c r="AZ78" s="289">
        <f t="shared" si="47"/>
        <v>0</v>
      </c>
      <c r="BA78" s="289">
        <f t="shared" si="47"/>
        <v>0</v>
      </c>
      <c r="BB78" s="260"/>
      <c r="BC78" s="260"/>
      <c r="BF78" s="290" t="b">
        <v>0</v>
      </c>
      <c r="BG78" s="290" t="b">
        <v>0</v>
      </c>
      <c r="BH78" s="290"/>
      <c r="BI78" s="290"/>
      <c r="BJ78" s="290" t="b">
        <v>0</v>
      </c>
      <c r="BK78" s="290"/>
      <c r="BL78" s="290"/>
      <c r="BM78" s="290"/>
      <c r="BN78" s="290"/>
      <c r="BO78" s="290" t="b">
        <v>0</v>
      </c>
      <c r="BP78" s="290"/>
      <c r="BQ78" s="290" t="b">
        <v>0</v>
      </c>
      <c r="BR78" s="290"/>
      <c r="BS78" s="290"/>
      <c r="BT78" s="290"/>
      <c r="BU78" s="290"/>
      <c r="BV78" s="290" t="b">
        <v>0</v>
      </c>
      <c r="BW78" s="290" t="b">
        <v>0</v>
      </c>
      <c r="BX78" s="290"/>
      <c r="BY78" s="290"/>
      <c r="BZ78" s="290"/>
    </row>
    <row r="79" spans="1:78" ht="13.5" customHeight="1" x14ac:dyDescent="0.25">
      <c r="A79" s="299"/>
      <c r="B79" s="300"/>
      <c r="C79" s="292"/>
      <c r="D79" s="292" t="s">
        <v>423</v>
      </c>
      <c r="E79" s="293" t="b">
        <v>0</v>
      </c>
      <c r="F79" s="294">
        <f t="shared" ref="F79:BA79" si="48">SUMIFS(F3:F71,$A$3:$A$71,"EXPERT*")</f>
        <v>0</v>
      </c>
      <c r="G79" s="294">
        <f t="shared" si="48"/>
        <v>0</v>
      </c>
      <c r="H79" s="294">
        <f t="shared" si="48"/>
        <v>0</v>
      </c>
      <c r="I79" s="294">
        <f t="shared" si="48"/>
        <v>0</v>
      </c>
      <c r="J79" s="294">
        <f t="shared" si="48"/>
        <v>0</v>
      </c>
      <c r="K79" s="294">
        <f t="shared" si="48"/>
        <v>0</v>
      </c>
      <c r="L79" s="294">
        <f t="shared" si="48"/>
        <v>0</v>
      </c>
      <c r="M79" s="294">
        <f t="shared" si="48"/>
        <v>0</v>
      </c>
      <c r="N79" s="294">
        <f t="shared" si="48"/>
        <v>0</v>
      </c>
      <c r="O79" s="294">
        <f t="shared" si="48"/>
        <v>0</v>
      </c>
      <c r="P79" s="294">
        <f t="shared" si="48"/>
        <v>0</v>
      </c>
      <c r="Q79" s="294">
        <f t="shared" si="48"/>
        <v>0</v>
      </c>
      <c r="R79" s="294">
        <f t="shared" si="48"/>
        <v>0</v>
      </c>
      <c r="S79" s="294">
        <f t="shared" si="48"/>
        <v>0</v>
      </c>
      <c r="T79" s="294">
        <f t="shared" si="48"/>
        <v>0</v>
      </c>
      <c r="U79" s="294">
        <f t="shared" si="48"/>
        <v>0</v>
      </c>
      <c r="V79" s="294">
        <f t="shared" si="48"/>
        <v>0</v>
      </c>
      <c r="W79" s="294">
        <f t="shared" si="48"/>
        <v>0</v>
      </c>
      <c r="X79" s="294">
        <f t="shared" si="48"/>
        <v>0</v>
      </c>
      <c r="Y79" s="294">
        <f t="shared" si="48"/>
        <v>0</v>
      </c>
      <c r="Z79" s="294">
        <f t="shared" si="48"/>
        <v>0</v>
      </c>
      <c r="AA79" s="294">
        <f t="shared" si="48"/>
        <v>0</v>
      </c>
      <c r="AB79" s="294">
        <f t="shared" si="48"/>
        <v>0</v>
      </c>
      <c r="AC79" s="294">
        <f t="shared" si="48"/>
        <v>0</v>
      </c>
      <c r="AD79" s="294">
        <f t="shared" si="48"/>
        <v>0</v>
      </c>
      <c r="AE79" s="294">
        <f t="shared" si="48"/>
        <v>0</v>
      </c>
      <c r="AF79" s="294">
        <f t="shared" si="48"/>
        <v>0</v>
      </c>
      <c r="AG79" s="294">
        <f t="shared" si="48"/>
        <v>0</v>
      </c>
      <c r="AH79" s="294">
        <f t="shared" si="48"/>
        <v>0</v>
      </c>
      <c r="AI79" s="294">
        <f t="shared" si="48"/>
        <v>0</v>
      </c>
      <c r="AJ79" s="294">
        <f t="shared" si="48"/>
        <v>0</v>
      </c>
      <c r="AK79" s="294">
        <f t="shared" si="48"/>
        <v>0</v>
      </c>
      <c r="AL79" s="294">
        <f t="shared" si="48"/>
        <v>0</v>
      </c>
      <c r="AM79" s="294">
        <f t="shared" si="48"/>
        <v>0</v>
      </c>
      <c r="AN79" s="294">
        <f t="shared" si="48"/>
        <v>0</v>
      </c>
      <c r="AO79" s="294">
        <f t="shared" si="48"/>
        <v>0</v>
      </c>
      <c r="AP79" s="294">
        <f t="shared" si="48"/>
        <v>0</v>
      </c>
      <c r="AQ79" s="294">
        <f t="shared" si="48"/>
        <v>0</v>
      </c>
      <c r="AR79" s="294">
        <f t="shared" si="48"/>
        <v>0</v>
      </c>
      <c r="AS79" s="294">
        <f t="shared" si="48"/>
        <v>0</v>
      </c>
      <c r="AT79" s="294">
        <f t="shared" si="48"/>
        <v>0</v>
      </c>
      <c r="AU79" s="294">
        <f t="shared" si="48"/>
        <v>0</v>
      </c>
      <c r="AV79" s="294">
        <f t="shared" si="48"/>
        <v>0</v>
      </c>
      <c r="AW79" s="294">
        <f t="shared" si="48"/>
        <v>0</v>
      </c>
      <c r="AX79" s="294">
        <f t="shared" si="48"/>
        <v>0</v>
      </c>
      <c r="AY79" s="294">
        <f t="shared" si="48"/>
        <v>0</v>
      </c>
      <c r="AZ79" s="294">
        <f t="shared" si="48"/>
        <v>0</v>
      </c>
      <c r="BA79" s="294">
        <f t="shared" si="48"/>
        <v>0</v>
      </c>
      <c r="BB79" s="260"/>
      <c r="BC79" s="260"/>
      <c r="BF79" s="290" t="b">
        <v>0</v>
      </c>
      <c r="BG79" s="290" t="b">
        <v>0</v>
      </c>
      <c r="BH79" s="290" t="b">
        <v>0</v>
      </c>
      <c r="BI79" s="290" t="b">
        <v>0</v>
      </c>
      <c r="BJ79" s="290" t="b">
        <v>0</v>
      </c>
      <c r="BK79" s="290" t="b">
        <v>0</v>
      </c>
      <c r="BL79" s="290"/>
      <c r="BM79" s="290"/>
      <c r="BN79" s="290"/>
      <c r="BO79" s="290" t="b">
        <v>0</v>
      </c>
      <c r="BP79" s="290"/>
      <c r="BQ79" s="290"/>
      <c r="BR79" s="290"/>
      <c r="BS79" s="290"/>
      <c r="BT79" s="290"/>
      <c r="BU79" s="290"/>
      <c r="BV79" s="290" t="b">
        <v>0</v>
      </c>
      <c r="BW79" s="290" t="b">
        <v>0</v>
      </c>
      <c r="BX79" s="290"/>
      <c r="BY79" s="290"/>
      <c r="BZ79" s="290"/>
    </row>
    <row r="80" spans="1:78" ht="13.5" customHeight="1" x14ac:dyDescent="0.25">
      <c r="A80" s="299"/>
      <c r="B80" s="300"/>
      <c r="C80" s="287"/>
      <c r="D80" s="287"/>
      <c r="E80" s="288"/>
      <c r="F80" s="289"/>
      <c r="G80" s="289"/>
      <c r="H80" s="289"/>
      <c r="I80" s="289"/>
      <c r="J80" s="289"/>
      <c r="K80" s="289"/>
      <c r="L80" s="289"/>
      <c r="M80" s="289"/>
      <c r="N80" s="289"/>
      <c r="O80" s="289"/>
      <c r="P80" s="289"/>
      <c r="Q80" s="289"/>
      <c r="R80" s="289"/>
      <c r="S80" s="289"/>
      <c r="T80" s="289"/>
      <c r="U80" s="289"/>
      <c r="V80" s="289"/>
      <c r="W80" s="289"/>
      <c r="X80" s="289"/>
      <c r="Y80" s="289"/>
      <c r="Z80" s="289"/>
      <c r="AA80" s="289"/>
      <c r="AB80" s="289"/>
      <c r="AC80" s="289"/>
      <c r="AD80" s="289"/>
      <c r="AE80" s="289"/>
      <c r="AF80" s="289"/>
      <c r="AG80" s="289"/>
      <c r="AH80" s="289"/>
      <c r="AI80" s="289"/>
      <c r="AJ80" s="289"/>
      <c r="AK80" s="289"/>
      <c r="AL80" s="289"/>
      <c r="AM80" s="289"/>
      <c r="AN80" s="289"/>
      <c r="AO80" s="289">
        <f t="shared" ref="AO80:BA80" si="49">SUMIFS(AO3:AO71,$A$3:$A$71,"*GDK")</f>
        <v>0</v>
      </c>
      <c r="AP80" s="289">
        <f t="shared" si="49"/>
        <v>0</v>
      </c>
      <c r="AQ80" s="289">
        <f t="shared" si="49"/>
        <v>0</v>
      </c>
      <c r="AR80" s="289">
        <f t="shared" si="49"/>
        <v>0</v>
      </c>
      <c r="AS80" s="289">
        <f t="shared" si="49"/>
        <v>0</v>
      </c>
      <c r="AT80" s="289">
        <f t="shared" si="49"/>
        <v>0</v>
      </c>
      <c r="AU80" s="289">
        <f t="shared" si="49"/>
        <v>0</v>
      </c>
      <c r="AV80" s="289">
        <f t="shared" si="49"/>
        <v>0</v>
      </c>
      <c r="AW80" s="289">
        <f t="shared" si="49"/>
        <v>0</v>
      </c>
      <c r="AX80" s="289">
        <f t="shared" si="49"/>
        <v>0</v>
      </c>
      <c r="AY80" s="289">
        <f t="shared" si="49"/>
        <v>0</v>
      </c>
      <c r="AZ80" s="289">
        <f t="shared" si="49"/>
        <v>0</v>
      </c>
      <c r="BA80" s="289">
        <f t="shared" si="49"/>
        <v>0</v>
      </c>
      <c r="BB80" s="260"/>
      <c r="BC80" s="260"/>
      <c r="BF80" s="290" t="b">
        <v>0</v>
      </c>
      <c r="BG80" s="290" t="b">
        <v>0</v>
      </c>
      <c r="BH80" s="290" t="b">
        <v>0</v>
      </c>
      <c r="BI80" s="290" t="b">
        <v>0</v>
      </c>
      <c r="BJ80" s="290" t="b">
        <v>0</v>
      </c>
      <c r="BK80" s="290" t="b">
        <v>0</v>
      </c>
      <c r="BL80" s="290"/>
      <c r="BM80" s="290"/>
      <c r="BN80" s="290"/>
      <c r="BO80" s="290" t="b">
        <v>0</v>
      </c>
      <c r="BP80" s="290"/>
      <c r="BQ80" s="290"/>
      <c r="BR80" s="290"/>
      <c r="BS80" s="290"/>
      <c r="BT80" s="290"/>
      <c r="BU80" s="290"/>
      <c r="BV80" s="290"/>
      <c r="BW80" s="290"/>
      <c r="BX80" s="290"/>
      <c r="BY80" s="290"/>
      <c r="BZ80" s="290"/>
    </row>
    <row r="81" spans="1:78" ht="13" x14ac:dyDescent="0.25">
      <c r="A81" s="299"/>
      <c r="B81" s="300"/>
      <c r="BB81" s="260"/>
      <c r="BC81" s="260"/>
    </row>
    <row r="82" spans="1:78" ht="13" x14ac:dyDescent="0.25">
      <c r="A82" s="299"/>
      <c r="B82" s="300"/>
      <c r="C82" s="301"/>
      <c r="D82" s="301" t="s">
        <v>424</v>
      </c>
      <c r="E82" s="302"/>
      <c r="F82" s="303">
        <f>SUMIF($E$73:$E$80,"VRAI",F$73:F$80)</f>
        <v>0</v>
      </c>
      <c r="G82" s="303">
        <f>SUMIF($E$73:$E$80,"VRAI",G$73:G$80)</f>
        <v>0</v>
      </c>
      <c r="H82" s="303">
        <f t="shared" ref="H82:BA82" si="50">SUMIF($E$73:$E$80,"VRAI",H$73:H$80)</f>
        <v>0</v>
      </c>
      <c r="I82" s="303">
        <f t="shared" si="50"/>
        <v>0</v>
      </c>
      <c r="J82" s="303">
        <f t="shared" si="50"/>
        <v>0</v>
      </c>
      <c r="K82" s="303">
        <f t="shared" si="50"/>
        <v>0</v>
      </c>
      <c r="L82" s="303">
        <f t="shared" si="50"/>
        <v>0</v>
      </c>
      <c r="M82" s="303">
        <f t="shared" si="50"/>
        <v>0</v>
      </c>
      <c r="N82" s="303">
        <f t="shared" si="50"/>
        <v>0</v>
      </c>
      <c r="O82" s="303">
        <f t="shared" si="50"/>
        <v>0</v>
      </c>
      <c r="P82" s="303">
        <f t="shared" si="50"/>
        <v>0</v>
      </c>
      <c r="Q82" s="303">
        <f t="shared" si="50"/>
        <v>0</v>
      </c>
      <c r="R82" s="303">
        <f t="shared" si="50"/>
        <v>0</v>
      </c>
      <c r="S82" s="303">
        <f t="shared" si="50"/>
        <v>0</v>
      </c>
      <c r="T82" s="303">
        <f t="shared" si="50"/>
        <v>0</v>
      </c>
      <c r="U82" s="303">
        <f t="shared" si="50"/>
        <v>0</v>
      </c>
      <c r="V82" s="303">
        <f>IF(BF83=0,SUMIF($E$73:$E$80,"VRAI",V$73:V$80),SUMIF(BF73:BF80,"VRAI",V$73:V$80))</f>
        <v>0</v>
      </c>
      <c r="W82" s="303">
        <f>IF(BG83=0,SUMIF($E$73:$E$80,"VRAI",W$73:W$80),SUMIF(BG73:BG80,"VRAI",W$73:W$80))</f>
        <v>0</v>
      </c>
      <c r="X82" s="303">
        <f t="shared" ref="X82:AN82" si="51">IF(BH83=0,SUMIF($E$73:$E$80,"VRAI",X$73:X$80),SUMIF(BH73:BH80,"VRAI",X$73:X$80))</f>
        <v>0</v>
      </c>
      <c r="Y82" s="303">
        <f t="shared" si="51"/>
        <v>0</v>
      </c>
      <c r="Z82" s="303">
        <f t="shared" si="51"/>
        <v>0</v>
      </c>
      <c r="AA82" s="303">
        <f t="shared" si="51"/>
        <v>0</v>
      </c>
      <c r="AB82" s="303">
        <f t="shared" si="51"/>
        <v>0</v>
      </c>
      <c r="AC82" s="303">
        <f t="shared" si="51"/>
        <v>0</v>
      </c>
      <c r="AD82" s="303">
        <f t="shared" si="51"/>
        <v>0</v>
      </c>
      <c r="AE82" s="303">
        <f t="shared" si="51"/>
        <v>0</v>
      </c>
      <c r="AF82" s="303">
        <f t="shared" si="51"/>
        <v>0</v>
      </c>
      <c r="AG82" s="303">
        <f t="shared" si="51"/>
        <v>0</v>
      </c>
      <c r="AH82" s="303">
        <f t="shared" si="51"/>
        <v>0</v>
      </c>
      <c r="AI82" s="303">
        <f t="shared" si="51"/>
        <v>0</v>
      </c>
      <c r="AJ82" s="303">
        <f t="shared" si="51"/>
        <v>0</v>
      </c>
      <c r="AK82" s="303">
        <f t="shared" si="51"/>
        <v>0</v>
      </c>
      <c r="AL82" s="303">
        <f t="shared" si="51"/>
        <v>0</v>
      </c>
      <c r="AM82" s="303">
        <f t="shared" si="51"/>
        <v>0</v>
      </c>
      <c r="AN82" s="303">
        <f t="shared" si="51"/>
        <v>0</v>
      </c>
      <c r="AO82" s="303">
        <f t="shared" si="50"/>
        <v>0</v>
      </c>
      <c r="AP82" s="303">
        <f t="shared" si="50"/>
        <v>0</v>
      </c>
      <c r="AQ82" s="303">
        <f t="shared" si="50"/>
        <v>0</v>
      </c>
      <c r="AR82" s="303">
        <f t="shared" si="50"/>
        <v>0</v>
      </c>
      <c r="AS82" s="303">
        <f t="shared" si="50"/>
        <v>0</v>
      </c>
      <c r="AT82" s="303">
        <f t="shared" si="50"/>
        <v>0</v>
      </c>
      <c r="AU82" s="303">
        <f t="shared" si="50"/>
        <v>0</v>
      </c>
      <c r="AV82" s="303">
        <f t="shared" si="50"/>
        <v>0</v>
      </c>
      <c r="AW82" s="303">
        <f t="shared" si="50"/>
        <v>0</v>
      </c>
      <c r="AX82" s="303">
        <f t="shared" si="50"/>
        <v>0</v>
      </c>
      <c r="AY82" s="303">
        <f t="shared" si="50"/>
        <v>0</v>
      </c>
      <c r="AZ82" s="303">
        <f t="shared" si="50"/>
        <v>0</v>
      </c>
      <c r="BA82" s="303">
        <f t="shared" si="50"/>
        <v>0</v>
      </c>
      <c r="BB82" s="260"/>
      <c r="BC82" s="260"/>
    </row>
    <row r="83" spans="1:78" x14ac:dyDescent="0.25">
      <c r="A83" s="304"/>
      <c r="B83" s="305"/>
      <c r="C83" s="306"/>
      <c r="D83" s="306" t="s">
        <v>425</v>
      </c>
      <c r="E83" s="306"/>
      <c r="F83" s="307">
        <f t="shared" ref="F83:T83" si="52">IFERROR(COUNTIFS($A$3:$A$71,$BD$74,F3:F71,"A")+SUMIFS(F3:F71,$A$3:$A$71,$BD$74),"0")</f>
        <v>0</v>
      </c>
      <c r="G83" s="307">
        <f t="shared" si="52"/>
        <v>0</v>
      </c>
      <c r="H83" s="307">
        <f t="shared" si="52"/>
        <v>0</v>
      </c>
      <c r="I83" s="307">
        <f t="shared" si="52"/>
        <v>0</v>
      </c>
      <c r="J83" s="307">
        <f t="shared" si="52"/>
        <v>0</v>
      </c>
      <c r="K83" s="307">
        <f t="shared" si="52"/>
        <v>0</v>
      </c>
      <c r="L83" s="307">
        <f t="shared" si="52"/>
        <v>0</v>
      </c>
      <c r="M83" s="307">
        <f t="shared" si="52"/>
        <v>0</v>
      </c>
      <c r="N83" s="307">
        <f t="shared" si="52"/>
        <v>0</v>
      </c>
      <c r="O83" s="307">
        <f t="shared" si="52"/>
        <v>0</v>
      </c>
      <c r="P83" s="307">
        <f t="shared" si="52"/>
        <v>0</v>
      </c>
      <c r="Q83" s="307">
        <f t="shared" si="52"/>
        <v>0</v>
      </c>
      <c r="R83" s="307">
        <f t="shared" si="52"/>
        <v>0</v>
      </c>
      <c r="S83" s="307">
        <f t="shared" si="52"/>
        <v>0</v>
      </c>
      <c r="T83" s="307">
        <f t="shared" si="52"/>
        <v>0</v>
      </c>
      <c r="U83" s="307">
        <f t="shared" ref="U83:AQ83" si="53">IFERROR(COUNTIFS($A$3:$A$71,"*FRONT",U3:U71,"A")+SUMIFS(U3:U71,$A$3:$A$71,"*FRONT"),"0")</f>
        <v>0</v>
      </c>
      <c r="V83" s="307">
        <f t="shared" si="53"/>
        <v>0</v>
      </c>
      <c r="W83" s="307">
        <f t="shared" si="53"/>
        <v>0</v>
      </c>
      <c r="X83" s="307">
        <f t="shared" si="53"/>
        <v>0</v>
      </c>
      <c r="Y83" s="307">
        <f t="shared" si="53"/>
        <v>0</v>
      </c>
      <c r="Z83" s="307">
        <f t="shared" si="53"/>
        <v>0</v>
      </c>
      <c r="AA83" s="307">
        <f t="shared" si="53"/>
        <v>0</v>
      </c>
      <c r="AB83" s="307">
        <f t="shared" si="53"/>
        <v>0</v>
      </c>
      <c r="AC83" s="307">
        <f t="shared" si="53"/>
        <v>0</v>
      </c>
      <c r="AD83" s="307">
        <f t="shared" si="53"/>
        <v>0</v>
      </c>
      <c r="AE83" s="307">
        <f t="shared" si="53"/>
        <v>0</v>
      </c>
      <c r="AF83" s="307">
        <f t="shared" si="53"/>
        <v>0</v>
      </c>
      <c r="AG83" s="307">
        <f t="shared" si="53"/>
        <v>0</v>
      </c>
      <c r="AH83" s="307">
        <f t="shared" si="53"/>
        <v>0</v>
      </c>
      <c r="AI83" s="307">
        <f t="shared" si="53"/>
        <v>0</v>
      </c>
      <c r="AJ83" s="307">
        <f t="shared" si="53"/>
        <v>0</v>
      </c>
      <c r="AK83" s="307">
        <f t="shared" si="53"/>
        <v>0</v>
      </c>
      <c r="AL83" s="307">
        <f t="shared" si="53"/>
        <v>0</v>
      </c>
      <c r="AM83" s="307">
        <f t="shared" si="53"/>
        <v>0</v>
      </c>
      <c r="AN83" s="307">
        <f t="shared" si="53"/>
        <v>0</v>
      </c>
      <c r="AO83" s="307">
        <f t="shared" si="53"/>
        <v>0</v>
      </c>
      <c r="AP83" s="307">
        <f t="shared" si="53"/>
        <v>0</v>
      </c>
      <c r="AQ83" s="307">
        <f t="shared" si="53"/>
        <v>0</v>
      </c>
      <c r="AR83" s="307">
        <f t="shared" ref="AR83:BA83" si="54">IFERROR(COUNTIFS($A$3:$A$71,$BD$74,AR3:AR71,"A")+SUMIFS(AR3:AR71,$A$3:$A$71,$BD$74),"0")</f>
        <v>0</v>
      </c>
      <c r="AS83" s="307">
        <f t="shared" si="54"/>
        <v>0</v>
      </c>
      <c r="AT83" s="307">
        <f t="shared" si="54"/>
        <v>0</v>
      </c>
      <c r="AU83" s="307">
        <f t="shared" si="54"/>
        <v>0</v>
      </c>
      <c r="AV83" s="307">
        <f t="shared" si="54"/>
        <v>0</v>
      </c>
      <c r="AW83" s="307">
        <f t="shared" si="54"/>
        <v>0</v>
      </c>
      <c r="AX83" s="307">
        <f t="shared" si="54"/>
        <v>0</v>
      </c>
      <c r="AY83" s="307">
        <f t="shared" si="54"/>
        <v>0</v>
      </c>
      <c r="AZ83" s="307">
        <f t="shared" si="54"/>
        <v>0</v>
      </c>
      <c r="BA83" s="307">
        <f t="shared" si="54"/>
        <v>0</v>
      </c>
      <c r="BB83" s="260"/>
      <c r="BC83" s="260"/>
      <c r="BF83" s="221">
        <f>COUNTIF(BF74:BF80,"VRAI")</f>
        <v>0</v>
      </c>
      <c r="BG83" s="221">
        <f>COUNTIF(BG74:BG80,"VRAI")</f>
        <v>0</v>
      </c>
      <c r="BH83" s="221">
        <f t="shared" ref="BH83:BZ83" si="55">COUNTIF(BH74:BH80,"VRAI")</f>
        <v>0</v>
      </c>
      <c r="BI83" s="221">
        <f t="shared" si="55"/>
        <v>0</v>
      </c>
      <c r="BJ83" s="221">
        <f t="shared" si="55"/>
        <v>0</v>
      </c>
      <c r="BK83" s="221">
        <f t="shared" si="55"/>
        <v>0</v>
      </c>
      <c r="BL83" s="221">
        <f t="shared" si="55"/>
        <v>0</v>
      </c>
      <c r="BM83" s="221">
        <f t="shared" si="55"/>
        <v>0</v>
      </c>
      <c r="BN83" s="221">
        <f t="shared" si="55"/>
        <v>0</v>
      </c>
      <c r="BO83" s="221">
        <f t="shared" si="55"/>
        <v>0</v>
      </c>
      <c r="BP83" s="221">
        <f t="shared" si="55"/>
        <v>0</v>
      </c>
      <c r="BQ83" s="221">
        <f t="shared" si="55"/>
        <v>0</v>
      </c>
      <c r="BR83" s="221">
        <f t="shared" si="55"/>
        <v>0</v>
      </c>
      <c r="BS83" s="221">
        <f t="shared" si="55"/>
        <v>0</v>
      </c>
      <c r="BT83" s="221">
        <f t="shared" si="55"/>
        <v>0</v>
      </c>
      <c r="BU83" s="221">
        <f t="shared" si="55"/>
        <v>0</v>
      </c>
      <c r="BV83" s="221">
        <f t="shared" si="55"/>
        <v>0</v>
      </c>
      <c r="BW83" s="221">
        <f t="shared" si="55"/>
        <v>0</v>
      </c>
      <c r="BX83" s="221">
        <f t="shared" si="55"/>
        <v>0</v>
      </c>
      <c r="BY83" s="221">
        <f t="shared" si="55"/>
        <v>0</v>
      </c>
      <c r="BZ83" s="221">
        <f t="shared" si="55"/>
        <v>0</v>
      </c>
    </row>
    <row r="84" spans="1:78" ht="3.75" customHeight="1" x14ac:dyDescent="0.25">
      <c r="A84" s="304"/>
      <c r="B84" s="305"/>
      <c r="C84" s="268"/>
      <c r="D84" s="268"/>
      <c r="E84" s="268"/>
      <c r="F84" s="308"/>
      <c r="G84" s="308"/>
      <c r="H84" s="308"/>
      <c r="I84" s="308"/>
      <c r="J84" s="308"/>
      <c r="K84" s="308"/>
      <c r="L84" s="308"/>
      <c r="M84" s="308"/>
      <c r="N84" s="308"/>
      <c r="O84" s="308"/>
      <c r="P84" s="308"/>
      <c r="Q84" s="308"/>
      <c r="R84" s="308"/>
      <c r="S84" s="308"/>
      <c r="T84" s="308"/>
      <c r="U84" s="308"/>
      <c r="V84" s="308"/>
      <c r="W84" s="308"/>
      <c r="X84" s="308"/>
      <c r="Y84" s="308"/>
      <c r="Z84" s="308"/>
      <c r="AA84" s="308"/>
      <c r="AB84" s="308"/>
      <c r="AC84" s="308"/>
      <c r="AD84" s="308"/>
      <c r="AE84" s="308"/>
      <c r="AF84" s="308"/>
      <c r="AG84" s="308"/>
      <c r="AH84" s="308"/>
      <c r="AI84" s="308"/>
      <c r="AJ84" s="308"/>
      <c r="AK84" s="308"/>
      <c r="AL84" s="308"/>
      <c r="AM84" s="308"/>
      <c r="AN84" s="308"/>
      <c r="AO84" s="308"/>
      <c r="AP84" s="308"/>
      <c r="AQ84" s="308"/>
      <c r="AR84" s="308"/>
      <c r="AS84" s="308"/>
      <c r="AT84" s="308"/>
      <c r="AU84" s="308"/>
      <c r="AV84" s="308"/>
      <c r="AW84" s="308"/>
      <c r="AX84" s="308"/>
      <c r="AY84" s="308"/>
      <c r="AZ84" s="308"/>
      <c r="BA84" s="308"/>
    </row>
    <row r="85" spans="1:78" x14ac:dyDescent="0.25">
      <c r="C85" s="309"/>
      <c r="D85" s="309" t="s">
        <v>426</v>
      </c>
      <c r="E85" s="309"/>
      <c r="F85" s="310">
        <f t="shared" ref="F85:BA85" si="56">IFERROR((F82*$B$74)*(30/$B$75),"0")</f>
        <v>0</v>
      </c>
      <c r="G85" s="310">
        <f t="shared" si="56"/>
        <v>0</v>
      </c>
      <c r="H85" s="310">
        <f t="shared" si="56"/>
        <v>0</v>
      </c>
      <c r="I85" s="310">
        <f t="shared" si="56"/>
        <v>0</v>
      </c>
      <c r="J85" s="310">
        <f t="shared" si="56"/>
        <v>0</v>
      </c>
      <c r="K85" s="310">
        <f t="shared" si="56"/>
        <v>0</v>
      </c>
      <c r="L85" s="310">
        <f t="shared" si="56"/>
        <v>0</v>
      </c>
      <c r="M85" s="310">
        <f t="shared" si="56"/>
        <v>0</v>
      </c>
      <c r="N85" s="310">
        <f t="shared" si="56"/>
        <v>0</v>
      </c>
      <c r="O85" s="310">
        <f t="shared" si="56"/>
        <v>0</v>
      </c>
      <c r="P85" s="310">
        <f t="shared" si="56"/>
        <v>0</v>
      </c>
      <c r="Q85" s="310">
        <f t="shared" si="56"/>
        <v>0</v>
      </c>
      <c r="R85" s="310">
        <f t="shared" si="56"/>
        <v>0</v>
      </c>
      <c r="S85" s="310">
        <f t="shared" si="56"/>
        <v>0</v>
      </c>
      <c r="T85" s="310">
        <f t="shared" si="56"/>
        <v>0</v>
      </c>
      <c r="U85" s="310">
        <f t="shared" si="56"/>
        <v>0</v>
      </c>
      <c r="V85" s="310">
        <f t="shared" si="56"/>
        <v>0</v>
      </c>
      <c r="W85" s="310">
        <f t="shared" si="56"/>
        <v>0</v>
      </c>
      <c r="X85" s="310">
        <f t="shared" si="56"/>
        <v>0</v>
      </c>
      <c r="Y85" s="310">
        <f t="shared" si="56"/>
        <v>0</v>
      </c>
      <c r="Z85" s="310">
        <f t="shared" si="56"/>
        <v>0</v>
      </c>
      <c r="AA85" s="310">
        <f t="shared" si="56"/>
        <v>0</v>
      </c>
      <c r="AB85" s="310">
        <f t="shared" si="56"/>
        <v>0</v>
      </c>
      <c r="AC85" s="310">
        <f t="shared" si="56"/>
        <v>0</v>
      </c>
      <c r="AD85" s="310">
        <f t="shared" si="56"/>
        <v>0</v>
      </c>
      <c r="AE85" s="310">
        <f t="shared" si="56"/>
        <v>0</v>
      </c>
      <c r="AF85" s="310">
        <f t="shared" si="56"/>
        <v>0</v>
      </c>
      <c r="AG85" s="310">
        <f t="shared" si="56"/>
        <v>0</v>
      </c>
      <c r="AH85" s="310">
        <f t="shared" si="56"/>
        <v>0</v>
      </c>
      <c r="AI85" s="310">
        <f t="shared" si="56"/>
        <v>0</v>
      </c>
      <c r="AJ85" s="310">
        <f t="shared" si="56"/>
        <v>0</v>
      </c>
      <c r="AK85" s="310">
        <f t="shared" si="56"/>
        <v>0</v>
      </c>
      <c r="AL85" s="310">
        <f t="shared" si="56"/>
        <v>0</v>
      </c>
      <c r="AM85" s="310">
        <f t="shared" si="56"/>
        <v>0</v>
      </c>
      <c r="AN85" s="310">
        <f t="shared" si="56"/>
        <v>0</v>
      </c>
      <c r="AO85" s="310">
        <f t="shared" si="56"/>
        <v>0</v>
      </c>
      <c r="AP85" s="310">
        <f t="shared" si="56"/>
        <v>0</v>
      </c>
      <c r="AQ85" s="310">
        <f t="shared" si="56"/>
        <v>0</v>
      </c>
      <c r="AR85" s="310">
        <f t="shared" si="56"/>
        <v>0</v>
      </c>
      <c r="AS85" s="310">
        <f t="shared" si="56"/>
        <v>0</v>
      </c>
      <c r="AT85" s="310">
        <f t="shared" si="56"/>
        <v>0</v>
      </c>
      <c r="AU85" s="310">
        <f t="shared" si="56"/>
        <v>0</v>
      </c>
      <c r="AV85" s="310">
        <f t="shared" si="56"/>
        <v>0</v>
      </c>
      <c r="AW85" s="310">
        <f t="shared" si="56"/>
        <v>0</v>
      </c>
      <c r="AX85" s="310">
        <f t="shared" si="56"/>
        <v>0</v>
      </c>
      <c r="AY85" s="310">
        <f t="shared" si="56"/>
        <v>0</v>
      </c>
      <c r="AZ85" s="310">
        <f t="shared" si="56"/>
        <v>0</v>
      </c>
      <c r="BA85" s="310">
        <f t="shared" si="56"/>
        <v>0</v>
      </c>
      <c r="BB85" s="260"/>
      <c r="BC85" s="311">
        <f>SUM(V85:AM85)</f>
        <v>0</v>
      </c>
    </row>
    <row r="86" spans="1:78" x14ac:dyDescent="0.25">
      <c r="C86" s="312"/>
      <c r="D86" s="312" t="s">
        <v>427</v>
      </c>
      <c r="E86" s="312"/>
      <c r="F86" s="313" t="str">
        <f t="shared" ref="F86:BA86" si="57">IF(F85&lt;F91,F85,"")</f>
        <v/>
      </c>
      <c r="G86" s="313" t="str">
        <f t="shared" si="57"/>
        <v/>
      </c>
      <c r="H86" s="313" t="str">
        <f t="shared" si="57"/>
        <v/>
      </c>
      <c r="I86" s="313" t="str">
        <f t="shared" si="57"/>
        <v/>
      </c>
      <c r="J86" s="313" t="str">
        <f t="shared" si="57"/>
        <v/>
      </c>
      <c r="K86" s="313" t="str">
        <f t="shared" si="57"/>
        <v/>
      </c>
      <c r="L86" s="313" t="str">
        <f t="shared" si="57"/>
        <v/>
      </c>
      <c r="M86" s="313" t="str">
        <f t="shared" si="57"/>
        <v/>
      </c>
      <c r="N86" s="313" t="str">
        <f t="shared" si="57"/>
        <v/>
      </c>
      <c r="O86" s="313" t="str">
        <f t="shared" si="57"/>
        <v/>
      </c>
      <c r="P86" s="313" t="str">
        <f t="shared" si="57"/>
        <v/>
      </c>
      <c r="Q86" s="313" t="str">
        <f t="shared" si="57"/>
        <v/>
      </c>
      <c r="R86" s="313" t="str">
        <f t="shared" si="57"/>
        <v/>
      </c>
      <c r="S86" s="313" t="str">
        <f t="shared" si="57"/>
        <v/>
      </c>
      <c r="T86" s="313" t="str">
        <f t="shared" si="57"/>
        <v/>
      </c>
      <c r="U86" s="313" t="str">
        <f t="shared" si="57"/>
        <v/>
      </c>
      <c r="V86" s="313" t="e">
        <f t="shared" si="57"/>
        <v>#VALUE!</v>
      </c>
      <c r="W86" s="313" t="e">
        <f t="shared" si="57"/>
        <v>#VALUE!</v>
      </c>
      <c r="X86" s="313" t="e">
        <f t="shared" si="57"/>
        <v>#VALUE!</v>
      </c>
      <c r="Y86" s="313" t="e">
        <f t="shared" si="57"/>
        <v>#VALUE!</v>
      </c>
      <c r="Z86" s="313" t="e">
        <f t="shared" si="57"/>
        <v>#VALUE!</v>
      </c>
      <c r="AA86" s="313" t="e">
        <f t="shared" si="57"/>
        <v>#VALUE!</v>
      </c>
      <c r="AB86" s="313" t="e">
        <f t="shared" si="57"/>
        <v>#VALUE!</v>
      </c>
      <c r="AC86" s="313" t="e">
        <f t="shared" si="57"/>
        <v>#VALUE!</v>
      </c>
      <c r="AD86" s="313" t="e">
        <f t="shared" si="57"/>
        <v>#VALUE!</v>
      </c>
      <c r="AE86" s="313" t="e">
        <f t="shared" si="57"/>
        <v>#VALUE!</v>
      </c>
      <c r="AF86" s="313" t="e">
        <f t="shared" si="57"/>
        <v>#VALUE!</v>
      </c>
      <c r="AG86" s="313" t="e">
        <f t="shared" si="57"/>
        <v>#VALUE!</v>
      </c>
      <c r="AH86" s="313" t="e">
        <f t="shared" si="57"/>
        <v>#VALUE!</v>
      </c>
      <c r="AI86" s="313" t="e">
        <f t="shared" si="57"/>
        <v>#VALUE!</v>
      </c>
      <c r="AJ86" s="313" t="e">
        <f t="shared" si="57"/>
        <v>#VALUE!</v>
      </c>
      <c r="AK86" s="313" t="e">
        <f t="shared" si="57"/>
        <v>#VALUE!</v>
      </c>
      <c r="AL86" s="313" t="e">
        <f t="shared" si="57"/>
        <v>#VALUE!</v>
      </c>
      <c r="AM86" s="313" t="e">
        <f t="shared" si="57"/>
        <v>#VALUE!</v>
      </c>
      <c r="AN86" s="313" t="e">
        <f t="shared" si="57"/>
        <v>#VALUE!</v>
      </c>
      <c r="AO86" s="313">
        <f t="shared" si="57"/>
        <v>0</v>
      </c>
      <c r="AP86" s="313">
        <f t="shared" si="57"/>
        <v>0</v>
      </c>
      <c r="AQ86" s="313">
        <f t="shared" si="57"/>
        <v>0</v>
      </c>
      <c r="AR86" s="313">
        <f t="shared" si="57"/>
        <v>0</v>
      </c>
      <c r="AS86" s="313">
        <f t="shared" si="57"/>
        <v>0</v>
      </c>
      <c r="AT86" s="313">
        <f t="shared" si="57"/>
        <v>0</v>
      </c>
      <c r="AU86" s="313">
        <f t="shared" si="57"/>
        <v>0</v>
      </c>
      <c r="AV86" s="313">
        <f t="shared" si="57"/>
        <v>0</v>
      </c>
      <c r="AW86" s="313">
        <f t="shared" si="57"/>
        <v>0</v>
      </c>
      <c r="AX86" s="313">
        <f t="shared" si="57"/>
        <v>0</v>
      </c>
      <c r="AY86" s="313">
        <f t="shared" si="57"/>
        <v>0</v>
      </c>
      <c r="AZ86" s="313">
        <f t="shared" si="57"/>
        <v>0</v>
      </c>
      <c r="BA86" s="313">
        <f t="shared" si="57"/>
        <v>0</v>
      </c>
      <c r="BB86" s="260"/>
      <c r="BC86" s="260"/>
      <c r="BD86" s="260"/>
    </row>
    <row r="87" spans="1:78" x14ac:dyDescent="0.25">
      <c r="C87" s="309"/>
      <c r="D87" s="309" t="s">
        <v>426</v>
      </c>
      <c r="E87" s="309"/>
      <c r="F87" s="314" t="str">
        <f t="shared" ref="F87:BA87" si="58">IF(F85&gt;F91,F85,"")</f>
        <v/>
      </c>
      <c r="G87" s="314" t="str">
        <f t="shared" si="58"/>
        <v/>
      </c>
      <c r="H87" s="314" t="str">
        <f t="shared" si="58"/>
        <v/>
      </c>
      <c r="I87" s="314" t="str">
        <f t="shared" si="58"/>
        <v/>
      </c>
      <c r="J87" s="314" t="str">
        <f t="shared" si="58"/>
        <v/>
      </c>
      <c r="K87" s="314" t="str">
        <f t="shared" si="58"/>
        <v/>
      </c>
      <c r="L87" s="314" t="str">
        <f t="shared" si="58"/>
        <v/>
      </c>
      <c r="M87" s="314" t="str">
        <f t="shared" si="58"/>
        <v/>
      </c>
      <c r="N87" s="314" t="str">
        <f t="shared" si="58"/>
        <v/>
      </c>
      <c r="O87" s="314" t="str">
        <f t="shared" si="58"/>
        <v/>
      </c>
      <c r="P87" s="314" t="str">
        <f t="shared" si="58"/>
        <v/>
      </c>
      <c r="Q87" s="314" t="str">
        <f t="shared" si="58"/>
        <v/>
      </c>
      <c r="R87" s="314" t="str">
        <f t="shared" si="58"/>
        <v/>
      </c>
      <c r="S87" s="314" t="str">
        <f t="shared" si="58"/>
        <v/>
      </c>
      <c r="T87" s="314" t="str">
        <f t="shared" si="58"/>
        <v/>
      </c>
      <c r="U87" s="314" t="str">
        <f t="shared" si="58"/>
        <v/>
      </c>
      <c r="V87" s="314" t="e">
        <f t="shared" si="58"/>
        <v>#VALUE!</v>
      </c>
      <c r="W87" s="314" t="e">
        <f t="shared" si="58"/>
        <v>#VALUE!</v>
      </c>
      <c r="X87" s="314" t="e">
        <f t="shared" si="58"/>
        <v>#VALUE!</v>
      </c>
      <c r="Y87" s="314" t="e">
        <f t="shared" si="58"/>
        <v>#VALUE!</v>
      </c>
      <c r="Z87" s="314" t="e">
        <f t="shared" si="58"/>
        <v>#VALUE!</v>
      </c>
      <c r="AA87" s="314" t="e">
        <f t="shared" si="58"/>
        <v>#VALUE!</v>
      </c>
      <c r="AB87" s="314" t="e">
        <f t="shared" si="58"/>
        <v>#VALUE!</v>
      </c>
      <c r="AC87" s="314" t="e">
        <f t="shared" si="58"/>
        <v>#VALUE!</v>
      </c>
      <c r="AD87" s="314" t="e">
        <f t="shared" si="58"/>
        <v>#VALUE!</v>
      </c>
      <c r="AE87" s="314" t="e">
        <f t="shared" si="58"/>
        <v>#VALUE!</v>
      </c>
      <c r="AF87" s="314" t="e">
        <f t="shared" si="58"/>
        <v>#VALUE!</v>
      </c>
      <c r="AG87" s="314" t="e">
        <f t="shared" si="58"/>
        <v>#VALUE!</v>
      </c>
      <c r="AH87" s="314" t="e">
        <f t="shared" si="58"/>
        <v>#VALUE!</v>
      </c>
      <c r="AI87" s="314" t="e">
        <f t="shared" si="58"/>
        <v>#VALUE!</v>
      </c>
      <c r="AJ87" s="314" t="e">
        <f t="shared" si="58"/>
        <v>#VALUE!</v>
      </c>
      <c r="AK87" s="314" t="e">
        <f t="shared" si="58"/>
        <v>#VALUE!</v>
      </c>
      <c r="AL87" s="314" t="e">
        <f t="shared" si="58"/>
        <v>#VALUE!</v>
      </c>
      <c r="AM87" s="314" t="e">
        <f t="shared" si="58"/>
        <v>#VALUE!</v>
      </c>
      <c r="AN87" s="314" t="e">
        <f t="shared" si="58"/>
        <v>#VALUE!</v>
      </c>
      <c r="AO87" s="314" t="str">
        <f t="shared" si="58"/>
        <v/>
      </c>
      <c r="AP87" s="314" t="str">
        <f t="shared" si="58"/>
        <v/>
      </c>
      <c r="AQ87" s="314" t="str">
        <f t="shared" si="58"/>
        <v/>
      </c>
      <c r="AR87" s="314" t="str">
        <f t="shared" si="58"/>
        <v/>
      </c>
      <c r="AS87" s="314" t="str">
        <f t="shared" si="58"/>
        <v/>
      </c>
      <c r="AT87" s="314" t="str">
        <f t="shared" si="58"/>
        <v/>
      </c>
      <c r="AU87" s="314" t="str">
        <f t="shared" si="58"/>
        <v/>
      </c>
      <c r="AV87" s="314" t="str">
        <f t="shared" si="58"/>
        <v/>
      </c>
      <c r="AW87" s="314" t="str">
        <f t="shared" si="58"/>
        <v/>
      </c>
      <c r="AX87" s="314" t="str">
        <f t="shared" si="58"/>
        <v/>
      </c>
      <c r="AY87" s="314" t="str">
        <f t="shared" si="58"/>
        <v/>
      </c>
      <c r="AZ87" s="314" t="str">
        <f t="shared" si="58"/>
        <v/>
      </c>
      <c r="BA87" s="314" t="str">
        <f t="shared" si="58"/>
        <v/>
      </c>
      <c r="BB87" s="260"/>
      <c r="BC87" s="260"/>
      <c r="BD87" s="260"/>
    </row>
    <row r="88" spans="1:78" ht="4.5" customHeight="1" x14ac:dyDescent="0.25"/>
    <row r="89" spans="1:78" x14ac:dyDescent="0.25">
      <c r="C89" s="315"/>
      <c r="D89" s="315" t="s">
        <v>428</v>
      </c>
      <c r="E89" s="316" t="b">
        <v>0</v>
      </c>
      <c r="F89" s="317" t="str">
        <f t="shared" ref="F89:T89" si="59">IFERROR(INDEX(Charge,MATCH($B$1,Charge_v,0),MATCH(F72,Charge_h,0)),"0")</f>
        <v>0</v>
      </c>
      <c r="G89" s="317" t="str">
        <f t="shared" si="59"/>
        <v>0</v>
      </c>
      <c r="H89" s="317" t="str">
        <f t="shared" si="59"/>
        <v>0</v>
      </c>
      <c r="I89" s="317" t="str">
        <f t="shared" si="59"/>
        <v>0</v>
      </c>
      <c r="J89" s="317" t="str">
        <f t="shared" si="59"/>
        <v>0</v>
      </c>
      <c r="K89" s="317" t="str">
        <f t="shared" si="59"/>
        <v>0</v>
      </c>
      <c r="L89" s="317" t="str">
        <f t="shared" si="59"/>
        <v>0</v>
      </c>
      <c r="M89" s="317" t="str">
        <f t="shared" si="59"/>
        <v>0</v>
      </c>
      <c r="N89" s="317" t="str">
        <f t="shared" si="59"/>
        <v>0</v>
      </c>
      <c r="O89" s="317" t="str">
        <f t="shared" si="59"/>
        <v>0</v>
      </c>
      <c r="P89" s="317" t="str">
        <f t="shared" si="59"/>
        <v>0</v>
      </c>
      <c r="Q89" s="317" t="str">
        <f t="shared" si="59"/>
        <v>0</v>
      </c>
      <c r="R89" s="317" t="str">
        <f t="shared" si="59"/>
        <v>0</v>
      </c>
      <c r="S89" s="317" t="str">
        <f t="shared" si="59"/>
        <v>0</v>
      </c>
      <c r="T89" s="317" t="str">
        <f t="shared" si="59"/>
        <v>0</v>
      </c>
      <c r="U89" s="317">
        <f>IFERROR(IF($E$89=FALSE,INDEX(Charge,MATCH($B$1,Charge_v,0),MATCH(U72,Charge_h,0)),INDEX(Charge_R,MATCH($D$1,Charge_R_v,0),MATCH(U72,Charge_R_h,0))),"")</f>
        <v>0</v>
      </c>
      <c r="V89" s="317" t="str">
        <f t="shared" ref="V89:AN89" si="60">IFERROR(IF($E$89=FALSE,INDEX(Charge2,MATCH(V72,Charge2_v,0),MATCH($D$1,Charge2_h,0)),INDEX(Charge_R,MATCH($D$1,Charge_R_v,0),MATCH(V72,Charge_R_h,0))),"")</f>
        <v/>
      </c>
      <c r="W89" s="317" t="str">
        <f t="shared" si="60"/>
        <v/>
      </c>
      <c r="X89" s="317" t="str">
        <f t="shared" si="60"/>
        <v/>
      </c>
      <c r="Y89" s="317" t="str">
        <f t="shared" si="60"/>
        <v/>
      </c>
      <c r="Z89" s="317" t="str">
        <f t="shared" si="60"/>
        <v/>
      </c>
      <c r="AA89" s="317" t="str">
        <f t="shared" si="60"/>
        <v/>
      </c>
      <c r="AB89" s="317" t="str">
        <f t="shared" si="60"/>
        <v/>
      </c>
      <c r="AC89" s="317" t="str">
        <f t="shared" si="60"/>
        <v/>
      </c>
      <c r="AD89" s="317" t="str">
        <f t="shared" si="60"/>
        <v/>
      </c>
      <c r="AE89" s="317" t="str">
        <f t="shared" si="60"/>
        <v/>
      </c>
      <c r="AF89" s="317" t="str">
        <f t="shared" si="60"/>
        <v/>
      </c>
      <c r="AG89" s="317" t="str">
        <f t="shared" si="60"/>
        <v/>
      </c>
      <c r="AH89" s="317" t="str">
        <f t="shared" si="60"/>
        <v/>
      </c>
      <c r="AI89" s="317" t="str">
        <f t="shared" si="60"/>
        <v/>
      </c>
      <c r="AJ89" s="317" t="str">
        <f t="shared" si="60"/>
        <v/>
      </c>
      <c r="AK89" s="317" t="str">
        <f t="shared" si="60"/>
        <v/>
      </c>
      <c r="AL89" s="317" t="str">
        <f t="shared" si="60"/>
        <v/>
      </c>
      <c r="AM89" s="317" t="str">
        <f t="shared" si="60"/>
        <v/>
      </c>
      <c r="AN89" s="317" t="str">
        <f t="shared" si="60"/>
        <v/>
      </c>
      <c r="AO89" s="317" t="str">
        <f t="shared" ref="AO89:BA89" si="61">IFERROR(IF($E$89=FALSE,INDEX(Charge,MATCH($B$1,Charge_v,0),MATCH(AO72,Charge_h,0)),INDEX(Charge_R,MATCH($D$1,Charge_R_v,0),MATCH(AO72,Charge_R_h,0))),"")</f>
        <v/>
      </c>
      <c r="AP89" s="317" t="str">
        <f t="shared" si="61"/>
        <v/>
      </c>
      <c r="AQ89" s="317" t="str">
        <f t="shared" si="61"/>
        <v/>
      </c>
      <c r="AR89" s="317" t="str">
        <f t="shared" si="61"/>
        <v/>
      </c>
      <c r="AS89" s="317" t="str">
        <f t="shared" si="61"/>
        <v/>
      </c>
      <c r="AT89" s="317" t="str">
        <f t="shared" si="61"/>
        <v/>
      </c>
      <c r="AU89" s="317" t="str">
        <f t="shared" si="61"/>
        <v/>
      </c>
      <c r="AV89" s="317" t="str">
        <f t="shared" si="61"/>
        <v/>
      </c>
      <c r="AW89" s="317" t="str">
        <f t="shared" si="61"/>
        <v/>
      </c>
      <c r="AX89" s="317" t="str">
        <f t="shared" si="61"/>
        <v/>
      </c>
      <c r="AY89" s="317" t="str">
        <f t="shared" si="61"/>
        <v/>
      </c>
      <c r="AZ89" s="317" t="str">
        <f t="shared" si="61"/>
        <v/>
      </c>
      <c r="BA89" s="317" t="str">
        <f t="shared" si="61"/>
        <v/>
      </c>
      <c r="BB89" s="260"/>
      <c r="BC89" s="318">
        <f>SUM(V89:AM89)</f>
        <v>0</v>
      </c>
      <c r="BD89" s="260" t="s">
        <v>429</v>
      </c>
    </row>
    <row r="90" spans="1:78" x14ac:dyDescent="0.25">
      <c r="A90" s="260"/>
      <c r="B90" s="260"/>
      <c r="C90" s="319"/>
      <c r="D90" s="319" t="s">
        <v>430</v>
      </c>
      <c r="E90" s="319"/>
      <c r="F90" s="320">
        <f t="shared" ref="F90:U90" si="62">F89*$B$75/30/$B$74</f>
        <v>0</v>
      </c>
      <c r="G90" s="321">
        <f t="shared" si="62"/>
        <v>0</v>
      </c>
      <c r="H90" s="321">
        <f t="shared" si="62"/>
        <v>0</v>
      </c>
      <c r="I90" s="321">
        <f t="shared" si="62"/>
        <v>0</v>
      </c>
      <c r="J90" s="321">
        <f t="shared" si="62"/>
        <v>0</v>
      </c>
      <c r="K90" s="321">
        <f t="shared" si="62"/>
        <v>0</v>
      </c>
      <c r="L90" s="321">
        <f t="shared" si="62"/>
        <v>0</v>
      </c>
      <c r="M90" s="321">
        <f t="shared" si="62"/>
        <v>0</v>
      </c>
      <c r="N90" s="321">
        <f t="shared" si="62"/>
        <v>0</v>
      </c>
      <c r="O90" s="321">
        <f t="shared" si="62"/>
        <v>0</v>
      </c>
      <c r="P90" s="321">
        <f t="shared" si="62"/>
        <v>0</v>
      </c>
      <c r="Q90" s="321">
        <f t="shared" si="62"/>
        <v>0</v>
      </c>
      <c r="R90" s="321">
        <f t="shared" si="62"/>
        <v>0</v>
      </c>
      <c r="S90" s="321">
        <f t="shared" si="62"/>
        <v>0</v>
      </c>
      <c r="T90" s="321">
        <f t="shared" si="62"/>
        <v>0</v>
      </c>
      <c r="U90" s="321">
        <f t="shared" si="62"/>
        <v>0</v>
      </c>
      <c r="V90" s="321" t="e">
        <f>V91*$B$75/30/$B$74</f>
        <v>#VALUE!</v>
      </c>
      <c r="W90" s="321" t="e">
        <f t="shared" ref="W90:AN90" si="63">W91*$B$75/30/$B$74</f>
        <v>#VALUE!</v>
      </c>
      <c r="X90" s="321" t="e">
        <f t="shared" si="63"/>
        <v>#VALUE!</v>
      </c>
      <c r="Y90" s="321" t="e">
        <f t="shared" si="63"/>
        <v>#VALUE!</v>
      </c>
      <c r="Z90" s="321" t="e">
        <f t="shared" si="63"/>
        <v>#VALUE!</v>
      </c>
      <c r="AA90" s="321" t="e">
        <f t="shared" si="63"/>
        <v>#VALUE!</v>
      </c>
      <c r="AB90" s="321" t="e">
        <f t="shared" si="63"/>
        <v>#VALUE!</v>
      </c>
      <c r="AC90" s="321" t="e">
        <f t="shared" si="63"/>
        <v>#VALUE!</v>
      </c>
      <c r="AD90" s="321" t="e">
        <f t="shared" si="63"/>
        <v>#VALUE!</v>
      </c>
      <c r="AE90" s="321" t="e">
        <f t="shared" si="63"/>
        <v>#VALUE!</v>
      </c>
      <c r="AF90" s="321" t="e">
        <f t="shared" si="63"/>
        <v>#VALUE!</v>
      </c>
      <c r="AG90" s="321" t="e">
        <f t="shared" si="63"/>
        <v>#VALUE!</v>
      </c>
      <c r="AH90" s="321" t="e">
        <f t="shared" si="63"/>
        <v>#VALUE!</v>
      </c>
      <c r="AI90" s="321" t="e">
        <f t="shared" si="63"/>
        <v>#VALUE!</v>
      </c>
      <c r="AJ90" s="321" t="e">
        <f t="shared" si="63"/>
        <v>#VALUE!</v>
      </c>
      <c r="AK90" s="321" t="e">
        <f t="shared" si="63"/>
        <v>#VALUE!</v>
      </c>
      <c r="AL90" s="321" t="e">
        <f t="shared" si="63"/>
        <v>#VALUE!</v>
      </c>
      <c r="AM90" s="321" t="e">
        <f t="shared" si="63"/>
        <v>#VALUE!</v>
      </c>
      <c r="AN90" s="321" t="e">
        <f t="shared" si="63"/>
        <v>#VALUE!</v>
      </c>
      <c r="AO90" s="321" t="e">
        <f t="shared" ref="AO90:BA90" si="64">AO89*$B$75/30/$B$74</f>
        <v>#VALUE!</v>
      </c>
      <c r="AP90" s="321" t="e">
        <f t="shared" si="64"/>
        <v>#VALUE!</v>
      </c>
      <c r="AQ90" s="321" t="e">
        <f t="shared" si="64"/>
        <v>#VALUE!</v>
      </c>
      <c r="AR90" s="321" t="e">
        <f t="shared" si="64"/>
        <v>#VALUE!</v>
      </c>
      <c r="AS90" s="321" t="e">
        <f t="shared" si="64"/>
        <v>#VALUE!</v>
      </c>
      <c r="AT90" s="321" t="e">
        <f t="shared" si="64"/>
        <v>#VALUE!</v>
      </c>
      <c r="AU90" s="321" t="e">
        <f t="shared" si="64"/>
        <v>#VALUE!</v>
      </c>
      <c r="AV90" s="321" t="e">
        <f t="shared" si="64"/>
        <v>#VALUE!</v>
      </c>
      <c r="AW90" s="321" t="e">
        <f t="shared" si="64"/>
        <v>#VALUE!</v>
      </c>
      <c r="AX90" s="321" t="e">
        <f t="shared" si="64"/>
        <v>#VALUE!</v>
      </c>
      <c r="AY90" s="321" t="e">
        <f t="shared" si="64"/>
        <v>#VALUE!</v>
      </c>
      <c r="AZ90" s="321" t="e">
        <f t="shared" si="64"/>
        <v>#VALUE!</v>
      </c>
      <c r="BA90" s="321" t="e">
        <f t="shared" si="64"/>
        <v>#VALUE!</v>
      </c>
      <c r="BB90" s="260"/>
      <c r="BC90" s="260"/>
      <c r="BD90" s="260"/>
    </row>
    <row r="91" spans="1:78" x14ac:dyDescent="0.25">
      <c r="A91" s="260"/>
      <c r="B91" s="260"/>
      <c r="C91" s="322"/>
      <c r="D91" s="322" t="s">
        <v>431</v>
      </c>
      <c r="E91" s="322"/>
      <c r="F91" s="323">
        <f t="shared" ref="F91:BA91" si="65">IFERROR((F90*$B$74)*(30/$B$75),"0")</f>
        <v>0</v>
      </c>
      <c r="G91" s="323">
        <f t="shared" si="65"/>
        <v>0</v>
      </c>
      <c r="H91" s="323">
        <f t="shared" si="65"/>
        <v>0</v>
      </c>
      <c r="I91" s="323">
        <f t="shared" si="65"/>
        <v>0</v>
      </c>
      <c r="J91" s="323">
        <f t="shared" si="65"/>
        <v>0</v>
      </c>
      <c r="K91" s="323">
        <f t="shared" si="65"/>
        <v>0</v>
      </c>
      <c r="L91" s="323">
        <f t="shared" si="65"/>
        <v>0</v>
      </c>
      <c r="M91" s="323">
        <f t="shared" si="65"/>
        <v>0</v>
      </c>
      <c r="N91" s="323">
        <f t="shared" si="65"/>
        <v>0</v>
      </c>
      <c r="O91" s="323">
        <f t="shared" si="65"/>
        <v>0</v>
      </c>
      <c r="P91" s="323">
        <f t="shared" si="65"/>
        <v>0</v>
      </c>
      <c r="Q91" s="323">
        <f t="shared" si="65"/>
        <v>0</v>
      </c>
      <c r="R91" s="323">
        <f t="shared" si="65"/>
        <v>0</v>
      </c>
      <c r="S91" s="323">
        <f t="shared" si="65"/>
        <v>0</v>
      </c>
      <c r="T91" s="323">
        <f t="shared" si="65"/>
        <v>0</v>
      </c>
      <c r="U91" s="324">
        <f t="shared" si="65"/>
        <v>0</v>
      </c>
      <c r="V91" s="324" t="e">
        <f>V89*$B$76</f>
        <v>#VALUE!</v>
      </c>
      <c r="W91" s="324" t="e">
        <f t="shared" ref="W91:AN91" si="66">W89*$B$76</f>
        <v>#VALUE!</v>
      </c>
      <c r="X91" s="324" t="e">
        <f t="shared" si="66"/>
        <v>#VALUE!</v>
      </c>
      <c r="Y91" s="324" t="e">
        <f t="shared" si="66"/>
        <v>#VALUE!</v>
      </c>
      <c r="Z91" s="324" t="e">
        <f t="shared" si="66"/>
        <v>#VALUE!</v>
      </c>
      <c r="AA91" s="324" t="e">
        <f t="shared" si="66"/>
        <v>#VALUE!</v>
      </c>
      <c r="AB91" s="324" t="e">
        <f t="shared" si="66"/>
        <v>#VALUE!</v>
      </c>
      <c r="AC91" s="324" t="e">
        <f t="shared" si="66"/>
        <v>#VALUE!</v>
      </c>
      <c r="AD91" s="324" t="e">
        <f t="shared" si="66"/>
        <v>#VALUE!</v>
      </c>
      <c r="AE91" s="324" t="e">
        <f t="shared" si="66"/>
        <v>#VALUE!</v>
      </c>
      <c r="AF91" s="324" t="e">
        <f t="shared" si="66"/>
        <v>#VALUE!</v>
      </c>
      <c r="AG91" s="324" t="e">
        <f t="shared" si="66"/>
        <v>#VALUE!</v>
      </c>
      <c r="AH91" s="324" t="e">
        <f t="shared" si="66"/>
        <v>#VALUE!</v>
      </c>
      <c r="AI91" s="324" t="e">
        <f t="shared" si="66"/>
        <v>#VALUE!</v>
      </c>
      <c r="AJ91" s="324" t="e">
        <f t="shared" si="66"/>
        <v>#VALUE!</v>
      </c>
      <c r="AK91" s="324" t="e">
        <f t="shared" si="66"/>
        <v>#VALUE!</v>
      </c>
      <c r="AL91" s="324" t="e">
        <f t="shared" si="66"/>
        <v>#VALUE!</v>
      </c>
      <c r="AM91" s="324" t="e">
        <f t="shared" si="66"/>
        <v>#VALUE!</v>
      </c>
      <c r="AN91" s="324" t="e">
        <f t="shared" si="66"/>
        <v>#VALUE!</v>
      </c>
      <c r="AO91" s="324" t="str">
        <f t="shared" si="65"/>
        <v>0</v>
      </c>
      <c r="AP91" s="324" t="str">
        <f t="shared" si="65"/>
        <v>0</v>
      </c>
      <c r="AQ91" s="324" t="str">
        <f t="shared" si="65"/>
        <v>0</v>
      </c>
      <c r="AR91" s="324" t="str">
        <f t="shared" si="65"/>
        <v>0</v>
      </c>
      <c r="AS91" s="324" t="str">
        <f t="shared" si="65"/>
        <v>0</v>
      </c>
      <c r="AT91" s="324" t="str">
        <f t="shared" si="65"/>
        <v>0</v>
      </c>
      <c r="AU91" s="324" t="str">
        <f t="shared" si="65"/>
        <v>0</v>
      </c>
      <c r="AV91" s="324" t="str">
        <f t="shared" si="65"/>
        <v>0</v>
      </c>
      <c r="AW91" s="324" t="str">
        <f t="shared" si="65"/>
        <v>0</v>
      </c>
      <c r="AX91" s="324" t="str">
        <f t="shared" si="65"/>
        <v>0</v>
      </c>
      <c r="AY91" s="324" t="str">
        <f t="shared" si="65"/>
        <v>0</v>
      </c>
      <c r="AZ91" s="324" t="str">
        <f t="shared" si="65"/>
        <v>0</v>
      </c>
      <c r="BA91" s="324" t="str">
        <f t="shared" si="65"/>
        <v>0</v>
      </c>
      <c r="BB91" s="260"/>
      <c r="BC91" s="325"/>
      <c r="BD91" s="260"/>
    </row>
    <row r="92" spans="1:78" ht="4.5" customHeight="1" x14ac:dyDescent="0.25">
      <c r="A92" s="260"/>
      <c r="B92" s="260"/>
      <c r="BB92" s="260"/>
      <c r="BC92" s="260"/>
      <c r="BD92" s="260"/>
    </row>
    <row r="93" spans="1:78" ht="15" customHeight="1" x14ac:dyDescent="0.3">
      <c r="A93" s="260"/>
      <c r="B93" s="260"/>
      <c r="D93" s="326" t="str">
        <f>"Nb d'appels Réel du "&amp;TEXT(D1,("jj/mm/aa"))</f>
        <v>Nb d'appels Réel du 18/01/23</v>
      </c>
      <c r="V93" s="327" t="str">
        <f t="shared" ref="V93:AN93" si="67">IFERROR(INDEX(Charge_R,MATCH($D$1,Charge_R_v,0),MATCH(V72,Charge_R_h,0)),"")</f>
        <v/>
      </c>
      <c r="W93" s="327" t="str">
        <f t="shared" si="67"/>
        <v/>
      </c>
      <c r="X93" s="327" t="str">
        <f t="shared" si="67"/>
        <v/>
      </c>
      <c r="Y93" s="327" t="str">
        <f t="shared" si="67"/>
        <v/>
      </c>
      <c r="Z93" s="327" t="str">
        <f t="shared" si="67"/>
        <v/>
      </c>
      <c r="AA93" s="327" t="str">
        <f t="shared" si="67"/>
        <v/>
      </c>
      <c r="AB93" s="327" t="str">
        <f t="shared" si="67"/>
        <v/>
      </c>
      <c r="AC93" s="327" t="str">
        <f t="shared" si="67"/>
        <v/>
      </c>
      <c r="AD93" s="327" t="str">
        <f t="shared" si="67"/>
        <v/>
      </c>
      <c r="AE93" s="327" t="str">
        <f t="shared" si="67"/>
        <v/>
      </c>
      <c r="AF93" s="327" t="str">
        <f t="shared" si="67"/>
        <v/>
      </c>
      <c r="AG93" s="327" t="str">
        <f t="shared" si="67"/>
        <v/>
      </c>
      <c r="AH93" s="327" t="str">
        <f t="shared" si="67"/>
        <v/>
      </c>
      <c r="AI93" s="327" t="str">
        <f t="shared" si="67"/>
        <v/>
      </c>
      <c r="AJ93" s="327" t="str">
        <f t="shared" si="67"/>
        <v/>
      </c>
      <c r="AK93" s="327" t="str">
        <f t="shared" si="67"/>
        <v/>
      </c>
      <c r="AL93" s="327" t="str">
        <f t="shared" si="67"/>
        <v/>
      </c>
      <c r="AM93" s="327" t="str">
        <f t="shared" si="67"/>
        <v/>
      </c>
      <c r="AN93" s="327" t="str">
        <f t="shared" si="67"/>
        <v/>
      </c>
      <c r="BB93" s="260"/>
      <c r="BC93" s="328">
        <f>SUM(U93:BA93)</f>
        <v>0</v>
      </c>
      <c r="BD93" s="260"/>
    </row>
    <row r="94" spans="1:78" ht="13" x14ac:dyDescent="0.3">
      <c r="A94" s="260"/>
      <c r="B94" s="260"/>
      <c r="D94" s="326" t="str">
        <f>"Nb de tchat Réel du "&amp;TEXT(D1,("jj/mm/aa"))</f>
        <v>Nb de tchat Réel du 18/01/23</v>
      </c>
      <c r="U94" s="329" t="str">
        <f>IFERROR(INDEX(Charge_R,MATCH($D$1,Charge_R_v,0),MATCH(U72,Charge_R_h,0)),"")</f>
        <v/>
      </c>
      <c r="V94" s="329"/>
      <c r="W94" s="329"/>
      <c r="X94" s="329"/>
      <c r="Y94" s="329"/>
      <c r="Z94" s="329"/>
      <c r="AA94" s="329"/>
      <c r="AB94" s="329"/>
      <c r="AC94" s="329"/>
      <c r="AD94" s="329"/>
      <c r="AE94" s="329"/>
      <c r="AF94" s="329"/>
      <c r="AG94" s="329"/>
      <c r="AH94" s="329"/>
      <c r="AI94" s="329"/>
      <c r="AJ94" s="329"/>
      <c r="AK94" s="329"/>
      <c r="AL94" s="329"/>
      <c r="AM94" s="329"/>
      <c r="AN94" s="329"/>
      <c r="AO94" s="329" t="str">
        <f t="shared" ref="AO94:BA94" si="68">IFERROR(INDEX(Charge_R,MATCH($D$1,Charge_R_v,0),MATCH(AO72,Charge_R_h,0)),"")</f>
        <v/>
      </c>
      <c r="AP94" s="329" t="str">
        <f t="shared" si="68"/>
        <v/>
      </c>
      <c r="AQ94" s="329" t="str">
        <f t="shared" si="68"/>
        <v/>
      </c>
      <c r="AR94" s="329" t="str">
        <f t="shared" si="68"/>
        <v/>
      </c>
      <c r="AS94" s="329" t="str">
        <f t="shared" si="68"/>
        <v/>
      </c>
      <c r="AT94" s="329" t="str">
        <f t="shared" si="68"/>
        <v/>
      </c>
      <c r="AU94" s="329" t="str">
        <f t="shared" si="68"/>
        <v/>
      </c>
      <c r="AV94" s="329" t="str">
        <f t="shared" si="68"/>
        <v/>
      </c>
      <c r="AW94" s="329" t="str">
        <f t="shared" si="68"/>
        <v/>
      </c>
      <c r="AX94" s="329" t="str">
        <f t="shared" si="68"/>
        <v/>
      </c>
      <c r="AY94" s="329" t="str">
        <f t="shared" si="68"/>
        <v/>
      </c>
      <c r="AZ94" s="329" t="str">
        <f t="shared" si="68"/>
        <v/>
      </c>
      <c r="BA94" s="329" t="str">
        <f t="shared" si="68"/>
        <v/>
      </c>
      <c r="BB94" s="260"/>
      <c r="BC94" s="328">
        <f>SUM(U94:BA94)</f>
        <v>0</v>
      </c>
      <c r="BD94" s="260" t="s">
        <v>432</v>
      </c>
    </row>
    <row r="95" spans="1:78" ht="4.5" customHeight="1" thickBot="1" x14ac:dyDescent="0.3">
      <c r="A95" s="260"/>
      <c r="B95" s="260"/>
      <c r="BB95" s="260"/>
      <c r="BC95" s="260"/>
      <c r="BD95" s="260"/>
    </row>
    <row r="96" spans="1:78" ht="13" thickBot="1" x14ac:dyDescent="0.3">
      <c r="A96" s="260"/>
      <c r="B96" s="260"/>
      <c r="D96" s="330" t="s">
        <v>433</v>
      </c>
      <c r="E96" s="331"/>
      <c r="F96" s="332">
        <f t="shared" ref="F96:AM96" si="69">IF(F85-F89&gt;=0,0,F85-F89)</f>
        <v>0</v>
      </c>
      <c r="G96" s="332">
        <f t="shared" si="69"/>
        <v>0</v>
      </c>
      <c r="H96" s="332">
        <f t="shared" si="69"/>
        <v>0</v>
      </c>
      <c r="I96" s="332">
        <f t="shared" si="69"/>
        <v>0</v>
      </c>
      <c r="J96" s="332">
        <f t="shared" si="69"/>
        <v>0</v>
      </c>
      <c r="K96" s="332">
        <f t="shared" si="69"/>
        <v>0</v>
      </c>
      <c r="L96" s="332">
        <f t="shared" si="69"/>
        <v>0</v>
      </c>
      <c r="M96" s="332">
        <f t="shared" si="69"/>
        <v>0</v>
      </c>
      <c r="N96" s="332">
        <f t="shared" si="69"/>
        <v>0</v>
      </c>
      <c r="O96" s="332">
        <f t="shared" si="69"/>
        <v>0</v>
      </c>
      <c r="P96" s="332">
        <f t="shared" si="69"/>
        <v>0</v>
      </c>
      <c r="Q96" s="332">
        <f t="shared" si="69"/>
        <v>0</v>
      </c>
      <c r="R96" s="332">
        <f t="shared" si="69"/>
        <v>0</v>
      </c>
      <c r="S96" s="332">
        <f t="shared" si="69"/>
        <v>0</v>
      </c>
      <c r="T96" s="332">
        <f t="shared" si="69"/>
        <v>0</v>
      </c>
      <c r="U96" s="332">
        <f t="shared" si="69"/>
        <v>0</v>
      </c>
      <c r="V96" s="332" t="e">
        <f t="shared" si="69"/>
        <v>#VALUE!</v>
      </c>
      <c r="W96" s="332" t="e">
        <f t="shared" si="69"/>
        <v>#VALUE!</v>
      </c>
      <c r="X96" s="332" t="e">
        <f t="shared" si="69"/>
        <v>#VALUE!</v>
      </c>
      <c r="Y96" s="332" t="e">
        <f t="shared" si="69"/>
        <v>#VALUE!</v>
      </c>
      <c r="Z96" s="332" t="e">
        <f t="shared" si="69"/>
        <v>#VALUE!</v>
      </c>
      <c r="AA96" s="332" t="e">
        <f t="shared" si="69"/>
        <v>#VALUE!</v>
      </c>
      <c r="AB96" s="332" t="e">
        <f t="shared" si="69"/>
        <v>#VALUE!</v>
      </c>
      <c r="AC96" s="332" t="e">
        <f t="shared" si="69"/>
        <v>#VALUE!</v>
      </c>
      <c r="AD96" s="332" t="e">
        <f t="shared" si="69"/>
        <v>#VALUE!</v>
      </c>
      <c r="AE96" s="332" t="e">
        <f t="shared" si="69"/>
        <v>#VALUE!</v>
      </c>
      <c r="AF96" s="332" t="e">
        <f t="shared" si="69"/>
        <v>#VALUE!</v>
      </c>
      <c r="AG96" s="332" t="e">
        <f t="shared" si="69"/>
        <v>#VALUE!</v>
      </c>
      <c r="AH96" s="332" t="e">
        <f t="shared" si="69"/>
        <v>#VALUE!</v>
      </c>
      <c r="AI96" s="332" t="e">
        <f t="shared" si="69"/>
        <v>#VALUE!</v>
      </c>
      <c r="AJ96" s="332" t="e">
        <f t="shared" si="69"/>
        <v>#VALUE!</v>
      </c>
      <c r="AK96" s="332" t="e">
        <f t="shared" si="69"/>
        <v>#VALUE!</v>
      </c>
      <c r="AL96" s="332" t="e">
        <f t="shared" si="69"/>
        <v>#VALUE!</v>
      </c>
      <c r="AM96" s="332" t="e">
        <f t="shared" si="69"/>
        <v>#VALUE!</v>
      </c>
      <c r="AN96" s="332">
        <f>IFERROR(0,IF(AN85-AN89&gt;=0,0,AN85-AN89))</f>
        <v>0</v>
      </c>
      <c r="AO96" s="332" t="e">
        <f t="shared" ref="AO96:BA96" si="70">IF(AO85-AO89&gt;=0,0,AO85-AO89)</f>
        <v>#VALUE!</v>
      </c>
      <c r="AP96" s="332" t="e">
        <f t="shared" si="70"/>
        <v>#VALUE!</v>
      </c>
      <c r="AQ96" s="332" t="e">
        <f t="shared" si="70"/>
        <v>#VALUE!</v>
      </c>
      <c r="AR96" s="332" t="e">
        <f t="shared" si="70"/>
        <v>#VALUE!</v>
      </c>
      <c r="AS96" s="332" t="e">
        <f t="shared" si="70"/>
        <v>#VALUE!</v>
      </c>
      <c r="AT96" s="332" t="e">
        <f t="shared" si="70"/>
        <v>#VALUE!</v>
      </c>
      <c r="AU96" s="332" t="e">
        <f t="shared" si="70"/>
        <v>#VALUE!</v>
      </c>
      <c r="AV96" s="332" t="e">
        <f t="shared" si="70"/>
        <v>#VALUE!</v>
      </c>
      <c r="AW96" s="332" t="e">
        <f t="shared" si="70"/>
        <v>#VALUE!</v>
      </c>
      <c r="AX96" s="332" t="e">
        <f t="shared" si="70"/>
        <v>#VALUE!</v>
      </c>
      <c r="AY96" s="332" t="e">
        <f t="shared" si="70"/>
        <v>#VALUE!</v>
      </c>
      <c r="AZ96" s="332" t="e">
        <f t="shared" si="70"/>
        <v>#VALUE!</v>
      </c>
      <c r="BA96" s="333" t="e">
        <f t="shared" si="70"/>
        <v>#VALUE!</v>
      </c>
      <c r="BB96" s="260"/>
      <c r="BC96" s="260"/>
      <c r="BD96" s="260"/>
    </row>
    <row r="97" spans="1:56" x14ac:dyDescent="0.25">
      <c r="A97" s="260"/>
      <c r="B97" s="260"/>
      <c r="D97" s="334" t="s">
        <v>434</v>
      </c>
      <c r="E97" s="335"/>
      <c r="F97" s="336" t="str">
        <f t="shared" ref="F97:BA97" si="71">IFERROR(IF(F89&lt;&gt;0,1+(F96/F89),0),"0")</f>
        <v>0</v>
      </c>
      <c r="G97" s="336" t="str">
        <f t="shared" si="71"/>
        <v>0</v>
      </c>
      <c r="H97" s="336" t="str">
        <f t="shared" si="71"/>
        <v>0</v>
      </c>
      <c r="I97" s="336" t="str">
        <f t="shared" si="71"/>
        <v>0</v>
      </c>
      <c r="J97" s="336" t="str">
        <f t="shared" si="71"/>
        <v>0</v>
      </c>
      <c r="K97" s="336" t="str">
        <f t="shared" si="71"/>
        <v>0</v>
      </c>
      <c r="L97" s="336" t="str">
        <f t="shared" si="71"/>
        <v>0</v>
      </c>
      <c r="M97" s="336" t="str">
        <f t="shared" si="71"/>
        <v>0</v>
      </c>
      <c r="N97" s="336" t="str">
        <f t="shared" si="71"/>
        <v>0</v>
      </c>
      <c r="O97" s="336" t="str">
        <f t="shared" si="71"/>
        <v>0</v>
      </c>
      <c r="P97" s="336" t="str">
        <f t="shared" si="71"/>
        <v>0</v>
      </c>
      <c r="Q97" s="336" t="str">
        <f t="shared" si="71"/>
        <v>0</v>
      </c>
      <c r="R97" s="336" t="str">
        <f t="shared" si="71"/>
        <v>0</v>
      </c>
      <c r="S97" s="336" t="str">
        <f t="shared" si="71"/>
        <v>0</v>
      </c>
      <c r="T97" s="336" t="str">
        <f t="shared" si="71"/>
        <v>0</v>
      </c>
      <c r="U97" s="336">
        <f t="shared" si="71"/>
        <v>0</v>
      </c>
      <c r="V97" s="336" t="str">
        <f t="shared" si="71"/>
        <v>0</v>
      </c>
      <c r="W97" s="336" t="str">
        <f t="shared" si="71"/>
        <v>0</v>
      </c>
      <c r="X97" s="336" t="str">
        <f t="shared" si="71"/>
        <v>0</v>
      </c>
      <c r="Y97" s="336" t="str">
        <f t="shared" si="71"/>
        <v>0</v>
      </c>
      <c r="Z97" s="336" t="str">
        <f t="shared" si="71"/>
        <v>0</v>
      </c>
      <c r="AA97" s="336" t="str">
        <f t="shared" si="71"/>
        <v>0</v>
      </c>
      <c r="AB97" s="336" t="str">
        <f t="shared" si="71"/>
        <v>0</v>
      </c>
      <c r="AC97" s="336" t="str">
        <f t="shared" si="71"/>
        <v>0</v>
      </c>
      <c r="AD97" s="336" t="str">
        <f t="shared" si="71"/>
        <v>0</v>
      </c>
      <c r="AE97" s="336" t="str">
        <f t="shared" si="71"/>
        <v>0</v>
      </c>
      <c r="AF97" s="336" t="str">
        <f t="shared" si="71"/>
        <v>0</v>
      </c>
      <c r="AG97" s="336" t="str">
        <f t="shared" si="71"/>
        <v>0</v>
      </c>
      <c r="AH97" s="336" t="str">
        <f t="shared" si="71"/>
        <v>0</v>
      </c>
      <c r="AI97" s="336" t="str">
        <f t="shared" si="71"/>
        <v>0</v>
      </c>
      <c r="AJ97" s="336" t="str">
        <f t="shared" si="71"/>
        <v>0</v>
      </c>
      <c r="AK97" s="336" t="str">
        <f t="shared" si="71"/>
        <v>0</v>
      </c>
      <c r="AL97" s="336" t="str">
        <f t="shared" si="71"/>
        <v>0</v>
      </c>
      <c r="AM97" s="336" t="str">
        <f t="shared" si="71"/>
        <v>0</v>
      </c>
      <c r="AN97" s="336" t="str">
        <f t="shared" si="71"/>
        <v>0</v>
      </c>
      <c r="AO97" s="336" t="str">
        <f t="shared" si="71"/>
        <v>0</v>
      </c>
      <c r="AP97" s="336" t="str">
        <f t="shared" si="71"/>
        <v>0</v>
      </c>
      <c r="AQ97" s="336" t="str">
        <f t="shared" si="71"/>
        <v>0</v>
      </c>
      <c r="AR97" s="336" t="str">
        <f t="shared" si="71"/>
        <v>0</v>
      </c>
      <c r="AS97" s="336" t="str">
        <f t="shared" si="71"/>
        <v>0</v>
      </c>
      <c r="AT97" s="336" t="str">
        <f t="shared" si="71"/>
        <v>0</v>
      </c>
      <c r="AU97" s="336" t="str">
        <f t="shared" si="71"/>
        <v>0</v>
      </c>
      <c r="AV97" s="336" t="str">
        <f t="shared" si="71"/>
        <v>0</v>
      </c>
      <c r="AW97" s="336" t="str">
        <f t="shared" si="71"/>
        <v>0</v>
      </c>
      <c r="AX97" s="336" t="str">
        <f t="shared" si="71"/>
        <v>0</v>
      </c>
      <c r="AY97" s="336" t="str">
        <f t="shared" si="71"/>
        <v>0</v>
      </c>
      <c r="AZ97" s="336" t="str">
        <f t="shared" si="71"/>
        <v>0</v>
      </c>
      <c r="BA97" s="337" t="str">
        <f t="shared" si="71"/>
        <v>0</v>
      </c>
      <c r="BB97" s="260"/>
      <c r="BC97" s="260"/>
      <c r="BD97" s="338" t="s">
        <v>435</v>
      </c>
    </row>
    <row r="98" spans="1:56" ht="13" thickBot="1" x14ac:dyDescent="0.3">
      <c r="A98" s="260"/>
      <c r="B98" s="260"/>
      <c r="D98" s="339" t="s">
        <v>436</v>
      </c>
      <c r="E98" s="340"/>
      <c r="F98" s="341">
        <f>IF(SUM($F$89:F89)&lt;&gt;0,1+((SUM($F96:F96)/SUM($F89:F89))),0)</f>
        <v>0</v>
      </c>
      <c r="G98" s="341">
        <f>IF(SUM($F$89:G89)&lt;&gt;0,1+((SUM($F96:G96)/SUM($F89:G89))),0)</f>
        <v>0</v>
      </c>
      <c r="H98" s="341">
        <f>IF(SUM($F$89:H89)&lt;&gt;0,1+((SUM($F96:H96)/SUM($F89:H89))),0)</f>
        <v>0</v>
      </c>
      <c r="I98" s="341">
        <f>IF(SUM($F$89:I89)&lt;&gt;0,1+((SUM($F96:I96)/SUM($F89:I89))),0)</f>
        <v>0</v>
      </c>
      <c r="J98" s="341">
        <f>IF(SUM($F$89:J89)&lt;&gt;0,1+((SUM($F96:J96)/SUM($F89:J89))),0)</f>
        <v>0</v>
      </c>
      <c r="K98" s="341">
        <f>IF(SUM($F$89:K89)&lt;&gt;0,1+((SUM($F96:K96)/SUM($F89:K89))),0)</f>
        <v>0</v>
      </c>
      <c r="L98" s="341">
        <f>IF(SUM($F$89:L89)&lt;&gt;0,1+((SUM($F96:L96)/SUM($F89:L89))),0)</f>
        <v>0</v>
      </c>
      <c r="M98" s="341">
        <f>IF(SUM($F$89:M89)&lt;&gt;0,1+((SUM($F96:M96)/SUM($F89:M89))),0)</f>
        <v>0</v>
      </c>
      <c r="N98" s="341">
        <f>IF(SUM($F$89:N89)&lt;&gt;0,1+((SUM($F96:N96)/SUM($F89:N89))),0)</f>
        <v>0</v>
      </c>
      <c r="O98" s="341">
        <f>IF(SUM($F$89:O89)&lt;&gt;0,1+((SUM($F96:O96)/SUM($F89:O89))),0)</f>
        <v>0</v>
      </c>
      <c r="P98" s="341">
        <f>IF(SUM($F$89:P89)&lt;&gt;0,1+((SUM($F96:P96)/SUM($F89:P89))),0)</f>
        <v>0</v>
      </c>
      <c r="Q98" s="341">
        <f>IF(SUM($F$89:Q89)&lt;&gt;0,1+((SUM($F96:Q96)/SUM($F89:Q89))),0)</f>
        <v>0</v>
      </c>
      <c r="R98" s="341">
        <f>IF(SUM($F$89:R89)&lt;&gt;0,1+((SUM($F96:R96)/SUM($F89:R89))),0)</f>
        <v>0</v>
      </c>
      <c r="S98" s="341">
        <f>IF(SUM($F$89:S89)&lt;&gt;0,1+((SUM($F96:S96)/SUM($F89:S89))),0)</f>
        <v>0</v>
      </c>
      <c r="T98" s="341">
        <f>IF(SUM($F$89:T89)&lt;&gt;0,1+((SUM($F96:T96)/SUM($F89:T89))),0)</f>
        <v>0</v>
      </c>
      <c r="U98" s="341">
        <f>IF(SUM($F$89:U89)&lt;&gt;0,1+((SUM($F96:U96)/SUM($F89:U89))),0)</f>
        <v>0</v>
      </c>
      <c r="V98" s="341">
        <f>IF(SUM(G89:V89)&lt;&gt;0,1+((SUM($F96:V96)/SUM($F89:V89))),0)</f>
        <v>0</v>
      </c>
      <c r="W98" s="341">
        <f>IF(SUM(H89:W89)&lt;&gt;0,1+((SUM($F96:W96)/SUM($F89:W89))),0)</f>
        <v>0</v>
      </c>
      <c r="X98" s="341">
        <f>IF(SUM(I89:X89)&lt;&gt;0,1+((SUM($F96:X96)/SUM($F89:X89))),0)</f>
        <v>0</v>
      </c>
      <c r="Y98" s="341">
        <f>IF(SUM(J89:Y89)&lt;&gt;0,1+((SUM($F96:Y96)/SUM($F89:Y89))),0)</f>
        <v>0</v>
      </c>
      <c r="Z98" s="341">
        <f>IF(SUM(K89:Z89)&lt;&gt;0,1+((SUM($F96:Z96)/SUM($F89:Z89))),0)</f>
        <v>0</v>
      </c>
      <c r="AA98" s="341">
        <f>IF(SUM(L89:AA89)&lt;&gt;0,1+((SUM($F96:AA96)/SUM($F89:AA89))),0)</f>
        <v>0</v>
      </c>
      <c r="AB98" s="341">
        <f>IF(SUM(M89:AB89)&lt;&gt;0,1+((SUM($F96:AB96)/SUM($F89:AB89))),0)</f>
        <v>0</v>
      </c>
      <c r="AC98" s="341">
        <f>IF(SUM(N89:AC89)&lt;&gt;0,1+((SUM($F96:AC96)/SUM($F89:AC89))),0)</f>
        <v>0</v>
      </c>
      <c r="AD98" s="341">
        <f>IF(SUM(O89:AD89)&lt;&gt;0,1+((SUM($F96:AD96)/SUM($F89:AD89))),0)</f>
        <v>0</v>
      </c>
      <c r="AE98" s="341">
        <f>IF(SUM(P89:AE89)&lt;&gt;0,1+((SUM($F96:AE96)/SUM($F89:AE89))),0)</f>
        <v>0</v>
      </c>
      <c r="AF98" s="341">
        <f>IF(SUM(Q89:AF89)&lt;&gt;0,1+((SUM($F96:AF96)/SUM($F89:AF89))),0)</f>
        <v>0</v>
      </c>
      <c r="AG98" s="341">
        <f>IF(SUM(R89:AG89)&lt;&gt;0,1+((SUM($F96:AG96)/SUM($F89:AG89))),0)</f>
        <v>0</v>
      </c>
      <c r="AH98" s="341">
        <f>IF(SUM(S89:AH89)&lt;&gt;0,1+((SUM($F96:AH96)/SUM($F89:AH89))),0)</f>
        <v>0</v>
      </c>
      <c r="AI98" s="341">
        <f>IF(SUM(T89:AI89)&lt;&gt;0,1+((SUM($F96:AI96)/SUM($F89:AI89))),0)</f>
        <v>0</v>
      </c>
      <c r="AJ98" s="341">
        <f>IF(SUM(U89:AJ89)&lt;&gt;0,1+((SUM($F96:AJ96)/SUM($F89:AJ89))),0)</f>
        <v>0</v>
      </c>
      <c r="AK98" s="341">
        <f>IF(SUM(V89:AK89)&lt;&gt;0,1+((SUM($F96:AK96)/SUM($F89:AK89))),0)</f>
        <v>0</v>
      </c>
      <c r="AL98" s="341">
        <f>IF(SUM(W89:AL89)&lt;&gt;0,1+((SUM($F96:AL96)/SUM($F89:AL89))),0)</f>
        <v>0</v>
      </c>
      <c r="AM98" s="341">
        <f>IF(SUM(X89:AM89)&lt;&gt;0,1+((SUM($F96:AM96)/SUM($F89:AM89))),0)</f>
        <v>0</v>
      </c>
      <c r="AN98" s="341">
        <f>IF(SUM(Y89:AN89)&lt;&gt;0,1+((SUM($F96:AN96)/SUM($F89:AN89))),0)</f>
        <v>0</v>
      </c>
      <c r="AO98" s="341">
        <f>IF(SUM(Z89:AO89)&lt;&gt;0,1+((SUM($F96:AO96)/SUM($F89:AO89))),0)</f>
        <v>0</v>
      </c>
      <c r="AP98" s="341">
        <f>IF(SUM(AA89:AP89)&lt;&gt;0,1+((SUM($F96:AP96)/SUM($F89:AP89))),0)</f>
        <v>0</v>
      </c>
      <c r="AQ98" s="341">
        <f>IF(SUM(AB89:AQ89)&lt;&gt;0,1+((SUM($F96:AQ96)/SUM($F89:AQ89))),0)</f>
        <v>0</v>
      </c>
      <c r="AR98" s="341">
        <f>IF(SUM(AC89:AR89)&lt;&gt;0,1+((SUM($F96:AR96)/SUM($F89:AR89))),0)</f>
        <v>0</v>
      </c>
      <c r="AS98" s="341">
        <f>IF(SUM(AD89:AS89)&lt;&gt;0,1+((SUM($F96:AS96)/SUM($F89:AS89))),0)</f>
        <v>0</v>
      </c>
      <c r="AT98" s="341">
        <f>IF(SUM(AE89:AT89)&lt;&gt;0,1+((SUM($F96:AT96)/SUM($F89:AT89))),0)</f>
        <v>0</v>
      </c>
      <c r="AU98" s="341">
        <f>IF(SUM(AF89:AU89)&lt;&gt;0,1+((SUM($F96:AU96)/SUM($F89:AU89))),0)</f>
        <v>0</v>
      </c>
      <c r="AV98" s="341">
        <f>IF(SUM(AG89:AV89)&lt;&gt;0,1+((SUM($F96:AV96)/SUM($F89:AV89))),0)</f>
        <v>0</v>
      </c>
      <c r="AW98" s="341">
        <f>IF(SUM(AH89:AW89)&lt;&gt;0,1+((SUM($F96:AW96)/SUM($F89:AW89))),0)</f>
        <v>0</v>
      </c>
      <c r="AX98" s="341">
        <f>IF(SUM(AI89:AX89)&lt;&gt;0,1+((SUM($F96:AX96)/SUM($F89:AX89))),0)</f>
        <v>0</v>
      </c>
      <c r="AY98" s="341">
        <f>IF(SUM(AJ89:AY89)&lt;&gt;0,1+((SUM($F96:AY96)/SUM($F89:AY89))),0)</f>
        <v>0</v>
      </c>
      <c r="AZ98" s="341">
        <f>IF(SUM(AK89:AZ89)&lt;&gt;0,1+((SUM($F96:AZ96)/SUM($F89:AZ89))),0)</f>
        <v>0</v>
      </c>
      <c r="BA98" s="342">
        <f>IF(SUM(AL89:BA89)&lt;&gt;0,1+((SUM($F96:BA96)/SUM($F89:BA89))),0)</f>
        <v>0</v>
      </c>
      <c r="BB98" s="260"/>
      <c r="BC98" s="260"/>
      <c r="BD98" s="533">
        <f>AM98</f>
        <v>0</v>
      </c>
    </row>
    <row r="99" spans="1:56" ht="13.5" customHeight="1" thickBot="1" x14ac:dyDescent="0.3">
      <c r="A99" s="260"/>
      <c r="B99" s="260"/>
      <c r="D99" s="343"/>
      <c r="E99" s="343"/>
      <c r="BB99" s="260"/>
      <c r="BC99" s="260"/>
      <c r="BD99" s="534"/>
    </row>
    <row r="100" spans="1:56" ht="12.75" customHeight="1" x14ac:dyDescent="0.25">
      <c r="A100" s="260"/>
      <c r="B100" s="260"/>
      <c r="D100" s="343"/>
      <c r="E100" s="343"/>
      <c r="V100" s="344"/>
      <c r="W100" s="344"/>
      <c r="X100" s="344"/>
      <c r="Y100" s="344"/>
      <c r="Z100" s="344"/>
      <c r="AA100" s="344"/>
      <c r="AB100" s="344"/>
      <c r="AC100" s="344"/>
      <c r="AD100" s="344"/>
      <c r="AE100" s="344"/>
      <c r="AF100" s="344"/>
      <c r="AG100" s="344"/>
      <c r="AH100" s="344"/>
      <c r="AI100" s="344"/>
      <c r="AJ100" s="344"/>
      <c r="AK100" s="344"/>
      <c r="AL100" s="344"/>
      <c r="AM100" s="344"/>
      <c r="AN100" s="344"/>
      <c r="BB100" s="260"/>
      <c r="BC100" s="260"/>
      <c r="BD100" s="345"/>
    </row>
    <row r="101" spans="1:56" x14ac:dyDescent="0.25">
      <c r="A101" s="260"/>
      <c r="B101" s="260"/>
      <c r="D101" s="343"/>
      <c r="E101" s="343"/>
      <c r="BB101" s="260"/>
      <c r="BC101" s="260"/>
      <c r="BD101" s="260"/>
    </row>
    <row r="102" spans="1:56" x14ac:dyDescent="0.25">
      <c r="A102" s="260"/>
      <c r="B102" s="260"/>
      <c r="D102" s="343"/>
      <c r="E102" s="343"/>
      <c r="BB102" s="260"/>
      <c r="BC102" s="260"/>
      <c r="BD102" s="260"/>
    </row>
    <row r="103" spans="1:56" x14ac:dyDescent="0.25">
      <c r="A103" s="260"/>
      <c r="B103" s="260"/>
      <c r="D103" s="343"/>
      <c r="E103" s="343"/>
      <c r="BB103" s="260"/>
      <c r="BC103" s="260"/>
      <c r="BD103" s="260"/>
    </row>
    <row r="104" spans="1:56" x14ac:dyDescent="0.25">
      <c r="A104" s="260"/>
      <c r="B104" s="535" t="s">
        <v>437</v>
      </c>
      <c r="D104" s="343"/>
      <c r="E104" s="343"/>
      <c r="BB104" s="260"/>
      <c r="BC104" s="260"/>
      <c r="BD104" s="260"/>
    </row>
    <row r="105" spans="1:56" x14ac:dyDescent="0.25">
      <c r="A105" s="260"/>
      <c r="B105" s="535"/>
      <c r="D105" s="343"/>
      <c r="E105" s="343"/>
      <c r="BB105" s="260"/>
      <c r="BC105" s="260"/>
      <c r="BD105" s="260"/>
    </row>
    <row r="106" spans="1:56" x14ac:dyDescent="0.25">
      <c r="A106" s="260"/>
      <c r="B106" s="535"/>
      <c r="D106" s="343"/>
      <c r="E106" s="343"/>
      <c r="BB106" s="260"/>
      <c r="BC106" s="260"/>
      <c r="BD106" s="260"/>
    </row>
    <row r="107" spans="1:56" x14ac:dyDescent="0.25">
      <c r="A107" s="260"/>
      <c r="B107" s="260"/>
      <c r="D107" s="343"/>
      <c r="E107" s="343"/>
      <c r="BB107" s="260"/>
      <c r="BC107" s="260"/>
      <c r="BD107" s="260"/>
    </row>
    <row r="108" spans="1:56" x14ac:dyDescent="0.25">
      <c r="A108" s="260"/>
      <c r="B108" s="260"/>
      <c r="D108" s="343"/>
      <c r="E108" s="343"/>
      <c r="BB108" s="260"/>
      <c r="BC108" s="260"/>
      <c r="BD108" s="260"/>
    </row>
    <row r="109" spans="1:56" x14ac:dyDescent="0.25">
      <c r="A109" s="260"/>
      <c r="B109" s="260"/>
      <c r="D109" s="343"/>
      <c r="E109" s="343"/>
      <c r="BB109" s="260"/>
      <c r="BC109" s="260"/>
      <c r="BD109" s="260"/>
    </row>
    <row r="110" spans="1:56" x14ac:dyDescent="0.25">
      <c r="A110" s="260"/>
      <c r="B110" s="260"/>
      <c r="D110" s="343"/>
      <c r="E110" s="343"/>
      <c r="U110" s="260"/>
      <c r="V110" s="260"/>
      <c r="W110" s="260"/>
      <c r="X110" s="260"/>
      <c r="Y110" s="260"/>
      <c r="Z110" s="260"/>
      <c r="AA110" s="260"/>
      <c r="AB110" s="260"/>
      <c r="AC110" s="260"/>
      <c r="AD110" s="260"/>
      <c r="AE110" s="260"/>
      <c r="AF110" s="260"/>
      <c r="AG110" s="260"/>
      <c r="AH110" s="260"/>
      <c r="AI110" s="260"/>
      <c r="AJ110" s="260"/>
      <c r="AK110" s="260"/>
      <c r="AL110" s="260"/>
      <c r="AM110" s="260"/>
      <c r="AN110" s="260"/>
      <c r="AO110" s="260"/>
      <c r="AP110" s="260"/>
      <c r="AQ110" s="260"/>
      <c r="AR110" s="260"/>
      <c r="AS110" s="260"/>
      <c r="AT110" s="260"/>
      <c r="AU110" s="260"/>
      <c r="AV110" s="260"/>
      <c r="AW110" s="260"/>
      <c r="AX110" s="260"/>
      <c r="AY110" s="260"/>
      <c r="AZ110" s="260"/>
      <c r="BA110" s="260"/>
      <c r="BB110" s="260"/>
      <c r="BC110" s="260"/>
      <c r="BD110" s="260"/>
    </row>
    <row r="111" spans="1:56" x14ac:dyDescent="0.25">
      <c r="A111" s="260"/>
      <c r="B111" s="260"/>
      <c r="D111" s="343"/>
      <c r="E111" s="343"/>
      <c r="U111" s="260"/>
      <c r="V111" s="260"/>
      <c r="W111" s="260"/>
      <c r="X111" s="260"/>
      <c r="Y111" s="260"/>
      <c r="Z111" s="260"/>
      <c r="AA111" s="260"/>
      <c r="AB111" s="260"/>
      <c r="AC111" s="260"/>
      <c r="AD111" s="260"/>
      <c r="AE111" s="260"/>
      <c r="AF111" s="260"/>
      <c r="AG111" s="260"/>
      <c r="AH111" s="260"/>
      <c r="AI111" s="260"/>
      <c r="AJ111" s="260"/>
      <c r="AK111" s="260"/>
      <c r="AL111" s="260"/>
      <c r="AM111" s="260"/>
      <c r="AN111" s="260"/>
      <c r="AO111" s="260"/>
      <c r="AP111" s="260"/>
      <c r="AQ111" s="260"/>
      <c r="AR111" s="260"/>
      <c r="AS111" s="260"/>
      <c r="AT111" s="260"/>
      <c r="AU111" s="260"/>
      <c r="AV111" s="260"/>
      <c r="AW111" s="260"/>
      <c r="AX111" s="260"/>
      <c r="AY111" s="260"/>
      <c r="AZ111" s="260"/>
      <c r="BA111" s="260"/>
      <c r="BB111" s="260"/>
      <c r="BC111" s="260"/>
      <c r="BD111" s="260"/>
    </row>
    <row r="112" spans="1:56" x14ac:dyDescent="0.25">
      <c r="A112" s="260"/>
      <c r="B112" s="260"/>
      <c r="D112" s="343"/>
      <c r="E112" s="343"/>
      <c r="U112" s="260"/>
      <c r="V112" s="260"/>
      <c r="W112" s="260"/>
      <c r="X112" s="260"/>
      <c r="Y112" s="260"/>
      <c r="Z112" s="260"/>
      <c r="AA112" s="260"/>
      <c r="AB112" s="260"/>
      <c r="AC112" s="260"/>
      <c r="AD112" s="260"/>
      <c r="AE112" s="260"/>
      <c r="AF112" s="260"/>
      <c r="AG112" s="260"/>
      <c r="AH112" s="260"/>
      <c r="AI112" s="260"/>
      <c r="AJ112" s="260"/>
      <c r="AK112" s="260"/>
      <c r="AL112" s="260"/>
      <c r="AM112" s="260"/>
      <c r="AN112" s="260"/>
      <c r="AO112" s="260"/>
      <c r="AP112" s="260"/>
      <c r="AQ112" s="260"/>
      <c r="AR112" s="260"/>
      <c r="AS112" s="260"/>
      <c r="AT112" s="260"/>
      <c r="AU112" s="260"/>
      <c r="AV112" s="260"/>
      <c r="AW112" s="260"/>
      <c r="AX112" s="260"/>
      <c r="AY112" s="260"/>
      <c r="AZ112" s="260"/>
      <c r="BA112" s="260"/>
      <c r="BB112" s="260"/>
      <c r="BC112" s="260"/>
      <c r="BD112" s="260"/>
    </row>
    <row r="113" spans="1:56" x14ac:dyDescent="0.25">
      <c r="A113" s="260"/>
      <c r="B113" s="260"/>
      <c r="D113" s="343"/>
      <c r="E113" s="343"/>
      <c r="U113" s="260"/>
      <c r="V113" s="260"/>
      <c r="W113" s="260"/>
      <c r="X113" s="260"/>
      <c r="Y113" s="260"/>
      <c r="Z113" s="260"/>
      <c r="AA113" s="260"/>
      <c r="AB113" s="260"/>
      <c r="AC113" s="260"/>
      <c r="AD113" s="260"/>
      <c r="AE113" s="260"/>
      <c r="AF113" s="260"/>
      <c r="AG113" s="260"/>
      <c r="AH113" s="260"/>
      <c r="AI113" s="260"/>
      <c r="AJ113" s="260"/>
      <c r="AK113" s="260"/>
      <c r="AL113" s="260"/>
      <c r="AM113" s="260"/>
      <c r="AN113" s="260"/>
      <c r="AO113" s="260"/>
      <c r="AP113" s="260"/>
      <c r="AQ113" s="260"/>
      <c r="AR113" s="260"/>
      <c r="AS113" s="260"/>
      <c r="AT113" s="260"/>
      <c r="AU113" s="260"/>
      <c r="AV113" s="260"/>
      <c r="AW113" s="260"/>
      <c r="AX113" s="260"/>
      <c r="AY113" s="260"/>
      <c r="AZ113" s="260"/>
      <c r="BA113" s="260"/>
      <c r="BB113" s="260"/>
      <c r="BC113" s="260"/>
      <c r="BD113" s="260"/>
    </row>
    <row r="114" spans="1:56" x14ac:dyDescent="0.25">
      <c r="A114" s="260"/>
      <c r="B114" s="260"/>
      <c r="D114" s="343"/>
      <c r="E114" s="343"/>
      <c r="U114" s="260"/>
      <c r="V114" s="260"/>
      <c r="W114" s="260"/>
      <c r="X114" s="260"/>
      <c r="Y114" s="260"/>
      <c r="Z114" s="260"/>
      <c r="AA114" s="260"/>
      <c r="AB114" s="260"/>
      <c r="AC114" s="260"/>
      <c r="AD114" s="260"/>
      <c r="AE114" s="260"/>
      <c r="AF114" s="260"/>
      <c r="AG114" s="260"/>
      <c r="AH114" s="260"/>
      <c r="AI114" s="260"/>
      <c r="AJ114" s="260"/>
      <c r="AK114" s="260"/>
      <c r="AL114" s="260"/>
      <c r="AM114" s="260"/>
      <c r="AN114" s="260"/>
      <c r="AO114" s="260"/>
      <c r="AP114" s="260"/>
      <c r="AQ114" s="260"/>
      <c r="AR114" s="260"/>
      <c r="AS114" s="260"/>
      <c r="AT114" s="260"/>
      <c r="AU114" s="260"/>
      <c r="AV114" s="260"/>
      <c r="AW114" s="260"/>
      <c r="AX114" s="260"/>
      <c r="AY114" s="260"/>
      <c r="AZ114" s="260"/>
      <c r="BA114" s="260"/>
      <c r="BB114" s="260"/>
      <c r="BC114" s="260"/>
      <c r="BD114" s="260"/>
    </row>
    <row r="115" spans="1:56" x14ac:dyDescent="0.25">
      <c r="A115" s="260"/>
      <c r="B115" s="260"/>
      <c r="D115" s="343"/>
      <c r="E115" s="343"/>
      <c r="U115" s="260"/>
      <c r="V115" s="260"/>
      <c r="W115" s="260"/>
      <c r="X115" s="260"/>
      <c r="Y115" s="260"/>
      <c r="Z115" s="260"/>
      <c r="AA115" s="260"/>
      <c r="AB115" s="260"/>
      <c r="AC115" s="260"/>
      <c r="AD115" s="260"/>
      <c r="AE115" s="260"/>
      <c r="AF115" s="260"/>
      <c r="AG115" s="260"/>
      <c r="AH115" s="260"/>
      <c r="AI115" s="260"/>
      <c r="AJ115" s="260"/>
      <c r="AK115" s="260"/>
      <c r="AL115" s="260"/>
      <c r="AM115" s="260"/>
      <c r="AN115" s="260"/>
      <c r="AO115" s="260"/>
      <c r="AP115" s="260"/>
      <c r="AQ115" s="260"/>
      <c r="AR115" s="260"/>
      <c r="AS115" s="260"/>
      <c r="AT115" s="260"/>
      <c r="AU115" s="260"/>
      <c r="AV115" s="260"/>
      <c r="AW115" s="260"/>
      <c r="AX115" s="260"/>
      <c r="AY115" s="260"/>
      <c r="AZ115" s="260"/>
      <c r="BA115" s="260"/>
      <c r="BB115" s="260"/>
      <c r="BC115" s="260"/>
      <c r="BD115" s="260"/>
    </row>
    <row r="116" spans="1:56" x14ac:dyDescent="0.25">
      <c r="A116" s="260"/>
      <c r="B116" s="260"/>
      <c r="BB116" s="260"/>
      <c r="BC116" s="260"/>
      <c r="BD116" s="260"/>
    </row>
    <row r="117" spans="1:56" x14ac:dyDescent="0.25">
      <c r="F117" s="265">
        <v>0</v>
      </c>
      <c r="G117" s="265">
        <v>2.0833333333333332E-2</v>
      </c>
      <c r="H117" s="265">
        <v>4.1666666666666699E-2</v>
      </c>
      <c r="I117" s="265">
        <v>6.25E-2</v>
      </c>
      <c r="J117" s="265">
        <v>8.3333333333333301E-2</v>
      </c>
      <c r="K117" s="265">
        <v>0.104166666666667</v>
      </c>
      <c r="L117" s="265">
        <v>0.125</v>
      </c>
      <c r="M117" s="265">
        <v>0.14583333333333301</v>
      </c>
      <c r="N117" s="265">
        <v>0.16666666666666699</v>
      </c>
      <c r="O117" s="265">
        <v>0.1875</v>
      </c>
      <c r="P117" s="265">
        <v>0.20833333333333301</v>
      </c>
      <c r="Q117" s="265">
        <v>0.22916666666666699</v>
      </c>
      <c r="R117" s="265">
        <v>0.25</v>
      </c>
      <c r="S117" s="265">
        <v>0.27083333333333298</v>
      </c>
      <c r="T117" s="265">
        <v>0.29166666666666702</v>
      </c>
      <c r="U117" s="265">
        <v>0.3125</v>
      </c>
      <c r="V117" s="265">
        <v>0.33333333333333298</v>
      </c>
      <c r="W117" s="265">
        <v>0.35416666666666702</v>
      </c>
      <c r="X117" s="265">
        <v>0.375</v>
      </c>
      <c r="Y117" s="265">
        <v>0.39583333333333298</v>
      </c>
      <c r="Z117" s="265">
        <v>0.41666666666666702</v>
      </c>
      <c r="AA117" s="265">
        <v>0.4375</v>
      </c>
      <c r="AB117" s="265">
        <v>0.45833333333333298</v>
      </c>
      <c r="AC117" s="265">
        <v>0.47916666666666702</v>
      </c>
      <c r="AD117" s="265">
        <v>0.5</v>
      </c>
      <c r="AE117" s="265">
        <v>0.52083333333333304</v>
      </c>
      <c r="AF117" s="265">
        <v>0.54166666666666696</v>
      </c>
      <c r="AG117" s="265">
        <v>0.5625</v>
      </c>
      <c r="AH117" s="265">
        <v>0.58333333333333304</v>
      </c>
      <c r="AI117" s="265">
        <v>0.60416666666666696</v>
      </c>
      <c r="AJ117" s="265">
        <v>0.625</v>
      </c>
      <c r="AK117" s="265">
        <v>0.64583333333333304</v>
      </c>
      <c r="AL117" s="265">
        <v>0.66666666666666696</v>
      </c>
      <c r="AM117" s="265">
        <v>0.6875</v>
      </c>
      <c r="AN117" s="265">
        <v>0.70833333333333304</v>
      </c>
      <c r="AO117" s="265">
        <v>0.72916666666666696</v>
      </c>
      <c r="AP117" s="265">
        <v>0.75</v>
      </c>
      <c r="AQ117" s="265">
        <v>0.77083333333333337</v>
      </c>
      <c r="AR117" s="265">
        <v>0.79166666666666663</v>
      </c>
      <c r="AS117" s="265">
        <v>0.8125</v>
      </c>
      <c r="AT117" s="265">
        <v>0.83333333333333304</v>
      </c>
      <c r="AU117" s="265">
        <v>0.85416666666666596</v>
      </c>
      <c r="AV117" s="265">
        <v>0.874999999999999</v>
      </c>
      <c r="AW117" s="265">
        <v>0.89583333333333304</v>
      </c>
      <c r="AX117" s="265">
        <v>0.91666666666666596</v>
      </c>
      <c r="AY117" s="265">
        <v>0.937499999999999</v>
      </c>
      <c r="AZ117" s="265">
        <v>0.95833333333333204</v>
      </c>
      <c r="BA117" s="265">
        <v>0.97916666666666596</v>
      </c>
    </row>
    <row r="118" spans="1:56" x14ac:dyDescent="0.25">
      <c r="B118" s="346"/>
      <c r="C118" s="347"/>
      <c r="D118" s="348" t="s">
        <v>438</v>
      </c>
      <c r="E118" s="348"/>
      <c r="F118" s="349">
        <f t="shared" ref="F118:AQ118" si="72">F73-F90</f>
        <v>0</v>
      </c>
      <c r="G118" s="349">
        <f t="shared" si="72"/>
        <v>0</v>
      </c>
      <c r="H118" s="349">
        <f t="shared" si="72"/>
        <v>0</v>
      </c>
      <c r="I118" s="349">
        <f t="shared" si="72"/>
        <v>0</v>
      </c>
      <c r="J118" s="349">
        <f t="shared" si="72"/>
        <v>0</v>
      </c>
      <c r="K118" s="349">
        <f t="shared" si="72"/>
        <v>0</v>
      </c>
      <c r="L118" s="349">
        <f t="shared" si="72"/>
        <v>0</v>
      </c>
      <c r="M118" s="349">
        <f t="shared" si="72"/>
        <v>0</v>
      </c>
      <c r="N118" s="349">
        <f t="shared" si="72"/>
        <v>0</v>
      </c>
      <c r="O118" s="349">
        <f t="shared" si="72"/>
        <v>0</v>
      </c>
      <c r="P118" s="349">
        <f t="shared" si="72"/>
        <v>0</v>
      </c>
      <c r="Q118" s="349">
        <f t="shared" si="72"/>
        <v>0</v>
      </c>
      <c r="R118" s="349">
        <f t="shared" si="72"/>
        <v>0</v>
      </c>
      <c r="S118" s="349">
        <f t="shared" si="72"/>
        <v>0</v>
      </c>
      <c r="T118" s="349">
        <f t="shared" si="72"/>
        <v>0</v>
      </c>
      <c r="U118" s="349">
        <f t="shared" si="72"/>
        <v>0</v>
      </c>
      <c r="V118" s="349" t="e">
        <f>V82-V90</f>
        <v>#VALUE!</v>
      </c>
      <c r="W118" s="349" t="e">
        <f t="shared" ref="W118:AN118" si="73">W82-W90</f>
        <v>#VALUE!</v>
      </c>
      <c r="X118" s="349" t="e">
        <f t="shared" si="73"/>
        <v>#VALUE!</v>
      </c>
      <c r="Y118" s="349" t="e">
        <f t="shared" si="73"/>
        <v>#VALUE!</v>
      </c>
      <c r="Z118" s="349" t="e">
        <f t="shared" si="73"/>
        <v>#VALUE!</v>
      </c>
      <c r="AA118" s="349" t="e">
        <f t="shared" si="73"/>
        <v>#VALUE!</v>
      </c>
      <c r="AB118" s="349" t="e">
        <f t="shared" si="73"/>
        <v>#VALUE!</v>
      </c>
      <c r="AC118" s="349" t="e">
        <f t="shared" si="73"/>
        <v>#VALUE!</v>
      </c>
      <c r="AD118" s="349" t="e">
        <f t="shared" si="73"/>
        <v>#VALUE!</v>
      </c>
      <c r="AE118" s="349" t="e">
        <f t="shared" si="73"/>
        <v>#VALUE!</v>
      </c>
      <c r="AF118" s="349" t="e">
        <f t="shared" si="73"/>
        <v>#VALUE!</v>
      </c>
      <c r="AG118" s="349" t="e">
        <f t="shared" si="73"/>
        <v>#VALUE!</v>
      </c>
      <c r="AH118" s="349" t="e">
        <f t="shared" si="73"/>
        <v>#VALUE!</v>
      </c>
      <c r="AI118" s="349" t="e">
        <f t="shared" si="73"/>
        <v>#VALUE!</v>
      </c>
      <c r="AJ118" s="349" t="e">
        <f t="shared" si="73"/>
        <v>#VALUE!</v>
      </c>
      <c r="AK118" s="349" t="e">
        <f t="shared" si="73"/>
        <v>#VALUE!</v>
      </c>
      <c r="AL118" s="349" t="e">
        <f t="shared" si="73"/>
        <v>#VALUE!</v>
      </c>
      <c r="AM118" s="349" t="e">
        <f t="shared" si="73"/>
        <v>#VALUE!</v>
      </c>
      <c r="AN118" s="349" t="e">
        <f t="shared" si="73"/>
        <v>#VALUE!</v>
      </c>
      <c r="AO118" s="349" t="e">
        <f t="shared" si="72"/>
        <v>#VALUE!</v>
      </c>
      <c r="AP118" s="349" t="e">
        <f t="shared" si="72"/>
        <v>#VALUE!</v>
      </c>
      <c r="AQ118" s="349" t="e">
        <f t="shared" si="72"/>
        <v>#VALUE!</v>
      </c>
      <c r="AR118" s="349" t="e">
        <f>#REF!-AR90</f>
        <v>#REF!</v>
      </c>
      <c r="AS118" s="349" t="e">
        <f>#REF!-AS90</f>
        <v>#REF!</v>
      </c>
      <c r="AT118" s="349" t="e">
        <f>#REF!-AT90</f>
        <v>#REF!</v>
      </c>
      <c r="AU118" s="349" t="e">
        <f>#REF!-AU90</f>
        <v>#REF!</v>
      </c>
      <c r="AV118" s="349" t="e">
        <f>#REF!-AV90</f>
        <v>#REF!</v>
      </c>
      <c r="AW118" s="349" t="e">
        <f>#REF!-AW90</f>
        <v>#REF!</v>
      </c>
      <c r="AX118" s="349" t="e">
        <f>#REF!-AX90</f>
        <v>#REF!</v>
      </c>
      <c r="AY118" s="349" t="e">
        <f>#REF!-AY90</f>
        <v>#REF!</v>
      </c>
      <c r="AZ118" s="349" t="e">
        <f>#REF!-AZ90</f>
        <v>#REF!</v>
      </c>
      <c r="BA118" s="349" t="e">
        <f>#REF!-BA90</f>
        <v>#REF!</v>
      </c>
    </row>
    <row r="119" spans="1:56" x14ac:dyDescent="0.25">
      <c r="C119" s="350"/>
    </row>
    <row r="121" spans="1:56" ht="13" thickBot="1" x14ac:dyDescent="0.3"/>
    <row r="122" spans="1:56" ht="13.5" thickTop="1" x14ac:dyDescent="0.25">
      <c r="A122" s="531" t="s">
        <v>439</v>
      </c>
      <c r="B122" s="532"/>
      <c r="C122" s="281"/>
      <c r="D122" s="281" t="s">
        <v>414</v>
      </c>
      <c r="E122" s="282" t="b">
        <v>1</v>
      </c>
      <c r="F122" s="283" t="e">
        <f t="shared" ref="F122:T122" si="74">SUMIFS(F49:F120,$A$3:$A$71,$BD$74)</f>
        <v>#VALUE!</v>
      </c>
      <c r="G122" s="283" t="e">
        <f t="shared" si="74"/>
        <v>#VALUE!</v>
      </c>
      <c r="H122" s="283" t="e">
        <f t="shared" si="74"/>
        <v>#VALUE!</v>
      </c>
      <c r="I122" s="283" t="e">
        <f t="shared" si="74"/>
        <v>#VALUE!</v>
      </c>
      <c r="J122" s="283" t="e">
        <f t="shared" si="74"/>
        <v>#VALUE!</v>
      </c>
      <c r="K122" s="283" t="e">
        <f t="shared" si="74"/>
        <v>#VALUE!</v>
      </c>
      <c r="L122" s="283" t="e">
        <f t="shared" si="74"/>
        <v>#VALUE!</v>
      </c>
      <c r="M122" s="283" t="e">
        <f t="shared" si="74"/>
        <v>#VALUE!</v>
      </c>
      <c r="N122" s="283" t="e">
        <f t="shared" si="74"/>
        <v>#VALUE!</v>
      </c>
      <c r="O122" s="283" t="e">
        <f t="shared" si="74"/>
        <v>#VALUE!</v>
      </c>
      <c r="P122" s="283" t="e">
        <f t="shared" si="74"/>
        <v>#VALUE!</v>
      </c>
      <c r="Q122" s="283" t="e">
        <f t="shared" si="74"/>
        <v>#VALUE!</v>
      </c>
      <c r="R122" s="283" t="e">
        <f t="shared" si="74"/>
        <v>#VALUE!</v>
      </c>
      <c r="S122" s="283" t="e">
        <f t="shared" si="74"/>
        <v>#VALUE!</v>
      </c>
      <c r="T122" s="283" t="e">
        <f t="shared" si="74"/>
        <v>#VALUE!</v>
      </c>
      <c r="U122" s="283" t="e">
        <f>SUMIFS(U49:U120,$A$3:$A$71,"*FRONT")</f>
        <v>#VALUE!</v>
      </c>
      <c r="V122" s="283"/>
      <c r="W122" s="283"/>
      <c r="X122" s="283"/>
      <c r="Y122" s="283"/>
      <c r="Z122" s="283"/>
      <c r="AA122" s="283"/>
      <c r="AB122" s="283"/>
      <c r="AC122" s="283"/>
      <c r="AD122" s="283"/>
      <c r="AE122" s="283"/>
      <c r="AF122" s="283"/>
      <c r="AG122" s="283"/>
      <c r="AH122" s="283"/>
      <c r="AI122" s="283"/>
      <c r="AJ122" s="283"/>
      <c r="AK122" s="283"/>
      <c r="AL122" s="283"/>
      <c r="AM122" s="283"/>
      <c r="AN122" s="283"/>
      <c r="AO122" s="283" t="e">
        <f t="shared" ref="AO122:BA122" si="75">SUMIFS(AO49:AO120,$A$3:$A$71,"*FRONT")</f>
        <v>#VALUE!</v>
      </c>
      <c r="AP122" s="283" t="e">
        <f t="shared" si="75"/>
        <v>#VALUE!</v>
      </c>
      <c r="AQ122" s="283" t="e">
        <f t="shared" si="75"/>
        <v>#VALUE!</v>
      </c>
      <c r="AR122" s="283" t="e">
        <f t="shared" si="75"/>
        <v>#VALUE!</v>
      </c>
      <c r="AS122" s="283" t="e">
        <f t="shared" si="75"/>
        <v>#VALUE!</v>
      </c>
      <c r="AT122" s="283" t="e">
        <f t="shared" si="75"/>
        <v>#VALUE!</v>
      </c>
      <c r="AU122" s="283" t="e">
        <f t="shared" si="75"/>
        <v>#VALUE!</v>
      </c>
      <c r="AV122" s="283" t="e">
        <f t="shared" si="75"/>
        <v>#VALUE!</v>
      </c>
      <c r="AW122" s="283" t="e">
        <f t="shared" si="75"/>
        <v>#VALUE!</v>
      </c>
      <c r="AX122" s="283" t="e">
        <f t="shared" si="75"/>
        <v>#VALUE!</v>
      </c>
      <c r="AY122" s="283" t="e">
        <f t="shared" si="75"/>
        <v>#VALUE!</v>
      </c>
      <c r="AZ122" s="283" t="e">
        <f t="shared" si="75"/>
        <v>#VALUE!</v>
      </c>
      <c r="BA122" s="283" t="e">
        <f t="shared" si="75"/>
        <v>#VALUE!</v>
      </c>
      <c r="BB122" s="260"/>
      <c r="BC122" s="260"/>
    </row>
    <row r="123" spans="1:56" x14ac:dyDescent="0.25">
      <c r="A123" s="285" t="s">
        <v>415</v>
      </c>
      <c r="B123" s="286">
        <v>0.85</v>
      </c>
      <c r="C123" s="287"/>
      <c r="D123" s="287" t="s">
        <v>416</v>
      </c>
      <c r="E123" s="288" t="b">
        <v>0</v>
      </c>
      <c r="F123" s="289" t="e">
        <f t="shared" ref="F123:U123" si="76">SUMIFS(F49:F120,$A$3:$A$71,"*BACK")</f>
        <v>#VALUE!</v>
      </c>
      <c r="G123" s="289" t="e">
        <f t="shared" si="76"/>
        <v>#VALUE!</v>
      </c>
      <c r="H123" s="289" t="e">
        <f t="shared" si="76"/>
        <v>#VALUE!</v>
      </c>
      <c r="I123" s="289" t="e">
        <f t="shared" si="76"/>
        <v>#VALUE!</v>
      </c>
      <c r="J123" s="289" t="e">
        <f t="shared" si="76"/>
        <v>#VALUE!</v>
      </c>
      <c r="K123" s="289" t="e">
        <f t="shared" si="76"/>
        <v>#VALUE!</v>
      </c>
      <c r="L123" s="289" t="e">
        <f t="shared" si="76"/>
        <v>#VALUE!</v>
      </c>
      <c r="M123" s="289" t="e">
        <f t="shared" si="76"/>
        <v>#VALUE!</v>
      </c>
      <c r="N123" s="289" t="e">
        <f t="shared" si="76"/>
        <v>#VALUE!</v>
      </c>
      <c r="O123" s="289" t="e">
        <f t="shared" si="76"/>
        <v>#VALUE!</v>
      </c>
      <c r="P123" s="289" t="e">
        <f t="shared" si="76"/>
        <v>#VALUE!</v>
      </c>
      <c r="Q123" s="289" t="e">
        <f t="shared" si="76"/>
        <v>#VALUE!</v>
      </c>
      <c r="R123" s="289" t="e">
        <f t="shared" si="76"/>
        <v>#VALUE!</v>
      </c>
      <c r="S123" s="289" t="e">
        <f t="shared" si="76"/>
        <v>#VALUE!</v>
      </c>
      <c r="T123" s="289" t="e">
        <f t="shared" si="76"/>
        <v>#VALUE!</v>
      </c>
      <c r="U123" s="289" t="e">
        <f t="shared" si="76"/>
        <v>#VALUE!</v>
      </c>
      <c r="V123" s="289"/>
      <c r="W123" s="289"/>
      <c r="X123" s="289"/>
      <c r="Y123" s="289"/>
      <c r="Z123" s="289"/>
      <c r="AA123" s="289"/>
      <c r="AB123" s="289"/>
      <c r="AC123" s="289"/>
      <c r="AD123" s="289"/>
      <c r="AE123" s="289"/>
      <c r="AF123" s="289"/>
      <c r="AG123" s="289"/>
      <c r="AH123" s="289"/>
      <c r="AI123" s="289"/>
      <c r="AJ123" s="289"/>
      <c r="AK123" s="289"/>
      <c r="AL123" s="289"/>
      <c r="AM123" s="289"/>
      <c r="AN123" s="289"/>
      <c r="AO123" s="289" t="e">
        <f t="shared" ref="AO123:BA123" si="77">SUMIFS(AO49:AO120,$A$3:$A$71,"*BACK")</f>
        <v>#VALUE!</v>
      </c>
      <c r="AP123" s="289" t="e">
        <f t="shared" si="77"/>
        <v>#VALUE!</v>
      </c>
      <c r="AQ123" s="289" t="e">
        <f t="shared" si="77"/>
        <v>#VALUE!</v>
      </c>
      <c r="AR123" s="289" t="e">
        <f t="shared" si="77"/>
        <v>#VALUE!</v>
      </c>
      <c r="AS123" s="289" t="e">
        <f t="shared" si="77"/>
        <v>#VALUE!</v>
      </c>
      <c r="AT123" s="289" t="e">
        <f t="shared" si="77"/>
        <v>#VALUE!</v>
      </c>
      <c r="AU123" s="289" t="e">
        <f t="shared" si="77"/>
        <v>#VALUE!</v>
      </c>
      <c r="AV123" s="289" t="e">
        <f t="shared" si="77"/>
        <v>#VALUE!</v>
      </c>
      <c r="AW123" s="289" t="e">
        <f t="shared" si="77"/>
        <v>#VALUE!</v>
      </c>
      <c r="AX123" s="289" t="e">
        <f t="shared" si="77"/>
        <v>#VALUE!</v>
      </c>
      <c r="AY123" s="289" t="e">
        <f t="shared" si="77"/>
        <v>#VALUE!</v>
      </c>
      <c r="AZ123" s="289" t="e">
        <f t="shared" si="77"/>
        <v>#VALUE!</v>
      </c>
      <c r="BA123" s="289" t="e">
        <f t="shared" si="77"/>
        <v>#VALUE!</v>
      </c>
      <c r="BB123" s="260"/>
      <c r="BC123" s="260"/>
    </row>
    <row r="124" spans="1:56" ht="13" x14ac:dyDescent="0.25">
      <c r="A124" s="285" t="s">
        <v>417</v>
      </c>
      <c r="B124" s="291">
        <v>11</v>
      </c>
      <c r="C124" s="292"/>
      <c r="D124" s="292" t="s">
        <v>418</v>
      </c>
      <c r="E124" s="293" t="b">
        <v>0</v>
      </c>
      <c r="F124" s="294" t="e">
        <f t="shared" ref="F124:U124" si="78">SUMIFS(F49:F120,$A$3:$A$71,"*WIZMI")</f>
        <v>#VALUE!</v>
      </c>
      <c r="G124" s="294" t="e">
        <f t="shared" si="78"/>
        <v>#VALUE!</v>
      </c>
      <c r="H124" s="294" t="e">
        <f t="shared" si="78"/>
        <v>#VALUE!</v>
      </c>
      <c r="I124" s="294" t="e">
        <f t="shared" si="78"/>
        <v>#VALUE!</v>
      </c>
      <c r="J124" s="294" t="e">
        <f t="shared" si="78"/>
        <v>#VALUE!</v>
      </c>
      <c r="K124" s="294" t="e">
        <f t="shared" si="78"/>
        <v>#VALUE!</v>
      </c>
      <c r="L124" s="294" t="e">
        <f t="shared" si="78"/>
        <v>#VALUE!</v>
      </c>
      <c r="M124" s="294" t="e">
        <f t="shared" si="78"/>
        <v>#VALUE!</v>
      </c>
      <c r="N124" s="294" t="e">
        <f t="shared" si="78"/>
        <v>#VALUE!</v>
      </c>
      <c r="O124" s="294" t="e">
        <f t="shared" si="78"/>
        <v>#VALUE!</v>
      </c>
      <c r="P124" s="294" t="e">
        <f t="shared" si="78"/>
        <v>#VALUE!</v>
      </c>
      <c r="Q124" s="294" t="e">
        <f t="shared" si="78"/>
        <v>#VALUE!</v>
      </c>
      <c r="R124" s="294" t="e">
        <f t="shared" si="78"/>
        <v>#VALUE!</v>
      </c>
      <c r="S124" s="294" t="e">
        <f t="shared" si="78"/>
        <v>#VALUE!</v>
      </c>
      <c r="T124" s="294" t="e">
        <f t="shared" si="78"/>
        <v>#VALUE!</v>
      </c>
      <c r="U124" s="294" t="e">
        <f t="shared" si="78"/>
        <v>#VALUE!</v>
      </c>
      <c r="V124" s="294"/>
      <c r="W124" s="294"/>
      <c r="X124" s="294"/>
      <c r="Y124" s="294"/>
      <c r="Z124" s="294"/>
      <c r="AA124" s="294"/>
      <c r="AB124" s="294"/>
      <c r="AC124" s="294"/>
      <c r="AD124" s="294"/>
      <c r="AE124" s="294"/>
      <c r="AF124" s="294"/>
      <c r="AG124" s="294"/>
      <c r="AH124" s="294"/>
      <c r="AI124" s="294"/>
      <c r="AJ124" s="294"/>
      <c r="AK124" s="294"/>
      <c r="AL124" s="294"/>
      <c r="AM124" s="294"/>
      <c r="AN124" s="294"/>
      <c r="AO124" s="294" t="e">
        <f t="shared" ref="AO124:BA124" si="79">SUMIFS(AO49:AO120,$A$3:$A$71,"*WIZMI")</f>
        <v>#VALUE!</v>
      </c>
      <c r="AP124" s="294" t="e">
        <f t="shared" si="79"/>
        <v>#VALUE!</v>
      </c>
      <c r="AQ124" s="294" t="e">
        <f t="shared" si="79"/>
        <v>#VALUE!</v>
      </c>
      <c r="AR124" s="294" t="e">
        <f t="shared" si="79"/>
        <v>#VALUE!</v>
      </c>
      <c r="AS124" s="294" t="e">
        <f t="shared" si="79"/>
        <v>#VALUE!</v>
      </c>
      <c r="AT124" s="294" t="e">
        <f t="shared" si="79"/>
        <v>#VALUE!</v>
      </c>
      <c r="AU124" s="294" t="e">
        <f t="shared" si="79"/>
        <v>#VALUE!</v>
      </c>
      <c r="AV124" s="294" t="e">
        <f t="shared" si="79"/>
        <v>#VALUE!</v>
      </c>
      <c r="AW124" s="294" t="e">
        <f t="shared" si="79"/>
        <v>#VALUE!</v>
      </c>
      <c r="AX124" s="294" t="e">
        <f t="shared" si="79"/>
        <v>#VALUE!</v>
      </c>
      <c r="AY124" s="294" t="e">
        <f t="shared" si="79"/>
        <v>#VALUE!</v>
      </c>
      <c r="AZ124" s="294" t="e">
        <f t="shared" si="79"/>
        <v>#VALUE!</v>
      </c>
      <c r="BA124" s="294" t="e">
        <f t="shared" si="79"/>
        <v>#VALUE!</v>
      </c>
      <c r="BB124" s="260"/>
      <c r="BC124" s="260"/>
    </row>
    <row r="125" spans="1:56" ht="13" x14ac:dyDescent="0.25">
      <c r="A125" s="285" t="s">
        <v>440</v>
      </c>
      <c r="B125" s="351">
        <v>2.8</v>
      </c>
      <c r="C125" s="287"/>
      <c r="D125" s="287" t="s">
        <v>420</v>
      </c>
      <c r="E125" s="288" t="b">
        <v>0</v>
      </c>
      <c r="F125" s="289" t="e">
        <f t="shared" ref="F125:U125" si="80">SUMIFS(F49:F120,$A$3:$A$71,"*MULTI")</f>
        <v>#VALUE!</v>
      </c>
      <c r="G125" s="289" t="e">
        <f t="shared" si="80"/>
        <v>#VALUE!</v>
      </c>
      <c r="H125" s="289" t="e">
        <f t="shared" si="80"/>
        <v>#VALUE!</v>
      </c>
      <c r="I125" s="289" t="e">
        <f t="shared" si="80"/>
        <v>#VALUE!</v>
      </c>
      <c r="J125" s="289" t="e">
        <f t="shared" si="80"/>
        <v>#VALUE!</v>
      </c>
      <c r="K125" s="289" t="e">
        <f t="shared" si="80"/>
        <v>#VALUE!</v>
      </c>
      <c r="L125" s="289" t="e">
        <f t="shared" si="80"/>
        <v>#VALUE!</v>
      </c>
      <c r="M125" s="289" t="e">
        <f t="shared" si="80"/>
        <v>#VALUE!</v>
      </c>
      <c r="N125" s="289" t="e">
        <f t="shared" si="80"/>
        <v>#VALUE!</v>
      </c>
      <c r="O125" s="289" t="e">
        <f t="shared" si="80"/>
        <v>#VALUE!</v>
      </c>
      <c r="P125" s="289" t="e">
        <f t="shared" si="80"/>
        <v>#VALUE!</v>
      </c>
      <c r="Q125" s="289" t="e">
        <f t="shared" si="80"/>
        <v>#VALUE!</v>
      </c>
      <c r="R125" s="289" t="e">
        <f t="shared" si="80"/>
        <v>#VALUE!</v>
      </c>
      <c r="S125" s="289" t="e">
        <f t="shared" si="80"/>
        <v>#VALUE!</v>
      </c>
      <c r="T125" s="289" t="e">
        <f t="shared" si="80"/>
        <v>#VALUE!</v>
      </c>
      <c r="U125" s="289" t="e">
        <f t="shared" si="80"/>
        <v>#VALUE!</v>
      </c>
      <c r="V125" s="289"/>
      <c r="W125" s="289"/>
      <c r="X125" s="289"/>
      <c r="Y125" s="289"/>
      <c r="Z125" s="289"/>
      <c r="AA125" s="289"/>
      <c r="AB125" s="289"/>
      <c r="AC125" s="289"/>
      <c r="AD125" s="289"/>
      <c r="AE125" s="289"/>
      <c r="AF125" s="289"/>
      <c r="AG125" s="289"/>
      <c r="AH125" s="289"/>
      <c r="AI125" s="289"/>
      <c r="AJ125" s="289"/>
      <c r="AK125" s="289"/>
      <c r="AL125" s="289"/>
      <c r="AM125" s="289"/>
      <c r="AN125" s="289"/>
      <c r="AO125" s="289" t="e">
        <f t="shared" ref="AO125:BA125" si="81">SUMIFS(AO49:AO120,$A$3:$A$71,"*MULTI")</f>
        <v>#VALUE!</v>
      </c>
      <c r="AP125" s="289" t="e">
        <f t="shared" si="81"/>
        <v>#VALUE!</v>
      </c>
      <c r="AQ125" s="289" t="e">
        <f t="shared" si="81"/>
        <v>#VALUE!</v>
      </c>
      <c r="AR125" s="289" t="e">
        <f t="shared" si="81"/>
        <v>#VALUE!</v>
      </c>
      <c r="AS125" s="289" t="e">
        <f t="shared" si="81"/>
        <v>#VALUE!</v>
      </c>
      <c r="AT125" s="289" t="e">
        <f t="shared" si="81"/>
        <v>#VALUE!</v>
      </c>
      <c r="AU125" s="289" t="e">
        <f t="shared" si="81"/>
        <v>#VALUE!</v>
      </c>
      <c r="AV125" s="289" t="e">
        <f t="shared" si="81"/>
        <v>#VALUE!</v>
      </c>
      <c r="AW125" s="289" t="e">
        <f t="shared" si="81"/>
        <v>#VALUE!</v>
      </c>
      <c r="AX125" s="289" t="e">
        <f t="shared" si="81"/>
        <v>#VALUE!</v>
      </c>
      <c r="AY125" s="289" t="e">
        <f t="shared" si="81"/>
        <v>#VALUE!</v>
      </c>
      <c r="AZ125" s="289" t="e">
        <f t="shared" si="81"/>
        <v>#VALUE!</v>
      </c>
      <c r="BA125" s="289" t="e">
        <f t="shared" si="81"/>
        <v>#VALUE!</v>
      </c>
      <c r="BB125" s="260"/>
      <c r="BC125" s="260"/>
    </row>
    <row r="126" spans="1:56" ht="13.5" thickBot="1" x14ac:dyDescent="0.3">
      <c r="A126" s="295" t="s">
        <v>419</v>
      </c>
      <c r="B126" s="352">
        <v>0.85</v>
      </c>
      <c r="C126" s="292"/>
      <c r="D126" s="292" t="s">
        <v>421</v>
      </c>
      <c r="E126" s="293" t="b">
        <v>0</v>
      </c>
      <c r="F126" s="294" t="e">
        <f t="shared" ref="F126:U126" si="82">SUMIFS(F49:F120,$A$3:$A$71,"*COCKPIT")</f>
        <v>#VALUE!</v>
      </c>
      <c r="G126" s="294" t="e">
        <f t="shared" si="82"/>
        <v>#VALUE!</v>
      </c>
      <c r="H126" s="294" t="e">
        <f t="shared" si="82"/>
        <v>#VALUE!</v>
      </c>
      <c r="I126" s="294" t="e">
        <f t="shared" si="82"/>
        <v>#VALUE!</v>
      </c>
      <c r="J126" s="294" t="e">
        <f t="shared" si="82"/>
        <v>#VALUE!</v>
      </c>
      <c r="K126" s="294" t="e">
        <f t="shared" si="82"/>
        <v>#VALUE!</v>
      </c>
      <c r="L126" s="294" t="e">
        <f t="shared" si="82"/>
        <v>#VALUE!</v>
      </c>
      <c r="M126" s="294" t="e">
        <f t="shared" si="82"/>
        <v>#VALUE!</v>
      </c>
      <c r="N126" s="294" t="e">
        <f t="shared" si="82"/>
        <v>#VALUE!</v>
      </c>
      <c r="O126" s="294" t="e">
        <f t="shared" si="82"/>
        <v>#VALUE!</v>
      </c>
      <c r="P126" s="294" t="e">
        <f t="shared" si="82"/>
        <v>#VALUE!</v>
      </c>
      <c r="Q126" s="294" t="e">
        <f t="shared" si="82"/>
        <v>#VALUE!</v>
      </c>
      <c r="R126" s="294" t="e">
        <f t="shared" si="82"/>
        <v>#VALUE!</v>
      </c>
      <c r="S126" s="294" t="e">
        <f t="shared" si="82"/>
        <v>#VALUE!</v>
      </c>
      <c r="T126" s="294" t="e">
        <f t="shared" si="82"/>
        <v>#VALUE!</v>
      </c>
      <c r="U126" s="294" t="e">
        <f t="shared" si="82"/>
        <v>#VALUE!</v>
      </c>
      <c r="V126" s="294"/>
      <c r="W126" s="294"/>
      <c r="X126" s="294"/>
      <c r="Y126" s="294"/>
      <c r="Z126" s="294"/>
      <c r="AA126" s="294"/>
      <c r="AB126" s="294"/>
      <c r="AC126" s="294"/>
      <c r="AD126" s="294"/>
      <c r="AE126" s="294"/>
      <c r="AF126" s="294"/>
      <c r="AG126" s="294"/>
      <c r="AH126" s="294"/>
      <c r="AI126" s="294"/>
      <c r="AJ126" s="294"/>
      <c r="AK126" s="294"/>
      <c r="AL126" s="294"/>
      <c r="AM126" s="294"/>
      <c r="AN126" s="294"/>
      <c r="AO126" s="294" t="e">
        <f t="shared" ref="AO126:BA126" si="83">SUMIFS(AO49:AO120,$A$3:$A$71,"*COCKPIT")</f>
        <v>#VALUE!</v>
      </c>
      <c r="AP126" s="294" t="e">
        <f t="shared" si="83"/>
        <v>#VALUE!</v>
      </c>
      <c r="AQ126" s="294" t="e">
        <f t="shared" si="83"/>
        <v>#VALUE!</v>
      </c>
      <c r="AR126" s="294" t="e">
        <f t="shared" si="83"/>
        <v>#VALUE!</v>
      </c>
      <c r="AS126" s="294" t="e">
        <f t="shared" si="83"/>
        <v>#VALUE!</v>
      </c>
      <c r="AT126" s="294" t="e">
        <f t="shared" si="83"/>
        <v>#VALUE!</v>
      </c>
      <c r="AU126" s="294" t="e">
        <f t="shared" si="83"/>
        <v>#VALUE!</v>
      </c>
      <c r="AV126" s="294" t="e">
        <f t="shared" si="83"/>
        <v>#VALUE!</v>
      </c>
      <c r="AW126" s="294" t="e">
        <f t="shared" si="83"/>
        <v>#VALUE!</v>
      </c>
      <c r="AX126" s="294" t="e">
        <f t="shared" si="83"/>
        <v>#VALUE!</v>
      </c>
      <c r="AY126" s="294" t="e">
        <f t="shared" si="83"/>
        <v>#VALUE!</v>
      </c>
      <c r="AZ126" s="294" t="e">
        <f t="shared" si="83"/>
        <v>#VALUE!</v>
      </c>
      <c r="BA126" s="294" t="e">
        <f t="shared" si="83"/>
        <v>#VALUE!</v>
      </c>
      <c r="BB126" s="260"/>
      <c r="BC126" s="260"/>
      <c r="BD126" s="221" t="e">
        <f>INDEX(Charge2,MATCH($D$1,Charge2_h,0),MATCH(V121,Charge2_v,0))</f>
        <v>#N/A</v>
      </c>
    </row>
    <row r="127" spans="1:56" ht="13" thickTop="1" x14ac:dyDescent="0.25">
      <c r="C127" s="287"/>
      <c r="D127" s="287" t="s">
        <v>422</v>
      </c>
      <c r="E127" s="288" t="b">
        <v>0</v>
      </c>
      <c r="F127" s="289" t="e">
        <f t="shared" ref="F127:U127" si="84">SUMIFS(F49:F120,$A$3:$A$71,"CALL*")</f>
        <v>#VALUE!</v>
      </c>
      <c r="G127" s="289" t="e">
        <f t="shared" si="84"/>
        <v>#VALUE!</v>
      </c>
      <c r="H127" s="289" t="e">
        <f t="shared" si="84"/>
        <v>#VALUE!</v>
      </c>
      <c r="I127" s="289" t="e">
        <f t="shared" si="84"/>
        <v>#VALUE!</v>
      </c>
      <c r="J127" s="289" t="e">
        <f t="shared" si="84"/>
        <v>#VALUE!</v>
      </c>
      <c r="K127" s="289" t="e">
        <f t="shared" si="84"/>
        <v>#VALUE!</v>
      </c>
      <c r="L127" s="289" t="e">
        <f t="shared" si="84"/>
        <v>#VALUE!</v>
      </c>
      <c r="M127" s="289" t="e">
        <f t="shared" si="84"/>
        <v>#VALUE!</v>
      </c>
      <c r="N127" s="289" t="e">
        <f t="shared" si="84"/>
        <v>#VALUE!</v>
      </c>
      <c r="O127" s="289" t="e">
        <f t="shared" si="84"/>
        <v>#VALUE!</v>
      </c>
      <c r="P127" s="289" t="e">
        <f t="shared" si="84"/>
        <v>#VALUE!</v>
      </c>
      <c r="Q127" s="289" t="e">
        <f t="shared" si="84"/>
        <v>#VALUE!</v>
      </c>
      <c r="R127" s="289" t="e">
        <f t="shared" si="84"/>
        <v>#VALUE!</v>
      </c>
      <c r="S127" s="289" t="e">
        <f t="shared" si="84"/>
        <v>#VALUE!</v>
      </c>
      <c r="T127" s="289" t="e">
        <f t="shared" si="84"/>
        <v>#VALUE!</v>
      </c>
      <c r="U127" s="289" t="e">
        <f t="shared" si="84"/>
        <v>#VALUE!</v>
      </c>
      <c r="V127" s="289"/>
      <c r="W127" s="289"/>
      <c r="X127" s="289"/>
      <c r="Y127" s="289"/>
      <c r="Z127" s="289"/>
      <c r="AA127" s="289"/>
      <c r="AB127" s="289"/>
      <c r="AC127" s="289"/>
      <c r="AD127" s="289"/>
      <c r="AE127" s="289"/>
      <c r="AF127" s="289"/>
      <c r="AG127" s="289"/>
      <c r="AH127" s="289"/>
      <c r="AI127" s="289"/>
      <c r="AJ127" s="289"/>
      <c r="AK127" s="289"/>
      <c r="AL127" s="289"/>
      <c r="AM127" s="289"/>
      <c r="AN127" s="289"/>
      <c r="AO127" s="289" t="e">
        <f t="shared" ref="AO127:BA127" si="85">SUMIFS(AO49:AO120,$A$3:$A$71,"CALL*")</f>
        <v>#VALUE!</v>
      </c>
      <c r="AP127" s="289" t="e">
        <f t="shared" si="85"/>
        <v>#VALUE!</v>
      </c>
      <c r="AQ127" s="289" t="e">
        <f t="shared" si="85"/>
        <v>#VALUE!</v>
      </c>
      <c r="AR127" s="289" t="e">
        <f t="shared" si="85"/>
        <v>#VALUE!</v>
      </c>
      <c r="AS127" s="289" t="e">
        <f t="shared" si="85"/>
        <v>#VALUE!</v>
      </c>
      <c r="AT127" s="289" t="e">
        <f t="shared" si="85"/>
        <v>#VALUE!</v>
      </c>
      <c r="AU127" s="289" t="e">
        <f t="shared" si="85"/>
        <v>#VALUE!</v>
      </c>
      <c r="AV127" s="289" t="e">
        <f t="shared" si="85"/>
        <v>#VALUE!</v>
      </c>
      <c r="AW127" s="289" t="e">
        <f t="shared" si="85"/>
        <v>#VALUE!</v>
      </c>
      <c r="AX127" s="289" t="e">
        <f t="shared" si="85"/>
        <v>#VALUE!</v>
      </c>
      <c r="AY127" s="289" t="e">
        <f t="shared" si="85"/>
        <v>#VALUE!</v>
      </c>
      <c r="AZ127" s="289" t="e">
        <f t="shared" si="85"/>
        <v>#VALUE!</v>
      </c>
      <c r="BA127" s="289" t="e">
        <f t="shared" si="85"/>
        <v>#VALUE!</v>
      </c>
      <c r="BB127" s="260"/>
      <c r="BC127" s="260"/>
    </row>
    <row r="128" spans="1:56" x14ac:dyDescent="0.25">
      <c r="C128" s="292"/>
      <c r="D128" s="292" t="s">
        <v>441</v>
      </c>
      <c r="E128" s="293" t="b">
        <v>0</v>
      </c>
      <c r="F128" s="294" t="e">
        <f t="shared" ref="F128:U128" si="86">SUMIFS(F49:F120,$A$3:$A$71,"REF*")</f>
        <v>#VALUE!</v>
      </c>
      <c r="G128" s="294" t="e">
        <f t="shared" si="86"/>
        <v>#VALUE!</v>
      </c>
      <c r="H128" s="294" t="e">
        <f t="shared" si="86"/>
        <v>#VALUE!</v>
      </c>
      <c r="I128" s="294" t="e">
        <f t="shared" si="86"/>
        <v>#VALUE!</v>
      </c>
      <c r="J128" s="294" t="e">
        <f t="shared" si="86"/>
        <v>#VALUE!</v>
      </c>
      <c r="K128" s="294" t="e">
        <f t="shared" si="86"/>
        <v>#VALUE!</v>
      </c>
      <c r="L128" s="294" t="e">
        <f t="shared" si="86"/>
        <v>#VALUE!</v>
      </c>
      <c r="M128" s="294" t="e">
        <f t="shared" si="86"/>
        <v>#VALUE!</v>
      </c>
      <c r="N128" s="294" t="e">
        <f t="shared" si="86"/>
        <v>#VALUE!</v>
      </c>
      <c r="O128" s="294" t="e">
        <f t="shared" si="86"/>
        <v>#VALUE!</v>
      </c>
      <c r="P128" s="294" t="e">
        <f t="shared" si="86"/>
        <v>#VALUE!</v>
      </c>
      <c r="Q128" s="294" t="e">
        <f t="shared" si="86"/>
        <v>#VALUE!</v>
      </c>
      <c r="R128" s="294" t="e">
        <f t="shared" si="86"/>
        <v>#VALUE!</v>
      </c>
      <c r="S128" s="294" t="e">
        <f t="shared" si="86"/>
        <v>#VALUE!</v>
      </c>
      <c r="T128" s="294" t="e">
        <f t="shared" si="86"/>
        <v>#VALUE!</v>
      </c>
      <c r="U128" s="294" t="e">
        <f t="shared" si="86"/>
        <v>#VALUE!</v>
      </c>
      <c r="V128" s="294"/>
      <c r="W128" s="294"/>
      <c r="X128" s="294"/>
      <c r="Y128" s="294"/>
      <c r="Z128" s="294"/>
      <c r="AA128" s="294"/>
      <c r="AB128" s="294"/>
      <c r="AC128" s="294"/>
      <c r="AD128" s="294"/>
      <c r="AE128" s="294"/>
      <c r="AF128" s="294"/>
      <c r="AG128" s="294"/>
      <c r="AH128" s="294"/>
      <c r="AI128" s="294"/>
      <c r="AJ128" s="294"/>
      <c r="AK128" s="294"/>
      <c r="AL128" s="294"/>
      <c r="AM128" s="294"/>
      <c r="AN128" s="294"/>
      <c r="AO128" s="294" t="e">
        <f t="shared" ref="AO128:BA128" si="87">SUMIFS(AO49:AO120,$A$3:$A$71,"REF*")</f>
        <v>#VALUE!</v>
      </c>
      <c r="AP128" s="294" t="e">
        <f t="shared" si="87"/>
        <v>#VALUE!</v>
      </c>
      <c r="AQ128" s="294" t="e">
        <f t="shared" si="87"/>
        <v>#VALUE!</v>
      </c>
      <c r="AR128" s="294" t="e">
        <f t="shared" si="87"/>
        <v>#VALUE!</v>
      </c>
      <c r="AS128" s="294" t="e">
        <f t="shared" si="87"/>
        <v>#VALUE!</v>
      </c>
      <c r="AT128" s="294" t="e">
        <f t="shared" si="87"/>
        <v>#VALUE!</v>
      </c>
      <c r="AU128" s="294" t="e">
        <f t="shared" si="87"/>
        <v>#VALUE!</v>
      </c>
      <c r="AV128" s="294" t="e">
        <f t="shared" si="87"/>
        <v>#VALUE!</v>
      </c>
      <c r="AW128" s="294" t="e">
        <f t="shared" si="87"/>
        <v>#VALUE!</v>
      </c>
      <c r="AX128" s="294" t="e">
        <f t="shared" si="87"/>
        <v>#VALUE!</v>
      </c>
      <c r="AY128" s="294" t="e">
        <f t="shared" si="87"/>
        <v>#VALUE!</v>
      </c>
      <c r="AZ128" s="294" t="e">
        <f t="shared" si="87"/>
        <v>#VALUE!</v>
      </c>
      <c r="BA128" s="294" t="e">
        <f t="shared" si="87"/>
        <v>#VALUE!</v>
      </c>
      <c r="BB128" s="260"/>
      <c r="BC128" s="260"/>
    </row>
    <row r="129" spans="3:56" x14ac:dyDescent="0.25">
      <c r="C129" s="287"/>
      <c r="D129" s="287" t="s">
        <v>442</v>
      </c>
      <c r="E129" s="288" t="b">
        <v>0</v>
      </c>
      <c r="F129" s="289" t="e">
        <f t="shared" ref="F129:U129" si="88">SUMIFS(F49:F120,$A$3:$A$71,"*GDK")</f>
        <v>#VALUE!</v>
      </c>
      <c r="G129" s="289" t="e">
        <f t="shared" si="88"/>
        <v>#VALUE!</v>
      </c>
      <c r="H129" s="289" t="e">
        <f t="shared" si="88"/>
        <v>#VALUE!</v>
      </c>
      <c r="I129" s="289" t="e">
        <f t="shared" si="88"/>
        <v>#VALUE!</v>
      </c>
      <c r="J129" s="289" t="e">
        <f t="shared" si="88"/>
        <v>#VALUE!</v>
      </c>
      <c r="K129" s="289" t="e">
        <f t="shared" si="88"/>
        <v>#VALUE!</v>
      </c>
      <c r="L129" s="289" t="e">
        <f t="shared" si="88"/>
        <v>#VALUE!</v>
      </c>
      <c r="M129" s="289" t="e">
        <f t="shared" si="88"/>
        <v>#VALUE!</v>
      </c>
      <c r="N129" s="289" t="e">
        <f t="shared" si="88"/>
        <v>#VALUE!</v>
      </c>
      <c r="O129" s="289" t="e">
        <f t="shared" si="88"/>
        <v>#VALUE!</v>
      </c>
      <c r="P129" s="289" t="e">
        <f t="shared" si="88"/>
        <v>#VALUE!</v>
      </c>
      <c r="Q129" s="289" t="e">
        <f t="shared" si="88"/>
        <v>#VALUE!</v>
      </c>
      <c r="R129" s="289" t="e">
        <f t="shared" si="88"/>
        <v>#VALUE!</v>
      </c>
      <c r="S129" s="289" t="e">
        <f t="shared" si="88"/>
        <v>#VALUE!</v>
      </c>
      <c r="T129" s="289" t="e">
        <f t="shared" si="88"/>
        <v>#VALUE!</v>
      </c>
      <c r="U129" s="289" t="e">
        <f t="shared" si="88"/>
        <v>#VALUE!</v>
      </c>
      <c r="V129" s="289"/>
      <c r="W129" s="289"/>
      <c r="X129" s="289"/>
      <c r="Y129" s="289"/>
      <c r="Z129" s="289"/>
      <c r="AA129" s="289"/>
      <c r="AB129" s="289"/>
      <c r="AC129" s="289"/>
      <c r="AD129" s="289"/>
      <c r="AE129" s="289"/>
      <c r="AF129" s="289"/>
      <c r="AG129" s="289"/>
      <c r="AH129" s="289"/>
      <c r="AI129" s="289"/>
      <c r="AJ129" s="289"/>
      <c r="AK129" s="289"/>
      <c r="AL129" s="289"/>
      <c r="AM129" s="289"/>
      <c r="AN129" s="289"/>
      <c r="AO129" s="289" t="e">
        <f t="shared" ref="AO129:BA129" si="89">SUMIFS(AO49:AO120,$A$3:$A$71,"*GDK")</f>
        <v>#VALUE!</v>
      </c>
      <c r="AP129" s="289" t="e">
        <f t="shared" si="89"/>
        <v>#VALUE!</v>
      </c>
      <c r="AQ129" s="289" t="e">
        <f t="shared" si="89"/>
        <v>#VALUE!</v>
      </c>
      <c r="AR129" s="289" t="e">
        <f t="shared" si="89"/>
        <v>#VALUE!</v>
      </c>
      <c r="AS129" s="289" t="e">
        <f t="shared" si="89"/>
        <v>#VALUE!</v>
      </c>
      <c r="AT129" s="289" t="e">
        <f t="shared" si="89"/>
        <v>#VALUE!</v>
      </c>
      <c r="AU129" s="289" t="e">
        <f t="shared" si="89"/>
        <v>#VALUE!</v>
      </c>
      <c r="AV129" s="289" t="e">
        <f t="shared" si="89"/>
        <v>#VALUE!</v>
      </c>
      <c r="AW129" s="289" t="e">
        <f t="shared" si="89"/>
        <v>#VALUE!</v>
      </c>
      <c r="AX129" s="289" t="e">
        <f t="shared" si="89"/>
        <v>#VALUE!</v>
      </c>
      <c r="AY129" s="289" t="e">
        <f t="shared" si="89"/>
        <v>#VALUE!</v>
      </c>
      <c r="AZ129" s="289" t="e">
        <f t="shared" si="89"/>
        <v>#VALUE!</v>
      </c>
      <c r="BA129" s="289" t="e">
        <f t="shared" si="89"/>
        <v>#VALUE!</v>
      </c>
      <c r="BB129" s="260"/>
      <c r="BC129" s="260"/>
    </row>
    <row r="130" spans="3:56" x14ac:dyDescent="0.25">
      <c r="BB130" s="260"/>
      <c r="BC130" s="260"/>
    </row>
    <row r="131" spans="3:56" x14ac:dyDescent="0.25">
      <c r="C131" s="301"/>
      <c r="D131" s="301" t="s">
        <v>424</v>
      </c>
      <c r="E131" s="302"/>
      <c r="F131" s="303">
        <f>SUMIF($E$73:$E$80,"VRAI",F$73:F$80)</f>
        <v>0</v>
      </c>
      <c r="G131" s="303">
        <f>SUMIF($E$73:$E$80,"VRAI",G$73:G$80)</f>
        <v>0</v>
      </c>
      <c r="H131" s="303">
        <f t="shared" ref="H131:BA131" si="90">SUMIF($E$73:$E$80,"VRAI",H$73:H$80)</f>
        <v>0</v>
      </c>
      <c r="I131" s="303">
        <f t="shared" si="90"/>
        <v>0</v>
      </c>
      <c r="J131" s="303">
        <f t="shared" si="90"/>
        <v>0</v>
      </c>
      <c r="K131" s="303">
        <f t="shared" si="90"/>
        <v>0</v>
      </c>
      <c r="L131" s="303">
        <f t="shared" si="90"/>
        <v>0</v>
      </c>
      <c r="M131" s="303">
        <f t="shared" si="90"/>
        <v>0</v>
      </c>
      <c r="N131" s="303">
        <f t="shared" si="90"/>
        <v>0</v>
      </c>
      <c r="O131" s="303">
        <f t="shared" si="90"/>
        <v>0</v>
      </c>
      <c r="P131" s="303">
        <f t="shared" si="90"/>
        <v>0</v>
      </c>
      <c r="Q131" s="303">
        <f t="shared" si="90"/>
        <v>0</v>
      </c>
      <c r="R131" s="303">
        <f t="shared" si="90"/>
        <v>0</v>
      </c>
      <c r="S131" s="303">
        <f t="shared" si="90"/>
        <v>0</v>
      </c>
      <c r="T131" s="303">
        <f t="shared" si="90"/>
        <v>0</v>
      </c>
      <c r="U131" s="303">
        <f t="shared" si="90"/>
        <v>0</v>
      </c>
      <c r="V131" s="303">
        <f>V75</f>
        <v>0</v>
      </c>
      <c r="W131" s="303">
        <f t="shared" ref="W131:AN131" si="91">W75</f>
        <v>0</v>
      </c>
      <c r="X131" s="303">
        <f t="shared" si="91"/>
        <v>0</v>
      </c>
      <c r="Y131" s="303">
        <f t="shared" si="91"/>
        <v>0</v>
      </c>
      <c r="Z131" s="303">
        <f t="shared" si="91"/>
        <v>0</v>
      </c>
      <c r="AA131" s="303">
        <f t="shared" si="91"/>
        <v>0</v>
      </c>
      <c r="AB131" s="303">
        <f t="shared" si="91"/>
        <v>0</v>
      </c>
      <c r="AC131" s="303">
        <f t="shared" si="91"/>
        <v>0</v>
      </c>
      <c r="AD131" s="303">
        <f t="shared" si="91"/>
        <v>0</v>
      </c>
      <c r="AE131" s="303">
        <f t="shared" si="91"/>
        <v>0</v>
      </c>
      <c r="AF131" s="303">
        <f t="shared" si="91"/>
        <v>0</v>
      </c>
      <c r="AG131" s="303">
        <f t="shared" si="91"/>
        <v>0</v>
      </c>
      <c r="AH131" s="303">
        <f t="shared" si="91"/>
        <v>0</v>
      </c>
      <c r="AI131" s="303">
        <f t="shared" si="91"/>
        <v>0</v>
      </c>
      <c r="AJ131" s="303">
        <f t="shared" si="91"/>
        <v>0</v>
      </c>
      <c r="AK131" s="303">
        <f t="shared" si="91"/>
        <v>0</v>
      </c>
      <c r="AL131" s="303">
        <f t="shared" si="91"/>
        <v>0</v>
      </c>
      <c r="AM131" s="303">
        <f t="shared" si="91"/>
        <v>0</v>
      </c>
      <c r="AN131" s="303">
        <f t="shared" si="91"/>
        <v>0</v>
      </c>
      <c r="AO131" s="303">
        <f t="shared" si="90"/>
        <v>0</v>
      </c>
      <c r="AP131" s="303">
        <f t="shared" si="90"/>
        <v>0</v>
      </c>
      <c r="AQ131" s="303">
        <f t="shared" si="90"/>
        <v>0</v>
      </c>
      <c r="AR131" s="303">
        <f t="shared" si="90"/>
        <v>0</v>
      </c>
      <c r="AS131" s="303">
        <f t="shared" si="90"/>
        <v>0</v>
      </c>
      <c r="AT131" s="303">
        <f t="shared" si="90"/>
        <v>0</v>
      </c>
      <c r="AU131" s="303">
        <f t="shared" si="90"/>
        <v>0</v>
      </c>
      <c r="AV131" s="303">
        <f t="shared" si="90"/>
        <v>0</v>
      </c>
      <c r="AW131" s="303">
        <f t="shared" si="90"/>
        <v>0</v>
      </c>
      <c r="AX131" s="303">
        <f t="shared" si="90"/>
        <v>0</v>
      </c>
      <c r="AY131" s="303">
        <f t="shared" si="90"/>
        <v>0</v>
      </c>
      <c r="AZ131" s="303">
        <f t="shared" si="90"/>
        <v>0</v>
      </c>
      <c r="BA131" s="303">
        <f t="shared" si="90"/>
        <v>0</v>
      </c>
      <c r="BB131" s="260"/>
      <c r="BC131" s="260"/>
    </row>
    <row r="132" spans="3:56" x14ac:dyDescent="0.25">
      <c r="C132" s="268"/>
      <c r="D132" s="268"/>
      <c r="E132" s="268"/>
      <c r="F132" s="308"/>
      <c r="G132" s="308"/>
      <c r="H132" s="308"/>
      <c r="I132" s="308"/>
      <c r="J132" s="308"/>
      <c r="K132" s="308"/>
      <c r="L132" s="308"/>
      <c r="M132" s="308"/>
      <c r="N132" s="308"/>
      <c r="O132" s="308"/>
      <c r="P132" s="308"/>
      <c r="Q132" s="308"/>
      <c r="R132" s="308"/>
      <c r="S132" s="308"/>
      <c r="T132" s="308"/>
      <c r="U132" s="308"/>
      <c r="V132" s="308"/>
      <c r="W132" s="308"/>
      <c r="X132" s="308"/>
      <c r="Y132" s="308"/>
      <c r="Z132" s="308"/>
      <c r="AA132" s="308"/>
      <c r="AB132" s="308"/>
      <c r="AC132" s="308"/>
      <c r="AD132" s="308"/>
      <c r="AE132" s="308"/>
      <c r="AF132" s="308"/>
      <c r="AG132" s="308"/>
      <c r="AH132" s="308"/>
      <c r="AI132" s="308"/>
      <c r="AJ132" s="308"/>
      <c r="AK132" s="308"/>
      <c r="AL132" s="308"/>
      <c r="AM132" s="308"/>
      <c r="AN132" s="308"/>
      <c r="AO132" s="308"/>
      <c r="AP132" s="308"/>
      <c r="AQ132" s="308"/>
      <c r="AR132" s="308"/>
      <c r="AS132" s="308"/>
      <c r="AT132" s="308"/>
      <c r="AU132" s="308"/>
      <c r="AV132" s="308"/>
      <c r="AW132" s="308"/>
      <c r="AX132" s="308"/>
      <c r="AY132" s="308"/>
      <c r="AZ132" s="308"/>
      <c r="BA132" s="308"/>
    </row>
    <row r="133" spans="3:56" x14ac:dyDescent="0.25">
      <c r="C133" s="309"/>
      <c r="D133" s="309" t="s">
        <v>426</v>
      </c>
      <c r="E133" s="309"/>
      <c r="F133" s="310">
        <f t="shared" ref="F133:U133" si="92">IFERROR((F131*$B$74)*(30/$B$75),"0")</f>
        <v>0</v>
      </c>
      <c r="G133" s="310">
        <f t="shared" si="92"/>
        <v>0</v>
      </c>
      <c r="H133" s="310">
        <f t="shared" si="92"/>
        <v>0</v>
      </c>
      <c r="I133" s="310">
        <f t="shared" si="92"/>
        <v>0</v>
      </c>
      <c r="J133" s="310">
        <f t="shared" si="92"/>
        <v>0</v>
      </c>
      <c r="K133" s="310">
        <f t="shared" si="92"/>
        <v>0</v>
      </c>
      <c r="L133" s="310">
        <f t="shared" si="92"/>
        <v>0</v>
      </c>
      <c r="M133" s="310">
        <f t="shared" si="92"/>
        <v>0</v>
      </c>
      <c r="N133" s="310">
        <f t="shared" si="92"/>
        <v>0</v>
      </c>
      <c r="O133" s="310">
        <f t="shared" si="92"/>
        <v>0</v>
      </c>
      <c r="P133" s="310">
        <f t="shared" si="92"/>
        <v>0</v>
      </c>
      <c r="Q133" s="310">
        <f t="shared" si="92"/>
        <v>0</v>
      </c>
      <c r="R133" s="310">
        <f t="shared" si="92"/>
        <v>0</v>
      </c>
      <c r="S133" s="310">
        <f t="shared" si="92"/>
        <v>0</v>
      </c>
      <c r="T133" s="310">
        <f t="shared" si="92"/>
        <v>0</v>
      </c>
      <c r="U133" s="310">
        <f t="shared" si="92"/>
        <v>0</v>
      </c>
      <c r="V133" s="310">
        <f>IFERROR((V131*$B$123)*(30/$B$124)*$B$125,"0")</f>
        <v>0</v>
      </c>
      <c r="W133" s="310">
        <f t="shared" ref="W133:AN133" si="93">IFERROR((W131*$B$123)*(30/$B$124)*$B$125,"0")</f>
        <v>0</v>
      </c>
      <c r="X133" s="310">
        <f t="shared" si="93"/>
        <v>0</v>
      </c>
      <c r="Y133" s="310">
        <f t="shared" si="93"/>
        <v>0</v>
      </c>
      <c r="Z133" s="310">
        <f t="shared" si="93"/>
        <v>0</v>
      </c>
      <c r="AA133" s="310">
        <f t="shared" si="93"/>
        <v>0</v>
      </c>
      <c r="AB133" s="310">
        <f t="shared" si="93"/>
        <v>0</v>
      </c>
      <c r="AC133" s="310">
        <f t="shared" si="93"/>
        <v>0</v>
      </c>
      <c r="AD133" s="310">
        <f t="shared" si="93"/>
        <v>0</v>
      </c>
      <c r="AE133" s="310">
        <f t="shared" si="93"/>
        <v>0</v>
      </c>
      <c r="AF133" s="310">
        <f t="shared" si="93"/>
        <v>0</v>
      </c>
      <c r="AG133" s="310">
        <f t="shared" si="93"/>
        <v>0</v>
      </c>
      <c r="AH133" s="310">
        <f t="shared" si="93"/>
        <v>0</v>
      </c>
      <c r="AI133" s="310">
        <f t="shared" si="93"/>
        <v>0</v>
      </c>
      <c r="AJ133" s="310">
        <f t="shared" si="93"/>
        <v>0</v>
      </c>
      <c r="AK133" s="310">
        <f t="shared" si="93"/>
        <v>0</v>
      </c>
      <c r="AL133" s="310">
        <f t="shared" si="93"/>
        <v>0</v>
      </c>
      <c r="AM133" s="310">
        <f t="shared" si="93"/>
        <v>0</v>
      </c>
      <c r="AN133" s="310">
        <f t="shared" si="93"/>
        <v>0</v>
      </c>
      <c r="AO133" s="310">
        <f t="shared" ref="AO133:BA133" si="94">IFERROR((AO131*$B$74)*(30/$B$75),"0")</f>
        <v>0</v>
      </c>
      <c r="AP133" s="310">
        <f t="shared" si="94"/>
        <v>0</v>
      </c>
      <c r="AQ133" s="310">
        <f t="shared" si="94"/>
        <v>0</v>
      </c>
      <c r="AR133" s="310">
        <f t="shared" si="94"/>
        <v>0</v>
      </c>
      <c r="AS133" s="310">
        <f t="shared" si="94"/>
        <v>0</v>
      </c>
      <c r="AT133" s="310">
        <f t="shared" si="94"/>
        <v>0</v>
      </c>
      <c r="AU133" s="310">
        <f t="shared" si="94"/>
        <v>0</v>
      </c>
      <c r="AV133" s="310">
        <f t="shared" si="94"/>
        <v>0</v>
      </c>
      <c r="AW133" s="310">
        <f t="shared" si="94"/>
        <v>0</v>
      </c>
      <c r="AX133" s="310">
        <f t="shared" si="94"/>
        <v>0</v>
      </c>
      <c r="AY133" s="310">
        <f t="shared" si="94"/>
        <v>0</v>
      </c>
      <c r="AZ133" s="310">
        <f t="shared" si="94"/>
        <v>0</v>
      </c>
      <c r="BA133" s="310">
        <f t="shared" si="94"/>
        <v>0</v>
      </c>
      <c r="BB133" s="260"/>
      <c r="BC133" s="311">
        <f>SUM(V133:AN133)</f>
        <v>0</v>
      </c>
    </row>
    <row r="134" spans="3:56" x14ac:dyDescent="0.25">
      <c r="C134" s="312"/>
      <c r="D134" s="312" t="s">
        <v>427</v>
      </c>
      <c r="E134" s="312"/>
      <c r="F134" s="313" t="str">
        <f t="shared" ref="F134:U134" si="95">IF(F133&lt;F139,F133,"")</f>
        <v/>
      </c>
      <c r="G134" s="313" t="str">
        <f t="shared" si="95"/>
        <v/>
      </c>
      <c r="H134" s="313" t="str">
        <f t="shared" si="95"/>
        <v/>
      </c>
      <c r="I134" s="313" t="str">
        <f t="shared" si="95"/>
        <v/>
      </c>
      <c r="J134" s="313" t="str">
        <f t="shared" si="95"/>
        <v/>
      </c>
      <c r="K134" s="313" t="str">
        <f t="shared" si="95"/>
        <v/>
      </c>
      <c r="L134" s="313" t="str">
        <f t="shared" si="95"/>
        <v/>
      </c>
      <c r="M134" s="313" t="str">
        <f t="shared" si="95"/>
        <v/>
      </c>
      <c r="N134" s="313" t="str">
        <f t="shared" si="95"/>
        <v/>
      </c>
      <c r="O134" s="313" t="str">
        <f t="shared" si="95"/>
        <v/>
      </c>
      <c r="P134" s="313" t="str">
        <f t="shared" si="95"/>
        <v/>
      </c>
      <c r="Q134" s="313" t="str">
        <f t="shared" si="95"/>
        <v/>
      </c>
      <c r="R134" s="313" t="str">
        <f t="shared" si="95"/>
        <v/>
      </c>
      <c r="S134" s="313" t="str">
        <f t="shared" si="95"/>
        <v/>
      </c>
      <c r="T134" s="313" t="str">
        <f t="shared" si="95"/>
        <v/>
      </c>
      <c r="U134" s="313" t="str">
        <f t="shared" si="95"/>
        <v/>
      </c>
      <c r="V134" s="313" t="e">
        <f>IF(V133&lt;V139,V133,"")</f>
        <v>#VALUE!</v>
      </c>
      <c r="W134" s="313" t="e">
        <f t="shared" ref="W134:BA134" si="96">IF(W133&lt;W139,W133,"")</f>
        <v>#VALUE!</v>
      </c>
      <c r="X134" s="313" t="e">
        <f t="shared" si="96"/>
        <v>#VALUE!</v>
      </c>
      <c r="Y134" s="313" t="e">
        <f t="shared" si="96"/>
        <v>#VALUE!</v>
      </c>
      <c r="Z134" s="313" t="e">
        <f t="shared" si="96"/>
        <v>#VALUE!</v>
      </c>
      <c r="AA134" s="313" t="e">
        <f t="shared" si="96"/>
        <v>#VALUE!</v>
      </c>
      <c r="AB134" s="313" t="e">
        <f t="shared" si="96"/>
        <v>#VALUE!</v>
      </c>
      <c r="AC134" s="313" t="e">
        <f t="shared" si="96"/>
        <v>#VALUE!</v>
      </c>
      <c r="AD134" s="313" t="e">
        <f t="shared" si="96"/>
        <v>#VALUE!</v>
      </c>
      <c r="AE134" s="313" t="e">
        <f t="shared" si="96"/>
        <v>#VALUE!</v>
      </c>
      <c r="AF134" s="313" t="e">
        <f t="shared" si="96"/>
        <v>#VALUE!</v>
      </c>
      <c r="AG134" s="313" t="e">
        <f t="shared" si="96"/>
        <v>#VALUE!</v>
      </c>
      <c r="AH134" s="313" t="e">
        <f t="shared" si="96"/>
        <v>#VALUE!</v>
      </c>
      <c r="AI134" s="313" t="e">
        <f t="shared" si="96"/>
        <v>#VALUE!</v>
      </c>
      <c r="AJ134" s="313" t="e">
        <f t="shared" si="96"/>
        <v>#VALUE!</v>
      </c>
      <c r="AK134" s="313" t="e">
        <f t="shared" si="96"/>
        <v>#VALUE!</v>
      </c>
      <c r="AL134" s="313" t="e">
        <f t="shared" si="96"/>
        <v>#VALUE!</v>
      </c>
      <c r="AM134" s="313" t="e">
        <f t="shared" si="96"/>
        <v>#VALUE!</v>
      </c>
      <c r="AN134" s="313" t="e">
        <f t="shared" si="96"/>
        <v>#VALUE!</v>
      </c>
      <c r="AO134" s="313">
        <f t="shared" si="96"/>
        <v>0</v>
      </c>
      <c r="AP134" s="313">
        <f t="shared" si="96"/>
        <v>0</v>
      </c>
      <c r="AQ134" s="313">
        <f t="shared" si="96"/>
        <v>0</v>
      </c>
      <c r="AR134" s="313">
        <f t="shared" si="96"/>
        <v>0</v>
      </c>
      <c r="AS134" s="313">
        <f t="shared" si="96"/>
        <v>0</v>
      </c>
      <c r="AT134" s="313">
        <f t="shared" si="96"/>
        <v>0</v>
      </c>
      <c r="AU134" s="313">
        <f t="shared" si="96"/>
        <v>0</v>
      </c>
      <c r="AV134" s="313">
        <f t="shared" si="96"/>
        <v>0</v>
      </c>
      <c r="AW134" s="313">
        <f t="shared" si="96"/>
        <v>0</v>
      </c>
      <c r="AX134" s="313">
        <f t="shared" si="96"/>
        <v>0</v>
      </c>
      <c r="AY134" s="313">
        <f t="shared" si="96"/>
        <v>0</v>
      </c>
      <c r="AZ134" s="313">
        <f t="shared" si="96"/>
        <v>0</v>
      </c>
      <c r="BA134" s="313">
        <f t="shared" si="96"/>
        <v>0</v>
      </c>
      <c r="BB134" s="260"/>
      <c r="BC134" s="325"/>
      <c r="BD134" s="260"/>
    </row>
    <row r="135" spans="3:56" x14ac:dyDescent="0.25">
      <c r="C135" s="309"/>
      <c r="D135" s="309" t="s">
        <v>443</v>
      </c>
      <c r="E135" s="309"/>
      <c r="F135" s="314" t="str">
        <f t="shared" ref="F135:BA135" si="97">IF(F133&gt;F139,F133,"")</f>
        <v/>
      </c>
      <c r="G135" s="314" t="str">
        <f t="shared" si="97"/>
        <v/>
      </c>
      <c r="H135" s="314" t="str">
        <f t="shared" si="97"/>
        <v/>
      </c>
      <c r="I135" s="314" t="str">
        <f t="shared" si="97"/>
        <v/>
      </c>
      <c r="J135" s="314" t="str">
        <f t="shared" si="97"/>
        <v/>
      </c>
      <c r="K135" s="314" t="str">
        <f t="shared" si="97"/>
        <v/>
      </c>
      <c r="L135" s="314" t="str">
        <f t="shared" si="97"/>
        <v/>
      </c>
      <c r="M135" s="314" t="str">
        <f t="shared" si="97"/>
        <v/>
      </c>
      <c r="N135" s="314" t="str">
        <f t="shared" si="97"/>
        <v/>
      </c>
      <c r="O135" s="314" t="str">
        <f t="shared" si="97"/>
        <v/>
      </c>
      <c r="P135" s="314" t="str">
        <f t="shared" si="97"/>
        <v/>
      </c>
      <c r="Q135" s="314" t="str">
        <f t="shared" si="97"/>
        <v/>
      </c>
      <c r="R135" s="314" t="str">
        <f t="shared" si="97"/>
        <v/>
      </c>
      <c r="S135" s="314" t="str">
        <f t="shared" si="97"/>
        <v/>
      </c>
      <c r="T135" s="314" t="str">
        <f t="shared" si="97"/>
        <v/>
      </c>
      <c r="U135" s="314" t="str">
        <f t="shared" si="97"/>
        <v/>
      </c>
      <c r="V135" s="314" t="e">
        <f t="shared" si="97"/>
        <v>#VALUE!</v>
      </c>
      <c r="W135" s="314" t="e">
        <f t="shared" si="97"/>
        <v>#VALUE!</v>
      </c>
      <c r="X135" s="314" t="e">
        <f t="shared" si="97"/>
        <v>#VALUE!</v>
      </c>
      <c r="Y135" s="314" t="e">
        <f t="shared" si="97"/>
        <v>#VALUE!</v>
      </c>
      <c r="Z135" s="314" t="e">
        <f t="shared" si="97"/>
        <v>#VALUE!</v>
      </c>
      <c r="AA135" s="314" t="e">
        <f t="shared" si="97"/>
        <v>#VALUE!</v>
      </c>
      <c r="AB135" s="314" t="e">
        <f t="shared" si="97"/>
        <v>#VALUE!</v>
      </c>
      <c r="AC135" s="314" t="e">
        <f t="shared" si="97"/>
        <v>#VALUE!</v>
      </c>
      <c r="AD135" s="314" t="e">
        <f t="shared" si="97"/>
        <v>#VALUE!</v>
      </c>
      <c r="AE135" s="314" t="e">
        <f t="shared" si="97"/>
        <v>#VALUE!</v>
      </c>
      <c r="AF135" s="314" t="e">
        <f t="shared" si="97"/>
        <v>#VALUE!</v>
      </c>
      <c r="AG135" s="314" t="e">
        <f t="shared" si="97"/>
        <v>#VALUE!</v>
      </c>
      <c r="AH135" s="314" t="e">
        <f t="shared" si="97"/>
        <v>#VALUE!</v>
      </c>
      <c r="AI135" s="314" t="e">
        <f t="shared" si="97"/>
        <v>#VALUE!</v>
      </c>
      <c r="AJ135" s="314" t="e">
        <f t="shared" si="97"/>
        <v>#VALUE!</v>
      </c>
      <c r="AK135" s="314" t="e">
        <f t="shared" si="97"/>
        <v>#VALUE!</v>
      </c>
      <c r="AL135" s="314" t="e">
        <f t="shared" si="97"/>
        <v>#VALUE!</v>
      </c>
      <c r="AM135" s="314" t="e">
        <f t="shared" si="97"/>
        <v>#VALUE!</v>
      </c>
      <c r="AN135" s="314" t="e">
        <f t="shared" si="97"/>
        <v>#VALUE!</v>
      </c>
      <c r="AO135" s="314" t="str">
        <f t="shared" si="97"/>
        <v/>
      </c>
      <c r="AP135" s="314" t="str">
        <f t="shared" si="97"/>
        <v/>
      </c>
      <c r="AQ135" s="314" t="str">
        <f t="shared" si="97"/>
        <v/>
      </c>
      <c r="AR135" s="314" t="str">
        <f t="shared" si="97"/>
        <v/>
      </c>
      <c r="AS135" s="314" t="str">
        <f t="shared" si="97"/>
        <v/>
      </c>
      <c r="AT135" s="314" t="str">
        <f t="shared" si="97"/>
        <v/>
      </c>
      <c r="AU135" s="314" t="str">
        <f t="shared" si="97"/>
        <v/>
      </c>
      <c r="AV135" s="314" t="str">
        <f t="shared" si="97"/>
        <v/>
      </c>
      <c r="AW135" s="314" t="str">
        <f t="shared" si="97"/>
        <v/>
      </c>
      <c r="AX135" s="314" t="str">
        <f t="shared" si="97"/>
        <v/>
      </c>
      <c r="AY135" s="314" t="str">
        <f t="shared" si="97"/>
        <v/>
      </c>
      <c r="AZ135" s="314" t="str">
        <f t="shared" si="97"/>
        <v/>
      </c>
      <c r="BA135" s="314" t="str">
        <f t="shared" si="97"/>
        <v/>
      </c>
      <c r="BB135" s="260"/>
      <c r="BC135" s="260"/>
      <c r="BD135" s="260"/>
    </row>
    <row r="137" spans="3:56" x14ac:dyDescent="0.25">
      <c r="C137" s="315"/>
      <c r="D137" s="315" t="s">
        <v>444</v>
      </c>
      <c r="E137" s="316" t="b">
        <v>0</v>
      </c>
      <c r="F137" s="317" t="str">
        <f t="shared" ref="F137:U137" si="98">IFERROR(INDEX(Charge,MATCH($B$1,Charge_v,0),MATCH(F121,Charge_h,0)),"0")</f>
        <v>0</v>
      </c>
      <c r="G137" s="317" t="str">
        <f t="shared" si="98"/>
        <v>0</v>
      </c>
      <c r="H137" s="317" t="str">
        <f t="shared" si="98"/>
        <v>0</v>
      </c>
      <c r="I137" s="317" t="str">
        <f t="shared" si="98"/>
        <v>0</v>
      </c>
      <c r="J137" s="317" t="str">
        <f t="shared" si="98"/>
        <v>0</v>
      </c>
      <c r="K137" s="317" t="str">
        <f t="shared" si="98"/>
        <v>0</v>
      </c>
      <c r="L137" s="317" t="str">
        <f t="shared" si="98"/>
        <v>0</v>
      </c>
      <c r="M137" s="317" t="str">
        <f t="shared" si="98"/>
        <v>0</v>
      </c>
      <c r="N137" s="317" t="str">
        <f t="shared" si="98"/>
        <v>0</v>
      </c>
      <c r="O137" s="317" t="str">
        <f t="shared" si="98"/>
        <v>0</v>
      </c>
      <c r="P137" s="317" t="str">
        <f t="shared" si="98"/>
        <v>0</v>
      </c>
      <c r="Q137" s="317" t="str">
        <f t="shared" si="98"/>
        <v>0</v>
      </c>
      <c r="R137" s="317" t="str">
        <f t="shared" si="98"/>
        <v>0</v>
      </c>
      <c r="S137" s="317" t="str">
        <f t="shared" si="98"/>
        <v>0</v>
      </c>
      <c r="T137" s="317" t="str">
        <f t="shared" si="98"/>
        <v>0</v>
      </c>
      <c r="U137" s="317" t="str">
        <f t="shared" si="98"/>
        <v>0</v>
      </c>
      <c r="V137" s="317" t="str">
        <f>IFERROR(INDEX(Charge_Tchat_G,MATCH(V72,Charge_Tchat_V,0),MATCH($D$1,Charge_Tchat_H,0)),"")</f>
        <v/>
      </c>
      <c r="W137" s="317" t="str">
        <f t="shared" ref="W137:AN137" si="99">IFERROR(INDEX(Charge_Tchat_G,MATCH(W72,Charge_Tchat_V,0),MATCH($D$1,Charge_Tchat_H,0)),"")</f>
        <v/>
      </c>
      <c r="X137" s="317" t="str">
        <f t="shared" si="99"/>
        <v/>
      </c>
      <c r="Y137" s="317" t="str">
        <f t="shared" si="99"/>
        <v/>
      </c>
      <c r="Z137" s="317" t="str">
        <f t="shared" si="99"/>
        <v/>
      </c>
      <c r="AA137" s="317" t="str">
        <f t="shared" si="99"/>
        <v/>
      </c>
      <c r="AB137" s="317" t="str">
        <f t="shared" si="99"/>
        <v/>
      </c>
      <c r="AC137" s="317" t="str">
        <f t="shared" si="99"/>
        <v/>
      </c>
      <c r="AD137" s="317" t="str">
        <f t="shared" si="99"/>
        <v/>
      </c>
      <c r="AE137" s="317" t="str">
        <f t="shared" si="99"/>
        <v/>
      </c>
      <c r="AF137" s="317" t="str">
        <f t="shared" si="99"/>
        <v/>
      </c>
      <c r="AG137" s="317" t="str">
        <f t="shared" si="99"/>
        <v/>
      </c>
      <c r="AH137" s="317" t="str">
        <f t="shared" si="99"/>
        <v/>
      </c>
      <c r="AI137" s="317" t="str">
        <f t="shared" si="99"/>
        <v/>
      </c>
      <c r="AJ137" s="317" t="str">
        <f t="shared" si="99"/>
        <v/>
      </c>
      <c r="AK137" s="317" t="str">
        <f t="shared" si="99"/>
        <v/>
      </c>
      <c r="AL137" s="317" t="str">
        <f t="shared" si="99"/>
        <v/>
      </c>
      <c r="AM137" s="317" t="str">
        <f t="shared" si="99"/>
        <v/>
      </c>
      <c r="AN137" s="317" t="str">
        <f t="shared" si="99"/>
        <v/>
      </c>
      <c r="AO137" s="317" t="str">
        <f t="shared" ref="AO137:BA137" si="100">IFERROR(IF($E$89=FALSE,INDEX(Charge,MATCH($B$1,Charge_v,0),MATCH(AO121,Charge_h,0)),INDEX(Charge_R,MATCH($D$1,Charge_R_v,0),MATCH(AO121,Charge_R_h,0))),"")</f>
        <v/>
      </c>
      <c r="AP137" s="317" t="str">
        <f t="shared" si="100"/>
        <v/>
      </c>
      <c r="AQ137" s="317" t="str">
        <f t="shared" si="100"/>
        <v/>
      </c>
      <c r="AR137" s="317" t="str">
        <f t="shared" si="100"/>
        <v/>
      </c>
      <c r="AS137" s="317" t="str">
        <f t="shared" si="100"/>
        <v/>
      </c>
      <c r="AT137" s="317" t="str">
        <f t="shared" si="100"/>
        <v/>
      </c>
      <c r="AU137" s="317" t="str">
        <f t="shared" si="100"/>
        <v/>
      </c>
      <c r="AV137" s="317" t="str">
        <f t="shared" si="100"/>
        <v/>
      </c>
      <c r="AW137" s="317" t="str">
        <f t="shared" si="100"/>
        <v/>
      </c>
      <c r="AX137" s="317" t="str">
        <f t="shared" si="100"/>
        <v/>
      </c>
      <c r="AY137" s="317" t="str">
        <f t="shared" si="100"/>
        <v/>
      </c>
      <c r="AZ137" s="317" t="str">
        <f t="shared" si="100"/>
        <v/>
      </c>
      <c r="BA137" s="317" t="str">
        <f t="shared" si="100"/>
        <v/>
      </c>
      <c r="BB137" s="260"/>
      <c r="BC137" s="318">
        <f>SUM(V137:AM137)</f>
        <v>0</v>
      </c>
      <c r="BD137" s="260" t="s">
        <v>429</v>
      </c>
    </row>
    <row r="138" spans="3:56" x14ac:dyDescent="0.25">
      <c r="C138" s="319"/>
      <c r="D138" s="319" t="s">
        <v>430</v>
      </c>
      <c r="E138" s="319"/>
      <c r="F138" s="320">
        <f t="shared" ref="F138:U138" si="101">F137*$B$75/30/$B$74</f>
        <v>0</v>
      </c>
      <c r="G138" s="321">
        <f t="shared" si="101"/>
        <v>0</v>
      </c>
      <c r="H138" s="321">
        <f t="shared" si="101"/>
        <v>0</v>
      </c>
      <c r="I138" s="321">
        <f t="shared" si="101"/>
        <v>0</v>
      </c>
      <c r="J138" s="321">
        <f t="shared" si="101"/>
        <v>0</v>
      </c>
      <c r="K138" s="321">
        <f t="shared" si="101"/>
        <v>0</v>
      </c>
      <c r="L138" s="321">
        <f t="shared" si="101"/>
        <v>0</v>
      </c>
      <c r="M138" s="321">
        <f t="shared" si="101"/>
        <v>0</v>
      </c>
      <c r="N138" s="321">
        <f t="shared" si="101"/>
        <v>0</v>
      </c>
      <c r="O138" s="321">
        <f t="shared" si="101"/>
        <v>0</v>
      </c>
      <c r="P138" s="321">
        <f t="shared" si="101"/>
        <v>0</v>
      </c>
      <c r="Q138" s="321">
        <f t="shared" si="101"/>
        <v>0</v>
      </c>
      <c r="R138" s="321">
        <f t="shared" si="101"/>
        <v>0</v>
      </c>
      <c r="S138" s="321">
        <f t="shared" si="101"/>
        <v>0</v>
      </c>
      <c r="T138" s="321">
        <f t="shared" si="101"/>
        <v>0</v>
      </c>
      <c r="U138" s="321">
        <f t="shared" si="101"/>
        <v>0</v>
      </c>
      <c r="V138" s="321" t="e">
        <f>V139*$B$75/30/$B$74</f>
        <v>#VALUE!</v>
      </c>
      <c r="W138" s="321" t="e">
        <f t="shared" ref="W138:AN138" si="102">W139*$B$75/30/$B$74</f>
        <v>#VALUE!</v>
      </c>
      <c r="X138" s="321" t="e">
        <f t="shared" si="102"/>
        <v>#VALUE!</v>
      </c>
      <c r="Y138" s="321" t="e">
        <f t="shared" si="102"/>
        <v>#VALUE!</v>
      </c>
      <c r="Z138" s="321" t="e">
        <f t="shared" si="102"/>
        <v>#VALUE!</v>
      </c>
      <c r="AA138" s="321" t="e">
        <f t="shared" si="102"/>
        <v>#VALUE!</v>
      </c>
      <c r="AB138" s="321" t="e">
        <f t="shared" si="102"/>
        <v>#VALUE!</v>
      </c>
      <c r="AC138" s="321" t="e">
        <f t="shared" si="102"/>
        <v>#VALUE!</v>
      </c>
      <c r="AD138" s="321" t="e">
        <f t="shared" si="102"/>
        <v>#VALUE!</v>
      </c>
      <c r="AE138" s="321" t="e">
        <f t="shared" si="102"/>
        <v>#VALUE!</v>
      </c>
      <c r="AF138" s="321" t="e">
        <f t="shared" si="102"/>
        <v>#VALUE!</v>
      </c>
      <c r="AG138" s="321" t="e">
        <f t="shared" si="102"/>
        <v>#VALUE!</v>
      </c>
      <c r="AH138" s="321" t="e">
        <f t="shared" si="102"/>
        <v>#VALUE!</v>
      </c>
      <c r="AI138" s="321" t="e">
        <f t="shared" si="102"/>
        <v>#VALUE!</v>
      </c>
      <c r="AJ138" s="321" t="e">
        <f t="shared" si="102"/>
        <v>#VALUE!</v>
      </c>
      <c r="AK138" s="321" t="e">
        <f t="shared" si="102"/>
        <v>#VALUE!</v>
      </c>
      <c r="AL138" s="321" t="e">
        <f t="shared" si="102"/>
        <v>#VALUE!</v>
      </c>
      <c r="AM138" s="321" t="e">
        <f t="shared" si="102"/>
        <v>#VALUE!</v>
      </c>
      <c r="AN138" s="321" t="e">
        <f t="shared" si="102"/>
        <v>#VALUE!</v>
      </c>
      <c r="AO138" s="321" t="e">
        <f t="shared" ref="AO138:BA138" si="103">AO137*$B$75/30/$B$74</f>
        <v>#VALUE!</v>
      </c>
      <c r="AP138" s="321" t="e">
        <f t="shared" si="103"/>
        <v>#VALUE!</v>
      </c>
      <c r="AQ138" s="321" t="e">
        <f t="shared" si="103"/>
        <v>#VALUE!</v>
      </c>
      <c r="AR138" s="321" t="e">
        <f t="shared" si="103"/>
        <v>#VALUE!</v>
      </c>
      <c r="AS138" s="321" t="e">
        <f t="shared" si="103"/>
        <v>#VALUE!</v>
      </c>
      <c r="AT138" s="321" t="e">
        <f t="shared" si="103"/>
        <v>#VALUE!</v>
      </c>
      <c r="AU138" s="321" t="e">
        <f t="shared" si="103"/>
        <v>#VALUE!</v>
      </c>
      <c r="AV138" s="321" t="e">
        <f t="shared" si="103"/>
        <v>#VALUE!</v>
      </c>
      <c r="AW138" s="321" t="e">
        <f t="shared" si="103"/>
        <v>#VALUE!</v>
      </c>
      <c r="AX138" s="321" t="e">
        <f t="shared" si="103"/>
        <v>#VALUE!</v>
      </c>
      <c r="AY138" s="321" t="e">
        <f t="shared" si="103"/>
        <v>#VALUE!</v>
      </c>
      <c r="AZ138" s="321" t="e">
        <f t="shared" si="103"/>
        <v>#VALUE!</v>
      </c>
      <c r="BA138" s="321" t="e">
        <f t="shared" si="103"/>
        <v>#VALUE!</v>
      </c>
      <c r="BB138" s="260"/>
      <c r="BC138" s="260"/>
      <c r="BD138" s="260"/>
    </row>
    <row r="139" spans="3:56" x14ac:dyDescent="0.25">
      <c r="C139" s="322"/>
      <c r="D139" s="322" t="s">
        <v>431</v>
      </c>
      <c r="E139" s="322"/>
      <c r="F139" s="323">
        <f t="shared" ref="F139:BA139" si="104">IFERROR((F138*$B$74)*(30/$B$75),"0")</f>
        <v>0</v>
      </c>
      <c r="G139" s="323">
        <f t="shared" si="104"/>
        <v>0</v>
      </c>
      <c r="H139" s="323">
        <f t="shared" si="104"/>
        <v>0</v>
      </c>
      <c r="I139" s="323">
        <f t="shared" si="104"/>
        <v>0</v>
      </c>
      <c r="J139" s="323">
        <f t="shared" si="104"/>
        <v>0</v>
      </c>
      <c r="K139" s="323">
        <f t="shared" si="104"/>
        <v>0</v>
      </c>
      <c r="L139" s="323">
        <f t="shared" si="104"/>
        <v>0</v>
      </c>
      <c r="M139" s="323">
        <f t="shared" si="104"/>
        <v>0</v>
      </c>
      <c r="N139" s="323">
        <f t="shared" si="104"/>
        <v>0</v>
      </c>
      <c r="O139" s="323">
        <f t="shared" si="104"/>
        <v>0</v>
      </c>
      <c r="P139" s="323">
        <f t="shared" si="104"/>
        <v>0</v>
      </c>
      <c r="Q139" s="323">
        <f t="shared" si="104"/>
        <v>0</v>
      </c>
      <c r="R139" s="323">
        <f t="shared" si="104"/>
        <v>0</v>
      </c>
      <c r="S139" s="323">
        <f t="shared" si="104"/>
        <v>0</v>
      </c>
      <c r="T139" s="323">
        <f t="shared" si="104"/>
        <v>0</v>
      </c>
      <c r="U139" s="324">
        <f t="shared" si="104"/>
        <v>0</v>
      </c>
      <c r="V139" s="324" t="e">
        <f>V137*$B$126</f>
        <v>#VALUE!</v>
      </c>
      <c r="W139" s="324" t="e">
        <f t="shared" ref="W139:AN139" si="105">W137*$B$126</f>
        <v>#VALUE!</v>
      </c>
      <c r="X139" s="324" t="e">
        <f t="shared" si="105"/>
        <v>#VALUE!</v>
      </c>
      <c r="Y139" s="324" t="e">
        <f t="shared" si="105"/>
        <v>#VALUE!</v>
      </c>
      <c r="Z139" s="324" t="e">
        <f t="shared" si="105"/>
        <v>#VALUE!</v>
      </c>
      <c r="AA139" s="324" t="e">
        <f t="shared" si="105"/>
        <v>#VALUE!</v>
      </c>
      <c r="AB139" s="324" t="e">
        <f t="shared" si="105"/>
        <v>#VALUE!</v>
      </c>
      <c r="AC139" s="324" t="e">
        <f t="shared" si="105"/>
        <v>#VALUE!</v>
      </c>
      <c r="AD139" s="324" t="e">
        <f t="shared" si="105"/>
        <v>#VALUE!</v>
      </c>
      <c r="AE139" s="324" t="e">
        <f t="shared" si="105"/>
        <v>#VALUE!</v>
      </c>
      <c r="AF139" s="324" t="e">
        <f t="shared" si="105"/>
        <v>#VALUE!</v>
      </c>
      <c r="AG139" s="324" t="e">
        <f t="shared" si="105"/>
        <v>#VALUE!</v>
      </c>
      <c r="AH139" s="324" t="e">
        <f t="shared" si="105"/>
        <v>#VALUE!</v>
      </c>
      <c r="AI139" s="324" t="e">
        <f t="shared" si="105"/>
        <v>#VALUE!</v>
      </c>
      <c r="AJ139" s="324" t="e">
        <f t="shared" si="105"/>
        <v>#VALUE!</v>
      </c>
      <c r="AK139" s="324" t="e">
        <f t="shared" si="105"/>
        <v>#VALUE!</v>
      </c>
      <c r="AL139" s="324" t="e">
        <f t="shared" si="105"/>
        <v>#VALUE!</v>
      </c>
      <c r="AM139" s="324" t="e">
        <f t="shared" si="105"/>
        <v>#VALUE!</v>
      </c>
      <c r="AN139" s="324" t="e">
        <f t="shared" si="105"/>
        <v>#VALUE!</v>
      </c>
      <c r="AO139" s="324" t="str">
        <f t="shared" si="104"/>
        <v>0</v>
      </c>
      <c r="AP139" s="324" t="str">
        <f t="shared" si="104"/>
        <v>0</v>
      </c>
      <c r="AQ139" s="324" t="str">
        <f t="shared" si="104"/>
        <v>0</v>
      </c>
      <c r="AR139" s="324" t="str">
        <f t="shared" si="104"/>
        <v>0</v>
      </c>
      <c r="AS139" s="324" t="str">
        <f t="shared" si="104"/>
        <v>0</v>
      </c>
      <c r="AT139" s="324" t="str">
        <f t="shared" si="104"/>
        <v>0</v>
      </c>
      <c r="AU139" s="324" t="str">
        <f t="shared" si="104"/>
        <v>0</v>
      </c>
      <c r="AV139" s="324" t="str">
        <f t="shared" si="104"/>
        <v>0</v>
      </c>
      <c r="AW139" s="324" t="str">
        <f t="shared" si="104"/>
        <v>0</v>
      </c>
      <c r="AX139" s="324" t="str">
        <f t="shared" si="104"/>
        <v>0</v>
      </c>
      <c r="AY139" s="324" t="str">
        <f t="shared" si="104"/>
        <v>0</v>
      </c>
      <c r="AZ139" s="324" t="str">
        <f t="shared" si="104"/>
        <v>0</v>
      </c>
      <c r="BA139" s="324" t="str">
        <f t="shared" si="104"/>
        <v>0</v>
      </c>
      <c r="BB139" s="260"/>
      <c r="BC139" s="260"/>
      <c r="BD139" s="260"/>
    </row>
    <row r="140" spans="3:56" x14ac:dyDescent="0.25">
      <c r="BB140" s="260"/>
      <c r="BC140" s="260"/>
      <c r="BD140" s="260"/>
    </row>
    <row r="141" spans="3:56" ht="13" x14ac:dyDescent="0.3">
      <c r="D141" s="326" t="str">
        <f>"Nb d'appels Réel du "&amp;TEXT(D47,("jj/mm/aa"))</f>
        <v xml:space="preserve">Nb d'appels Réel du </v>
      </c>
      <c r="V141" s="327" t="str">
        <f t="shared" ref="V141:AN141" si="106">IFERROR(INDEX(Charge_R,MATCH($D$1,Charge_R_v,0),MATCH(V121,Charge_R_h,0)),"")</f>
        <v/>
      </c>
      <c r="W141" s="327" t="str">
        <f t="shared" si="106"/>
        <v/>
      </c>
      <c r="X141" s="327" t="str">
        <f t="shared" si="106"/>
        <v/>
      </c>
      <c r="Y141" s="327" t="str">
        <f t="shared" si="106"/>
        <v/>
      </c>
      <c r="Z141" s="327" t="str">
        <f t="shared" si="106"/>
        <v/>
      </c>
      <c r="AA141" s="327" t="str">
        <f t="shared" si="106"/>
        <v/>
      </c>
      <c r="AB141" s="327" t="str">
        <f t="shared" si="106"/>
        <v/>
      </c>
      <c r="AC141" s="327" t="str">
        <f t="shared" si="106"/>
        <v/>
      </c>
      <c r="AD141" s="327" t="str">
        <f t="shared" si="106"/>
        <v/>
      </c>
      <c r="AE141" s="327" t="str">
        <f t="shared" si="106"/>
        <v/>
      </c>
      <c r="AF141" s="327" t="str">
        <f t="shared" si="106"/>
        <v/>
      </c>
      <c r="AG141" s="327" t="str">
        <f t="shared" si="106"/>
        <v/>
      </c>
      <c r="AH141" s="327" t="str">
        <f t="shared" si="106"/>
        <v/>
      </c>
      <c r="AI141" s="327" t="str">
        <f t="shared" si="106"/>
        <v/>
      </c>
      <c r="AJ141" s="327" t="str">
        <f t="shared" si="106"/>
        <v/>
      </c>
      <c r="AK141" s="327" t="str">
        <f t="shared" si="106"/>
        <v/>
      </c>
      <c r="AL141" s="327" t="str">
        <f t="shared" si="106"/>
        <v/>
      </c>
      <c r="AM141" s="327" t="str">
        <f t="shared" si="106"/>
        <v/>
      </c>
      <c r="AN141" s="327" t="str">
        <f t="shared" si="106"/>
        <v/>
      </c>
      <c r="BB141" s="260"/>
      <c r="BC141" s="328">
        <f>SUM(U141:BA141)</f>
        <v>0</v>
      </c>
      <c r="BD141" s="260"/>
    </row>
    <row r="142" spans="3:56" ht="13" x14ac:dyDescent="0.3">
      <c r="D142" s="326" t="str">
        <f>"Nb de tchat Réel du "&amp;TEXT(D47,("jj/mm/aa"))</f>
        <v xml:space="preserve">Nb de tchat Réel du </v>
      </c>
      <c r="U142" s="329" t="str">
        <f>IFERROR(INDEX(Charge_R,MATCH($D$1,Charge_R_v,0),MATCH(U121,Charge_R_h,0)),"")</f>
        <v/>
      </c>
      <c r="V142" s="329"/>
      <c r="W142" s="329"/>
      <c r="X142" s="329"/>
      <c r="Y142" s="329"/>
      <c r="Z142" s="329"/>
      <c r="AA142" s="329"/>
      <c r="AB142" s="329"/>
      <c r="AC142" s="329"/>
      <c r="AD142" s="329"/>
      <c r="AE142" s="329"/>
      <c r="AF142" s="329"/>
      <c r="AG142" s="329"/>
      <c r="AH142" s="329"/>
      <c r="AI142" s="329"/>
      <c r="AJ142" s="329"/>
      <c r="AK142" s="329"/>
      <c r="AL142" s="329"/>
      <c r="AM142" s="329"/>
      <c r="AN142" s="329"/>
      <c r="AO142" s="329" t="str">
        <f t="shared" ref="AO142:BA142" si="107">IFERROR(INDEX(Charge_R,MATCH($D$1,Charge_R_v,0),MATCH(AO121,Charge_R_h,0)),"")</f>
        <v/>
      </c>
      <c r="AP142" s="329" t="str">
        <f t="shared" si="107"/>
        <v/>
      </c>
      <c r="AQ142" s="329" t="str">
        <f t="shared" si="107"/>
        <v/>
      </c>
      <c r="AR142" s="329" t="str">
        <f t="shared" si="107"/>
        <v/>
      </c>
      <c r="AS142" s="329" t="str">
        <f t="shared" si="107"/>
        <v/>
      </c>
      <c r="AT142" s="329" t="str">
        <f t="shared" si="107"/>
        <v/>
      </c>
      <c r="AU142" s="329" t="str">
        <f t="shared" si="107"/>
        <v/>
      </c>
      <c r="AV142" s="329" t="str">
        <f t="shared" si="107"/>
        <v/>
      </c>
      <c r="AW142" s="329" t="str">
        <f t="shared" si="107"/>
        <v/>
      </c>
      <c r="AX142" s="329" t="str">
        <f t="shared" si="107"/>
        <v/>
      </c>
      <c r="AY142" s="329" t="str">
        <f t="shared" si="107"/>
        <v/>
      </c>
      <c r="AZ142" s="329" t="str">
        <f t="shared" si="107"/>
        <v/>
      </c>
      <c r="BA142" s="329" t="str">
        <f t="shared" si="107"/>
        <v/>
      </c>
      <c r="BB142" s="260"/>
      <c r="BC142" s="328">
        <f>SUM(U142:BA142)</f>
        <v>0</v>
      </c>
      <c r="BD142" s="260" t="s">
        <v>432</v>
      </c>
    </row>
    <row r="143" spans="3:56" ht="13" thickBot="1" x14ac:dyDescent="0.3">
      <c r="BB143" s="260"/>
      <c r="BC143" s="260"/>
      <c r="BD143" s="260"/>
    </row>
    <row r="144" spans="3:56" ht="13" thickBot="1" x14ac:dyDescent="0.3">
      <c r="D144" s="330" t="s">
        <v>433</v>
      </c>
      <c r="E144" s="331"/>
      <c r="F144" s="332">
        <f t="shared" ref="F144:S144" si="108">IF(F133-F137&gt;=0,0,F133-F137)</f>
        <v>0</v>
      </c>
      <c r="G144" s="332">
        <f t="shared" si="108"/>
        <v>0</v>
      </c>
      <c r="H144" s="332">
        <f t="shared" si="108"/>
        <v>0</v>
      </c>
      <c r="I144" s="332">
        <f t="shared" si="108"/>
        <v>0</v>
      </c>
      <c r="J144" s="332">
        <f t="shared" si="108"/>
        <v>0</v>
      </c>
      <c r="K144" s="332">
        <f t="shared" si="108"/>
        <v>0</v>
      </c>
      <c r="L144" s="332">
        <f t="shared" si="108"/>
        <v>0</v>
      </c>
      <c r="M144" s="332">
        <f t="shared" si="108"/>
        <v>0</v>
      </c>
      <c r="N144" s="332">
        <f t="shared" si="108"/>
        <v>0</v>
      </c>
      <c r="O144" s="332">
        <f t="shared" si="108"/>
        <v>0</v>
      </c>
      <c r="P144" s="332">
        <f t="shared" si="108"/>
        <v>0</v>
      </c>
      <c r="Q144" s="332">
        <f t="shared" si="108"/>
        <v>0</v>
      </c>
      <c r="R144" s="332">
        <f t="shared" si="108"/>
        <v>0</v>
      </c>
      <c r="S144" s="332">
        <f t="shared" si="108"/>
        <v>0</v>
      </c>
      <c r="T144" s="332">
        <f>IF(T133-T137&gt;=0,0,T133-T137)</f>
        <v>0</v>
      </c>
      <c r="U144" s="332">
        <f>IF(U133-U137&gt;=0,0,U133-U137)</f>
        <v>0</v>
      </c>
      <c r="V144" s="332" t="e">
        <f t="shared" ref="V144:AM144" si="109">IF(V133-V137&gt;=0,0,V133-V137)</f>
        <v>#VALUE!</v>
      </c>
      <c r="W144" s="332" t="e">
        <f t="shared" si="109"/>
        <v>#VALUE!</v>
      </c>
      <c r="X144" s="332" t="e">
        <f t="shared" si="109"/>
        <v>#VALUE!</v>
      </c>
      <c r="Y144" s="332" t="e">
        <f t="shared" si="109"/>
        <v>#VALUE!</v>
      </c>
      <c r="Z144" s="332" t="e">
        <f t="shared" si="109"/>
        <v>#VALUE!</v>
      </c>
      <c r="AA144" s="332" t="e">
        <f t="shared" si="109"/>
        <v>#VALUE!</v>
      </c>
      <c r="AB144" s="332" t="e">
        <f t="shared" si="109"/>
        <v>#VALUE!</v>
      </c>
      <c r="AC144" s="332" t="e">
        <f t="shared" si="109"/>
        <v>#VALUE!</v>
      </c>
      <c r="AD144" s="332" t="e">
        <f t="shared" si="109"/>
        <v>#VALUE!</v>
      </c>
      <c r="AE144" s="332" t="e">
        <f t="shared" si="109"/>
        <v>#VALUE!</v>
      </c>
      <c r="AF144" s="332" t="e">
        <f t="shared" si="109"/>
        <v>#VALUE!</v>
      </c>
      <c r="AG144" s="332" t="e">
        <f t="shared" si="109"/>
        <v>#VALUE!</v>
      </c>
      <c r="AH144" s="332" t="e">
        <f t="shared" si="109"/>
        <v>#VALUE!</v>
      </c>
      <c r="AI144" s="332" t="e">
        <f t="shared" si="109"/>
        <v>#VALUE!</v>
      </c>
      <c r="AJ144" s="332" t="e">
        <f t="shared" si="109"/>
        <v>#VALUE!</v>
      </c>
      <c r="AK144" s="332" t="e">
        <f t="shared" si="109"/>
        <v>#VALUE!</v>
      </c>
      <c r="AL144" s="332" t="e">
        <f t="shared" si="109"/>
        <v>#VALUE!</v>
      </c>
      <c r="AM144" s="332" t="e">
        <f t="shared" si="109"/>
        <v>#VALUE!</v>
      </c>
      <c r="AN144" s="332">
        <f>IFERROR(0,IF(AN133-AN137&gt;=0,0,AN133-AN137))</f>
        <v>0</v>
      </c>
      <c r="AO144" s="332" t="e">
        <f t="shared" ref="AO144:BA144" si="110">IF(AO133-AO137&gt;=0,0,AO133-AO137)</f>
        <v>#VALUE!</v>
      </c>
      <c r="AP144" s="332" t="e">
        <f t="shared" si="110"/>
        <v>#VALUE!</v>
      </c>
      <c r="AQ144" s="332" t="e">
        <f t="shared" si="110"/>
        <v>#VALUE!</v>
      </c>
      <c r="AR144" s="332" t="e">
        <f t="shared" si="110"/>
        <v>#VALUE!</v>
      </c>
      <c r="AS144" s="332" t="e">
        <f t="shared" si="110"/>
        <v>#VALUE!</v>
      </c>
      <c r="AT144" s="332" t="e">
        <f t="shared" si="110"/>
        <v>#VALUE!</v>
      </c>
      <c r="AU144" s="332" t="e">
        <f t="shared" si="110"/>
        <v>#VALUE!</v>
      </c>
      <c r="AV144" s="332" t="e">
        <f t="shared" si="110"/>
        <v>#VALUE!</v>
      </c>
      <c r="AW144" s="332" t="e">
        <f t="shared" si="110"/>
        <v>#VALUE!</v>
      </c>
      <c r="AX144" s="332" t="e">
        <f t="shared" si="110"/>
        <v>#VALUE!</v>
      </c>
      <c r="AY144" s="332" t="e">
        <f t="shared" si="110"/>
        <v>#VALUE!</v>
      </c>
      <c r="AZ144" s="332" t="e">
        <f t="shared" si="110"/>
        <v>#VALUE!</v>
      </c>
      <c r="BA144" s="333" t="e">
        <f t="shared" si="110"/>
        <v>#VALUE!</v>
      </c>
      <c r="BB144" s="260"/>
      <c r="BC144" s="260"/>
      <c r="BD144" s="260"/>
    </row>
    <row r="145" spans="4:56" x14ac:dyDescent="0.25">
      <c r="D145" s="334" t="s">
        <v>434</v>
      </c>
      <c r="E145" s="335"/>
      <c r="F145" s="336" t="str">
        <f>IFERROR(IF(F137&lt;&gt;0,1+(F144/F137),0),"0")</f>
        <v>0</v>
      </c>
      <c r="G145" s="336" t="str">
        <f t="shared" ref="G145:BA145" si="111">IFERROR(IF(G137&lt;&gt;0,1+(G144/G137),0),"0")</f>
        <v>0</v>
      </c>
      <c r="H145" s="336" t="str">
        <f t="shared" si="111"/>
        <v>0</v>
      </c>
      <c r="I145" s="336" t="str">
        <f t="shared" si="111"/>
        <v>0</v>
      </c>
      <c r="J145" s="336" t="str">
        <f t="shared" si="111"/>
        <v>0</v>
      </c>
      <c r="K145" s="336" t="str">
        <f t="shared" si="111"/>
        <v>0</v>
      </c>
      <c r="L145" s="336" t="str">
        <f t="shared" si="111"/>
        <v>0</v>
      </c>
      <c r="M145" s="336" t="str">
        <f t="shared" si="111"/>
        <v>0</v>
      </c>
      <c r="N145" s="336" t="str">
        <f t="shared" si="111"/>
        <v>0</v>
      </c>
      <c r="O145" s="336" t="str">
        <f t="shared" si="111"/>
        <v>0</v>
      </c>
      <c r="P145" s="336" t="str">
        <f t="shared" si="111"/>
        <v>0</v>
      </c>
      <c r="Q145" s="336" t="str">
        <f t="shared" si="111"/>
        <v>0</v>
      </c>
      <c r="R145" s="336" t="str">
        <f t="shared" si="111"/>
        <v>0</v>
      </c>
      <c r="S145" s="336" t="str">
        <f t="shared" si="111"/>
        <v>0</v>
      </c>
      <c r="T145" s="336" t="str">
        <f t="shared" si="111"/>
        <v>0</v>
      </c>
      <c r="U145" s="336" t="str">
        <f t="shared" si="111"/>
        <v>0</v>
      </c>
      <c r="V145" s="336" t="str">
        <f t="shared" si="111"/>
        <v>0</v>
      </c>
      <c r="W145" s="336" t="str">
        <f t="shared" si="111"/>
        <v>0</v>
      </c>
      <c r="X145" s="336" t="str">
        <f t="shared" si="111"/>
        <v>0</v>
      </c>
      <c r="Y145" s="336" t="str">
        <f t="shared" si="111"/>
        <v>0</v>
      </c>
      <c r="Z145" s="336" t="str">
        <f t="shared" si="111"/>
        <v>0</v>
      </c>
      <c r="AA145" s="336" t="str">
        <f t="shared" si="111"/>
        <v>0</v>
      </c>
      <c r="AB145" s="336" t="str">
        <f t="shared" si="111"/>
        <v>0</v>
      </c>
      <c r="AC145" s="336" t="str">
        <f t="shared" si="111"/>
        <v>0</v>
      </c>
      <c r="AD145" s="336" t="str">
        <f t="shared" si="111"/>
        <v>0</v>
      </c>
      <c r="AE145" s="336" t="str">
        <f t="shared" si="111"/>
        <v>0</v>
      </c>
      <c r="AF145" s="336" t="str">
        <f t="shared" si="111"/>
        <v>0</v>
      </c>
      <c r="AG145" s="336" t="str">
        <f t="shared" si="111"/>
        <v>0</v>
      </c>
      <c r="AH145" s="336" t="str">
        <f t="shared" si="111"/>
        <v>0</v>
      </c>
      <c r="AI145" s="336" t="str">
        <f t="shared" si="111"/>
        <v>0</v>
      </c>
      <c r="AJ145" s="336" t="str">
        <f t="shared" si="111"/>
        <v>0</v>
      </c>
      <c r="AK145" s="336" t="str">
        <f t="shared" si="111"/>
        <v>0</v>
      </c>
      <c r="AL145" s="336" t="str">
        <f t="shared" si="111"/>
        <v>0</v>
      </c>
      <c r="AM145" s="336" t="str">
        <f t="shared" si="111"/>
        <v>0</v>
      </c>
      <c r="AN145" s="336" t="str">
        <f t="shared" si="111"/>
        <v>0</v>
      </c>
      <c r="AO145" s="336" t="str">
        <f t="shared" si="111"/>
        <v>0</v>
      </c>
      <c r="AP145" s="336" t="str">
        <f t="shared" si="111"/>
        <v>0</v>
      </c>
      <c r="AQ145" s="336" t="str">
        <f t="shared" si="111"/>
        <v>0</v>
      </c>
      <c r="AR145" s="336" t="str">
        <f t="shared" si="111"/>
        <v>0</v>
      </c>
      <c r="AS145" s="336" t="str">
        <f t="shared" si="111"/>
        <v>0</v>
      </c>
      <c r="AT145" s="336" t="str">
        <f t="shared" si="111"/>
        <v>0</v>
      </c>
      <c r="AU145" s="336" t="str">
        <f t="shared" si="111"/>
        <v>0</v>
      </c>
      <c r="AV145" s="336" t="str">
        <f t="shared" si="111"/>
        <v>0</v>
      </c>
      <c r="AW145" s="336" t="str">
        <f t="shared" si="111"/>
        <v>0</v>
      </c>
      <c r="AX145" s="336" t="str">
        <f t="shared" si="111"/>
        <v>0</v>
      </c>
      <c r="AY145" s="336" t="str">
        <f t="shared" si="111"/>
        <v>0</v>
      </c>
      <c r="AZ145" s="336" t="str">
        <f t="shared" si="111"/>
        <v>0</v>
      </c>
      <c r="BA145" s="337" t="str">
        <f t="shared" si="111"/>
        <v>0</v>
      </c>
      <c r="BB145" s="260"/>
      <c r="BC145" s="260"/>
      <c r="BD145" s="338" t="s">
        <v>435</v>
      </c>
    </row>
    <row r="146" spans="4:56" ht="13" thickBot="1" x14ac:dyDescent="0.3">
      <c r="D146" s="339" t="s">
        <v>436</v>
      </c>
      <c r="E146" s="340"/>
      <c r="F146" s="353">
        <f>IF(SUM($F$137:F137)&lt;&gt;0,1+((SUM($F144:F144)/SUM($F137:F137))),0)</f>
        <v>0</v>
      </c>
      <c r="G146" s="353">
        <f>IF(SUM($F$137:G137)&lt;&gt;0,1+((SUM($F144:G144)/SUM($F137:G137))),0)</f>
        <v>0</v>
      </c>
      <c r="H146" s="353">
        <f>IF(SUM($F$137:H137)&lt;&gt;0,1+((SUM($F144:H144)/SUM($F137:H137))),0)</f>
        <v>0</v>
      </c>
      <c r="I146" s="353">
        <f>IF(SUM($F$137:I137)&lt;&gt;0,1+((SUM($F144:I144)/SUM($F137:I137))),0)</f>
        <v>0</v>
      </c>
      <c r="J146" s="353">
        <f>IF(SUM($F$137:J137)&lt;&gt;0,1+((SUM($F144:J144)/SUM($F137:J137))),0)</f>
        <v>0</v>
      </c>
      <c r="K146" s="353">
        <f>IF(SUM($F$137:K137)&lt;&gt;0,1+((SUM($F144:K144)/SUM($F137:K137))),0)</f>
        <v>0</v>
      </c>
      <c r="L146" s="353">
        <f>IF(SUM($F$137:L137)&lt;&gt;0,1+((SUM($F144:L144)/SUM($F137:L137))),0)</f>
        <v>0</v>
      </c>
      <c r="M146" s="353">
        <f>IF(SUM($F$137:M137)&lt;&gt;0,1+((SUM($F144:M144)/SUM($F137:M137))),0)</f>
        <v>0</v>
      </c>
      <c r="N146" s="353">
        <f>IF(SUM($F$137:N137)&lt;&gt;0,1+((SUM($F144:N144)/SUM($F137:N137))),0)</f>
        <v>0</v>
      </c>
      <c r="O146" s="353">
        <f>IF(SUM($F$137:O137)&lt;&gt;0,1+((SUM($F144:O144)/SUM($F137:O137))),0)</f>
        <v>0</v>
      </c>
      <c r="P146" s="353">
        <f>IF(SUM($F$137:P137)&lt;&gt;0,1+((SUM($F144:P144)/SUM($F137:P137))),0)</f>
        <v>0</v>
      </c>
      <c r="Q146" s="353">
        <f>IF(SUM($F$137:Q137)&lt;&gt;0,1+((SUM($F144:Q144)/SUM($F137:Q137))),0)</f>
        <v>0</v>
      </c>
      <c r="R146" s="353">
        <f>IF(SUM($F$137:R137)&lt;&gt;0,1+((SUM($F144:R144)/SUM($F137:R137))),0)</f>
        <v>0</v>
      </c>
      <c r="S146" s="353">
        <f>IF(SUM($F$137:S137)&lt;&gt;0,1+((SUM($F144:S144)/SUM($F137:S137))),0)</f>
        <v>0</v>
      </c>
      <c r="T146" s="353">
        <f>IF(SUM($F$137:T137)&lt;&gt;0,1+((SUM($F144:T144)/SUM($F137:T137))),0)</f>
        <v>0</v>
      </c>
      <c r="U146" s="353">
        <f>IF(SUM($F$137:U137)&lt;&gt;0,1+((SUM($F144:U144)/SUM($F137:U137))),0)</f>
        <v>0</v>
      </c>
      <c r="V146" s="353">
        <f>IF(SUM($F$137:V137)&lt;&gt;0,1+((SUM($F144:V144)/SUM($F137:V137))),0)</f>
        <v>0</v>
      </c>
      <c r="W146" s="353">
        <f>IF(SUM($F$137:W137)&lt;&gt;0,1+((SUM($F144:W144)/SUM($F137:W137))),0)</f>
        <v>0</v>
      </c>
      <c r="X146" s="353">
        <f>IF(SUM($F$137:X137)&lt;&gt;0,1+((SUM($F144:X144)/SUM($F137:X137))),0)</f>
        <v>0</v>
      </c>
      <c r="Y146" s="353">
        <f>IF(SUM($F$137:Y137)&lt;&gt;0,1+((SUM($F144:Y144)/SUM($F137:Y137))),0)</f>
        <v>0</v>
      </c>
      <c r="Z146" s="353">
        <f>IF(SUM($F$137:Z137)&lt;&gt;0,1+((SUM($F144:Z144)/SUM($F137:Z137))),0)</f>
        <v>0</v>
      </c>
      <c r="AA146" s="353">
        <f>IF(SUM($F$137:AA137)&lt;&gt;0,1+((SUM($F144:AA144)/SUM($F137:AA137))),0)</f>
        <v>0</v>
      </c>
      <c r="AB146" s="353">
        <f>IF(SUM($F$137:AB137)&lt;&gt;0,1+((SUM($F144:AB144)/SUM($F137:AB137))),0)</f>
        <v>0</v>
      </c>
      <c r="AC146" s="353">
        <f>IF(SUM($F$137:AC137)&lt;&gt;0,1+((SUM($F144:AC144)/SUM($F137:AC137))),0)</f>
        <v>0</v>
      </c>
      <c r="AD146" s="353">
        <f>IF(SUM($F$137:AD137)&lt;&gt;0,1+((SUM($F144:AD144)/SUM($F137:AD137))),0)</f>
        <v>0</v>
      </c>
      <c r="AE146" s="353">
        <f>IF(SUM($F$137:AE137)&lt;&gt;0,1+((SUM($F144:AE144)/SUM($F137:AE137))),0)</f>
        <v>0</v>
      </c>
      <c r="AF146" s="353">
        <f>IF(SUM($F$137:AF137)&lt;&gt;0,1+((SUM($F144:AF144)/SUM($F137:AF137))),0)</f>
        <v>0</v>
      </c>
      <c r="AG146" s="353">
        <f>IF(SUM($F$137:AG137)&lt;&gt;0,1+((SUM($F144:AG144)/SUM($F137:AG137))),0)</f>
        <v>0</v>
      </c>
      <c r="AH146" s="353">
        <f>IF(SUM($F$137:AH137)&lt;&gt;0,1+((SUM($F144:AH144)/SUM($F137:AH137))),0)</f>
        <v>0</v>
      </c>
      <c r="AI146" s="353">
        <f>IF(SUM($F$137:AI137)&lt;&gt;0,1+((SUM($F144:AI144)/SUM($F137:AI137))),0)</f>
        <v>0</v>
      </c>
      <c r="AJ146" s="353">
        <f>IF(SUM($F$137:AJ137)&lt;&gt;0,1+((SUM($F144:AJ144)/SUM($F137:AJ137))),0)</f>
        <v>0</v>
      </c>
      <c r="AK146" s="353">
        <f>IF(SUM($F$137:AK137)&lt;&gt;0,1+((SUM($F144:AK144)/SUM($F137:AK137))),0)</f>
        <v>0</v>
      </c>
      <c r="AL146" s="353">
        <f>IF(SUM($F$137:AL137)&lt;&gt;0,1+((SUM($F144:AL144)/SUM($F137:AL137))),0)</f>
        <v>0</v>
      </c>
      <c r="AM146" s="353">
        <f>IF(SUM($F$137:AM137)&lt;&gt;0,1+((SUM($F144:AM144)/SUM($F137:AM137))),0)</f>
        <v>0</v>
      </c>
      <c r="AN146" s="353">
        <f>IF(SUM($F$137:AN137)&lt;&gt;0,1+((SUM($F144:AN144)/SUM($F137:AN137))),0)</f>
        <v>0</v>
      </c>
      <c r="AO146" s="353">
        <f>IF(SUM(Z137:AO137)&lt;&gt;0,1+((SUM($F144:AO144)/SUM($F137:AO137))),0)</f>
        <v>0</v>
      </c>
      <c r="AP146" s="353">
        <f>IF(SUM(AA137:AP137)&lt;&gt;0,1+((SUM($F144:AP144)/SUM($F137:AP137))),0)</f>
        <v>0</v>
      </c>
      <c r="AQ146" s="353">
        <f>IF(SUM(AB137:AQ137)&lt;&gt;0,1+((SUM($F144:AQ144)/SUM($F137:AQ137))),0)</f>
        <v>0</v>
      </c>
      <c r="AR146" s="353">
        <f>IF(SUM(AC137:AR137)&lt;&gt;0,1+((SUM($F144:AR144)/SUM($F137:AR137))),0)</f>
        <v>0</v>
      </c>
      <c r="AS146" s="353">
        <f>IF(SUM(AD137:AS137)&lt;&gt;0,1+((SUM($F144:AS144)/SUM($F137:AS137))),0)</f>
        <v>0</v>
      </c>
      <c r="AT146" s="353">
        <f>IF(SUM(AE137:AT137)&lt;&gt;0,1+((SUM($F144:AT144)/SUM($F137:AT137))),0)</f>
        <v>0</v>
      </c>
      <c r="AU146" s="353">
        <f>IF(SUM(AF137:AU137)&lt;&gt;0,1+((SUM($F144:AU144)/SUM($F137:AU137))),0)</f>
        <v>0</v>
      </c>
      <c r="AV146" s="353">
        <f>IF(SUM(AG137:AV137)&lt;&gt;0,1+((SUM($F144:AV144)/SUM($F137:AV137))),0)</f>
        <v>0</v>
      </c>
      <c r="AW146" s="353">
        <f>IF(SUM(AH137:AW137)&lt;&gt;0,1+((SUM($F144:AW144)/SUM($F137:AW137))),0)</f>
        <v>0</v>
      </c>
      <c r="AX146" s="353">
        <f>IF(SUM(AI137:AX137)&lt;&gt;0,1+((SUM($F144:AX144)/SUM($F137:AX137))),0)</f>
        <v>0</v>
      </c>
      <c r="AY146" s="353">
        <f>IF(SUM(AJ137:AY137)&lt;&gt;0,1+((SUM($F144:AY144)/SUM($F137:AY137))),0)</f>
        <v>0</v>
      </c>
      <c r="AZ146" s="353">
        <f>IF(SUM(AK137:AZ137)&lt;&gt;0,1+((SUM($F144:AZ144)/SUM($F137:AZ137))),0)</f>
        <v>0</v>
      </c>
      <c r="BA146" s="354">
        <f>IF(SUM(AL137:BA137)&lt;&gt;0,1+((SUM($F144:BA144)/SUM($F137:BA137))),0)</f>
        <v>0</v>
      </c>
      <c r="BB146" s="260"/>
      <c r="BC146" s="260"/>
      <c r="BD146" s="533">
        <f>AM146</f>
        <v>0</v>
      </c>
    </row>
    <row r="147" spans="4:56" ht="13" thickBot="1" x14ac:dyDescent="0.3">
      <c r="D147" s="343"/>
      <c r="E147" s="343"/>
      <c r="BB147" s="260"/>
      <c r="BC147" s="260"/>
      <c r="BD147" s="534"/>
    </row>
    <row r="172" spans="2:53" x14ac:dyDescent="0.25">
      <c r="F172" s="265">
        <v>0</v>
      </c>
      <c r="G172" s="265">
        <v>2.0833333333333332E-2</v>
      </c>
      <c r="H172" s="265">
        <v>4.1666666666666699E-2</v>
      </c>
      <c r="I172" s="265">
        <v>6.25E-2</v>
      </c>
      <c r="J172" s="265">
        <v>8.3333333333333301E-2</v>
      </c>
      <c r="K172" s="265">
        <v>0.104166666666667</v>
      </c>
      <c r="L172" s="265">
        <v>0.125</v>
      </c>
      <c r="M172" s="265">
        <v>0.14583333333333301</v>
      </c>
      <c r="N172" s="265">
        <v>0.16666666666666699</v>
      </c>
      <c r="O172" s="265">
        <v>0.1875</v>
      </c>
      <c r="P172" s="265">
        <v>0.20833333333333301</v>
      </c>
      <c r="Q172" s="265">
        <v>0.22916666666666699</v>
      </c>
      <c r="R172" s="265">
        <v>0.25</v>
      </c>
      <c r="S172" s="265">
        <v>0.27083333333333298</v>
      </c>
      <c r="T172" s="265">
        <v>0.29166666666666702</v>
      </c>
      <c r="U172" s="265">
        <v>0.3125</v>
      </c>
      <c r="V172" s="265">
        <v>0.33333333333333298</v>
      </c>
      <c r="W172" s="265">
        <v>0.35416666666666702</v>
      </c>
      <c r="X172" s="265">
        <v>0.375</v>
      </c>
      <c r="Y172" s="265">
        <v>0.39583333333333298</v>
      </c>
      <c r="Z172" s="265">
        <v>0.41666666666666702</v>
      </c>
      <c r="AA172" s="265">
        <v>0.4375</v>
      </c>
      <c r="AB172" s="265">
        <v>0.45833333333333298</v>
      </c>
      <c r="AC172" s="265">
        <v>0.47916666666666702</v>
      </c>
      <c r="AD172" s="265">
        <v>0.5</v>
      </c>
      <c r="AE172" s="265">
        <v>0.52083333333333304</v>
      </c>
      <c r="AF172" s="265">
        <v>0.54166666666666696</v>
      </c>
      <c r="AG172" s="265">
        <v>0.5625</v>
      </c>
      <c r="AH172" s="265">
        <v>0.58333333333333304</v>
      </c>
      <c r="AI172" s="265">
        <v>0.60416666666666696</v>
      </c>
      <c r="AJ172" s="265">
        <v>0.625</v>
      </c>
      <c r="AK172" s="265">
        <v>0.64583333333333304</v>
      </c>
      <c r="AL172" s="265">
        <v>0.66666666666666696</v>
      </c>
      <c r="AM172" s="265">
        <v>0.6875</v>
      </c>
      <c r="AN172" s="265">
        <v>0.70833333333333304</v>
      </c>
      <c r="AO172" s="265">
        <v>0.72916666666666696</v>
      </c>
      <c r="AP172" s="265">
        <v>0.75</v>
      </c>
      <c r="AQ172" s="265">
        <v>0.77083333333333337</v>
      </c>
      <c r="AR172" s="265">
        <v>0.79166666666666663</v>
      </c>
      <c r="AS172" s="265">
        <v>0.8125</v>
      </c>
      <c r="AT172" s="265">
        <v>0.83333333333333304</v>
      </c>
      <c r="AU172" s="265">
        <v>0.85416666666666596</v>
      </c>
      <c r="AV172" s="265">
        <v>0.874999999999999</v>
      </c>
      <c r="AW172" s="265">
        <v>0.89583333333333304</v>
      </c>
      <c r="AX172" s="265">
        <v>0.91666666666666596</v>
      </c>
      <c r="AY172" s="265">
        <v>0.937499999999999</v>
      </c>
      <c r="AZ172" s="265">
        <v>0.95833333333333204</v>
      </c>
      <c r="BA172" s="265">
        <v>0.97916666666666596</v>
      </c>
    </row>
    <row r="173" spans="2:53" x14ac:dyDescent="0.25">
      <c r="B173" s="346"/>
      <c r="C173" s="347"/>
      <c r="D173" s="348" t="s">
        <v>438</v>
      </c>
      <c r="E173" s="348"/>
      <c r="F173" s="349" t="e">
        <f t="shared" ref="F173:U173" si="112">F128-F145</f>
        <v>#VALUE!</v>
      </c>
      <c r="G173" s="349" t="e">
        <f t="shared" si="112"/>
        <v>#VALUE!</v>
      </c>
      <c r="H173" s="349" t="e">
        <f t="shared" si="112"/>
        <v>#VALUE!</v>
      </c>
      <c r="I173" s="349" t="e">
        <f t="shared" si="112"/>
        <v>#VALUE!</v>
      </c>
      <c r="J173" s="349" t="e">
        <f t="shared" si="112"/>
        <v>#VALUE!</v>
      </c>
      <c r="K173" s="349" t="e">
        <f t="shared" si="112"/>
        <v>#VALUE!</v>
      </c>
      <c r="L173" s="349" t="e">
        <f t="shared" si="112"/>
        <v>#VALUE!</v>
      </c>
      <c r="M173" s="349" t="e">
        <f t="shared" si="112"/>
        <v>#VALUE!</v>
      </c>
      <c r="N173" s="349" t="e">
        <f t="shared" si="112"/>
        <v>#VALUE!</v>
      </c>
      <c r="O173" s="349" t="e">
        <f t="shared" si="112"/>
        <v>#VALUE!</v>
      </c>
      <c r="P173" s="349" t="e">
        <f t="shared" si="112"/>
        <v>#VALUE!</v>
      </c>
      <c r="Q173" s="349" t="e">
        <f t="shared" si="112"/>
        <v>#VALUE!</v>
      </c>
      <c r="R173" s="349" t="e">
        <f t="shared" si="112"/>
        <v>#VALUE!</v>
      </c>
      <c r="S173" s="349" t="e">
        <f t="shared" si="112"/>
        <v>#VALUE!</v>
      </c>
      <c r="T173" s="349" t="e">
        <f t="shared" si="112"/>
        <v>#VALUE!</v>
      </c>
      <c r="U173" s="349" t="e">
        <f t="shared" si="112"/>
        <v>#VALUE!</v>
      </c>
      <c r="V173" s="349" t="e">
        <f>V131-V138</f>
        <v>#VALUE!</v>
      </c>
      <c r="W173" s="349" t="e">
        <f t="shared" ref="W173:BA173" si="113">W131-W138</f>
        <v>#VALUE!</v>
      </c>
      <c r="X173" s="349" t="e">
        <f t="shared" si="113"/>
        <v>#VALUE!</v>
      </c>
      <c r="Y173" s="349" t="e">
        <f t="shared" si="113"/>
        <v>#VALUE!</v>
      </c>
      <c r="Z173" s="349" t="e">
        <f t="shared" si="113"/>
        <v>#VALUE!</v>
      </c>
      <c r="AA173" s="349" t="e">
        <f t="shared" si="113"/>
        <v>#VALUE!</v>
      </c>
      <c r="AB173" s="349" t="e">
        <f t="shared" si="113"/>
        <v>#VALUE!</v>
      </c>
      <c r="AC173" s="349" t="e">
        <f t="shared" si="113"/>
        <v>#VALUE!</v>
      </c>
      <c r="AD173" s="349" t="e">
        <f t="shared" si="113"/>
        <v>#VALUE!</v>
      </c>
      <c r="AE173" s="349" t="e">
        <f t="shared" si="113"/>
        <v>#VALUE!</v>
      </c>
      <c r="AF173" s="349" t="e">
        <f t="shared" si="113"/>
        <v>#VALUE!</v>
      </c>
      <c r="AG173" s="349" t="e">
        <f t="shared" si="113"/>
        <v>#VALUE!</v>
      </c>
      <c r="AH173" s="349" t="e">
        <f t="shared" si="113"/>
        <v>#VALUE!</v>
      </c>
      <c r="AI173" s="349" t="e">
        <f t="shared" si="113"/>
        <v>#VALUE!</v>
      </c>
      <c r="AJ173" s="349" t="e">
        <f t="shared" si="113"/>
        <v>#VALUE!</v>
      </c>
      <c r="AK173" s="349" t="e">
        <f t="shared" si="113"/>
        <v>#VALUE!</v>
      </c>
      <c r="AL173" s="349" t="e">
        <f t="shared" si="113"/>
        <v>#VALUE!</v>
      </c>
      <c r="AM173" s="349" t="e">
        <f t="shared" si="113"/>
        <v>#VALUE!</v>
      </c>
      <c r="AN173" s="349" t="e">
        <f t="shared" si="113"/>
        <v>#VALUE!</v>
      </c>
      <c r="AO173" s="349" t="e">
        <f t="shared" si="113"/>
        <v>#VALUE!</v>
      </c>
      <c r="AP173" s="349" t="e">
        <f t="shared" si="113"/>
        <v>#VALUE!</v>
      </c>
      <c r="AQ173" s="349" t="e">
        <f t="shared" si="113"/>
        <v>#VALUE!</v>
      </c>
      <c r="AR173" s="349" t="e">
        <f t="shared" si="113"/>
        <v>#VALUE!</v>
      </c>
      <c r="AS173" s="349" t="e">
        <f t="shared" si="113"/>
        <v>#VALUE!</v>
      </c>
      <c r="AT173" s="349" t="e">
        <f t="shared" si="113"/>
        <v>#VALUE!</v>
      </c>
      <c r="AU173" s="349" t="e">
        <f t="shared" si="113"/>
        <v>#VALUE!</v>
      </c>
      <c r="AV173" s="349" t="e">
        <f t="shared" si="113"/>
        <v>#VALUE!</v>
      </c>
      <c r="AW173" s="349" t="e">
        <f t="shared" si="113"/>
        <v>#VALUE!</v>
      </c>
      <c r="AX173" s="349" t="e">
        <f t="shared" si="113"/>
        <v>#VALUE!</v>
      </c>
      <c r="AY173" s="349" t="e">
        <f t="shared" si="113"/>
        <v>#VALUE!</v>
      </c>
      <c r="AZ173" s="349" t="e">
        <f t="shared" si="113"/>
        <v>#VALUE!</v>
      </c>
      <c r="BA173" s="349" t="e">
        <f t="shared" si="113"/>
        <v>#VALUE!</v>
      </c>
    </row>
  </sheetData>
  <autoFilter ref="A2:BZ71" xr:uid="{00000000-0009-0000-0000-000003000000}"/>
  <mergeCells count="5">
    <mergeCell ref="A73:B73"/>
    <mergeCell ref="BD98:BD99"/>
    <mergeCell ref="B104:B106"/>
    <mergeCell ref="A122:B122"/>
    <mergeCell ref="BD146:BD147"/>
  </mergeCells>
  <conditionalFormatting sqref="F96:BA96">
    <cfRule type="cellIs" dxfId="55" priority="19" stopIfTrue="1" operator="lessThan">
      <formula>0</formula>
    </cfRule>
  </conditionalFormatting>
  <conditionalFormatting sqref="F118:BA118">
    <cfRule type="colorScale" priority="17">
      <colorScale>
        <cfvo type="min"/>
        <cfvo type="num" val="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73:BA80">
    <cfRule type="cellIs" dxfId="54" priority="22" operator="lessThan">
      <formula>$U$90</formula>
    </cfRule>
  </conditionalFormatting>
  <conditionalFormatting sqref="BD98:BD99">
    <cfRule type="cellIs" dxfId="53" priority="23" stopIfTrue="1" operator="greaterThanOrEqual">
      <formula>$B$76</formula>
    </cfRule>
    <cfRule type="cellIs" dxfId="52" priority="24" stopIfTrue="1" operator="lessThan">
      <formula>$B$76</formula>
    </cfRule>
  </conditionalFormatting>
  <conditionalFormatting sqref="F82:BA82">
    <cfRule type="cellIs" dxfId="51" priority="16" operator="lessThan">
      <formula>$U$90</formula>
    </cfRule>
  </conditionalFormatting>
  <conditionalFormatting sqref="V3:AN34 V37:AN71">
    <cfRule type="cellIs" dxfId="50" priority="15" operator="equal">
      <formula>"A"</formula>
    </cfRule>
    <cfRule type="cellIs" dxfId="49" priority="20" operator="greaterThan">
      <formula>0</formula>
    </cfRule>
    <cfRule type="cellIs" dxfId="48" priority="21" operator="equal">
      <formula>"D"</formula>
    </cfRule>
  </conditionalFormatting>
  <conditionalFormatting sqref="BF73:BZ80">
    <cfRule type="cellIs" dxfId="47" priority="14" operator="lessThan">
      <formula>$U$90</formula>
    </cfRule>
  </conditionalFormatting>
  <conditionalFormatting sqref="F144:BA144">
    <cfRule type="cellIs" dxfId="46" priority="10" stopIfTrue="1" operator="lessThan">
      <formula>0</formula>
    </cfRule>
  </conditionalFormatting>
  <conditionalFormatting sqref="F122:BA129">
    <cfRule type="cellIs" dxfId="45" priority="11" operator="lessThan">
      <formula>$U$90</formula>
    </cfRule>
  </conditionalFormatting>
  <conditionalFormatting sqref="BD146:BD147">
    <cfRule type="cellIs" dxfId="44" priority="12" stopIfTrue="1" operator="greaterThanOrEqual">
      <formula>$B$76</formula>
    </cfRule>
    <cfRule type="cellIs" dxfId="43" priority="13" stopIfTrue="1" operator="lessThan">
      <formula>$B$76</formula>
    </cfRule>
  </conditionalFormatting>
  <conditionalFormatting sqref="F131:BA131">
    <cfRule type="cellIs" dxfId="42" priority="9" operator="lessThan">
      <formula>$U$90</formula>
    </cfRule>
  </conditionalFormatting>
  <conditionalFormatting sqref="F173:BA173">
    <cfRule type="colorScale" priority="7">
      <colorScale>
        <cfvo type="min"/>
        <cfvo type="num" val="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5:AN35">
    <cfRule type="cellIs" dxfId="41" priority="4" operator="equal">
      <formula>"A"</formula>
    </cfRule>
    <cfRule type="cellIs" dxfId="40" priority="5" operator="greaterThan">
      <formula>0</formula>
    </cfRule>
    <cfRule type="cellIs" dxfId="39" priority="6" operator="equal">
      <formula>"D"</formula>
    </cfRule>
  </conditionalFormatting>
  <conditionalFormatting sqref="V36:AN37">
    <cfRule type="cellIs" dxfId="38" priority="1" operator="equal">
      <formula>"A"</formula>
    </cfRule>
    <cfRule type="cellIs" dxfId="37" priority="2" operator="greaterThan">
      <formula>0</formula>
    </cfRule>
    <cfRule type="cellIs" dxfId="36" priority="3" operator="equal">
      <formula>"D"</formula>
    </cfRule>
  </conditionalFormatting>
  <dataValidations count="4">
    <dataValidation type="list" allowBlank="1" showErrorMessage="1" prompt="TEST_x000a_" sqref="BD86 BD134" xr:uid="{F110FD62-3ADA-4EE7-8AB9-280464C2D8A1}">
      <formula1>Capa_decr</formula1>
    </dataValidation>
    <dataValidation type="list" allowBlank="1" showInputMessage="1" showErrorMessage="1" sqref="E1" xr:uid="{0E69EEAD-B718-4003-982C-6F2D0D529BFF}">
      <formula1>Planning_h</formula1>
    </dataValidation>
    <dataValidation type="list" allowBlank="1" showInputMessage="1" showErrorMessage="1" sqref="D1" xr:uid="{2E34C5EF-9100-42A7-9306-D83C1FA91FEA}">
      <formula1>L.DATE</formula1>
    </dataValidation>
    <dataValidation type="list" allowBlank="1" sqref="B3:B71" xr:uid="{B92D6DB0-CA25-478D-A777-CFB74B39528A}">
      <formula1>p.nom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Check Box 1">
              <controlPr defaultSize="0" autoFill="0" autoLine="0" autoPict="0">
                <anchor moveWithCells="1">
                  <from>
                    <xdr:col>3</xdr:col>
                    <xdr:colOff>1803400</xdr:colOff>
                    <xdr:row>72</xdr:row>
                    <xdr:rowOff>120650</xdr:rowOff>
                  </from>
                  <to>
                    <xdr:col>4</xdr:col>
                    <xdr:colOff>171450</xdr:colOff>
                    <xdr:row>74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Check Box 2">
              <controlPr defaultSize="0" autoFill="0" autoLine="0" autoPict="0">
                <anchor moveWithCells="1">
                  <from>
                    <xdr:col>3</xdr:col>
                    <xdr:colOff>1803400</xdr:colOff>
                    <xdr:row>73</xdr:row>
                    <xdr:rowOff>127000</xdr:rowOff>
                  </from>
                  <to>
                    <xdr:col>5</xdr:col>
                    <xdr:colOff>6350</xdr:colOff>
                    <xdr:row>75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Check Box 3">
              <controlPr defaultSize="0" autoFill="0" autoLine="0" autoPict="0">
                <anchor moveWithCells="1">
                  <from>
                    <xdr:col>3</xdr:col>
                    <xdr:colOff>1803400</xdr:colOff>
                    <xdr:row>74</xdr:row>
                    <xdr:rowOff>139700</xdr:rowOff>
                  </from>
                  <to>
                    <xdr:col>4</xdr:col>
                    <xdr:colOff>171450</xdr:colOff>
                    <xdr:row>76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Check Box 4">
              <controlPr defaultSize="0" autoFill="0" autoLine="0" autoPict="0">
                <anchor moveWithCells="1">
                  <from>
                    <xdr:col>3</xdr:col>
                    <xdr:colOff>1803400</xdr:colOff>
                    <xdr:row>75</xdr:row>
                    <xdr:rowOff>139700</xdr:rowOff>
                  </from>
                  <to>
                    <xdr:col>4</xdr:col>
                    <xdr:colOff>152400</xdr:colOff>
                    <xdr:row>77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Check Box 5">
              <controlPr defaultSize="0" autoFill="0" autoLine="0" autoPict="0">
                <anchor moveWithCells="1">
                  <from>
                    <xdr:col>3</xdr:col>
                    <xdr:colOff>1803400</xdr:colOff>
                    <xdr:row>76</xdr:row>
                    <xdr:rowOff>133350</xdr:rowOff>
                  </from>
                  <to>
                    <xdr:col>4</xdr:col>
                    <xdr:colOff>133350</xdr:colOff>
                    <xdr:row>78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Check Box 6">
              <controlPr defaultSize="0" autoFill="0" autoLine="0" autoPict="0">
                <anchor moveWithCells="1">
                  <from>
                    <xdr:col>3</xdr:col>
                    <xdr:colOff>1803400</xdr:colOff>
                    <xdr:row>77</xdr:row>
                    <xdr:rowOff>139700</xdr:rowOff>
                  </from>
                  <to>
                    <xdr:col>4</xdr:col>
                    <xdr:colOff>133350</xdr:colOff>
                    <xdr:row>79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Check Box 7">
              <controlPr defaultSize="0" autoFill="0" autoLine="0" autoPict="0">
                <anchor moveWithCells="1">
                  <from>
                    <xdr:col>3</xdr:col>
                    <xdr:colOff>1803400</xdr:colOff>
                    <xdr:row>78</xdr:row>
                    <xdr:rowOff>133350</xdr:rowOff>
                  </from>
                  <to>
                    <xdr:col>4</xdr:col>
                    <xdr:colOff>133350</xdr:colOff>
                    <xdr:row>80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Check Box 8">
              <controlPr defaultSize="0" autoFill="0" autoLine="0" autoPict="0" altText="En activant la case vous remplacer les valeurs prévisionnelles par les valeurs réelles, vous permettant ainsi d'avoir une idée sur l'évolution du nombre d'agents">
                <anchor moveWithCells="1">
                  <from>
                    <xdr:col>4</xdr:col>
                    <xdr:colOff>6350</xdr:colOff>
                    <xdr:row>87</xdr:row>
                    <xdr:rowOff>0</xdr:rowOff>
                  </from>
                  <to>
                    <xdr:col>5</xdr:col>
                    <xdr:colOff>25400</xdr:colOff>
                    <xdr:row>89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Check Box 9">
              <controlPr defaultSize="0" autoFill="0" autoLine="0" autoPict="0">
                <anchor moveWithCells="1">
                  <from>
                    <xdr:col>21</xdr:col>
                    <xdr:colOff>228600</xdr:colOff>
                    <xdr:row>72</xdr:row>
                    <xdr:rowOff>120650</xdr:rowOff>
                  </from>
                  <to>
                    <xdr:col>21</xdr:col>
                    <xdr:colOff>438150</xdr:colOff>
                    <xdr:row>74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Check Box 10">
              <controlPr defaultSize="0" autoFill="0" autoLine="0" autoPict="0">
                <anchor moveWithCells="1">
                  <from>
                    <xdr:col>21</xdr:col>
                    <xdr:colOff>228600</xdr:colOff>
                    <xdr:row>73</xdr:row>
                    <xdr:rowOff>133350</xdr:rowOff>
                  </from>
                  <to>
                    <xdr:col>22</xdr:col>
                    <xdr:colOff>6350</xdr:colOff>
                    <xdr:row>75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Check Box 11">
              <controlPr defaultSize="0" autoFill="0" autoLine="0" autoPict="0">
                <anchor moveWithCells="1">
                  <from>
                    <xdr:col>21</xdr:col>
                    <xdr:colOff>228600</xdr:colOff>
                    <xdr:row>74</xdr:row>
                    <xdr:rowOff>139700</xdr:rowOff>
                  </from>
                  <to>
                    <xdr:col>21</xdr:col>
                    <xdr:colOff>438150</xdr:colOff>
                    <xdr:row>76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Check Box 12">
              <controlPr defaultSize="0" autoFill="0" autoLine="0" autoPict="0">
                <anchor moveWithCells="1">
                  <from>
                    <xdr:col>21</xdr:col>
                    <xdr:colOff>228600</xdr:colOff>
                    <xdr:row>75</xdr:row>
                    <xdr:rowOff>139700</xdr:rowOff>
                  </from>
                  <to>
                    <xdr:col>21</xdr:col>
                    <xdr:colOff>425450</xdr:colOff>
                    <xdr:row>77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Check Box 13">
              <controlPr defaultSize="0" autoFill="0" autoLine="0" autoPict="0">
                <anchor moveWithCells="1">
                  <from>
                    <xdr:col>21</xdr:col>
                    <xdr:colOff>228600</xdr:colOff>
                    <xdr:row>76</xdr:row>
                    <xdr:rowOff>133350</xdr:rowOff>
                  </from>
                  <to>
                    <xdr:col>21</xdr:col>
                    <xdr:colOff>412750</xdr:colOff>
                    <xdr:row>78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Check Box 14">
              <controlPr defaultSize="0" autoFill="0" autoLine="0" autoPict="0">
                <anchor moveWithCells="1">
                  <from>
                    <xdr:col>21</xdr:col>
                    <xdr:colOff>228600</xdr:colOff>
                    <xdr:row>77</xdr:row>
                    <xdr:rowOff>146050</xdr:rowOff>
                  </from>
                  <to>
                    <xdr:col>21</xdr:col>
                    <xdr:colOff>412750</xdr:colOff>
                    <xdr:row>79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Check Box 15">
              <controlPr defaultSize="0" autoFill="0" autoLine="0" autoPict="0">
                <anchor moveWithCells="1">
                  <from>
                    <xdr:col>21</xdr:col>
                    <xdr:colOff>228600</xdr:colOff>
                    <xdr:row>78</xdr:row>
                    <xdr:rowOff>139700</xdr:rowOff>
                  </from>
                  <to>
                    <xdr:col>21</xdr:col>
                    <xdr:colOff>412750</xdr:colOff>
                    <xdr:row>80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Check Box 16">
              <controlPr defaultSize="0" autoFill="0" autoLine="0" autoPict="0">
                <anchor moveWithCells="1">
                  <from>
                    <xdr:col>22</xdr:col>
                    <xdr:colOff>228600</xdr:colOff>
                    <xdr:row>72</xdr:row>
                    <xdr:rowOff>120650</xdr:rowOff>
                  </from>
                  <to>
                    <xdr:col>22</xdr:col>
                    <xdr:colOff>438150</xdr:colOff>
                    <xdr:row>74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Check Box 17">
              <controlPr defaultSize="0" autoFill="0" autoLine="0" autoPict="0">
                <anchor moveWithCells="1">
                  <from>
                    <xdr:col>22</xdr:col>
                    <xdr:colOff>228600</xdr:colOff>
                    <xdr:row>73</xdr:row>
                    <xdr:rowOff>127000</xdr:rowOff>
                  </from>
                  <to>
                    <xdr:col>23</xdr:col>
                    <xdr:colOff>6350</xdr:colOff>
                    <xdr:row>75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Check Box 18">
              <controlPr defaultSize="0" autoFill="0" autoLine="0" autoPict="0">
                <anchor moveWithCells="1">
                  <from>
                    <xdr:col>22</xdr:col>
                    <xdr:colOff>228600</xdr:colOff>
                    <xdr:row>74</xdr:row>
                    <xdr:rowOff>139700</xdr:rowOff>
                  </from>
                  <to>
                    <xdr:col>22</xdr:col>
                    <xdr:colOff>438150</xdr:colOff>
                    <xdr:row>76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Check Box 19">
              <controlPr defaultSize="0" autoFill="0" autoLine="0" autoPict="0">
                <anchor moveWithCells="1">
                  <from>
                    <xdr:col>22</xdr:col>
                    <xdr:colOff>228600</xdr:colOff>
                    <xdr:row>75</xdr:row>
                    <xdr:rowOff>139700</xdr:rowOff>
                  </from>
                  <to>
                    <xdr:col>22</xdr:col>
                    <xdr:colOff>419100</xdr:colOff>
                    <xdr:row>77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Check Box 20">
              <controlPr defaultSize="0" autoFill="0" autoLine="0" autoPict="0">
                <anchor moveWithCells="1">
                  <from>
                    <xdr:col>22</xdr:col>
                    <xdr:colOff>228600</xdr:colOff>
                    <xdr:row>76</xdr:row>
                    <xdr:rowOff>133350</xdr:rowOff>
                  </from>
                  <to>
                    <xdr:col>22</xdr:col>
                    <xdr:colOff>406400</xdr:colOff>
                    <xdr:row>78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Check Box 21">
              <controlPr defaultSize="0" autoFill="0" autoLine="0" autoPict="0">
                <anchor moveWithCells="1">
                  <from>
                    <xdr:col>22</xdr:col>
                    <xdr:colOff>228600</xdr:colOff>
                    <xdr:row>77</xdr:row>
                    <xdr:rowOff>139700</xdr:rowOff>
                  </from>
                  <to>
                    <xdr:col>22</xdr:col>
                    <xdr:colOff>406400</xdr:colOff>
                    <xdr:row>79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Check Box 22">
              <controlPr defaultSize="0" autoFill="0" autoLine="0" autoPict="0">
                <anchor moveWithCells="1">
                  <from>
                    <xdr:col>22</xdr:col>
                    <xdr:colOff>228600</xdr:colOff>
                    <xdr:row>78</xdr:row>
                    <xdr:rowOff>133350</xdr:rowOff>
                  </from>
                  <to>
                    <xdr:col>22</xdr:col>
                    <xdr:colOff>406400</xdr:colOff>
                    <xdr:row>80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Check Box 23">
              <controlPr defaultSize="0" autoFill="0" autoLine="0" autoPict="0">
                <anchor moveWithCells="1">
                  <from>
                    <xdr:col>23</xdr:col>
                    <xdr:colOff>234950</xdr:colOff>
                    <xdr:row>72</xdr:row>
                    <xdr:rowOff>120650</xdr:rowOff>
                  </from>
                  <to>
                    <xdr:col>23</xdr:col>
                    <xdr:colOff>444500</xdr:colOff>
                    <xdr:row>74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Check Box 24">
              <controlPr defaultSize="0" autoFill="0" autoLine="0" autoPict="0">
                <anchor moveWithCells="1">
                  <from>
                    <xdr:col>23</xdr:col>
                    <xdr:colOff>228600</xdr:colOff>
                    <xdr:row>73</xdr:row>
                    <xdr:rowOff>133350</xdr:rowOff>
                  </from>
                  <to>
                    <xdr:col>24</xdr:col>
                    <xdr:colOff>12700</xdr:colOff>
                    <xdr:row>75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Check Box 25">
              <controlPr defaultSize="0" autoFill="0" autoLine="0" autoPict="0">
                <anchor moveWithCells="1">
                  <from>
                    <xdr:col>23</xdr:col>
                    <xdr:colOff>234950</xdr:colOff>
                    <xdr:row>74</xdr:row>
                    <xdr:rowOff>139700</xdr:rowOff>
                  </from>
                  <to>
                    <xdr:col>23</xdr:col>
                    <xdr:colOff>444500</xdr:colOff>
                    <xdr:row>76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Check Box 26">
              <controlPr defaultSize="0" autoFill="0" autoLine="0" autoPict="0">
                <anchor moveWithCells="1">
                  <from>
                    <xdr:col>23</xdr:col>
                    <xdr:colOff>234950</xdr:colOff>
                    <xdr:row>75</xdr:row>
                    <xdr:rowOff>139700</xdr:rowOff>
                  </from>
                  <to>
                    <xdr:col>23</xdr:col>
                    <xdr:colOff>425450</xdr:colOff>
                    <xdr:row>77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Check Box 27">
              <controlPr defaultSize="0" autoFill="0" autoLine="0" autoPict="0">
                <anchor moveWithCells="1">
                  <from>
                    <xdr:col>23</xdr:col>
                    <xdr:colOff>234950</xdr:colOff>
                    <xdr:row>76</xdr:row>
                    <xdr:rowOff>133350</xdr:rowOff>
                  </from>
                  <to>
                    <xdr:col>23</xdr:col>
                    <xdr:colOff>412750</xdr:colOff>
                    <xdr:row>78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Check Box 28">
              <controlPr defaultSize="0" autoFill="0" autoLine="0" autoPict="0">
                <anchor moveWithCells="1">
                  <from>
                    <xdr:col>23</xdr:col>
                    <xdr:colOff>234950</xdr:colOff>
                    <xdr:row>77</xdr:row>
                    <xdr:rowOff>146050</xdr:rowOff>
                  </from>
                  <to>
                    <xdr:col>23</xdr:col>
                    <xdr:colOff>412750</xdr:colOff>
                    <xdr:row>79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Check Box 29">
              <controlPr defaultSize="0" autoFill="0" autoLine="0" autoPict="0">
                <anchor moveWithCells="1">
                  <from>
                    <xdr:col>23</xdr:col>
                    <xdr:colOff>234950</xdr:colOff>
                    <xdr:row>78</xdr:row>
                    <xdr:rowOff>139700</xdr:rowOff>
                  </from>
                  <to>
                    <xdr:col>23</xdr:col>
                    <xdr:colOff>412750</xdr:colOff>
                    <xdr:row>80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Check Box 30">
              <controlPr defaultSize="0" autoFill="0" autoLine="0" autoPict="0">
                <anchor moveWithCells="1">
                  <from>
                    <xdr:col>24</xdr:col>
                    <xdr:colOff>241300</xdr:colOff>
                    <xdr:row>72</xdr:row>
                    <xdr:rowOff>120650</xdr:rowOff>
                  </from>
                  <to>
                    <xdr:col>25</xdr:col>
                    <xdr:colOff>6350</xdr:colOff>
                    <xdr:row>74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Check Box 31">
              <controlPr defaultSize="0" autoFill="0" autoLine="0" autoPict="0">
                <anchor moveWithCells="1">
                  <from>
                    <xdr:col>24</xdr:col>
                    <xdr:colOff>241300</xdr:colOff>
                    <xdr:row>73</xdr:row>
                    <xdr:rowOff>133350</xdr:rowOff>
                  </from>
                  <to>
                    <xdr:col>25</xdr:col>
                    <xdr:colOff>19050</xdr:colOff>
                    <xdr:row>75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Check Box 32">
              <controlPr defaultSize="0" autoFill="0" autoLine="0" autoPict="0">
                <anchor moveWithCells="1">
                  <from>
                    <xdr:col>24</xdr:col>
                    <xdr:colOff>241300</xdr:colOff>
                    <xdr:row>74</xdr:row>
                    <xdr:rowOff>139700</xdr:rowOff>
                  </from>
                  <to>
                    <xdr:col>25</xdr:col>
                    <xdr:colOff>6350</xdr:colOff>
                    <xdr:row>76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Check Box 33">
              <controlPr defaultSize="0" autoFill="0" autoLine="0" autoPict="0">
                <anchor moveWithCells="1">
                  <from>
                    <xdr:col>24</xdr:col>
                    <xdr:colOff>241300</xdr:colOff>
                    <xdr:row>75</xdr:row>
                    <xdr:rowOff>139700</xdr:rowOff>
                  </from>
                  <to>
                    <xdr:col>24</xdr:col>
                    <xdr:colOff>438150</xdr:colOff>
                    <xdr:row>77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Check Box 34">
              <controlPr defaultSize="0" autoFill="0" autoLine="0" autoPict="0">
                <anchor moveWithCells="1">
                  <from>
                    <xdr:col>24</xdr:col>
                    <xdr:colOff>241300</xdr:colOff>
                    <xdr:row>76</xdr:row>
                    <xdr:rowOff>133350</xdr:rowOff>
                  </from>
                  <to>
                    <xdr:col>24</xdr:col>
                    <xdr:colOff>425450</xdr:colOff>
                    <xdr:row>78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Check Box 35">
              <controlPr defaultSize="0" autoFill="0" autoLine="0" autoPict="0">
                <anchor moveWithCells="1">
                  <from>
                    <xdr:col>24</xdr:col>
                    <xdr:colOff>241300</xdr:colOff>
                    <xdr:row>77</xdr:row>
                    <xdr:rowOff>146050</xdr:rowOff>
                  </from>
                  <to>
                    <xdr:col>24</xdr:col>
                    <xdr:colOff>425450</xdr:colOff>
                    <xdr:row>79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Check Box 36">
              <controlPr defaultSize="0" autoFill="0" autoLine="0" autoPict="0">
                <anchor moveWithCells="1">
                  <from>
                    <xdr:col>24</xdr:col>
                    <xdr:colOff>241300</xdr:colOff>
                    <xdr:row>78</xdr:row>
                    <xdr:rowOff>139700</xdr:rowOff>
                  </from>
                  <to>
                    <xdr:col>24</xdr:col>
                    <xdr:colOff>425450</xdr:colOff>
                    <xdr:row>80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Check Box 37">
              <controlPr defaultSize="0" autoFill="0" autoLine="0" autoPict="0">
                <anchor moveWithCells="1">
                  <from>
                    <xdr:col>25</xdr:col>
                    <xdr:colOff>241300</xdr:colOff>
                    <xdr:row>72</xdr:row>
                    <xdr:rowOff>120650</xdr:rowOff>
                  </from>
                  <to>
                    <xdr:col>26</xdr:col>
                    <xdr:colOff>6350</xdr:colOff>
                    <xdr:row>74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Check Box 38">
              <controlPr defaultSize="0" autoFill="0" autoLine="0" autoPict="0">
                <anchor moveWithCells="1">
                  <from>
                    <xdr:col>25</xdr:col>
                    <xdr:colOff>241300</xdr:colOff>
                    <xdr:row>73</xdr:row>
                    <xdr:rowOff>127000</xdr:rowOff>
                  </from>
                  <to>
                    <xdr:col>26</xdr:col>
                    <xdr:colOff>19050</xdr:colOff>
                    <xdr:row>75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Check Box 39">
              <controlPr defaultSize="0" autoFill="0" autoLine="0" autoPict="0">
                <anchor moveWithCells="1">
                  <from>
                    <xdr:col>25</xdr:col>
                    <xdr:colOff>241300</xdr:colOff>
                    <xdr:row>74</xdr:row>
                    <xdr:rowOff>139700</xdr:rowOff>
                  </from>
                  <to>
                    <xdr:col>26</xdr:col>
                    <xdr:colOff>6350</xdr:colOff>
                    <xdr:row>76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Check Box 40">
              <controlPr defaultSize="0" autoFill="0" autoLine="0" autoPict="0">
                <anchor moveWithCells="1">
                  <from>
                    <xdr:col>25</xdr:col>
                    <xdr:colOff>241300</xdr:colOff>
                    <xdr:row>75</xdr:row>
                    <xdr:rowOff>139700</xdr:rowOff>
                  </from>
                  <to>
                    <xdr:col>25</xdr:col>
                    <xdr:colOff>431800</xdr:colOff>
                    <xdr:row>77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Check Box 41">
              <controlPr defaultSize="0" autoFill="0" autoLine="0" autoPict="0">
                <anchor moveWithCells="1">
                  <from>
                    <xdr:col>25</xdr:col>
                    <xdr:colOff>241300</xdr:colOff>
                    <xdr:row>76</xdr:row>
                    <xdr:rowOff>133350</xdr:rowOff>
                  </from>
                  <to>
                    <xdr:col>25</xdr:col>
                    <xdr:colOff>425450</xdr:colOff>
                    <xdr:row>78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Check Box 42">
              <controlPr defaultSize="0" autoFill="0" autoLine="0" autoPict="0">
                <anchor moveWithCells="1">
                  <from>
                    <xdr:col>25</xdr:col>
                    <xdr:colOff>241300</xdr:colOff>
                    <xdr:row>77</xdr:row>
                    <xdr:rowOff>139700</xdr:rowOff>
                  </from>
                  <to>
                    <xdr:col>25</xdr:col>
                    <xdr:colOff>425450</xdr:colOff>
                    <xdr:row>79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Check Box 43">
              <controlPr defaultSize="0" autoFill="0" autoLine="0" autoPict="0">
                <anchor moveWithCells="1">
                  <from>
                    <xdr:col>25</xdr:col>
                    <xdr:colOff>241300</xdr:colOff>
                    <xdr:row>78</xdr:row>
                    <xdr:rowOff>133350</xdr:rowOff>
                  </from>
                  <to>
                    <xdr:col>25</xdr:col>
                    <xdr:colOff>425450</xdr:colOff>
                    <xdr:row>80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Check Box 44">
              <controlPr defaultSize="0" autoFill="0" autoLine="0" autoPict="0">
                <anchor moveWithCells="1">
                  <from>
                    <xdr:col>26</xdr:col>
                    <xdr:colOff>234950</xdr:colOff>
                    <xdr:row>72</xdr:row>
                    <xdr:rowOff>120650</xdr:rowOff>
                  </from>
                  <to>
                    <xdr:col>26</xdr:col>
                    <xdr:colOff>444500</xdr:colOff>
                    <xdr:row>74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Check Box 45">
              <controlPr defaultSize="0" autoFill="0" autoLine="0" autoPict="0">
                <anchor moveWithCells="1">
                  <from>
                    <xdr:col>26</xdr:col>
                    <xdr:colOff>228600</xdr:colOff>
                    <xdr:row>73</xdr:row>
                    <xdr:rowOff>127000</xdr:rowOff>
                  </from>
                  <to>
                    <xdr:col>27</xdr:col>
                    <xdr:colOff>6350</xdr:colOff>
                    <xdr:row>75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Check Box 46">
              <controlPr defaultSize="0" autoFill="0" autoLine="0" autoPict="0">
                <anchor moveWithCells="1">
                  <from>
                    <xdr:col>26</xdr:col>
                    <xdr:colOff>234950</xdr:colOff>
                    <xdr:row>74</xdr:row>
                    <xdr:rowOff>139700</xdr:rowOff>
                  </from>
                  <to>
                    <xdr:col>26</xdr:col>
                    <xdr:colOff>444500</xdr:colOff>
                    <xdr:row>76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Check Box 47">
              <controlPr defaultSize="0" autoFill="0" autoLine="0" autoPict="0">
                <anchor moveWithCells="1">
                  <from>
                    <xdr:col>26</xdr:col>
                    <xdr:colOff>234950</xdr:colOff>
                    <xdr:row>75</xdr:row>
                    <xdr:rowOff>139700</xdr:rowOff>
                  </from>
                  <to>
                    <xdr:col>26</xdr:col>
                    <xdr:colOff>425450</xdr:colOff>
                    <xdr:row>77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Check Box 48">
              <controlPr defaultSize="0" autoFill="0" autoLine="0" autoPict="0">
                <anchor moveWithCells="1">
                  <from>
                    <xdr:col>26</xdr:col>
                    <xdr:colOff>234950</xdr:colOff>
                    <xdr:row>76</xdr:row>
                    <xdr:rowOff>133350</xdr:rowOff>
                  </from>
                  <to>
                    <xdr:col>26</xdr:col>
                    <xdr:colOff>412750</xdr:colOff>
                    <xdr:row>78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Check Box 49">
              <controlPr defaultSize="0" autoFill="0" autoLine="0" autoPict="0">
                <anchor moveWithCells="1">
                  <from>
                    <xdr:col>26</xdr:col>
                    <xdr:colOff>234950</xdr:colOff>
                    <xdr:row>77</xdr:row>
                    <xdr:rowOff>139700</xdr:rowOff>
                  </from>
                  <to>
                    <xdr:col>26</xdr:col>
                    <xdr:colOff>412750</xdr:colOff>
                    <xdr:row>79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Check Box 50">
              <controlPr defaultSize="0" autoFill="0" autoLine="0" autoPict="0">
                <anchor moveWithCells="1">
                  <from>
                    <xdr:col>26</xdr:col>
                    <xdr:colOff>234950</xdr:colOff>
                    <xdr:row>78</xdr:row>
                    <xdr:rowOff>133350</xdr:rowOff>
                  </from>
                  <to>
                    <xdr:col>26</xdr:col>
                    <xdr:colOff>412750</xdr:colOff>
                    <xdr:row>80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Check Box 51">
              <controlPr defaultSize="0" autoFill="0" autoLine="0" autoPict="0">
                <anchor moveWithCells="1">
                  <from>
                    <xdr:col>27</xdr:col>
                    <xdr:colOff>234950</xdr:colOff>
                    <xdr:row>72</xdr:row>
                    <xdr:rowOff>127000</xdr:rowOff>
                  </from>
                  <to>
                    <xdr:col>27</xdr:col>
                    <xdr:colOff>444500</xdr:colOff>
                    <xdr:row>74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Check Box 52">
              <controlPr defaultSize="0" autoFill="0" autoLine="0" autoPict="0">
                <anchor moveWithCells="1">
                  <from>
                    <xdr:col>27</xdr:col>
                    <xdr:colOff>228600</xdr:colOff>
                    <xdr:row>73</xdr:row>
                    <xdr:rowOff>133350</xdr:rowOff>
                  </from>
                  <to>
                    <xdr:col>28</xdr:col>
                    <xdr:colOff>6350</xdr:colOff>
                    <xdr:row>75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Check Box 53">
              <controlPr defaultSize="0" autoFill="0" autoLine="0" autoPict="0">
                <anchor moveWithCells="1">
                  <from>
                    <xdr:col>27</xdr:col>
                    <xdr:colOff>234950</xdr:colOff>
                    <xdr:row>74</xdr:row>
                    <xdr:rowOff>139700</xdr:rowOff>
                  </from>
                  <to>
                    <xdr:col>27</xdr:col>
                    <xdr:colOff>444500</xdr:colOff>
                    <xdr:row>76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Check Box 54">
              <controlPr defaultSize="0" autoFill="0" autoLine="0" autoPict="0">
                <anchor moveWithCells="1">
                  <from>
                    <xdr:col>27</xdr:col>
                    <xdr:colOff>234950</xdr:colOff>
                    <xdr:row>75</xdr:row>
                    <xdr:rowOff>146050</xdr:rowOff>
                  </from>
                  <to>
                    <xdr:col>27</xdr:col>
                    <xdr:colOff>425450</xdr:colOff>
                    <xdr:row>77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Check Box 55">
              <controlPr defaultSize="0" autoFill="0" autoLine="0" autoPict="0">
                <anchor moveWithCells="1">
                  <from>
                    <xdr:col>27</xdr:col>
                    <xdr:colOff>234950</xdr:colOff>
                    <xdr:row>76</xdr:row>
                    <xdr:rowOff>139700</xdr:rowOff>
                  </from>
                  <to>
                    <xdr:col>27</xdr:col>
                    <xdr:colOff>412750</xdr:colOff>
                    <xdr:row>78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Check Box 56">
              <controlPr defaultSize="0" autoFill="0" autoLine="0" autoPict="0">
                <anchor moveWithCells="1">
                  <from>
                    <xdr:col>27</xdr:col>
                    <xdr:colOff>234950</xdr:colOff>
                    <xdr:row>77</xdr:row>
                    <xdr:rowOff>146050</xdr:rowOff>
                  </from>
                  <to>
                    <xdr:col>27</xdr:col>
                    <xdr:colOff>412750</xdr:colOff>
                    <xdr:row>79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Check Box 57">
              <controlPr defaultSize="0" autoFill="0" autoLine="0" autoPict="0">
                <anchor moveWithCells="1">
                  <from>
                    <xdr:col>27</xdr:col>
                    <xdr:colOff>234950</xdr:colOff>
                    <xdr:row>78</xdr:row>
                    <xdr:rowOff>139700</xdr:rowOff>
                  </from>
                  <to>
                    <xdr:col>27</xdr:col>
                    <xdr:colOff>412750</xdr:colOff>
                    <xdr:row>80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Check Box 58">
              <controlPr defaultSize="0" autoFill="0" autoLine="0" autoPict="0">
                <anchor moveWithCells="1">
                  <from>
                    <xdr:col>28</xdr:col>
                    <xdr:colOff>241300</xdr:colOff>
                    <xdr:row>72</xdr:row>
                    <xdr:rowOff>127000</xdr:rowOff>
                  </from>
                  <to>
                    <xdr:col>29</xdr:col>
                    <xdr:colOff>6350</xdr:colOff>
                    <xdr:row>74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Check Box 59">
              <controlPr defaultSize="0" autoFill="0" autoLine="0" autoPict="0">
                <anchor moveWithCells="1">
                  <from>
                    <xdr:col>28</xdr:col>
                    <xdr:colOff>241300</xdr:colOff>
                    <xdr:row>73</xdr:row>
                    <xdr:rowOff>133350</xdr:rowOff>
                  </from>
                  <to>
                    <xdr:col>29</xdr:col>
                    <xdr:colOff>19050</xdr:colOff>
                    <xdr:row>75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Check Box 60">
              <controlPr defaultSize="0" autoFill="0" autoLine="0" autoPict="0">
                <anchor moveWithCells="1">
                  <from>
                    <xdr:col>28</xdr:col>
                    <xdr:colOff>241300</xdr:colOff>
                    <xdr:row>74</xdr:row>
                    <xdr:rowOff>139700</xdr:rowOff>
                  </from>
                  <to>
                    <xdr:col>29</xdr:col>
                    <xdr:colOff>6350</xdr:colOff>
                    <xdr:row>76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Check Box 61">
              <controlPr defaultSize="0" autoFill="0" autoLine="0" autoPict="0">
                <anchor moveWithCells="1">
                  <from>
                    <xdr:col>28</xdr:col>
                    <xdr:colOff>241300</xdr:colOff>
                    <xdr:row>75</xdr:row>
                    <xdr:rowOff>146050</xdr:rowOff>
                  </from>
                  <to>
                    <xdr:col>28</xdr:col>
                    <xdr:colOff>431800</xdr:colOff>
                    <xdr:row>77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Check Box 62">
              <controlPr defaultSize="0" autoFill="0" autoLine="0" autoPict="0">
                <anchor moveWithCells="1">
                  <from>
                    <xdr:col>28</xdr:col>
                    <xdr:colOff>241300</xdr:colOff>
                    <xdr:row>76</xdr:row>
                    <xdr:rowOff>139700</xdr:rowOff>
                  </from>
                  <to>
                    <xdr:col>28</xdr:col>
                    <xdr:colOff>425450</xdr:colOff>
                    <xdr:row>78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Check Box 63">
              <controlPr defaultSize="0" autoFill="0" autoLine="0" autoPict="0">
                <anchor moveWithCells="1">
                  <from>
                    <xdr:col>28</xdr:col>
                    <xdr:colOff>241300</xdr:colOff>
                    <xdr:row>77</xdr:row>
                    <xdr:rowOff>146050</xdr:rowOff>
                  </from>
                  <to>
                    <xdr:col>28</xdr:col>
                    <xdr:colOff>425450</xdr:colOff>
                    <xdr:row>79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Check Box 64">
              <controlPr defaultSize="0" autoFill="0" autoLine="0" autoPict="0">
                <anchor moveWithCells="1">
                  <from>
                    <xdr:col>28</xdr:col>
                    <xdr:colOff>241300</xdr:colOff>
                    <xdr:row>78</xdr:row>
                    <xdr:rowOff>139700</xdr:rowOff>
                  </from>
                  <to>
                    <xdr:col>28</xdr:col>
                    <xdr:colOff>425450</xdr:colOff>
                    <xdr:row>80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Check Box 65">
              <controlPr defaultSize="0" autoFill="0" autoLine="0" autoPict="0">
                <anchor moveWithCells="1">
                  <from>
                    <xdr:col>30</xdr:col>
                    <xdr:colOff>228600</xdr:colOff>
                    <xdr:row>72</xdr:row>
                    <xdr:rowOff>120650</xdr:rowOff>
                  </from>
                  <to>
                    <xdr:col>30</xdr:col>
                    <xdr:colOff>444500</xdr:colOff>
                    <xdr:row>74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Check Box 66">
              <controlPr defaultSize="0" autoFill="0" autoLine="0" autoPict="0">
                <anchor moveWithCells="1">
                  <from>
                    <xdr:col>30</xdr:col>
                    <xdr:colOff>228600</xdr:colOff>
                    <xdr:row>73</xdr:row>
                    <xdr:rowOff>127000</xdr:rowOff>
                  </from>
                  <to>
                    <xdr:col>31</xdr:col>
                    <xdr:colOff>6350</xdr:colOff>
                    <xdr:row>75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Check Box 67">
              <controlPr defaultSize="0" autoFill="0" autoLine="0" autoPict="0">
                <anchor moveWithCells="1">
                  <from>
                    <xdr:col>30</xdr:col>
                    <xdr:colOff>228600</xdr:colOff>
                    <xdr:row>74</xdr:row>
                    <xdr:rowOff>139700</xdr:rowOff>
                  </from>
                  <to>
                    <xdr:col>30</xdr:col>
                    <xdr:colOff>444500</xdr:colOff>
                    <xdr:row>76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Check Box 68">
              <controlPr defaultSize="0" autoFill="0" autoLine="0" autoPict="0">
                <anchor moveWithCells="1">
                  <from>
                    <xdr:col>30</xdr:col>
                    <xdr:colOff>228600</xdr:colOff>
                    <xdr:row>75</xdr:row>
                    <xdr:rowOff>139700</xdr:rowOff>
                  </from>
                  <to>
                    <xdr:col>30</xdr:col>
                    <xdr:colOff>425450</xdr:colOff>
                    <xdr:row>77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Check Box 69">
              <controlPr defaultSize="0" autoFill="0" autoLine="0" autoPict="0">
                <anchor moveWithCells="1">
                  <from>
                    <xdr:col>30</xdr:col>
                    <xdr:colOff>228600</xdr:colOff>
                    <xdr:row>76</xdr:row>
                    <xdr:rowOff>133350</xdr:rowOff>
                  </from>
                  <to>
                    <xdr:col>30</xdr:col>
                    <xdr:colOff>412750</xdr:colOff>
                    <xdr:row>78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Check Box 70">
              <controlPr defaultSize="0" autoFill="0" autoLine="0" autoPict="0">
                <anchor moveWithCells="1">
                  <from>
                    <xdr:col>30</xdr:col>
                    <xdr:colOff>228600</xdr:colOff>
                    <xdr:row>77</xdr:row>
                    <xdr:rowOff>139700</xdr:rowOff>
                  </from>
                  <to>
                    <xdr:col>30</xdr:col>
                    <xdr:colOff>412750</xdr:colOff>
                    <xdr:row>79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Check Box 71">
              <controlPr defaultSize="0" autoFill="0" autoLine="0" autoPict="0">
                <anchor moveWithCells="1">
                  <from>
                    <xdr:col>30</xdr:col>
                    <xdr:colOff>228600</xdr:colOff>
                    <xdr:row>78</xdr:row>
                    <xdr:rowOff>133350</xdr:rowOff>
                  </from>
                  <to>
                    <xdr:col>30</xdr:col>
                    <xdr:colOff>412750</xdr:colOff>
                    <xdr:row>80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Check Box 72">
              <controlPr defaultSize="0" autoFill="0" autoLine="0" autoPict="0">
                <anchor moveWithCells="1">
                  <from>
                    <xdr:col>29</xdr:col>
                    <xdr:colOff>228600</xdr:colOff>
                    <xdr:row>72</xdr:row>
                    <xdr:rowOff>127000</xdr:rowOff>
                  </from>
                  <to>
                    <xdr:col>29</xdr:col>
                    <xdr:colOff>438150</xdr:colOff>
                    <xdr:row>74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Check Box 73">
              <controlPr defaultSize="0" autoFill="0" autoLine="0" autoPict="0">
                <anchor moveWithCells="1">
                  <from>
                    <xdr:col>29</xdr:col>
                    <xdr:colOff>228600</xdr:colOff>
                    <xdr:row>73</xdr:row>
                    <xdr:rowOff>133350</xdr:rowOff>
                  </from>
                  <to>
                    <xdr:col>30</xdr:col>
                    <xdr:colOff>6350</xdr:colOff>
                    <xdr:row>75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Check Box 74">
              <controlPr defaultSize="0" autoFill="0" autoLine="0" autoPict="0">
                <anchor moveWithCells="1">
                  <from>
                    <xdr:col>29</xdr:col>
                    <xdr:colOff>228600</xdr:colOff>
                    <xdr:row>74</xdr:row>
                    <xdr:rowOff>139700</xdr:rowOff>
                  </from>
                  <to>
                    <xdr:col>29</xdr:col>
                    <xdr:colOff>438150</xdr:colOff>
                    <xdr:row>76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Check Box 75">
              <controlPr defaultSize="0" autoFill="0" autoLine="0" autoPict="0">
                <anchor moveWithCells="1">
                  <from>
                    <xdr:col>29</xdr:col>
                    <xdr:colOff>228600</xdr:colOff>
                    <xdr:row>75</xdr:row>
                    <xdr:rowOff>146050</xdr:rowOff>
                  </from>
                  <to>
                    <xdr:col>29</xdr:col>
                    <xdr:colOff>425450</xdr:colOff>
                    <xdr:row>77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Check Box 76">
              <controlPr defaultSize="0" autoFill="0" autoLine="0" autoPict="0">
                <anchor moveWithCells="1">
                  <from>
                    <xdr:col>29</xdr:col>
                    <xdr:colOff>228600</xdr:colOff>
                    <xdr:row>76</xdr:row>
                    <xdr:rowOff>139700</xdr:rowOff>
                  </from>
                  <to>
                    <xdr:col>29</xdr:col>
                    <xdr:colOff>412750</xdr:colOff>
                    <xdr:row>78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Check Box 77">
              <controlPr defaultSize="0" autoFill="0" autoLine="0" autoPict="0">
                <anchor moveWithCells="1">
                  <from>
                    <xdr:col>29</xdr:col>
                    <xdr:colOff>228600</xdr:colOff>
                    <xdr:row>77</xdr:row>
                    <xdr:rowOff>146050</xdr:rowOff>
                  </from>
                  <to>
                    <xdr:col>29</xdr:col>
                    <xdr:colOff>412750</xdr:colOff>
                    <xdr:row>79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Check Box 78">
              <controlPr defaultSize="0" autoFill="0" autoLine="0" autoPict="0">
                <anchor moveWithCells="1">
                  <from>
                    <xdr:col>29</xdr:col>
                    <xdr:colOff>228600</xdr:colOff>
                    <xdr:row>78</xdr:row>
                    <xdr:rowOff>139700</xdr:rowOff>
                  </from>
                  <to>
                    <xdr:col>29</xdr:col>
                    <xdr:colOff>412750</xdr:colOff>
                    <xdr:row>80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Check Box 79">
              <controlPr defaultSize="0" autoFill="0" autoLine="0" autoPict="0">
                <anchor moveWithCells="1">
                  <from>
                    <xdr:col>31</xdr:col>
                    <xdr:colOff>228600</xdr:colOff>
                    <xdr:row>72</xdr:row>
                    <xdr:rowOff>127000</xdr:rowOff>
                  </from>
                  <to>
                    <xdr:col>31</xdr:col>
                    <xdr:colOff>444500</xdr:colOff>
                    <xdr:row>74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Check Box 80">
              <controlPr defaultSize="0" autoFill="0" autoLine="0" autoPict="0">
                <anchor moveWithCells="1">
                  <from>
                    <xdr:col>31</xdr:col>
                    <xdr:colOff>228600</xdr:colOff>
                    <xdr:row>73</xdr:row>
                    <xdr:rowOff>133350</xdr:rowOff>
                  </from>
                  <to>
                    <xdr:col>32</xdr:col>
                    <xdr:colOff>6350</xdr:colOff>
                    <xdr:row>75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Check Box 81">
              <controlPr defaultSize="0" autoFill="0" autoLine="0" autoPict="0">
                <anchor moveWithCells="1">
                  <from>
                    <xdr:col>31</xdr:col>
                    <xdr:colOff>228600</xdr:colOff>
                    <xdr:row>74</xdr:row>
                    <xdr:rowOff>139700</xdr:rowOff>
                  </from>
                  <to>
                    <xdr:col>31</xdr:col>
                    <xdr:colOff>444500</xdr:colOff>
                    <xdr:row>76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Check Box 82">
              <controlPr defaultSize="0" autoFill="0" autoLine="0" autoPict="0">
                <anchor moveWithCells="1">
                  <from>
                    <xdr:col>31</xdr:col>
                    <xdr:colOff>228600</xdr:colOff>
                    <xdr:row>75</xdr:row>
                    <xdr:rowOff>146050</xdr:rowOff>
                  </from>
                  <to>
                    <xdr:col>31</xdr:col>
                    <xdr:colOff>425450</xdr:colOff>
                    <xdr:row>77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Check Box 83">
              <controlPr defaultSize="0" autoFill="0" autoLine="0" autoPict="0">
                <anchor moveWithCells="1">
                  <from>
                    <xdr:col>31</xdr:col>
                    <xdr:colOff>228600</xdr:colOff>
                    <xdr:row>76</xdr:row>
                    <xdr:rowOff>139700</xdr:rowOff>
                  </from>
                  <to>
                    <xdr:col>31</xdr:col>
                    <xdr:colOff>412750</xdr:colOff>
                    <xdr:row>78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Check Box 84">
              <controlPr defaultSize="0" autoFill="0" autoLine="0" autoPict="0">
                <anchor moveWithCells="1">
                  <from>
                    <xdr:col>31</xdr:col>
                    <xdr:colOff>228600</xdr:colOff>
                    <xdr:row>77</xdr:row>
                    <xdr:rowOff>146050</xdr:rowOff>
                  </from>
                  <to>
                    <xdr:col>31</xdr:col>
                    <xdr:colOff>412750</xdr:colOff>
                    <xdr:row>79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Check Box 85">
              <controlPr defaultSize="0" autoFill="0" autoLine="0" autoPict="0">
                <anchor moveWithCells="1">
                  <from>
                    <xdr:col>31</xdr:col>
                    <xdr:colOff>228600</xdr:colOff>
                    <xdr:row>78</xdr:row>
                    <xdr:rowOff>139700</xdr:rowOff>
                  </from>
                  <to>
                    <xdr:col>31</xdr:col>
                    <xdr:colOff>412750</xdr:colOff>
                    <xdr:row>80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Check Box 86">
              <controlPr defaultSize="0" autoFill="0" autoLine="0" autoPict="0">
                <anchor moveWithCells="1">
                  <from>
                    <xdr:col>32</xdr:col>
                    <xdr:colOff>241300</xdr:colOff>
                    <xdr:row>72</xdr:row>
                    <xdr:rowOff>127000</xdr:rowOff>
                  </from>
                  <to>
                    <xdr:col>33</xdr:col>
                    <xdr:colOff>6350</xdr:colOff>
                    <xdr:row>74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Check Box 87">
              <controlPr defaultSize="0" autoFill="0" autoLine="0" autoPict="0">
                <anchor moveWithCells="1">
                  <from>
                    <xdr:col>32</xdr:col>
                    <xdr:colOff>241300</xdr:colOff>
                    <xdr:row>73</xdr:row>
                    <xdr:rowOff>133350</xdr:rowOff>
                  </from>
                  <to>
                    <xdr:col>33</xdr:col>
                    <xdr:colOff>19050</xdr:colOff>
                    <xdr:row>75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Check Box 88">
              <controlPr defaultSize="0" autoFill="0" autoLine="0" autoPict="0">
                <anchor moveWithCells="1">
                  <from>
                    <xdr:col>32</xdr:col>
                    <xdr:colOff>241300</xdr:colOff>
                    <xdr:row>74</xdr:row>
                    <xdr:rowOff>139700</xdr:rowOff>
                  </from>
                  <to>
                    <xdr:col>33</xdr:col>
                    <xdr:colOff>6350</xdr:colOff>
                    <xdr:row>76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Check Box 89">
              <controlPr defaultSize="0" autoFill="0" autoLine="0" autoPict="0">
                <anchor moveWithCells="1">
                  <from>
                    <xdr:col>32</xdr:col>
                    <xdr:colOff>241300</xdr:colOff>
                    <xdr:row>75</xdr:row>
                    <xdr:rowOff>146050</xdr:rowOff>
                  </from>
                  <to>
                    <xdr:col>32</xdr:col>
                    <xdr:colOff>438150</xdr:colOff>
                    <xdr:row>77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Check Box 90">
              <controlPr defaultSize="0" autoFill="0" autoLine="0" autoPict="0">
                <anchor moveWithCells="1">
                  <from>
                    <xdr:col>32</xdr:col>
                    <xdr:colOff>241300</xdr:colOff>
                    <xdr:row>76</xdr:row>
                    <xdr:rowOff>139700</xdr:rowOff>
                  </from>
                  <to>
                    <xdr:col>32</xdr:col>
                    <xdr:colOff>425450</xdr:colOff>
                    <xdr:row>78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Check Box 91">
              <controlPr defaultSize="0" autoFill="0" autoLine="0" autoPict="0">
                <anchor moveWithCells="1">
                  <from>
                    <xdr:col>32</xdr:col>
                    <xdr:colOff>241300</xdr:colOff>
                    <xdr:row>77</xdr:row>
                    <xdr:rowOff>146050</xdr:rowOff>
                  </from>
                  <to>
                    <xdr:col>32</xdr:col>
                    <xdr:colOff>425450</xdr:colOff>
                    <xdr:row>79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Check Box 92">
              <controlPr defaultSize="0" autoFill="0" autoLine="0" autoPict="0">
                <anchor moveWithCells="1">
                  <from>
                    <xdr:col>32</xdr:col>
                    <xdr:colOff>241300</xdr:colOff>
                    <xdr:row>78</xdr:row>
                    <xdr:rowOff>139700</xdr:rowOff>
                  </from>
                  <to>
                    <xdr:col>32</xdr:col>
                    <xdr:colOff>425450</xdr:colOff>
                    <xdr:row>80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Check Box 93">
              <controlPr defaultSize="0" autoFill="0" autoLine="0" autoPict="0">
                <anchor moveWithCells="1">
                  <from>
                    <xdr:col>33</xdr:col>
                    <xdr:colOff>228600</xdr:colOff>
                    <xdr:row>72</xdr:row>
                    <xdr:rowOff>127000</xdr:rowOff>
                  </from>
                  <to>
                    <xdr:col>33</xdr:col>
                    <xdr:colOff>444500</xdr:colOff>
                    <xdr:row>74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Check Box 94">
              <controlPr defaultSize="0" autoFill="0" autoLine="0" autoPict="0">
                <anchor moveWithCells="1">
                  <from>
                    <xdr:col>33</xdr:col>
                    <xdr:colOff>228600</xdr:colOff>
                    <xdr:row>73</xdr:row>
                    <xdr:rowOff>133350</xdr:rowOff>
                  </from>
                  <to>
                    <xdr:col>34</xdr:col>
                    <xdr:colOff>6350</xdr:colOff>
                    <xdr:row>75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Check Box 95">
              <controlPr defaultSize="0" autoFill="0" autoLine="0" autoPict="0">
                <anchor moveWithCells="1">
                  <from>
                    <xdr:col>33</xdr:col>
                    <xdr:colOff>228600</xdr:colOff>
                    <xdr:row>74</xdr:row>
                    <xdr:rowOff>139700</xdr:rowOff>
                  </from>
                  <to>
                    <xdr:col>33</xdr:col>
                    <xdr:colOff>444500</xdr:colOff>
                    <xdr:row>76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Check Box 96">
              <controlPr defaultSize="0" autoFill="0" autoLine="0" autoPict="0">
                <anchor moveWithCells="1">
                  <from>
                    <xdr:col>33</xdr:col>
                    <xdr:colOff>228600</xdr:colOff>
                    <xdr:row>75</xdr:row>
                    <xdr:rowOff>146050</xdr:rowOff>
                  </from>
                  <to>
                    <xdr:col>33</xdr:col>
                    <xdr:colOff>425450</xdr:colOff>
                    <xdr:row>77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Check Box 97">
              <controlPr defaultSize="0" autoFill="0" autoLine="0" autoPict="0">
                <anchor moveWithCells="1">
                  <from>
                    <xdr:col>33</xdr:col>
                    <xdr:colOff>228600</xdr:colOff>
                    <xdr:row>76</xdr:row>
                    <xdr:rowOff>139700</xdr:rowOff>
                  </from>
                  <to>
                    <xdr:col>33</xdr:col>
                    <xdr:colOff>412750</xdr:colOff>
                    <xdr:row>78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Check Box 98">
              <controlPr defaultSize="0" autoFill="0" autoLine="0" autoPict="0">
                <anchor moveWithCells="1">
                  <from>
                    <xdr:col>33</xdr:col>
                    <xdr:colOff>228600</xdr:colOff>
                    <xdr:row>77</xdr:row>
                    <xdr:rowOff>146050</xdr:rowOff>
                  </from>
                  <to>
                    <xdr:col>33</xdr:col>
                    <xdr:colOff>412750</xdr:colOff>
                    <xdr:row>79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Check Box 99">
              <controlPr defaultSize="0" autoFill="0" autoLine="0" autoPict="0">
                <anchor moveWithCells="1">
                  <from>
                    <xdr:col>33</xdr:col>
                    <xdr:colOff>228600</xdr:colOff>
                    <xdr:row>78</xdr:row>
                    <xdr:rowOff>139700</xdr:rowOff>
                  </from>
                  <to>
                    <xdr:col>33</xdr:col>
                    <xdr:colOff>412750</xdr:colOff>
                    <xdr:row>80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Check Box 100">
              <controlPr defaultSize="0" autoFill="0" autoLine="0" autoPict="0">
                <anchor moveWithCells="1">
                  <from>
                    <xdr:col>34</xdr:col>
                    <xdr:colOff>234950</xdr:colOff>
                    <xdr:row>72</xdr:row>
                    <xdr:rowOff>127000</xdr:rowOff>
                  </from>
                  <to>
                    <xdr:col>35</xdr:col>
                    <xdr:colOff>0</xdr:colOff>
                    <xdr:row>74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Check Box 101">
              <controlPr defaultSize="0" autoFill="0" autoLine="0" autoPict="0">
                <anchor moveWithCells="1">
                  <from>
                    <xdr:col>34</xdr:col>
                    <xdr:colOff>234950</xdr:colOff>
                    <xdr:row>73</xdr:row>
                    <xdr:rowOff>133350</xdr:rowOff>
                  </from>
                  <to>
                    <xdr:col>35</xdr:col>
                    <xdr:colOff>12700</xdr:colOff>
                    <xdr:row>75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Check Box 102">
              <controlPr defaultSize="0" autoFill="0" autoLine="0" autoPict="0">
                <anchor moveWithCells="1">
                  <from>
                    <xdr:col>34</xdr:col>
                    <xdr:colOff>234950</xdr:colOff>
                    <xdr:row>74</xdr:row>
                    <xdr:rowOff>139700</xdr:rowOff>
                  </from>
                  <to>
                    <xdr:col>35</xdr:col>
                    <xdr:colOff>0</xdr:colOff>
                    <xdr:row>76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Check Box 103">
              <controlPr defaultSize="0" autoFill="0" autoLine="0" autoPict="0">
                <anchor moveWithCells="1">
                  <from>
                    <xdr:col>34</xdr:col>
                    <xdr:colOff>234950</xdr:colOff>
                    <xdr:row>75</xdr:row>
                    <xdr:rowOff>146050</xdr:rowOff>
                  </from>
                  <to>
                    <xdr:col>34</xdr:col>
                    <xdr:colOff>431800</xdr:colOff>
                    <xdr:row>77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Check Box 104">
              <controlPr defaultSize="0" autoFill="0" autoLine="0" autoPict="0">
                <anchor moveWithCells="1">
                  <from>
                    <xdr:col>34</xdr:col>
                    <xdr:colOff>234950</xdr:colOff>
                    <xdr:row>76</xdr:row>
                    <xdr:rowOff>139700</xdr:rowOff>
                  </from>
                  <to>
                    <xdr:col>34</xdr:col>
                    <xdr:colOff>419100</xdr:colOff>
                    <xdr:row>78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Check Box 105">
              <controlPr defaultSize="0" autoFill="0" autoLine="0" autoPict="0">
                <anchor moveWithCells="1">
                  <from>
                    <xdr:col>34</xdr:col>
                    <xdr:colOff>234950</xdr:colOff>
                    <xdr:row>77</xdr:row>
                    <xdr:rowOff>146050</xdr:rowOff>
                  </from>
                  <to>
                    <xdr:col>34</xdr:col>
                    <xdr:colOff>419100</xdr:colOff>
                    <xdr:row>79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Check Box 106">
              <controlPr defaultSize="0" autoFill="0" autoLine="0" autoPict="0">
                <anchor moveWithCells="1">
                  <from>
                    <xdr:col>34</xdr:col>
                    <xdr:colOff>234950</xdr:colOff>
                    <xdr:row>78</xdr:row>
                    <xdr:rowOff>139700</xdr:rowOff>
                  </from>
                  <to>
                    <xdr:col>34</xdr:col>
                    <xdr:colOff>419100</xdr:colOff>
                    <xdr:row>80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Check Box 107">
              <controlPr defaultSize="0" autoFill="0" autoLine="0" autoPict="0">
                <anchor moveWithCells="1">
                  <from>
                    <xdr:col>35</xdr:col>
                    <xdr:colOff>228600</xdr:colOff>
                    <xdr:row>72</xdr:row>
                    <xdr:rowOff>120650</xdr:rowOff>
                  </from>
                  <to>
                    <xdr:col>35</xdr:col>
                    <xdr:colOff>438150</xdr:colOff>
                    <xdr:row>74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Check Box 108">
              <controlPr defaultSize="0" autoFill="0" autoLine="0" autoPict="0">
                <anchor moveWithCells="1">
                  <from>
                    <xdr:col>35</xdr:col>
                    <xdr:colOff>222250</xdr:colOff>
                    <xdr:row>73</xdr:row>
                    <xdr:rowOff>133350</xdr:rowOff>
                  </from>
                  <to>
                    <xdr:col>36</xdr:col>
                    <xdr:colOff>6350</xdr:colOff>
                    <xdr:row>75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Check Box 109">
              <controlPr defaultSize="0" autoFill="0" autoLine="0" autoPict="0">
                <anchor moveWithCells="1">
                  <from>
                    <xdr:col>35</xdr:col>
                    <xdr:colOff>228600</xdr:colOff>
                    <xdr:row>74</xdr:row>
                    <xdr:rowOff>139700</xdr:rowOff>
                  </from>
                  <to>
                    <xdr:col>35</xdr:col>
                    <xdr:colOff>438150</xdr:colOff>
                    <xdr:row>76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Check Box 110">
              <controlPr defaultSize="0" autoFill="0" autoLine="0" autoPict="0">
                <anchor moveWithCells="1">
                  <from>
                    <xdr:col>35</xdr:col>
                    <xdr:colOff>228600</xdr:colOff>
                    <xdr:row>75</xdr:row>
                    <xdr:rowOff>139700</xdr:rowOff>
                  </from>
                  <to>
                    <xdr:col>35</xdr:col>
                    <xdr:colOff>419100</xdr:colOff>
                    <xdr:row>77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Check Box 111">
              <controlPr defaultSize="0" autoFill="0" autoLine="0" autoPict="0">
                <anchor moveWithCells="1">
                  <from>
                    <xdr:col>35</xdr:col>
                    <xdr:colOff>228600</xdr:colOff>
                    <xdr:row>76</xdr:row>
                    <xdr:rowOff>133350</xdr:rowOff>
                  </from>
                  <to>
                    <xdr:col>35</xdr:col>
                    <xdr:colOff>406400</xdr:colOff>
                    <xdr:row>78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Check Box 112">
              <controlPr defaultSize="0" autoFill="0" autoLine="0" autoPict="0">
                <anchor moveWithCells="1">
                  <from>
                    <xdr:col>35</xdr:col>
                    <xdr:colOff>228600</xdr:colOff>
                    <xdr:row>77</xdr:row>
                    <xdr:rowOff>146050</xdr:rowOff>
                  </from>
                  <to>
                    <xdr:col>35</xdr:col>
                    <xdr:colOff>406400</xdr:colOff>
                    <xdr:row>79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Check Box 113">
              <controlPr defaultSize="0" autoFill="0" autoLine="0" autoPict="0">
                <anchor moveWithCells="1">
                  <from>
                    <xdr:col>35</xdr:col>
                    <xdr:colOff>228600</xdr:colOff>
                    <xdr:row>78</xdr:row>
                    <xdr:rowOff>139700</xdr:rowOff>
                  </from>
                  <to>
                    <xdr:col>35</xdr:col>
                    <xdr:colOff>406400</xdr:colOff>
                    <xdr:row>80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Check Box 114">
              <controlPr defaultSize="0" autoFill="0" autoLine="0" autoPict="0">
                <anchor moveWithCells="1">
                  <from>
                    <xdr:col>36</xdr:col>
                    <xdr:colOff>241300</xdr:colOff>
                    <xdr:row>72</xdr:row>
                    <xdr:rowOff>120650</xdr:rowOff>
                  </from>
                  <to>
                    <xdr:col>37</xdr:col>
                    <xdr:colOff>6350</xdr:colOff>
                    <xdr:row>74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Check Box 115">
              <controlPr defaultSize="0" autoFill="0" autoLine="0" autoPict="0">
                <anchor moveWithCells="1">
                  <from>
                    <xdr:col>36</xdr:col>
                    <xdr:colOff>241300</xdr:colOff>
                    <xdr:row>73</xdr:row>
                    <xdr:rowOff>133350</xdr:rowOff>
                  </from>
                  <to>
                    <xdr:col>37</xdr:col>
                    <xdr:colOff>19050</xdr:colOff>
                    <xdr:row>75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Check Box 116">
              <controlPr defaultSize="0" autoFill="0" autoLine="0" autoPict="0">
                <anchor moveWithCells="1">
                  <from>
                    <xdr:col>36</xdr:col>
                    <xdr:colOff>241300</xdr:colOff>
                    <xdr:row>74</xdr:row>
                    <xdr:rowOff>139700</xdr:rowOff>
                  </from>
                  <to>
                    <xdr:col>37</xdr:col>
                    <xdr:colOff>6350</xdr:colOff>
                    <xdr:row>76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Check Box 117">
              <controlPr defaultSize="0" autoFill="0" autoLine="0" autoPict="0">
                <anchor moveWithCells="1">
                  <from>
                    <xdr:col>36</xdr:col>
                    <xdr:colOff>241300</xdr:colOff>
                    <xdr:row>75</xdr:row>
                    <xdr:rowOff>139700</xdr:rowOff>
                  </from>
                  <to>
                    <xdr:col>36</xdr:col>
                    <xdr:colOff>438150</xdr:colOff>
                    <xdr:row>77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Check Box 118">
              <controlPr defaultSize="0" autoFill="0" autoLine="0" autoPict="0">
                <anchor moveWithCells="1">
                  <from>
                    <xdr:col>36</xdr:col>
                    <xdr:colOff>241300</xdr:colOff>
                    <xdr:row>76</xdr:row>
                    <xdr:rowOff>133350</xdr:rowOff>
                  </from>
                  <to>
                    <xdr:col>36</xdr:col>
                    <xdr:colOff>425450</xdr:colOff>
                    <xdr:row>78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Check Box 119">
              <controlPr defaultSize="0" autoFill="0" autoLine="0" autoPict="0">
                <anchor moveWithCells="1">
                  <from>
                    <xdr:col>36</xdr:col>
                    <xdr:colOff>241300</xdr:colOff>
                    <xdr:row>77</xdr:row>
                    <xdr:rowOff>146050</xdr:rowOff>
                  </from>
                  <to>
                    <xdr:col>36</xdr:col>
                    <xdr:colOff>425450</xdr:colOff>
                    <xdr:row>79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Check Box 120">
              <controlPr defaultSize="0" autoFill="0" autoLine="0" autoPict="0">
                <anchor moveWithCells="1">
                  <from>
                    <xdr:col>36</xdr:col>
                    <xdr:colOff>241300</xdr:colOff>
                    <xdr:row>78</xdr:row>
                    <xdr:rowOff>139700</xdr:rowOff>
                  </from>
                  <to>
                    <xdr:col>36</xdr:col>
                    <xdr:colOff>425450</xdr:colOff>
                    <xdr:row>80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Check Box 121">
              <controlPr defaultSize="0" autoFill="0" autoLine="0" autoPict="0">
                <anchor moveWithCells="1">
                  <from>
                    <xdr:col>37</xdr:col>
                    <xdr:colOff>228600</xdr:colOff>
                    <xdr:row>72</xdr:row>
                    <xdr:rowOff>127000</xdr:rowOff>
                  </from>
                  <to>
                    <xdr:col>37</xdr:col>
                    <xdr:colOff>438150</xdr:colOff>
                    <xdr:row>74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Check Box 122">
              <controlPr defaultSize="0" autoFill="0" autoLine="0" autoPict="0">
                <anchor moveWithCells="1">
                  <from>
                    <xdr:col>37</xdr:col>
                    <xdr:colOff>228600</xdr:colOff>
                    <xdr:row>73</xdr:row>
                    <xdr:rowOff>133350</xdr:rowOff>
                  </from>
                  <to>
                    <xdr:col>38</xdr:col>
                    <xdr:colOff>6350</xdr:colOff>
                    <xdr:row>75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Check Box 123">
              <controlPr defaultSize="0" autoFill="0" autoLine="0" autoPict="0">
                <anchor moveWithCells="1">
                  <from>
                    <xdr:col>37</xdr:col>
                    <xdr:colOff>228600</xdr:colOff>
                    <xdr:row>74</xdr:row>
                    <xdr:rowOff>139700</xdr:rowOff>
                  </from>
                  <to>
                    <xdr:col>37</xdr:col>
                    <xdr:colOff>438150</xdr:colOff>
                    <xdr:row>76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Check Box 124">
              <controlPr defaultSize="0" autoFill="0" autoLine="0" autoPict="0">
                <anchor moveWithCells="1">
                  <from>
                    <xdr:col>37</xdr:col>
                    <xdr:colOff>228600</xdr:colOff>
                    <xdr:row>75</xdr:row>
                    <xdr:rowOff>146050</xdr:rowOff>
                  </from>
                  <to>
                    <xdr:col>37</xdr:col>
                    <xdr:colOff>419100</xdr:colOff>
                    <xdr:row>77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Check Box 125">
              <controlPr defaultSize="0" autoFill="0" autoLine="0" autoPict="0">
                <anchor moveWithCells="1">
                  <from>
                    <xdr:col>37</xdr:col>
                    <xdr:colOff>228600</xdr:colOff>
                    <xdr:row>76</xdr:row>
                    <xdr:rowOff>139700</xdr:rowOff>
                  </from>
                  <to>
                    <xdr:col>37</xdr:col>
                    <xdr:colOff>406400</xdr:colOff>
                    <xdr:row>78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Check Box 126">
              <controlPr defaultSize="0" autoFill="0" autoLine="0" autoPict="0">
                <anchor moveWithCells="1">
                  <from>
                    <xdr:col>37</xdr:col>
                    <xdr:colOff>228600</xdr:colOff>
                    <xdr:row>77</xdr:row>
                    <xdr:rowOff>146050</xdr:rowOff>
                  </from>
                  <to>
                    <xdr:col>37</xdr:col>
                    <xdr:colOff>406400</xdr:colOff>
                    <xdr:row>79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Check Box 127">
              <controlPr defaultSize="0" autoFill="0" autoLine="0" autoPict="0">
                <anchor moveWithCells="1">
                  <from>
                    <xdr:col>37</xdr:col>
                    <xdr:colOff>228600</xdr:colOff>
                    <xdr:row>78</xdr:row>
                    <xdr:rowOff>139700</xdr:rowOff>
                  </from>
                  <to>
                    <xdr:col>37</xdr:col>
                    <xdr:colOff>406400</xdr:colOff>
                    <xdr:row>80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Check Box 128">
              <controlPr defaultSize="0" autoFill="0" autoLine="0" autoPict="0">
                <anchor moveWithCells="1">
                  <from>
                    <xdr:col>38</xdr:col>
                    <xdr:colOff>241300</xdr:colOff>
                    <xdr:row>72</xdr:row>
                    <xdr:rowOff>120650</xdr:rowOff>
                  </from>
                  <to>
                    <xdr:col>39</xdr:col>
                    <xdr:colOff>6350</xdr:colOff>
                    <xdr:row>74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Check Box 129">
              <controlPr defaultSize="0" autoFill="0" autoLine="0" autoPict="0">
                <anchor moveWithCells="1">
                  <from>
                    <xdr:col>38</xdr:col>
                    <xdr:colOff>241300</xdr:colOff>
                    <xdr:row>73</xdr:row>
                    <xdr:rowOff>133350</xdr:rowOff>
                  </from>
                  <to>
                    <xdr:col>39</xdr:col>
                    <xdr:colOff>19050</xdr:colOff>
                    <xdr:row>75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Check Box 130">
              <controlPr defaultSize="0" autoFill="0" autoLine="0" autoPict="0">
                <anchor moveWithCells="1">
                  <from>
                    <xdr:col>38</xdr:col>
                    <xdr:colOff>241300</xdr:colOff>
                    <xdr:row>74</xdr:row>
                    <xdr:rowOff>139700</xdr:rowOff>
                  </from>
                  <to>
                    <xdr:col>39</xdr:col>
                    <xdr:colOff>6350</xdr:colOff>
                    <xdr:row>76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Check Box 131">
              <controlPr defaultSize="0" autoFill="0" autoLine="0" autoPict="0">
                <anchor moveWithCells="1">
                  <from>
                    <xdr:col>38</xdr:col>
                    <xdr:colOff>241300</xdr:colOff>
                    <xdr:row>75</xdr:row>
                    <xdr:rowOff>139700</xdr:rowOff>
                  </from>
                  <to>
                    <xdr:col>38</xdr:col>
                    <xdr:colOff>438150</xdr:colOff>
                    <xdr:row>77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Check Box 132">
              <controlPr defaultSize="0" autoFill="0" autoLine="0" autoPict="0">
                <anchor moveWithCells="1">
                  <from>
                    <xdr:col>38</xdr:col>
                    <xdr:colOff>241300</xdr:colOff>
                    <xdr:row>76</xdr:row>
                    <xdr:rowOff>133350</xdr:rowOff>
                  </from>
                  <to>
                    <xdr:col>38</xdr:col>
                    <xdr:colOff>425450</xdr:colOff>
                    <xdr:row>78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Check Box 133">
              <controlPr defaultSize="0" autoFill="0" autoLine="0" autoPict="0">
                <anchor moveWithCells="1">
                  <from>
                    <xdr:col>38</xdr:col>
                    <xdr:colOff>241300</xdr:colOff>
                    <xdr:row>77</xdr:row>
                    <xdr:rowOff>146050</xdr:rowOff>
                  </from>
                  <to>
                    <xdr:col>38</xdr:col>
                    <xdr:colOff>425450</xdr:colOff>
                    <xdr:row>79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Check Box 134">
              <controlPr defaultSize="0" autoFill="0" autoLine="0" autoPict="0">
                <anchor moveWithCells="1">
                  <from>
                    <xdr:col>38</xdr:col>
                    <xdr:colOff>241300</xdr:colOff>
                    <xdr:row>78</xdr:row>
                    <xdr:rowOff>139700</xdr:rowOff>
                  </from>
                  <to>
                    <xdr:col>38</xdr:col>
                    <xdr:colOff>425450</xdr:colOff>
                    <xdr:row>80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Check Box 135">
              <controlPr defaultSize="0" autoFill="0" autoLine="0" autoPict="0">
                <anchor moveWithCells="1">
                  <from>
                    <xdr:col>39</xdr:col>
                    <xdr:colOff>228600</xdr:colOff>
                    <xdr:row>72</xdr:row>
                    <xdr:rowOff>120650</xdr:rowOff>
                  </from>
                  <to>
                    <xdr:col>39</xdr:col>
                    <xdr:colOff>444500</xdr:colOff>
                    <xdr:row>74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Check Box 136">
              <controlPr defaultSize="0" autoFill="0" autoLine="0" autoPict="0">
                <anchor moveWithCells="1">
                  <from>
                    <xdr:col>39</xdr:col>
                    <xdr:colOff>228600</xdr:colOff>
                    <xdr:row>73</xdr:row>
                    <xdr:rowOff>133350</xdr:rowOff>
                  </from>
                  <to>
                    <xdr:col>53</xdr:col>
                    <xdr:colOff>6350</xdr:colOff>
                    <xdr:row>75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Check Box 137">
              <controlPr defaultSize="0" autoFill="0" autoLine="0" autoPict="0">
                <anchor moveWithCells="1">
                  <from>
                    <xdr:col>39</xdr:col>
                    <xdr:colOff>228600</xdr:colOff>
                    <xdr:row>74</xdr:row>
                    <xdr:rowOff>139700</xdr:rowOff>
                  </from>
                  <to>
                    <xdr:col>39</xdr:col>
                    <xdr:colOff>444500</xdr:colOff>
                    <xdr:row>76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Check Box 138">
              <controlPr defaultSize="0" autoFill="0" autoLine="0" autoPict="0">
                <anchor moveWithCells="1">
                  <from>
                    <xdr:col>39</xdr:col>
                    <xdr:colOff>228600</xdr:colOff>
                    <xdr:row>75</xdr:row>
                    <xdr:rowOff>139700</xdr:rowOff>
                  </from>
                  <to>
                    <xdr:col>39</xdr:col>
                    <xdr:colOff>425450</xdr:colOff>
                    <xdr:row>77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Check Box 139">
              <controlPr defaultSize="0" autoFill="0" autoLine="0" autoPict="0">
                <anchor moveWithCells="1">
                  <from>
                    <xdr:col>39</xdr:col>
                    <xdr:colOff>228600</xdr:colOff>
                    <xdr:row>76</xdr:row>
                    <xdr:rowOff>133350</xdr:rowOff>
                  </from>
                  <to>
                    <xdr:col>39</xdr:col>
                    <xdr:colOff>412750</xdr:colOff>
                    <xdr:row>78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Check Box 140">
              <controlPr defaultSize="0" autoFill="0" autoLine="0" autoPict="0">
                <anchor moveWithCells="1">
                  <from>
                    <xdr:col>39</xdr:col>
                    <xdr:colOff>228600</xdr:colOff>
                    <xdr:row>77</xdr:row>
                    <xdr:rowOff>146050</xdr:rowOff>
                  </from>
                  <to>
                    <xdr:col>39</xdr:col>
                    <xdr:colOff>412750</xdr:colOff>
                    <xdr:row>79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1" r:id="rId144" name="Check Box 141">
              <controlPr defaultSize="0" autoFill="0" autoLine="0" autoPict="0">
                <anchor moveWithCells="1">
                  <from>
                    <xdr:col>39</xdr:col>
                    <xdr:colOff>228600</xdr:colOff>
                    <xdr:row>78</xdr:row>
                    <xdr:rowOff>139700</xdr:rowOff>
                  </from>
                  <to>
                    <xdr:col>39</xdr:col>
                    <xdr:colOff>412750</xdr:colOff>
                    <xdr:row>80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2" r:id="rId145" name="Check Box 142">
              <controlPr defaultSize="0" autoFill="0" autoLine="0" autoPict="0">
                <anchor moveWithCells="1">
                  <from>
                    <xdr:col>4</xdr:col>
                    <xdr:colOff>44450</xdr:colOff>
                    <xdr:row>120</xdr:row>
                    <xdr:rowOff>127000</xdr:rowOff>
                  </from>
                  <to>
                    <xdr:col>19</xdr:col>
                    <xdr:colOff>209550</xdr:colOff>
                    <xdr:row>122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3" r:id="rId146" name="Check Box 143">
              <controlPr defaultSize="0" autoFill="0" autoLine="0" autoPict="0">
                <anchor moveWithCells="1">
                  <from>
                    <xdr:col>4</xdr:col>
                    <xdr:colOff>44450</xdr:colOff>
                    <xdr:row>121</xdr:row>
                    <xdr:rowOff>127000</xdr:rowOff>
                  </from>
                  <to>
                    <xdr:col>20</xdr:col>
                    <xdr:colOff>139700</xdr:colOff>
                    <xdr:row>123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4" r:id="rId147" name="Check Box 144">
              <controlPr defaultSize="0" autoFill="0" autoLine="0" autoPict="0">
                <anchor moveWithCells="1">
                  <from>
                    <xdr:col>4</xdr:col>
                    <xdr:colOff>25400</xdr:colOff>
                    <xdr:row>122</xdr:row>
                    <xdr:rowOff>127000</xdr:rowOff>
                  </from>
                  <to>
                    <xdr:col>21</xdr:col>
                    <xdr:colOff>50800</xdr:colOff>
                    <xdr:row>124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5" r:id="rId148" name="Check Box 145">
              <controlPr defaultSize="0" autoFill="0" autoLine="0" autoPict="0">
                <anchor moveWithCells="1">
                  <from>
                    <xdr:col>4</xdr:col>
                    <xdr:colOff>44450</xdr:colOff>
                    <xdr:row>123</xdr:row>
                    <xdr:rowOff>139700</xdr:rowOff>
                  </from>
                  <to>
                    <xdr:col>20</xdr:col>
                    <xdr:colOff>139700</xdr:colOff>
                    <xdr:row>125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6" r:id="rId149" name="Check Box 146">
              <controlPr defaultSize="0" autoFill="0" autoLine="0" autoPict="0">
                <anchor moveWithCells="1">
                  <from>
                    <xdr:col>4</xdr:col>
                    <xdr:colOff>44450</xdr:colOff>
                    <xdr:row>124</xdr:row>
                    <xdr:rowOff>139700</xdr:rowOff>
                  </from>
                  <to>
                    <xdr:col>19</xdr:col>
                    <xdr:colOff>25400</xdr:colOff>
                    <xdr:row>126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7" r:id="rId150" name="Check Box 147">
              <controlPr defaultSize="0" autoFill="0" autoLine="0" autoPict="0">
                <anchor moveWithCells="1">
                  <from>
                    <xdr:col>4</xdr:col>
                    <xdr:colOff>44450</xdr:colOff>
                    <xdr:row>125</xdr:row>
                    <xdr:rowOff>133350</xdr:rowOff>
                  </from>
                  <to>
                    <xdr:col>18</xdr:col>
                    <xdr:colOff>95250</xdr:colOff>
                    <xdr:row>127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8" r:id="rId151" name="Check Box 148">
              <controlPr defaultSize="0" autoFill="0" autoLine="0" autoPict="0">
                <anchor moveWithCells="1">
                  <from>
                    <xdr:col>4</xdr:col>
                    <xdr:colOff>44450</xdr:colOff>
                    <xdr:row>126</xdr:row>
                    <xdr:rowOff>133350</xdr:rowOff>
                  </from>
                  <to>
                    <xdr:col>18</xdr:col>
                    <xdr:colOff>95250</xdr:colOff>
                    <xdr:row>128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9" r:id="rId152" name="Check Box 149">
              <controlPr defaultSize="0" autoFill="0" autoLine="0" autoPict="0">
                <anchor moveWithCells="1">
                  <from>
                    <xdr:col>4</xdr:col>
                    <xdr:colOff>44450</xdr:colOff>
                    <xdr:row>127</xdr:row>
                    <xdr:rowOff>120650</xdr:rowOff>
                  </from>
                  <to>
                    <xdr:col>18</xdr:col>
                    <xdr:colOff>95250</xdr:colOff>
                    <xdr:row>129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70" r:id="rId153" name="Check Box 150">
              <controlPr defaultSize="0" autoFill="0" autoLine="0" autoPict="0" altText="En activant la case vous remplacer les valeurs prévisionnelles par les valeurs réelles, vous permettant ainsi d'avoir une idée sur l'évolution du nombre d'agents">
                <anchor moveWithCells="1">
                  <from>
                    <xdr:col>4</xdr:col>
                    <xdr:colOff>6350</xdr:colOff>
                    <xdr:row>135</xdr:row>
                    <xdr:rowOff>0</xdr:rowOff>
                  </from>
                  <to>
                    <xdr:col>5</xdr:col>
                    <xdr:colOff>25400</xdr:colOff>
                    <xdr:row>136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4502C-0D65-4968-87A0-12BA4D3A1526}">
  <sheetPr codeName="Feuil12">
    <tabColor rgb="FFFF0000"/>
  </sheetPr>
  <dimension ref="A1:AX93"/>
  <sheetViews>
    <sheetView workbookViewId="0">
      <pane xSplit="1" topLeftCell="B1" activePane="topRight" state="frozen"/>
      <selection pane="topRight" sqref="A1:A93"/>
    </sheetView>
  </sheetViews>
  <sheetFormatPr baseColWidth="10" defaultColWidth="11.453125" defaultRowHeight="12.5" x14ac:dyDescent="0.25"/>
  <cols>
    <col min="1" max="1" width="11.453125" style="221"/>
    <col min="2" max="12" width="6" style="221" hidden="1" customWidth="1"/>
    <col min="13" max="50" width="6" style="221" bestFit="1" customWidth="1"/>
    <col min="51" max="16384" width="11.453125" style="221"/>
  </cols>
  <sheetData>
    <row r="1" spans="1:50" s="224" customFormat="1" ht="27.75" customHeight="1" x14ac:dyDescent="0.25">
      <c r="B1" s="224">
        <v>0</v>
      </c>
      <c r="C1" s="224">
        <v>2.0833333333333332E-2</v>
      </c>
      <c r="D1" s="224">
        <v>4.1666666666666699E-2</v>
      </c>
      <c r="E1" s="224">
        <v>6.25E-2</v>
      </c>
      <c r="F1" s="224">
        <v>8.3333333333333301E-2</v>
      </c>
      <c r="G1" s="224">
        <v>0.104166666666667</v>
      </c>
      <c r="H1" s="224">
        <v>0.125</v>
      </c>
      <c r="I1" s="224">
        <v>0.14583333333333301</v>
      </c>
      <c r="J1" s="224">
        <v>0.16666666666666699</v>
      </c>
      <c r="K1" s="224">
        <v>0.1875</v>
      </c>
      <c r="L1" s="224">
        <v>0.20833333333333301</v>
      </c>
      <c r="M1" s="224">
        <v>0.22916666666666699</v>
      </c>
      <c r="N1" s="224">
        <v>0.25</v>
      </c>
      <c r="O1" s="224">
        <v>0.27083333333333298</v>
      </c>
      <c r="P1" s="224">
        <v>0.29166666666666702</v>
      </c>
      <c r="Q1" s="224">
        <v>0.3125</v>
      </c>
      <c r="R1" s="224">
        <v>0.33333333333333298</v>
      </c>
      <c r="S1" s="224">
        <v>0.35416666666666702</v>
      </c>
      <c r="T1" s="224">
        <v>0.375</v>
      </c>
      <c r="U1" s="224">
        <v>0.39583333333333298</v>
      </c>
      <c r="V1" s="224">
        <v>0.41666666666666702</v>
      </c>
      <c r="W1" s="224">
        <v>0.4375</v>
      </c>
      <c r="X1" s="224">
        <v>0.45833333333333298</v>
      </c>
      <c r="Y1" s="224">
        <v>0.47916666666666702</v>
      </c>
      <c r="Z1" s="224">
        <v>0.5</v>
      </c>
      <c r="AA1" s="224">
        <v>0.52083333333333304</v>
      </c>
      <c r="AB1" s="224">
        <v>0.54166666666666696</v>
      </c>
      <c r="AC1" s="224">
        <v>0.5625</v>
      </c>
      <c r="AD1" s="224">
        <v>0.58333333333333304</v>
      </c>
      <c r="AE1" s="224">
        <v>0.60416666666666696</v>
      </c>
      <c r="AF1" s="224">
        <v>0.625</v>
      </c>
      <c r="AG1" s="224">
        <v>0.64583333333333304</v>
      </c>
      <c r="AH1" s="224">
        <v>0.66666666666666696</v>
      </c>
      <c r="AI1" s="224">
        <v>0.6875</v>
      </c>
      <c r="AJ1" s="224">
        <v>0.70833333333333304</v>
      </c>
      <c r="AK1" s="224">
        <v>0.72916666666666696</v>
      </c>
      <c r="AL1" s="224">
        <v>0.75</v>
      </c>
      <c r="AM1" s="224">
        <v>0.77083333333333304</v>
      </c>
      <c r="AN1" s="224">
        <v>0.79166666666666696</v>
      </c>
      <c r="AO1" s="224">
        <v>0.8125</v>
      </c>
      <c r="AP1" s="224">
        <v>0.83333333333333304</v>
      </c>
      <c r="AQ1" s="224">
        <v>0.85416666666666696</v>
      </c>
      <c r="AR1" s="224">
        <v>0.875</v>
      </c>
      <c r="AS1" s="224">
        <v>0.89583333333333304</v>
      </c>
      <c r="AT1" s="224">
        <v>0.91666666666666696</v>
      </c>
      <c r="AU1" s="224">
        <v>0.9375</v>
      </c>
      <c r="AV1" s="224">
        <v>0.95833333333333304</v>
      </c>
      <c r="AW1" s="224">
        <v>0.97916666666666696</v>
      </c>
      <c r="AX1" s="224">
        <v>1</v>
      </c>
    </row>
    <row r="2" spans="1:50" s="224" customFormat="1" x14ac:dyDescent="0.25">
      <c r="A2" s="122" t="s">
        <v>91</v>
      </c>
      <c r="B2" s="225"/>
      <c r="C2" s="225"/>
      <c r="D2" s="225"/>
      <c r="E2" s="225"/>
      <c r="F2" s="225"/>
      <c r="G2" s="225"/>
      <c r="H2" s="225"/>
      <c r="I2" s="225"/>
      <c r="J2" s="225"/>
      <c r="K2" s="225"/>
      <c r="L2" s="225"/>
      <c r="M2" s="225"/>
      <c r="N2" s="225"/>
      <c r="O2" s="225"/>
      <c r="P2" s="225"/>
      <c r="Q2" s="225"/>
      <c r="R2" s="225">
        <v>1</v>
      </c>
      <c r="S2" s="225">
        <v>1</v>
      </c>
      <c r="T2" s="225">
        <v>1</v>
      </c>
      <c r="U2" s="225">
        <v>1</v>
      </c>
      <c r="V2" s="225">
        <v>1</v>
      </c>
      <c r="W2" s="225">
        <v>1</v>
      </c>
      <c r="X2" s="225">
        <v>1</v>
      </c>
      <c r="Y2" s="225" t="s">
        <v>337</v>
      </c>
      <c r="Z2" s="225" t="s">
        <v>337</v>
      </c>
      <c r="AA2" s="225">
        <v>1</v>
      </c>
      <c r="AB2" s="225">
        <v>1</v>
      </c>
      <c r="AC2" s="225">
        <v>1</v>
      </c>
      <c r="AD2" s="225">
        <v>1</v>
      </c>
      <c r="AE2" s="225">
        <v>1</v>
      </c>
      <c r="AF2" s="225">
        <v>1</v>
      </c>
      <c r="AG2" s="225">
        <v>1</v>
      </c>
      <c r="AH2" s="225">
        <v>1</v>
      </c>
      <c r="AI2" s="225">
        <v>0.4</v>
      </c>
      <c r="AJ2" s="225"/>
      <c r="AK2" s="225"/>
      <c r="AL2" s="225"/>
      <c r="AM2" s="225"/>
      <c r="AN2" s="225"/>
      <c r="AO2" s="225"/>
      <c r="AP2" s="225"/>
      <c r="AQ2" s="225"/>
      <c r="AR2" s="225"/>
      <c r="AS2" s="225"/>
      <c r="AT2" s="225"/>
      <c r="AU2" s="225"/>
      <c r="AV2" s="225"/>
      <c r="AW2" s="225"/>
      <c r="AX2" s="225"/>
    </row>
    <row r="3" spans="1:50" x14ac:dyDescent="0.25">
      <c r="A3" s="122" t="s">
        <v>96</v>
      </c>
      <c r="B3" s="225"/>
      <c r="C3" s="225"/>
      <c r="D3" s="225"/>
      <c r="E3" s="225"/>
      <c r="F3" s="225"/>
      <c r="G3" s="225"/>
      <c r="H3" s="225"/>
      <c r="I3" s="225"/>
      <c r="J3" s="225"/>
      <c r="K3" s="225"/>
      <c r="L3" s="225"/>
      <c r="M3" s="225"/>
      <c r="N3" s="225"/>
      <c r="O3" s="225"/>
      <c r="P3" s="225"/>
      <c r="Q3" s="225"/>
      <c r="R3" s="225">
        <v>0.6</v>
      </c>
      <c r="S3" s="225">
        <v>1</v>
      </c>
      <c r="T3" s="225">
        <v>1</v>
      </c>
      <c r="U3" s="225">
        <v>1</v>
      </c>
      <c r="V3" s="225">
        <v>1</v>
      </c>
      <c r="W3" s="225">
        <v>1</v>
      </c>
      <c r="X3" s="225">
        <v>1</v>
      </c>
      <c r="Y3" s="225" t="s">
        <v>337</v>
      </c>
      <c r="Z3" s="225" t="s">
        <v>337</v>
      </c>
      <c r="AA3" s="225">
        <v>1</v>
      </c>
      <c r="AB3" s="225">
        <v>1</v>
      </c>
      <c r="AC3" s="225">
        <v>1</v>
      </c>
      <c r="AD3" s="225">
        <v>1</v>
      </c>
      <c r="AE3" s="225">
        <v>1</v>
      </c>
      <c r="AF3" s="225">
        <v>1</v>
      </c>
      <c r="AG3" s="225">
        <v>1</v>
      </c>
      <c r="AH3" s="225">
        <v>1</v>
      </c>
      <c r="AI3" s="225">
        <v>0.4</v>
      </c>
      <c r="AJ3" s="225"/>
      <c r="AK3" s="225"/>
      <c r="AL3" s="225"/>
      <c r="AM3" s="225"/>
      <c r="AN3" s="225"/>
      <c r="AO3" s="225"/>
      <c r="AP3" s="225"/>
      <c r="AQ3" s="225"/>
      <c r="AR3" s="225"/>
      <c r="AS3" s="225"/>
      <c r="AT3" s="225"/>
      <c r="AU3" s="225"/>
      <c r="AV3" s="225"/>
      <c r="AW3" s="225"/>
      <c r="AX3" s="225"/>
    </row>
    <row r="4" spans="1:50" x14ac:dyDescent="0.25">
      <c r="A4" s="122" t="s">
        <v>99</v>
      </c>
      <c r="B4" s="225"/>
      <c r="C4" s="225"/>
      <c r="D4" s="225"/>
      <c r="E4" s="225"/>
      <c r="F4" s="225"/>
      <c r="G4" s="225"/>
      <c r="H4" s="225"/>
      <c r="I4" s="225"/>
      <c r="J4" s="225"/>
      <c r="K4" s="225"/>
      <c r="L4" s="225"/>
      <c r="M4" s="225"/>
      <c r="N4" s="225"/>
      <c r="O4" s="225"/>
      <c r="P4" s="225"/>
      <c r="Q4" s="225"/>
      <c r="R4" s="225"/>
      <c r="S4" s="225">
        <v>1</v>
      </c>
      <c r="T4" s="225">
        <v>1</v>
      </c>
      <c r="U4" s="225">
        <v>1</v>
      </c>
      <c r="V4" s="225">
        <v>1</v>
      </c>
      <c r="W4" s="225">
        <v>1</v>
      </c>
      <c r="X4" s="225">
        <v>1</v>
      </c>
      <c r="Y4" s="225">
        <v>1</v>
      </c>
      <c r="Z4" s="225" t="s">
        <v>337</v>
      </c>
      <c r="AA4" s="225" t="s">
        <v>337</v>
      </c>
      <c r="AB4" s="225">
        <v>1</v>
      </c>
      <c r="AC4" s="225">
        <v>1</v>
      </c>
      <c r="AD4" s="225">
        <v>1</v>
      </c>
      <c r="AE4" s="225">
        <v>1</v>
      </c>
      <c r="AF4" s="225">
        <v>1</v>
      </c>
      <c r="AG4" s="225">
        <v>1</v>
      </c>
      <c r="AH4" s="225">
        <v>1</v>
      </c>
      <c r="AI4" s="225">
        <v>1</v>
      </c>
      <c r="AJ4" s="225">
        <v>0.6</v>
      </c>
      <c r="AK4" s="225"/>
      <c r="AL4" s="225"/>
      <c r="AM4" s="225"/>
      <c r="AN4" s="225"/>
      <c r="AO4" s="225"/>
      <c r="AP4" s="225"/>
      <c r="AQ4" s="225"/>
      <c r="AR4" s="225"/>
      <c r="AS4" s="225"/>
      <c r="AT4" s="225"/>
      <c r="AU4" s="225"/>
      <c r="AV4" s="225"/>
      <c r="AW4" s="225"/>
      <c r="AX4" s="225"/>
    </row>
    <row r="5" spans="1:50" x14ac:dyDescent="0.25">
      <c r="A5" s="122" t="s">
        <v>103</v>
      </c>
      <c r="B5" s="225"/>
      <c r="C5" s="225"/>
      <c r="D5" s="225"/>
      <c r="E5" s="225"/>
      <c r="F5" s="225"/>
      <c r="G5" s="225"/>
      <c r="H5" s="225"/>
      <c r="I5" s="225"/>
      <c r="J5" s="225"/>
      <c r="K5" s="225"/>
      <c r="L5" s="225"/>
      <c r="M5" s="225"/>
      <c r="N5" s="225"/>
      <c r="O5" s="225"/>
      <c r="P5" s="225"/>
      <c r="Q5" s="225"/>
      <c r="R5" s="225"/>
      <c r="S5" s="225">
        <v>0.5</v>
      </c>
      <c r="T5" s="225">
        <v>1</v>
      </c>
      <c r="U5" s="225">
        <v>1</v>
      </c>
      <c r="V5" s="225">
        <v>1</v>
      </c>
      <c r="W5" s="225">
        <v>1</v>
      </c>
      <c r="X5" s="225">
        <v>1</v>
      </c>
      <c r="Y5" s="225">
        <v>1</v>
      </c>
      <c r="Z5" s="225" t="s">
        <v>337</v>
      </c>
      <c r="AA5" s="225" t="s">
        <v>337</v>
      </c>
      <c r="AB5" s="225">
        <v>1</v>
      </c>
      <c r="AC5" s="225">
        <v>1</v>
      </c>
      <c r="AD5" s="225">
        <v>1</v>
      </c>
      <c r="AE5" s="225">
        <v>1</v>
      </c>
      <c r="AF5" s="225">
        <v>1</v>
      </c>
      <c r="AG5" s="225">
        <v>1</v>
      </c>
      <c r="AH5" s="225">
        <v>1</v>
      </c>
      <c r="AI5" s="225">
        <v>1</v>
      </c>
      <c r="AJ5" s="225">
        <v>0.2</v>
      </c>
      <c r="AK5" s="225"/>
      <c r="AL5" s="225"/>
      <c r="AM5" s="225"/>
      <c r="AN5" s="225"/>
      <c r="AO5" s="225"/>
      <c r="AP5" s="225"/>
      <c r="AQ5" s="225"/>
      <c r="AR5" s="225"/>
      <c r="AS5" s="225"/>
      <c r="AT5" s="225"/>
      <c r="AU5" s="225"/>
      <c r="AV5" s="225"/>
      <c r="AW5" s="225"/>
      <c r="AX5" s="225"/>
    </row>
    <row r="6" spans="1:50" x14ac:dyDescent="0.25">
      <c r="A6" s="130" t="s">
        <v>26</v>
      </c>
      <c r="B6" s="225"/>
      <c r="C6" s="225"/>
      <c r="D6" s="225"/>
      <c r="E6" s="225"/>
      <c r="F6" s="225"/>
      <c r="G6" s="225"/>
      <c r="H6" s="225"/>
      <c r="I6" s="225"/>
      <c r="J6" s="225"/>
      <c r="K6" s="225"/>
      <c r="L6" s="225"/>
      <c r="M6" s="225"/>
      <c r="N6" s="225"/>
      <c r="O6" s="225"/>
      <c r="P6" s="225"/>
      <c r="Q6" s="225"/>
      <c r="R6" s="225"/>
      <c r="S6" s="225"/>
      <c r="T6" s="225">
        <v>1</v>
      </c>
      <c r="U6" s="225">
        <v>1</v>
      </c>
      <c r="V6" s="225">
        <v>1</v>
      </c>
      <c r="W6" s="225">
        <v>1</v>
      </c>
      <c r="X6" s="225">
        <v>1</v>
      </c>
      <c r="Y6" s="225">
        <v>1</v>
      </c>
      <c r="Z6" s="225" t="s">
        <v>337</v>
      </c>
      <c r="AA6" s="225" t="s">
        <v>337</v>
      </c>
      <c r="AB6" s="225">
        <v>1</v>
      </c>
      <c r="AC6" s="225">
        <v>1</v>
      </c>
      <c r="AD6" s="225">
        <v>1</v>
      </c>
      <c r="AE6" s="225">
        <v>1</v>
      </c>
      <c r="AF6" s="225">
        <v>1</v>
      </c>
      <c r="AG6" s="225">
        <v>1</v>
      </c>
      <c r="AH6" s="225">
        <v>1</v>
      </c>
      <c r="AI6" s="225">
        <v>1</v>
      </c>
      <c r="AJ6" s="225">
        <v>0.8</v>
      </c>
      <c r="AK6" s="225"/>
      <c r="AL6" s="225"/>
      <c r="AM6" s="225"/>
      <c r="AN6" s="225"/>
      <c r="AO6" s="225"/>
      <c r="AP6" s="225"/>
      <c r="AQ6" s="225"/>
      <c r="AR6" s="225"/>
      <c r="AS6" s="225"/>
      <c r="AT6" s="225"/>
      <c r="AU6" s="225"/>
      <c r="AV6" s="225"/>
      <c r="AW6" s="225"/>
      <c r="AX6" s="225"/>
    </row>
    <row r="7" spans="1:50" x14ac:dyDescent="0.25">
      <c r="A7" s="130" t="s">
        <v>109</v>
      </c>
      <c r="B7" s="225"/>
      <c r="C7" s="225"/>
      <c r="D7" s="225"/>
      <c r="E7" s="225"/>
      <c r="F7" s="225"/>
      <c r="G7" s="225"/>
      <c r="H7" s="225"/>
      <c r="I7" s="225"/>
      <c r="J7" s="225"/>
      <c r="K7" s="225"/>
      <c r="L7" s="225"/>
      <c r="M7" s="225"/>
      <c r="N7" s="225"/>
      <c r="O7" s="225"/>
      <c r="P7" s="225"/>
      <c r="Q7" s="225"/>
      <c r="R7" s="225"/>
      <c r="S7" s="225"/>
      <c r="T7" s="225">
        <v>0.7</v>
      </c>
      <c r="U7" s="225">
        <v>1</v>
      </c>
      <c r="V7" s="225">
        <v>1</v>
      </c>
      <c r="W7" s="225">
        <v>1</v>
      </c>
      <c r="X7" s="225">
        <v>1</v>
      </c>
      <c r="Y7" s="225">
        <v>1</v>
      </c>
      <c r="Z7" s="225">
        <v>1</v>
      </c>
      <c r="AA7" s="225" t="s">
        <v>337</v>
      </c>
      <c r="AB7" s="225" t="s">
        <v>337</v>
      </c>
      <c r="AC7" s="225">
        <v>1</v>
      </c>
      <c r="AD7" s="225">
        <v>1</v>
      </c>
      <c r="AE7" s="225">
        <v>1</v>
      </c>
      <c r="AF7" s="225">
        <v>1</v>
      </c>
      <c r="AG7" s="225">
        <v>1</v>
      </c>
      <c r="AH7" s="225">
        <v>1</v>
      </c>
      <c r="AI7" s="225">
        <v>1</v>
      </c>
      <c r="AJ7" s="225">
        <v>0.8</v>
      </c>
      <c r="AK7" s="225"/>
      <c r="AL7" s="225"/>
      <c r="AM7" s="225"/>
      <c r="AN7" s="225"/>
      <c r="AO7" s="225"/>
      <c r="AP7" s="225"/>
      <c r="AQ7" s="225"/>
      <c r="AR7" s="225"/>
      <c r="AS7" s="225"/>
      <c r="AT7" s="225"/>
      <c r="AU7" s="225"/>
      <c r="AV7" s="225"/>
      <c r="AW7" s="225"/>
      <c r="AX7" s="225"/>
    </row>
    <row r="8" spans="1:50" x14ac:dyDescent="0.25">
      <c r="A8" s="130" t="s">
        <v>112</v>
      </c>
      <c r="B8" s="225"/>
      <c r="C8" s="225"/>
      <c r="D8" s="225"/>
      <c r="E8" s="225"/>
      <c r="F8" s="225"/>
      <c r="G8" s="225"/>
      <c r="H8" s="225"/>
      <c r="I8" s="225"/>
      <c r="J8" s="225"/>
      <c r="K8" s="225"/>
      <c r="L8" s="225"/>
      <c r="M8" s="225"/>
      <c r="N8" s="225"/>
      <c r="O8" s="225"/>
      <c r="P8" s="225"/>
      <c r="Q8" s="225"/>
      <c r="R8" s="225"/>
      <c r="S8" s="225"/>
      <c r="T8" s="225"/>
      <c r="U8" s="225">
        <v>1</v>
      </c>
      <c r="V8" s="225">
        <v>1</v>
      </c>
      <c r="W8" s="225">
        <v>1</v>
      </c>
      <c r="X8" s="225">
        <v>1</v>
      </c>
      <c r="Y8" s="225">
        <v>1</v>
      </c>
      <c r="Z8" s="225">
        <v>1</v>
      </c>
      <c r="AA8" s="225">
        <v>1</v>
      </c>
      <c r="AB8" s="225" t="s">
        <v>337</v>
      </c>
      <c r="AC8" s="225" t="s">
        <v>337</v>
      </c>
      <c r="AD8" s="225">
        <v>1</v>
      </c>
      <c r="AE8" s="225">
        <v>1</v>
      </c>
      <c r="AF8" s="225">
        <v>1</v>
      </c>
      <c r="AG8" s="225">
        <v>1</v>
      </c>
      <c r="AH8" s="225">
        <v>1</v>
      </c>
      <c r="AI8" s="225">
        <v>1</v>
      </c>
      <c r="AJ8" s="225">
        <v>1</v>
      </c>
      <c r="AK8" s="225">
        <v>0.5</v>
      </c>
      <c r="AL8" s="225"/>
      <c r="AM8" s="225"/>
      <c r="AN8" s="225"/>
      <c r="AO8" s="225"/>
      <c r="AP8" s="225"/>
      <c r="AQ8" s="225"/>
      <c r="AR8" s="225"/>
      <c r="AS8" s="225"/>
      <c r="AT8" s="225"/>
      <c r="AU8" s="225"/>
      <c r="AV8" s="225"/>
      <c r="AW8" s="225"/>
      <c r="AX8" s="225"/>
    </row>
    <row r="9" spans="1:50" x14ac:dyDescent="0.25">
      <c r="A9" s="132" t="s">
        <v>34</v>
      </c>
      <c r="B9" s="225"/>
      <c r="C9" s="225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225"/>
      <c r="T9" s="225">
        <v>1</v>
      </c>
      <c r="U9" s="225">
        <v>1</v>
      </c>
      <c r="V9" s="225">
        <v>1</v>
      </c>
      <c r="W9" s="225">
        <v>1</v>
      </c>
      <c r="X9" s="225">
        <v>1</v>
      </c>
      <c r="Y9" s="225">
        <v>1</v>
      </c>
      <c r="Z9" s="225">
        <v>1</v>
      </c>
      <c r="AA9" s="225" t="s">
        <v>337</v>
      </c>
      <c r="AB9" s="225" t="s">
        <v>337</v>
      </c>
      <c r="AC9" s="225">
        <v>1</v>
      </c>
      <c r="AD9" s="225">
        <v>1</v>
      </c>
      <c r="AE9" s="225">
        <v>1</v>
      </c>
      <c r="AF9" s="225">
        <v>1</v>
      </c>
      <c r="AG9" s="225">
        <v>1</v>
      </c>
      <c r="AH9" s="225">
        <v>1</v>
      </c>
      <c r="AI9" s="225">
        <v>1</v>
      </c>
      <c r="AJ9" s="225"/>
      <c r="AK9" s="225"/>
      <c r="AL9" s="225"/>
      <c r="AM9" s="225"/>
      <c r="AN9" s="225"/>
      <c r="AO9" s="225"/>
      <c r="AP9" s="225"/>
      <c r="AQ9" s="225"/>
      <c r="AR9" s="225"/>
      <c r="AS9" s="225"/>
      <c r="AT9" s="225"/>
      <c r="AU9" s="225"/>
      <c r="AV9" s="225"/>
      <c r="AW9" s="225"/>
      <c r="AX9" s="225"/>
    </row>
    <row r="10" spans="1:50" x14ac:dyDescent="0.25">
      <c r="A10" s="133" t="s">
        <v>117</v>
      </c>
      <c r="B10" s="225"/>
      <c r="C10" s="225"/>
      <c r="D10" s="225"/>
      <c r="E10" s="225"/>
      <c r="F10" s="225"/>
      <c r="G10" s="225"/>
      <c r="H10" s="225"/>
      <c r="I10" s="225"/>
      <c r="J10" s="225"/>
      <c r="K10" s="225"/>
      <c r="L10" s="225"/>
      <c r="M10" s="225"/>
      <c r="N10" s="225"/>
      <c r="O10" s="225"/>
      <c r="P10" s="225"/>
      <c r="Q10" s="225"/>
      <c r="R10" s="225"/>
      <c r="S10" s="225">
        <v>1</v>
      </c>
      <c r="T10" s="225">
        <v>1</v>
      </c>
      <c r="U10" s="225">
        <v>1</v>
      </c>
      <c r="V10" s="225">
        <v>1</v>
      </c>
      <c r="W10" s="225">
        <v>1</v>
      </c>
      <c r="X10" s="225">
        <v>1</v>
      </c>
      <c r="Y10" s="225">
        <v>1</v>
      </c>
      <c r="Z10" s="225">
        <v>1</v>
      </c>
      <c r="AA10" s="225" t="s">
        <v>337</v>
      </c>
      <c r="AB10" s="225" t="s">
        <v>337</v>
      </c>
      <c r="AC10" s="225">
        <v>1</v>
      </c>
      <c r="AD10" s="225">
        <v>1</v>
      </c>
      <c r="AE10" s="225">
        <v>1</v>
      </c>
      <c r="AF10" s="225">
        <v>1</v>
      </c>
      <c r="AG10" s="225">
        <v>1</v>
      </c>
      <c r="AH10" s="225">
        <v>1</v>
      </c>
      <c r="AI10" s="225">
        <v>1</v>
      </c>
      <c r="AJ10" s="225">
        <v>1</v>
      </c>
      <c r="AK10" s="225">
        <v>1</v>
      </c>
      <c r="AL10" s="225">
        <v>0.2</v>
      </c>
      <c r="AM10" s="225"/>
      <c r="AN10" s="225"/>
      <c r="AO10" s="225"/>
      <c r="AP10" s="225"/>
      <c r="AQ10" s="225"/>
      <c r="AR10" s="225"/>
      <c r="AS10" s="225"/>
      <c r="AT10" s="225"/>
      <c r="AU10" s="225"/>
      <c r="AV10" s="225"/>
      <c r="AW10" s="225"/>
      <c r="AX10" s="225"/>
    </row>
    <row r="11" spans="1:50" x14ac:dyDescent="0.25">
      <c r="A11" s="38" t="s">
        <v>119</v>
      </c>
      <c r="B11" s="225"/>
      <c r="C11" s="225"/>
      <c r="D11" s="225"/>
      <c r="E11" s="225"/>
      <c r="F11" s="225"/>
      <c r="G11" s="225"/>
      <c r="H11" s="225"/>
      <c r="I11" s="225"/>
      <c r="J11" s="225"/>
      <c r="K11" s="225"/>
      <c r="L11" s="225"/>
      <c r="M11" s="225"/>
      <c r="N11" s="225"/>
      <c r="O11" s="225"/>
      <c r="P11" s="225"/>
      <c r="Q11" s="225"/>
      <c r="R11" s="225"/>
      <c r="S11" s="225"/>
      <c r="T11" s="225">
        <v>1</v>
      </c>
      <c r="U11" s="225">
        <v>1</v>
      </c>
      <c r="V11" s="225">
        <v>1</v>
      </c>
      <c r="W11" s="225">
        <v>1</v>
      </c>
      <c r="X11" s="225">
        <v>1</v>
      </c>
      <c r="Y11" s="225">
        <v>1</v>
      </c>
      <c r="Z11" s="225">
        <v>1</v>
      </c>
      <c r="AA11" s="225" t="s">
        <v>337</v>
      </c>
      <c r="AB11" s="225" t="s">
        <v>337</v>
      </c>
      <c r="AC11" s="225">
        <v>1</v>
      </c>
      <c r="AD11" s="225">
        <v>1</v>
      </c>
      <c r="AE11" s="225">
        <v>1</v>
      </c>
      <c r="AF11" s="225">
        <v>1</v>
      </c>
      <c r="AG11" s="225">
        <v>1</v>
      </c>
      <c r="AH11" s="225">
        <v>1</v>
      </c>
      <c r="AI11" s="225">
        <v>0.8</v>
      </c>
      <c r="AJ11" s="225"/>
      <c r="AK11" s="225"/>
      <c r="AL11" s="225"/>
      <c r="AM11" s="225"/>
      <c r="AN11" s="225"/>
      <c r="AO11" s="225"/>
      <c r="AP11" s="225"/>
      <c r="AQ11" s="225"/>
      <c r="AR11" s="225"/>
      <c r="AS11" s="225"/>
      <c r="AT11" s="225"/>
      <c r="AU11" s="225"/>
      <c r="AV11" s="225"/>
      <c r="AW11" s="225"/>
      <c r="AX11" s="225"/>
    </row>
    <row r="12" spans="1:50" x14ac:dyDescent="0.25">
      <c r="A12" s="38" t="s">
        <v>120</v>
      </c>
      <c r="B12" s="225"/>
      <c r="C12" s="225"/>
      <c r="D12" s="225"/>
      <c r="E12" s="225"/>
      <c r="F12" s="225"/>
      <c r="G12" s="225"/>
      <c r="H12" s="225"/>
      <c r="I12" s="225"/>
      <c r="J12" s="225"/>
      <c r="K12" s="225"/>
      <c r="L12" s="225"/>
      <c r="M12" s="225"/>
      <c r="N12" s="225"/>
      <c r="O12" s="225"/>
      <c r="P12" s="225"/>
      <c r="Q12" s="225"/>
      <c r="R12" s="225"/>
      <c r="S12" s="225"/>
      <c r="T12" s="225"/>
      <c r="U12" s="225">
        <v>1</v>
      </c>
      <c r="V12" s="225">
        <v>1</v>
      </c>
      <c r="W12" s="225">
        <v>1</v>
      </c>
      <c r="X12" s="225">
        <v>1</v>
      </c>
      <c r="Y12" s="225">
        <v>1</v>
      </c>
      <c r="Z12" s="225">
        <v>1</v>
      </c>
      <c r="AA12" s="225">
        <v>1</v>
      </c>
      <c r="AB12" s="225" t="s">
        <v>337</v>
      </c>
      <c r="AC12" s="225" t="s">
        <v>337</v>
      </c>
      <c r="AD12" s="225">
        <v>1</v>
      </c>
      <c r="AE12" s="225">
        <v>1</v>
      </c>
      <c r="AF12" s="225">
        <v>1</v>
      </c>
      <c r="AG12" s="225">
        <v>1</v>
      </c>
      <c r="AH12" s="225">
        <v>1</v>
      </c>
      <c r="AI12" s="225">
        <v>1</v>
      </c>
      <c r="AJ12" s="225">
        <v>1</v>
      </c>
      <c r="AK12" s="225">
        <v>0.8</v>
      </c>
      <c r="AL12" s="225"/>
      <c r="AM12" s="225"/>
      <c r="AN12" s="225"/>
      <c r="AO12" s="225"/>
      <c r="AP12" s="225"/>
      <c r="AQ12" s="225"/>
      <c r="AR12" s="225"/>
      <c r="AS12" s="225"/>
      <c r="AT12" s="225"/>
      <c r="AU12" s="225"/>
      <c r="AV12" s="225"/>
      <c r="AW12" s="225"/>
      <c r="AX12" s="225"/>
    </row>
    <row r="13" spans="1:50" x14ac:dyDescent="0.25">
      <c r="A13" s="37" t="s">
        <v>121</v>
      </c>
      <c r="B13" s="225"/>
      <c r="C13" s="225"/>
      <c r="D13" s="225"/>
      <c r="E13" s="225"/>
      <c r="F13" s="225"/>
      <c r="G13" s="225"/>
      <c r="H13" s="225"/>
      <c r="I13" s="225"/>
      <c r="J13" s="225"/>
      <c r="K13" s="225"/>
      <c r="L13" s="225"/>
      <c r="M13" s="225"/>
      <c r="N13" s="225"/>
      <c r="O13" s="225"/>
      <c r="P13" s="225"/>
      <c r="Q13" s="225"/>
      <c r="R13" s="225"/>
      <c r="S13" s="225">
        <v>1</v>
      </c>
      <c r="T13" s="225">
        <v>1</v>
      </c>
      <c r="U13" s="225">
        <v>1</v>
      </c>
      <c r="V13" s="225">
        <v>1</v>
      </c>
      <c r="W13" s="225">
        <v>1</v>
      </c>
      <c r="X13" s="225">
        <v>1</v>
      </c>
      <c r="Y13" s="225">
        <v>1</v>
      </c>
      <c r="Z13" s="225" t="s">
        <v>337</v>
      </c>
      <c r="AA13" s="225" t="s">
        <v>337</v>
      </c>
      <c r="AB13" s="225">
        <v>1</v>
      </c>
      <c r="AC13" s="225">
        <v>1</v>
      </c>
      <c r="AD13" s="225">
        <v>1</v>
      </c>
      <c r="AE13" s="225">
        <v>1</v>
      </c>
      <c r="AF13" s="225">
        <v>1</v>
      </c>
      <c r="AG13" s="225">
        <v>1</v>
      </c>
      <c r="AH13" s="225">
        <v>1</v>
      </c>
      <c r="AI13" s="225">
        <v>0.8</v>
      </c>
      <c r="AJ13" s="225"/>
      <c r="AK13" s="225"/>
      <c r="AL13" s="225"/>
      <c r="AM13" s="225"/>
      <c r="AN13" s="225"/>
      <c r="AO13" s="225"/>
      <c r="AP13" s="225"/>
      <c r="AQ13" s="225"/>
      <c r="AR13" s="225"/>
      <c r="AS13" s="225"/>
      <c r="AT13" s="225"/>
      <c r="AU13" s="225"/>
      <c r="AV13" s="225"/>
      <c r="AW13" s="225"/>
      <c r="AX13" s="225"/>
    </row>
    <row r="14" spans="1:50" x14ac:dyDescent="0.25">
      <c r="A14" s="37" t="s">
        <v>122</v>
      </c>
      <c r="B14" s="225"/>
      <c r="C14" s="225"/>
      <c r="D14" s="225"/>
      <c r="E14" s="225"/>
      <c r="F14" s="225"/>
      <c r="G14" s="225"/>
      <c r="H14" s="225"/>
      <c r="I14" s="225"/>
      <c r="J14" s="225"/>
      <c r="K14" s="225"/>
      <c r="L14" s="225"/>
      <c r="M14" s="225"/>
      <c r="N14" s="225"/>
      <c r="O14" s="225"/>
      <c r="P14" s="225"/>
      <c r="Q14" s="225"/>
      <c r="R14" s="225"/>
      <c r="S14" s="225"/>
      <c r="T14" s="225">
        <v>1</v>
      </c>
      <c r="U14" s="225">
        <v>1</v>
      </c>
      <c r="V14" s="225">
        <v>1</v>
      </c>
      <c r="W14" s="225">
        <v>1</v>
      </c>
      <c r="X14" s="225">
        <v>1</v>
      </c>
      <c r="Y14" s="225">
        <v>1</v>
      </c>
      <c r="Z14" s="225">
        <v>1</v>
      </c>
      <c r="AA14" s="225" t="s">
        <v>337</v>
      </c>
      <c r="AB14" s="225" t="s">
        <v>337</v>
      </c>
      <c r="AC14" s="225">
        <v>1</v>
      </c>
      <c r="AD14" s="225">
        <v>1</v>
      </c>
      <c r="AE14" s="225">
        <v>1</v>
      </c>
      <c r="AF14" s="225">
        <v>1</v>
      </c>
      <c r="AG14" s="225">
        <v>1</v>
      </c>
      <c r="AH14" s="225">
        <v>1</v>
      </c>
      <c r="AI14" s="225">
        <v>1</v>
      </c>
      <c r="AJ14" s="225">
        <v>0.8</v>
      </c>
      <c r="AK14" s="225"/>
      <c r="AL14" s="225"/>
      <c r="AM14" s="225"/>
      <c r="AN14" s="225"/>
      <c r="AO14" s="225"/>
      <c r="AP14" s="225"/>
      <c r="AQ14" s="225"/>
      <c r="AR14" s="225"/>
      <c r="AS14" s="225"/>
      <c r="AT14" s="225"/>
      <c r="AU14" s="225"/>
      <c r="AV14" s="225"/>
      <c r="AW14" s="225"/>
      <c r="AX14" s="225"/>
    </row>
    <row r="15" spans="1:50" x14ac:dyDescent="0.25">
      <c r="A15" s="97" t="s">
        <v>123</v>
      </c>
      <c r="B15" s="225"/>
      <c r="C15" s="225"/>
      <c r="D15" s="225"/>
      <c r="E15" s="225"/>
      <c r="F15" s="225"/>
      <c r="G15" s="225"/>
      <c r="H15" s="225"/>
      <c r="I15" s="225"/>
      <c r="J15" s="225"/>
      <c r="K15" s="225"/>
      <c r="L15" s="225"/>
      <c r="M15" s="225"/>
      <c r="N15" s="225"/>
      <c r="O15" s="225"/>
      <c r="P15" s="225"/>
      <c r="Q15" s="225"/>
      <c r="R15" s="225"/>
      <c r="S15" s="225"/>
      <c r="T15" s="225">
        <v>1</v>
      </c>
      <c r="U15" s="225">
        <v>1</v>
      </c>
      <c r="V15" s="225">
        <v>1</v>
      </c>
      <c r="W15" s="225">
        <v>1</v>
      </c>
      <c r="X15" s="225">
        <v>1</v>
      </c>
      <c r="Y15" s="225">
        <v>1</v>
      </c>
      <c r="Z15" s="225">
        <v>1</v>
      </c>
      <c r="AA15" s="225"/>
      <c r="AB15" s="225"/>
      <c r="AC15" s="225">
        <v>1</v>
      </c>
      <c r="AD15" s="225">
        <v>1</v>
      </c>
      <c r="AE15" s="225">
        <v>1</v>
      </c>
      <c r="AF15" s="225">
        <v>1</v>
      </c>
      <c r="AG15" s="225">
        <v>1</v>
      </c>
      <c r="AH15" s="225">
        <v>1</v>
      </c>
      <c r="AI15" s="225">
        <v>1</v>
      </c>
      <c r="AJ15" s="225">
        <v>0.8</v>
      </c>
      <c r="AK15" s="225"/>
      <c r="AL15" s="225"/>
      <c r="AM15" s="225"/>
      <c r="AN15" s="225"/>
      <c r="AO15" s="225"/>
      <c r="AP15" s="225"/>
      <c r="AQ15" s="225"/>
      <c r="AR15" s="225"/>
      <c r="AS15" s="225"/>
      <c r="AT15" s="225"/>
      <c r="AU15" s="225"/>
      <c r="AV15" s="225"/>
      <c r="AW15" s="225"/>
      <c r="AX15" s="225"/>
    </row>
    <row r="16" spans="1:50" x14ac:dyDescent="0.25">
      <c r="A16" s="226" t="s">
        <v>338</v>
      </c>
      <c r="B16" s="225"/>
      <c r="C16" s="225"/>
      <c r="D16" s="225"/>
      <c r="E16" s="225"/>
      <c r="F16" s="225"/>
      <c r="G16" s="225"/>
      <c r="H16" s="225"/>
      <c r="I16" s="225"/>
      <c r="J16" s="225"/>
      <c r="K16" s="225"/>
      <c r="L16" s="225"/>
      <c r="M16" s="225"/>
      <c r="N16" s="225"/>
      <c r="O16" s="225"/>
      <c r="P16" s="225"/>
      <c r="Q16" s="225"/>
      <c r="R16" s="225"/>
      <c r="S16" s="225"/>
      <c r="T16" s="225"/>
      <c r="U16" s="225"/>
      <c r="V16" s="225"/>
      <c r="W16" s="225"/>
      <c r="X16" s="225"/>
      <c r="Y16" s="225"/>
      <c r="Z16" s="225"/>
      <c r="AA16" s="225"/>
      <c r="AB16" s="225"/>
      <c r="AC16" s="225"/>
      <c r="AD16" s="225"/>
      <c r="AE16" s="225"/>
      <c r="AF16" s="225"/>
      <c r="AG16" s="225"/>
      <c r="AH16" s="225"/>
      <c r="AI16" s="225"/>
      <c r="AJ16" s="225"/>
      <c r="AK16" s="225"/>
      <c r="AL16" s="225"/>
      <c r="AM16" s="225"/>
      <c r="AN16" s="225"/>
      <c r="AO16" s="225"/>
      <c r="AP16" s="225"/>
      <c r="AQ16" s="225"/>
      <c r="AR16" s="225"/>
      <c r="AS16" s="225"/>
      <c r="AT16" s="225"/>
      <c r="AU16" s="225"/>
      <c r="AV16" s="225"/>
      <c r="AW16" s="225"/>
      <c r="AX16" s="225"/>
    </row>
    <row r="17" spans="1:50" x14ac:dyDescent="0.25">
      <c r="A17" s="226" t="s">
        <v>339</v>
      </c>
      <c r="B17" s="225"/>
      <c r="C17" s="225"/>
      <c r="D17" s="225"/>
      <c r="E17" s="225"/>
      <c r="F17" s="225"/>
      <c r="G17" s="225"/>
      <c r="H17" s="225"/>
      <c r="I17" s="225"/>
      <c r="J17" s="225"/>
      <c r="K17" s="225"/>
      <c r="L17" s="225"/>
      <c r="M17" s="225"/>
      <c r="N17" s="225"/>
      <c r="O17" s="225"/>
      <c r="P17" s="225"/>
      <c r="Q17" s="225"/>
      <c r="R17" s="225"/>
      <c r="S17" s="225"/>
      <c r="T17" s="225"/>
      <c r="U17" s="225"/>
      <c r="V17" s="225"/>
      <c r="W17" s="225"/>
      <c r="X17" s="225"/>
      <c r="Y17" s="225"/>
      <c r="Z17" s="225"/>
      <c r="AA17" s="225"/>
      <c r="AB17" s="225"/>
      <c r="AC17" s="225"/>
      <c r="AD17" s="225"/>
      <c r="AE17" s="225"/>
      <c r="AF17" s="225"/>
      <c r="AG17" s="225"/>
      <c r="AH17" s="225"/>
      <c r="AI17" s="225"/>
      <c r="AJ17" s="225"/>
      <c r="AK17" s="225"/>
      <c r="AL17" s="225"/>
      <c r="AM17" s="225"/>
      <c r="AN17" s="225"/>
      <c r="AO17" s="225"/>
      <c r="AP17" s="225"/>
      <c r="AQ17" s="225"/>
      <c r="AR17" s="225"/>
      <c r="AS17" s="225"/>
      <c r="AT17" s="225"/>
      <c r="AU17" s="225"/>
      <c r="AV17" s="225"/>
      <c r="AW17" s="225"/>
      <c r="AX17" s="225"/>
    </row>
    <row r="18" spans="1:50" x14ac:dyDescent="0.25">
      <c r="A18" s="227" t="s">
        <v>340</v>
      </c>
      <c r="B18" s="225"/>
      <c r="C18" s="225"/>
      <c r="D18" s="225"/>
      <c r="E18" s="225"/>
      <c r="F18" s="225"/>
      <c r="G18" s="225"/>
      <c r="H18" s="225"/>
      <c r="I18" s="225"/>
      <c r="J18" s="225"/>
      <c r="K18" s="225"/>
      <c r="L18" s="225"/>
      <c r="M18" s="225"/>
      <c r="N18" s="225"/>
      <c r="O18" s="225"/>
      <c r="P18" s="225"/>
      <c r="Q18" s="225"/>
      <c r="R18" s="225"/>
      <c r="S18" s="225"/>
      <c r="T18" s="225"/>
      <c r="U18" s="225"/>
      <c r="V18" s="225"/>
      <c r="W18" s="225"/>
      <c r="X18" s="225"/>
      <c r="Y18" s="225"/>
      <c r="Z18" s="225"/>
      <c r="AA18" s="225"/>
      <c r="AB18" s="225"/>
      <c r="AC18" s="225"/>
      <c r="AD18" s="225"/>
      <c r="AE18" s="225"/>
      <c r="AF18" s="225"/>
      <c r="AG18" s="225"/>
      <c r="AH18" s="225"/>
      <c r="AI18" s="225"/>
      <c r="AJ18" s="225"/>
      <c r="AK18" s="225"/>
      <c r="AL18" s="225"/>
      <c r="AM18" s="225"/>
      <c r="AN18" s="225"/>
      <c r="AO18" s="225"/>
      <c r="AP18" s="225"/>
      <c r="AQ18" s="225"/>
      <c r="AR18" s="225"/>
      <c r="AS18" s="225"/>
      <c r="AT18" s="225"/>
      <c r="AU18" s="225"/>
      <c r="AV18" s="225"/>
      <c r="AW18" s="225"/>
      <c r="AX18" s="225"/>
    </row>
    <row r="19" spans="1:50" x14ac:dyDescent="0.25">
      <c r="A19" s="228" t="s">
        <v>341</v>
      </c>
      <c r="B19" s="225"/>
      <c r="C19" s="225"/>
      <c r="D19" s="225"/>
      <c r="E19" s="225"/>
      <c r="F19" s="225"/>
      <c r="G19" s="225"/>
      <c r="H19" s="225"/>
      <c r="I19" s="225"/>
      <c r="J19" s="225"/>
      <c r="K19" s="225"/>
      <c r="L19" s="225"/>
      <c r="M19" s="225"/>
      <c r="N19" s="225"/>
      <c r="O19" s="225"/>
      <c r="P19" s="225"/>
      <c r="Q19" s="225"/>
      <c r="R19" s="225"/>
      <c r="S19" s="225"/>
      <c r="T19" s="225"/>
      <c r="U19" s="225"/>
      <c r="V19" s="225"/>
      <c r="W19" s="225"/>
      <c r="X19" s="225"/>
      <c r="Y19" s="225"/>
      <c r="Z19" s="225"/>
      <c r="AA19" s="225"/>
      <c r="AB19" s="225"/>
      <c r="AC19" s="225"/>
      <c r="AD19" s="225"/>
      <c r="AE19" s="225"/>
      <c r="AF19" s="225"/>
      <c r="AG19" s="225"/>
      <c r="AH19" s="225"/>
      <c r="AI19" s="225"/>
      <c r="AJ19" s="225"/>
      <c r="AK19" s="225"/>
      <c r="AL19" s="225"/>
      <c r="AM19" s="225"/>
      <c r="AN19" s="225"/>
      <c r="AO19" s="225"/>
      <c r="AP19" s="225"/>
      <c r="AQ19" s="225"/>
      <c r="AR19" s="225"/>
      <c r="AS19" s="225"/>
      <c r="AT19" s="225"/>
      <c r="AU19" s="225"/>
      <c r="AV19" s="225"/>
      <c r="AW19" s="225"/>
      <c r="AX19" s="225"/>
    </row>
    <row r="20" spans="1:50" x14ac:dyDescent="0.25">
      <c r="A20" s="229" t="s">
        <v>342</v>
      </c>
      <c r="B20" s="225"/>
      <c r="C20" s="225"/>
      <c r="D20" s="225"/>
      <c r="E20" s="225"/>
      <c r="F20" s="225"/>
      <c r="G20" s="225"/>
      <c r="H20" s="225"/>
      <c r="I20" s="225"/>
      <c r="J20" s="225"/>
      <c r="K20" s="225"/>
      <c r="L20" s="225"/>
      <c r="M20" s="225"/>
      <c r="N20" s="225"/>
      <c r="O20" s="225"/>
      <c r="P20" s="225"/>
      <c r="Q20" s="225"/>
      <c r="R20" s="225"/>
      <c r="S20" s="225"/>
      <c r="T20" s="225"/>
      <c r="U20" s="225"/>
      <c r="V20" s="225"/>
      <c r="W20" s="225"/>
      <c r="X20" s="225"/>
      <c r="Y20" s="225"/>
      <c r="Z20" s="225"/>
      <c r="AA20" s="225"/>
      <c r="AB20" s="225"/>
      <c r="AC20" s="225"/>
      <c r="AD20" s="225"/>
      <c r="AE20" s="225"/>
      <c r="AF20" s="225"/>
      <c r="AG20" s="225"/>
      <c r="AH20" s="225"/>
      <c r="AI20" s="225"/>
      <c r="AJ20" s="225"/>
      <c r="AK20" s="225"/>
      <c r="AL20" s="225"/>
      <c r="AM20" s="225"/>
      <c r="AN20" s="225"/>
      <c r="AO20" s="225"/>
      <c r="AP20" s="225"/>
      <c r="AQ20" s="225"/>
      <c r="AR20" s="225"/>
      <c r="AS20" s="225"/>
      <c r="AT20" s="225"/>
      <c r="AU20" s="225"/>
      <c r="AV20" s="225"/>
      <c r="AW20" s="225"/>
      <c r="AX20" s="225"/>
    </row>
    <row r="21" spans="1:50" x14ac:dyDescent="0.25">
      <c r="A21" s="229" t="s">
        <v>343</v>
      </c>
      <c r="B21" s="225"/>
      <c r="C21" s="225"/>
      <c r="D21" s="225"/>
      <c r="E21" s="225"/>
      <c r="F21" s="225"/>
      <c r="G21" s="225"/>
      <c r="H21" s="225"/>
      <c r="I21" s="225"/>
      <c r="J21" s="225"/>
      <c r="K21" s="225"/>
      <c r="L21" s="225"/>
      <c r="M21" s="225"/>
      <c r="N21" s="225"/>
      <c r="O21" s="225"/>
      <c r="P21" s="225"/>
      <c r="Q21" s="225"/>
      <c r="R21" s="225"/>
      <c r="S21" s="225"/>
      <c r="T21" s="225"/>
      <c r="U21" s="225"/>
      <c r="V21" s="225"/>
      <c r="W21" s="225"/>
      <c r="X21" s="225"/>
      <c r="Y21" s="225"/>
      <c r="Z21" s="225"/>
      <c r="AA21" s="225"/>
      <c r="AB21" s="225"/>
      <c r="AC21" s="225"/>
      <c r="AD21" s="225"/>
      <c r="AE21" s="225"/>
      <c r="AF21" s="225"/>
      <c r="AG21" s="225"/>
      <c r="AH21" s="225"/>
      <c r="AI21" s="225"/>
      <c r="AJ21" s="225"/>
      <c r="AK21" s="225"/>
      <c r="AL21" s="225"/>
      <c r="AM21" s="225"/>
      <c r="AN21" s="225"/>
      <c r="AO21" s="225"/>
      <c r="AP21" s="225"/>
      <c r="AQ21" s="225"/>
      <c r="AR21" s="225"/>
      <c r="AS21" s="225"/>
      <c r="AT21" s="225"/>
      <c r="AU21" s="225"/>
      <c r="AV21" s="225"/>
      <c r="AW21" s="225"/>
      <c r="AX21" s="225"/>
    </row>
    <row r="22" spans="1:50" x14ac:dyDescent="0.25">
      <c r="A22" s="229" t="s">
        <v>344</v>
      </c>
      <c r="B22" s="225"/>
      <c r="C22" s="225"/>
      <c r="D22" s="225"/>
      <c r="E22" s="225"/>
      <c r="F22" s="225"/>
      <c r="G22" s="225"/>
      <c r="H22" s="225"/>
      <c r="I22" s="225"/>
      <c r="J22" s="225"/>
      <c r="K22" s="225"/>
      <c r="L22" s="225"/>
      <c r="M22" s="225"/>
      <c r="N22" s="225"/>
      <c r="O22" s="225"/>
      <c r="P22" s="225"/>
      <c r="Q22" s="225"/>
      <c r="R22" s="225"/>
      <c r="S22" s="225"/>
      <c r="T22" s="225"/>
      <c r="U22" s="225"/>
      <c r="V22" s="225"/>
      <c r="W22" s="225"/>
      <c r="X22" s="225"/>
      <c r="Y22" s="225"/>
      <c r="Z22" s="225"/>
      <c r="AA22" s="225"/>
      <c r="AB22" s="225"/>
      <c r="AC22" s="225"/>
      <c r="AD22" s="225"/>
      <c r="AE22" s="225"/>
      <c r="AF22" s="225"/>
      <c r="AG22" s="225"/>
      <c r="AH22" s="225"/>
      <c r="AI22" s="225"/>
      <c r="AJ22" s="225"/>
      <c r="AK22" s="225"/>
      <c r="AL22" s="225"/>
      <c r="AM22" s="225"/>
      <c r="AN22" s="225"/>
      <c r="AO22" s="225"/>
      <c r="AP22" s="225"/>
      <c r="AQ22" s="225"/>
      <c r="AR22" s="225"/>
      <c r="AS22" s="225"/>
      <c r="AT22" s="225"/>
      <c r="AU22" s="225"/>
      <c r="AV22" s="225"/>
      <c r="AW22" s="225"/>
      <c r="AX22" s="225"/>
    </row>
    <row r="23" spans="1:50" x14ac:dyDescent="0.25">
      <c r="A23" s="229" t="s">
        <v>345</v>
      </c>
      <c r="B23" s="225"/>
      <c r="C23" s="225"/>
      <c r="D23" s="225"/>
      <c r="E23" s="225"/>
      <c r="F23" s="225"/>
      <c r="G23" s="225"/>
      <c r="H23" s="225"/>
      <c r="I23" s="225"/>
      <c r="J23" s="225"/>
      <c r="K23" s="225"/>
      <c r="L23" s="225"/>
      <c r="M23" s="225"/>
      <c r="N23" s="225"/>
      <c r="O23" s="225"/>
      <c r="P23" s="225"/>
      <c r="Q23" s="225"/>
      <c r="R23" s="225"/>
      <c r="S23" s="225"/>
      <c r="T23" s="225"/>
      <c r="U23" s="225"/>
      <c r="V23" s="225"/>
      <c r="W23" s="225"/>
      <c r="X23" s="225"/>
      <c r="Y23" s="225"/>
      <c r="Z23" s="225"/>
      <c r="AA23" s="225"/>
      <c r="AB23" s="225"/>
      <c r="AC23" s="225"/>
      <c r="AD23" s="225"/>
      <c r="AE23" s="225"/>
      <c r="AF23" s="225"/>
      <c r="AG23" s="225"/>
      <c r="AH23" s="225"/>
      <c r="AI23" s="225"/>
      <c r="AJ23" s="225"/>
      <c r="AK23" s="225"/>
      <c r="AL23" s="225"/>
      <c r="AM23" s="225"/>
      <c r="AN23" s="225"/>
      <c r="AO23" s="225"/>
      <c r="AP23" s="225"/>
      <c r="AQ23" s="225"/>
      <c r="AR23" s="225"/>
      <c r="AS23" s="225"/>
      <c r="AT23" s="225"/>
      <c r="AU23" s="225"/>
      <c r="AV23" s="225"/>
      <c r="AW23" s="225"/>
      <c r="AX23" s="225"/>
    </row>
    <row r="24" spans="1:50" x14ac:dyDescent="0.25">
      <c r="A24" s="230" t="s">
        <v>346</v>
      </c>
      <c r="B24" s="225"/>
      <c r="C24" s="225"/>
      <c r="D24" s="225"/>
      <c r="E24" s="225"/>
      <c r="F24" s="225"/>
      <c r="G24" s="225"/>
      <c r="H24" s="225"/>
      <c r="I24" s="225"/>
      <c r="J24" s="225"/>
      <c r="K24" s="225"/>
      <c r="L24" s="225"/>
      <c r="M24" s="225"/>
      <c r="N24" s="225"/>
      <c r="O24" s="225"/>
      <c r="P24" s="225"/>
      <c r="Q24" s="225"/>
      <c r="R24" s="225"/>
      <c r="S24" s="225"/>
      <c r="T24" s="225"/>
      <c r="U24" s="225"/>
      <c r="V24" s="225"/>
      <c r="W24" s="225"/>
      <c r="X24" s="225"/>
      <c r="Y24" s="225"/>
      <c r="Z24" s="225"/>
      <c r="AA24" s="225"/>
      <c r="AB24" s="225"/>
      <c r="AC24" s="225"/>
      <c r="AD24" s="225"/>
      <c r="AE24" s="225"/>
      <c r="AF24" s="225"/>
      <c r="AG24" s="225"/>
      <c r="AH24" s="225"/>
      <c r="AI24" s="225"/>
      <c r="AJ24" s="225"/>
      <c r="AK24" s="225"/>
      <c r="AL24" s="225"/>
      <c r="AM24" s="225"/>
      <c r="AN24" s="225"/>
      <c r="AO24" s="225"/>
      <c r="AP24" s="225"/>
      <c r="AQ24" s="225"/>
      <c r="AR24" s="225"/>
      <c r="AS24" s="225"/>
      <c r="AT24" s="225"/>
      <c r="AU24" s="225"/>
      <c r="AV24" s="225"/>
      <c r="AW24" s="225"/>
      <c r="AX24" s="225"/>
    </row>
    <row r="25" spans="1:50" x14ac:dyDescent="0.25">
      <c r="A25" s="230" t="s">
        <v>347</v>
      </c>
      <c r="B25" s="225"/>
      <c r="C25" s="225"/>
      <c r="D25" s="225"/>
      <c r="E25" s="225"/>
      <c r="F25" s="225"/>
      <c r="G25" s="225"/>
      <c r="H25" s="225"/>
      <c r="I25" s="225"/>
      <c r="J25" s="225"/>
      <c r="K25" s="225"/>
      <c r="L25" s="225"/>
      <c r="M25" s="225"/>
      <c r="N25" s="225"/>
      <c r="O25" s="225"/>
      <c r="P25" s="225"/>
      <c r="Q25" s="225"/>
      <c r="R25" s="225"/>
      <c r="S25" s="225"/>
      <c r="T25" s="225"/>
      <c r="U25" s="225"/>
      <c r="V25" s="225"/>
      <c r="W25" s="225"/>
      <c r="X25" s="225"/>
      <c r="Y25" s="225"/>
      <c r="Z25" s="225"/>
      <c r="AA25" s="225"/>
      <c r="AB25" s="225"/>
      <c r="AC25" s="225"/>
      <c r="AD25" s="225"/>
      <c r="AE25" s="225"/>
      <c r="AF25" s="225"/>
      <c r="AG25" s="225"/>
      <c r="AH25" s="225"/>
      <c r="AI25" s="225"/>
      <c r="AJ25" s="225"/>
      <c r="AK25" s="225"/>
      <c r="AL25" s="225"/>
      <c r="AM25" s="225"/>
      <c r="AN25" s="225"/>
      <c r="AO25" s="225"/>
      <c r="AP25" s="225"/>
      <c r="AQ25" s="225"/>
      <c r="AR25" s="225"/>
      <c r="AS25" s="225"/>
      <c r="AT25" s="225"/>
      <c r="AU25" s="225"/>
      <c r="AV25" s="225"/>
      <c r="AW25" s="225"/>
      <c r="AX25" s="225"/>
    </row>
    <row r="26" spans="1:50" x14ac:dyDescent="0.25">
      <c r="A26" s="230" t="s">
        <v>348</v>
      </c>
      <c r="B26" s="225"/>
      <c r="C26" s="225"/>
      <c r="D26" s="225"/>
      <c r="E26" s="225"/>
      <c r="F26" s="225"/>
      <c r="G26" s="225"/>
      <c r="H26" s="225"/>
      <c r="I26" s="225"/>
      <c r="J26" s="225"/>
      <c r="K26" s="225"/>
      <c r="L26" s="225"/>
      <c r="M26" s="225"/>
      <c r="N26" s="225"/>
      <c r="O26" s="225"/>
      <c r="P26" s="225"/>
      <c r="Q26" s="225"/>
      <c r="R26" s="225"/>
      <c r="S26" s="225"/>
      <c r="T26" s="225"/>
      <c r="U26" s="225"/>
      <c r="V26" s="225"/>
      <c r="W26" s="225"/>
      <c r="X26" s="225"/>
      <c r="Y26" s="225"/>
      <c r="Z26" s="225"/>
      <c r="AA26" s="225"/>
      <c r="AB26" s="225"/>
      <c r="AC26" s="225"/>
      <c r="AD26" s="225"/>
      <c r="AE26" s="225"/>
      <c r="AF26" s="225"/>
      <c r="AG26" s="225"/>
      <c r="AH26" s="225"/>
      <c r="AI26" s="225"/>
      <c r="AJ26" s="225"/>
      <c r="AK26" s="225"/>
      <c r="AL26" s="225"/>
      <c r="AM26" s="225"/>
      <c r="AN26" s="225"/>
      <c r="AO26" s="225"/>
      <c r="AP26" s="225"/>
      <c r="AQ26" s="225"/>
      <c r="AR26" s="225"/>
      <c r="AS26" s="225"/>
      <c r="AT26" s="225"/>
      <c r="AU26" s="225"/>
      <c r="AV26" s="225"/>
      <c r="AW26" s="225"/>
      <c r="AX26" s="225"/>
    </row>
    <row r="27" spans="1:50" x14ac:dyDescent="0.25">
      <c r="A27" s="230" t="s">
        <v>349</v>
      </c>
      <c r="B27" s="225"/>
      <c r="C27" s="225"/>
      <c r="D27" s="225"/>
      <c r="E27" s="225"/>
      <c r="F27" s="225"/>
      <c r="G27" s="225"/>
      <c r="H27" s="225"/>
      <c r="I27" s="225"/>
      <c r="J27" s="225"/>
      <c r="K27" s="225"/>
      <c r="L27" s="225"/>
      <c r="M27" s="225"/>
      <c r="N27" s="225"/>
      <c r="O27" s="225"/>
      <c r="P27" s="225"/>
      <c r="Q27" s="225"/>
      <c r="R27" s="225"/>
      <c r="S27" s="225"/>
      <c r="T27" s="225"/>
      <c r="U27" s="225"/>
      <c r="V27" s="225"/>
      <c r="W27" s="225"/>
      <c r="X27" s="225"/>
      <c r="Y27" s="225"/>
      <c r="Z27" s="225"/>
      <c r="AA27" s="225"/>
      <c r="AB27" s="225"/>
      <c r="AC27" s="225"/>
      <c r="AD27" s="225"/>
      <c r="AE27" s="225"/>
      <c r="AF27" s="225"/>
      <c r="AG27" s="225"/>
      <c r="AH27" s="225"/>
      <c r="AI27" s="225"/>
      <c r="AJ27" s="225"/>
      <c r="AK27" s="225"/>
      <c r="AL27" s="225"/>
      <c r="AM27" s="225"/>
      <c r="AN27" s="225"/>
      <c r="AO27" s="225"/>
      <c r="AP27" s="225"/>
      <c r="AQ27" s="225"/>
      <c r="AR27" s="225"/>
      <c r="AS27" s="225"/>
      <c r="AT27" s="225"/>
      <c r="AU27" s="225"/>
      <c r="AV27" s="225"/>
      <c r="AW27" s="225"/>
      <c r="AX27" s="225"/>
    </row>
    <row r="28" spans="1:50" x14ac:dyDescent="0.25">
      <c r="A28" s="231" t="s">
        <v>350</v>
      </c>
      <c r="B28" s="225"/>
      <c r="C28" s="225"/>
      <c r="D28" s="225"/>
      <c r="E28" s="225"/>
      <c r="F28" s="225"/>
      <c r="G28" s="225"/>
      <c r="H28" s="225"/>
      <c r="I28" s="225"/>
      <c r="J28" s="225"/>
      <c r="K28" s="225"/>
      <c r="L28" s="225"/>
      <c r="M28" s="225"/>
      <c r="N28" s="225"/>
      <c r="O28" s="225"/>
      <c r="P28" s="225"/>
      <c r="Q28" s="225"/>
      <c r="R28" s="225"/>
      <c r="S28" s="225"/>
      <c r="T28" s="225"/>
      <c r="U28" s="225"/>
      <c r="V28" s="225"/>
      <c r="W28" s="225"/>
      <c r="X28" s="225"/>
      <c r="Y28" s="225"/>
      <c r="Z28" s="225"/>
      <c r="AA28" s="225"/>
      <c r="AB28" s="225"/>
      <c r="AC28" s="225"/>
      <c r="AD28" s="225"/>
      <c r="AE28" s="225"/>
      <c r="AF28" s="225"/>
      <c r="AG28" s="225"/>
      <c r="AH28" s="225"/>
      <c r="AI28" s="225"/>
      <c r="AJ28" s="225"/>
      <c r="AK28" s="225"/>
      <c r="AL28" s="225"/>
      <c r="AM28" s="225"/>
      <c r="AN28" s="225"/>
      <c r="AO28" s="225"/>
      <c r="AP28" s="225"/>
      <c r="AQ28" s="225"/>
      <c r="AR28" s="225"/>
      <c r="AS28" s="225"/>
      <c r="AT28" s="225"/>
      <c r="AU28" s="225"/>
      <c r="AV28" s="225"/>
      <c r="AW28" s="225"/>
      <c r="AX28" s="225"/>
    </row>
    <row r="29" spans="1:50" x14ac:dyDescent="0.25">
      <c r="A29" s="231" t="s">
        <v>351</v>
      </c>
      <c r="B29" s="225"/>
      <c r="C29" s="225"/>
      <c r="D29" s="225"/>
      <c r="E29" s="225"/>
      <c r="F29" s="225"/>
      <c r="G29" s="225"/>
      <c r="H29" s="225"/>
      <c r="I29" s="225"/>
      <c r="J29" s="225"/>
      <c r="K29" s="225"/>
      <c r="L29" s="225"/>
      <c r="M29" s="225"/>
      <c r="N29" s="225"/>
      <c r="O29" s="225"/>
      <c r="P29" s="225"/>
      <c r="Q29" s="225"/>
      <c r="R29" s="225"/>
      <c r="S29" s="225"/>
      <c r="T29" s="225"/>
      <c r="U29" s="225"/>
      <c r="V29" s="225"/>
      <c r="W29" s="225"/>
      <c r="X29" s="225"/>
      <c r="Y29" s="225"/>
      <c r="Z29" s="225"/>
      <c r="AA29" s="225"/>
      <c r="AB29" s="225"/>
      <c r="AC29" s="225"/>
      <c r="AD29" s="225"/>
      <c r="AE29" s="225"/>
      <c r="AF29" s="225"/>
      <c r="AG29" s="225"/>
      <c r="AH29" s="225"/>
      <c r="AI29" s="225"/>
      <c r="AJ29" s="225"/>
      <c r="AK29" s="225"/>
      <c r="AL29" s="225"/>
      <c r="AM29" s="225"/>
      <c r="AN29" s="225"/>
      <c r="AO29" s="225"/>
      <c r="AP29" s="225"/>
      <c r="AQ29" s="225"/>
      <c r="AR29" s="225"/>
      <c r="AS29" s="225"/>
      <c r="AT29" s="225"/>
      <c r="AU29" s="225"/>
      <c r="AV29" s="225"/>
      <c r="AW29" s="225"/>
      <c r="AX29" s="225"/>
    </row>
    <row r="30" spans="1:50" x14ac:dyDescent="0.25">
      <c r="A30" s="232" t="s">
        <v>352</v>
      </c>
      <c r="B30" s="225"/>
      <c r="C30" s="225"/>
      <c r="D30" s="225"/>
      <c r="E30" s="225"/>
      <c r="F30" s="225"/>
      <c r="G30" s="225"/>
      <c r="H30" s="225"/>
      <c r="I30" s="225"/>
      <c r="J30" s="225"/>
      <c r="K30" s="225"/>
      <c r="L30" s="225"/>
      <c r="M30" s="225"/>
      <c r="N30" s="225"/>
      <c r="O30" s="225"/>
      <c r="P30" s="225"/>
      <c r="Q30" s="225"/>
      <c r="R30" s="225"/>
      <c r="S30" s="225"/>
      <c r="T30" s="225"/>
      <c r="U30" s="225"/>
      <c r="V30" s="225"/>
      <c r="W30" s="225"/>
      <c r="X30" s="225"/>
      <c r="Y30" s="225"/>
      <c r="Z30" s="225"/>
      <c r="AA30" s="225"/>
      <c r="AB30" s="225"/>
      <c r="AC30" s="225"/>
      <c r="AD30" s="225"/>
      <c r="AE30" s="225"/>
      <c r="AF30" s="225"/>
      <c r="AG30" s="225"/>
      <c r="AH30" s="225"/>
      <c r="AI30" s="225"/>
      <c r="AJ30" s="225"/>
      <c r="AK30" s="225"/>
      <c r="AL30" s="225"/>
      <c r="AM30" s="225"/>
      <c r="AN30" s="225"/>
      <c r="AO30" s="225"/>
      <c r="AP30" s="225"/>
      <c r="AQ30" s="225"/>
      <c r="AR30" s="225"/>
      <c r="AS30" s="225"/>
      <c r="AT30" s="225"/>
      <c r="AU30" s="225"/>
      <c r="AV30" s="225"/>
      <c r="AW30" s="225"/>
      <c r="AX30" s="225"/>
    </row>
    <row r="31" spans="1:50" x14ac:dyDescent="0.25">
      <c r="A31" s="232" t="s">
        <v>353</v>
      </c>
      <c r="B31" s="225"/>
      <c r="C31" s="225"/>
      <c r="D31" s="225"/>
      <c r="E31" s="225"/>
      <c r="F31" s="225"/>
      <c r="G31" s="225"/>
      <c r="H31" s="225"/>
      <c r="I31" s="225"/>
      <c r="J31" s="225"/>
      <c r="K31" s="225"/>
      <c r="L31" s="225"/>
      <c r="M31" s="225"/>
      <c r="N31" s="225"/>
      <c r="O31" s="225"/>
      <c r="P31" s="225"/>
      <c r="Q31" s="225"/>
      <c r="R31" s="225"/>
      <c r="S31" s="225"/>
      <c r="T31" s="225"/>
      <c r="U31" s="225"/>
      <c r="V31" s="225"/>
      <c r="W31" s="225"/>
      <c r="X31" s="225"/>
      <c r="Y31" s="225"/>
      <c r="Z31" s="225"/>
      <c r="AA31" s="225"/>
      <c r="AB31" s="225"/>
      <c r="AC31" s="225"/>
      <c r="AD31" s="225"/>
      <c r="AE31" s="225"/>
      <c r="AF31" s="225"/>
      <c r="AG31" s="225"/>
      <c r="AH31" s="225"/>
      <c r="AI31" s="225"/>
      <c r="AJ31" s="225"/>
      <c r="AK31" s="225"/>
      <c r="AL31" s="225"/>
      <c r="AM31" s="225"/>
      <c r="AN31" s="225"/>
      <c r="AO31" s="225"/>
      <c r="AP31" s="225"/>
      <c r="AQ31" s="225"/>
      <c r="AR31" s="225"/>
      <c r="AS31" s="225"/>
      <c r="AT31" s="225"/>
      <c r="AU31" s="225"/>
      <c r="AV31" s="225"/>
      <c r="AW31" s="225"/>
      <c r="AX31" s="225"/>
    </row>
    <row r="32" spans="1:50" x14ac:dyDescent="0.25">
      <c r="A32" s="232" t="s">
        <v>354</v>
      </c>
      <c r="B32" s="225"/>
      <c r="C32" s="225"/>
      <c r="D32" s="225"/>
      <c r="E32" s="225"/>
      <c r="F32" s="225"/>
      <c r="G32" s="225"/>
      <c r="H32" s="225"/>
      <c r="I32" s="225"/>
      <c r="J32" s="225"/>
      <c r="K32" s="225"/>
      <c r="L32" s="225"/>
      <c r="M32" s="225"/>
      <c r="N32" s="225"/>
      <c r="O32" s="225"/>
      <c r="P32" s="225"/>
      <c r="Q32" s="225"/>
      <c r="R32" s="225"/>
      <c r="S32" s="225"/>
      <c r="T32" s="225"/>
      <c r="U32" s="225"/>
      <c r="V32" s="225"/>
      <c r="W32" s="225"/>
      <c r="X32" s="225"/>
      <c r="Y32" s="225"/>
      <c r="Z32" s="225"/>
      <c r="AA32" s="225"/>
      <c r="AB32" s="225"/>
      <c r="AC32" s="225"/>
      <c r="AD32" s="225"/>
      <c r="AE32" s="225"/>
      <c r="AF32" s="225"/>
      <c r="AG32" s="225"/>
      <c r="AH32" s="225"/>
      <c r="AI32" s="225"/>
      <c r="AJ32" s="225"/>
      <c r="AK32" s="225"/>
      <c r="AL32" s="225"/>
      <c r="AM32" s="225"/>
      <c r="AN32" s="225"/>
      <c r="AO32" s="225"/>
      <c r="AP32" s="225"/>
      <c r="AQ32" s="225"/>
      <c r="AR32" s="225"/>
      <c r="AS32" s="225"/>
      <c r="AT32" s="225"/>
      <c r="AU32" s="225"/>
      <c r="AV32" s="225"/>
      <c r="AW32" s="225"/>
      <c r="AX32" s="225"/>
    </row>
    <row r="33" spans="1:50" x14ac:dyDescent="0.25">
      <c r="A33" s="233" t="s">
        <v>355</v>
      </c>
      <c r="B33" s="225"/>
      <c r="C33" s="225"/>
      <c r="D33" s="225"/>
      <c r="E33" s="225"/>
      <c r="F33" s="225"/>
      <c r="G33" s="225"/>
      <c r="H33" s="225"/>
      <c r="I33" s="225"/>
      <c r="J33" s="225"/>
      <c r="K33" s="225"/>
      <c r="L33" s="225"/>
      <c r="M33" s="225"/>
      <c r="N33" s="225"/>
      <c r="O33" s="225"/>
      <c r="P33" s="225"/>
      <c r="Q33" s="225"/>
      <c r="R33" s="225"/>
      <c r="S33" s="225"/>
      <c r="T33" s="225"/>
      <c r="U33" s="225"/>
      <c r="V33" s="225"/>
      <c r="W33" s="225"/>
      <c r="X33" s="225"/>
      <c r="Y33" s="225"/>
      <c r="Z33" s="225"/>
      <c r="AA33" s="225"/>
      <c r="AB33" s="225"/>
      <c r="AC33" s="225"/>
      <c r="AD33" s="225"/>
      <c r="AE33" s="225"/>
      <c r="AF33" s="225"/>
      <c r="AG33" s="225"/>
      <c r="AH33" s="225"/>
      <c r="AI33" s="225"/>
      <c r="AJ33" s="225"/>
      <c r="AK33" s="225"/>
      <c r="AL33" s="225"/>
      <c r="AM33" s="225"/>
      <c r="AN33" s="225"/>
      <c r="AO33" s="225"/>
      <c r="AP33" s="225"/>
      <c r="AQ33" s="225"/>
      <c r="AR33" s="225"/>
      <c r="AS33" s="225"/>
      <c r="AT33" s="225"/>
      <c r="AU33" s="225"/>
      <c r="AV33" s="225"/>
      <c r="AW33" s="225"/>
      <c r="AX33" s="225"/>
    </row>
    <row r="34" spans="1:50" x14ac:dyDescent="0.25">
      <c r="A34" s="234" t="s">
        <v>356</v>
      </c>
      <c r="B34" s="225"/>
      <c r="C34" s="225"/>
      <c r="D34" s="225"/>
      <c r="E34" s="225"/>
      <c r="F34" s="225"/>
      <c r="G34" s="225"/>
      <c r="H34" s="225"/>
      <c r="I34" s="225"/>
      <c r="J34" s="225"/>
      <c r="K34" s="225"/>
      <c r="L34" s="225"/>
      <c r="M34" s="225"/>
      <c r="N34" s="225"/>
      <c r="O34" s="225"/>
      <c r="P34" s="225"/>
      <c r="Q34" s="225"/>
      <c r="R34" s="225"/>
      <c r="S34" s="225"/>
      <c r="T34" s="225"/>
      <c r="U34" s="225"/>
      <c r="V34" s="225"/>
      <c r="W34" s="225"/>
      <c r="X34" s="225"/>
      <c r="Y34" s="225"/>
      <c r="Z34" s="225"/>
      <c r="AA34" s="225"/>
      <c r="AB34" s="225"/>
      <c r="AC34" s="225"/>
      <c r="AD34" s="225"/>
      <c r="AE34" s="225"/>
      <c r="AF34" s="225"/>
      <c r="AG34" s="225"/>
      <c r="AH34" s="225"/>
      <c r="AI34" s="225"/>
      <c r="AJ34" s="225"/>
      <c r="AK34" s="225"/>
      <c r="AL34" s="225"/>
      <c r="AM34" s="225"/>
      <c r="AN34" s="225"/>
      <c r="AO34" s="225"/>
      <c r="AP34" s="225"/>
      <c r="AQ34" s="225"/>
      <c r="AR34" s="225"/>
      <c r="AS34" s="225"/>
      <c r="AT34" s="225"/>
      <c r="AU34" s="225"/>
      <c r="AV34" s="225"/>
      <c r="AW34" s="225"/>
      <c r="AX34" s="225"/>
    </row>
    <row r="35" spans="1:50" x14ac:dyDescent="0.25">
      <c r="A35" s="234" t="s">
        <v>357</v>
      </c>
      <c r="B35" s="225"/>
      <c r="C35" s="225"/>
      <c r="D35" s="225"/>
      <c r="E35" s="225"/>
      <c r="F35" s="225"/>
      <c r="G35" s="225"/>
      <c r="H35" s="225"/>
      <c r="I35" s="225"/>
      <c r="J35" s="225"/>
      <c r="K35" s="225"/>
      <c r="L35" s="225"/>
      <c r="M35" s="225"/>
      <c r="N35" s="225"/>
      <c r="O35" s="225"/>
      <c r="P35" s="225"/>
      <c r="Q35" s="225"/>
      <c r="R35" s="225"/>
      <c r="S35" s="225"/>
      <c r="T35" s="225"/>
      <c r="U35" s="225"/>
      <c r="V35" s="225"/>
      <c r="W35" s="225"/>
      <c r="X35" s="225"/>
      <c r="Y35" s="225"/>
      <c r="Z35" s="225"/>
      <c r="AA35" s="225"/>
      <c r="AB35" s="225"/>
      <c r="AC35" s="225"/>
      <c r="AD35" s="225"/>
      <c r="AE35" s="225"/>
      <c r="AF35" s="225"/>
      <c r="AG35" s="225"/>
      <c r="AH35" s="225"/>
      <c r="AI35" s="225"/>
      <c r="AJ35" s="225"/>
      <c r="AK35" s="225"/>
      <c r="AL35" s="225"/>
      <c r="AM35" s="225"/>
      <c r="AN35" s="225"/>
      <c r="AO35" s="225"/>
      <c r="AP35" s="225"/>
      <c r="AQ35" s="225"/>
      <c r="AR35" s="225"/>
      <c r="AS35" s="225"/>
      <c r="AT35" s="225"/>
      <c r="AU35" s="225"/>
      <c r="AV35" s="225"/>
      <c r="AW35" s="225"/>
      <c r="AX35" s="225"/>
    </row>
    <row r="36" spans="1:50" x14ac:dyDescent="0.25">
      <c r="A36" s="235" t="s">
        <v>358</v>
      </c>
      <c r="B36" s="225"/>
      <c r="C36" s="225"/>
      <c r="D36" s="225"/>
      <c r="E36" s="225"/>
      <c r="F36" s="225"/>
      <c r="G36" s="225"/>
      <c r="H36" s="225"/>
      <c r="I36" s="225"/>
      <c r="J36" s="225"/>
      <c r="K36" s="225"/>
      <c r="L36" s="225"/>
      <c r="M36" s="225"/>
      <c r="N36" s="225">
        <v>1</v>
      </c>
      <c r="O36" s="225">
        <v>1</v>
      </c>
      <c r="P36" s="225">
        <v>1</v>
      </c>
      <c r="Q36" s="225"/>
      <c r="R36" s="225"/>
      <c r="S36" s="225"/>
      <c r="T36" s="225"/>
      <c r="U36" s="225"/>
      <c r="V36" s="225"/>
      <c r="W36" s="225"/>
      <c r="X36" s="225"/>
      <c r="Y36" s="225"/>
      <c r="Z36" s="225"/>
      <c r="AA36" s="225"/>
      <c r="AB36" s="225"/>
      <c r="AC36" s="225"/>
      <c r="AD36" s="225"/>
      <c r="AE36" s="225"/>
      <c r="AF36" s="225"/>
      <c r="AG36" s="225"/>
      <c r="AH36" s="225"/>
      <c r="AI36" s="225"/>
      <c r="AJ36" s="225"/>
      <c r="AK36" s="225"/>
      <c r="AL36" s="225"/>
      <c r="AM36" s="225"/>
      <c r="AN36" s="225"/>
      <c r="AO36" s="225"/>
      <c r="AP36" s="225"/>
      <c r="AQ36" s="225"/>
      <c r="AR36" s="225"/>
      <c r="AS36" s="225"/>
      <c r="AT36" s="225"/>
      <c r="AU36" s="225"/>
      <c r="AV36" s="225"/>
      <c r="AW36" s="225"/>
      <c r="AX36" s="225"/>
    </row>
    <row r="37" spans="1:50" x14ac:dyDescent="0.25">
      <c r="A37" s="236" t="s">
        <v>359</v>
      </c>
      <c r="B37" s="225">
        <v>1</v>
      </c>
      <c r="C37" s="225">
        <v>1</v>
      </c>
      <c r="D37" s="225">
        <v>1</v>
      </c>
      <c r="E37" s="225">
        <v>1</v>
      </c>
      <c r="F37" s="225">
        <v>1</v>
      </c>
      <c r="G37" s="225">
        <v>1</v>
      </c>
      <c r="H37" s="225">
        <v>1</v>
      </c>
      <c r="I37" s="225">
        <v>1</v>
      </c>
      <c r="J37" s="225">
        <v>1</v>
      </c>
      <c r="K37" s="225">
        <v>1</v>
      </c>
      <c r="L37" s="225">
        <v>1</v>
      </c>
      <c r="M37" s="225">
        <v>1</v>
      </c>
      <c r="N37" s="225"/>
      <c r="O37" s="225"/>
      <c r="P37" s="225"/>
      <c r="Q37" s="225"/>
      <c r="R37" s="225"/>
      <c r="S37" s="225"/>
      <c r="T37" s="225"/>
      <c r="U37" s="225"/>
      <c r="V37" s="225"/>
      <c r="W37" s="225"/>
      <c r="X37" s="225"/>
      <c r="Y37" s="225"/>
      <c r="Z37" s="225"/>
      <c r="AA37" s="225"/>
      <c r="AB37" s="225"/>
      <c r="AC37" s="225"/>
      <c r="AD37" s="225"/>
      <c r="AE37" s="225"/>
      <c r="AF37" s="225"/>
      <c r="AG37" s="225"/>
      <c r="AH37" s="225"/>
      <c r="AI37" s="225"/>
      <c r="AJ37" s="225"/>
      <c r="AK37" s="225"/>
      <c r="AL37" s="225"/>
      <c r="AM37" s="225"/>
      <c r="AN37" s="225"/>
      <c r="AO37" s="225"/>
      <c r="AP37" s="225"/>
      <c r="AQ37" s="225"/>
      <c r="AR37" s="225"/>
      <c r="AS37" s="225"/>
      <c r="AT37" s="225">
        <v>1</v>
      </c>
      <c r="AU37" s="225">
        <v>1</v>
      </c>
      <c r="AV37" s="225">
        <v>1</v>
      </c>
      <c r="AW37" s="225">
        <v>1</v>
      </c>
      <c r="AX37" s="225">
        <v>1</v>
      </c>
    </row>
    <row r="38" spans="1:50" x14ac:dyDescent="0.25">
      <c r="A38" s="237" t="s">
        <v>360</v>
      </c>
      <c r="B38" s="225"/>
      <c r="C38" s="225"/>
      <c r="D38" s="225"/>
      <c r="E38" s="225"/>
      <c r="F38" s="225"/>
      <c r="G38" s="225"/>
      <c r="H38" s="225"/>
      <c r="I38" s="225"/>
      <c r="J38" s="225"/>
      <c r="K38" s="225"/>
      <c r="L38" s="225"/>
      <c r="M38" s="225"/>
      <c r="N38" s="225"/>
      <c r="O38" s="225"/>
      <c r="P38" s="225"/>
      <c r="Q38" s="225"/>
      <c r="R38" s="225"/>
      <c r="S38" s="225"/>
      <c r="T38" s="225"/>
      <c r="U38" s="225"/>
      <c r="V38" s="225"/>
      <c r="W38" s="225"/>
      <c r="X38" s="225"/>
      <c r="Y38" s="225"/>
      <c r="Z38" s="225"/>
      <c r="AA38" s="225"/>
      <c r="AB38" s="225"/>
      <c r="AC38" s="225"/>
      <c r="AD38" s="225"/>
      <c r="AE38" s="225"/>
      <c r="AF38" s="225"/>
      <c r="AG38" s="225"/>
      <c r="AH38" s="225"/>
      <c r="AI38" s="225"/>
      <c r="AJ38" s="225"/>
      <c r="AK38" s="225"/>
      <c r="AL38" s="225"/>
      <c r="AM38" s="225"/>
      <c r="AN38" s="225"/>
      <c r="AO38" s="225"/>
      <c r="AP38" s="225"/>
      <c r="AQ38" s="225"/>
      <c r="AR38" s="225"/>
      <c r="AS38" s="225"/>
      <c r="AT38" s="225"/>
      <c r="AU38" s="225"/>
      <c r="AV38" s="225"/>
      <c r="AW38" s="225"/>
      <c r="AX38" s="225"/>
    </row>
    <row r="39" spans="1:50" x14ac:dyDescent="0.25">
      <c r="A39" s="238" t="s">
        <v>361</v>
      </c>
      <c r="B39" s="225"/>
      <c r="C39" s="225"/>
      <c r="D39" s="225"/>
      <c r="E39" s="225"/>
      <c r="F39" s="225"/>
      <c r="G39" s="225"/>
      <c r="H39" s="225"/>
      <c r="I39" s="225"/>
      <c r="J39" s="225"/>
      <c r="K39" s="225"/>
      <c r="L39" s="225"/>
      <c r="M39" s="225"/>
      <c r="N39" s="225"/>
      <c r="O39" s="225"/>
      <c r="P39" s="225"/>
      <c r="Q39" s="225"/>
      <c r="R39" s="225"/>
      <c r="S39" s="225"/>
      <c r="T39" s="225"/>
      <c r="U39" s="225"/>
      <c r="V39" s="225"/>
      <c r="W39" s="225"/>
      <c r="X39" s="225"/>
      <c r="Y39" s="225"/>
      <c r="Z39" s="225"/>
      <c r="AA39" s="225"/>
      <c r="AB39" s="225"/>
      <c r="AC39" s="225"/>
      <c r="AD39" s="225">
        <v>1</v>
      </c>
      <c r="AE39" s="225">
        <v>1</v>
      </c>
      <c r="AF39" s="225">
        <v>1</v>
      </c>
      <c r="AG39" s="225">
        <v>1</v>
      </c>
      <c r="AH39" s="225" t="s">
        <v>337</v>
      </c>
      <c r="AI39" s="225" t="s">
        <v>337</v>
      </c>
      <c r="AJ39" s="225">
        <v>1</v>
      </c>
      <c r="AK39" s="225">
        <v>1</v>
      </c>
      <c r="AL39" s="225">
        <v>1</v>
      </c>
      <c r="AM39" s="225">
        <v>1</v>
      </c>
      <c r="AN39" s="225">
        <v>1</v>
      </c>
      <c r="AO39" s="225">
        <v>1</v>
      </c>
      <c r="AP39" s="225">
        <v>1</v>
      </c>
      <c r="AQ39" s="225">
        <v>1</v>
      </c>
      <c r="AR39" s="225">
        <v>1</v>
      </c>
      <c r="AS39" s="225">
        <v>1</v>
      </c>
      <c r="AT39" s="225"/>
      <c r="AU39" s="225"/>
      <c r="AV39" s="225"/>
      <c r="AW39" s="225"/>
      <c r="AX39" s="225"/>
    </row>
    <row r="40" spans="1:50" x14ac:dyDescent="0.25">
      <c r="A40" s="239" t="s">
        <v>362</v>
      </c>
      <c r="B40" s="225"/>
      <c r="C40" s="225"/>
      <c r="D40" s="225"/>
      <c r="E40" s="225"/>
      <c r="F40" s="225"/>
      <c r="G40" s="225"/>
      <c r="H40" s="225"/>
      <c r="I40" s="225"/>
      <c r="J40" s="225"/>
      <c r="K40" s="225"/>
      <c r="L40" s="225"/>
      <c r="M40" s="225"/>
      <c r="N40" s="225"/>
      <c r="O40" s="225"/>
      <c r="P40" s="225"/>
      <c r="Q40" s="225"/>
      <c r="R40" s="225">
        <v>1</v>
      </c>
      <c r="S40" s="225">
        <v>1</v>
      </c>
      <c r="T40" s="225">
        <v>1</v>
      </c>
      <c r="U40" s="225">
        <v>1</v>
      </c>
      <c r="V40" s="225">
        <v>1</v>
      </c>
      <c r="W40" s="225">
        <v>1</v>
      </c>
      <c r="X40" s="225">
        <v>1</v>
      </c>
      <c r="Y40" s="225">
        <v>1</v>
      </c>
      <c r="Z40" s="225">
        <v>1</v>
      </c>
      <c r="AA40" s="225">
        <v>1</v>
      </c>
      <c r="AB40" s="225">
        <v>1</v>
      </c>
      <c r="AC40" s="225"/>
      <c r="AD40" s="225"/>
      <c r="AE40" s="225"/>
      <c r="AF40" s="225"/>
      <c r="AG40" s="225"/>
      <c r="AH40" s="225"/>
      <c r="AI40" s="225"/>
      <c r="AJ40" s="225"/>
      <c r="AK40" s="225"/>
      <c r="AL40" s="225"/>
      <c r="AM40" s="225"/>
      <c r="AN40" s="225"/>
      <c r="AO40" s="225"/>
      <c r="AP40" s="225"/>
      <c r="AQ40" s="225"/>
      <c r="AR40" s="225"/>
      <c r="AS40" s="225"/>
      <c r="AT40" s="225"/>
      <c r="AU40" s="225"/>
      <c r="AV40" s="225"/>
      <c r="AW40" s="225"/>
      <c r="AX40" s="225"/>
    </row>
    <row r="41" spans="1:50" x14ac:dyDescent="0.25">
      <c r="A41" s="240" t="s">
        <v>363</v>
      </c>
      <c r="B41" s="225"/>
      <c r="C41" s="225"/>
      <c r="D41" s="225"/>
      <c r="E41" s="225"/>
      <c r="F41" s="225"/>
      <c r="G41" s="225"/>
      <c r="H41" s="225"/>
      <c r="I41" s="225"/>
      <c r="J41" s="225"/>
      <c r="K41" s="225"/>
      <c r="L41" s="225"/>
      <c r="M41" s="225"/>
      <c r="N41" s="225"/>
      <c r="O41" s="225"/>
      <c r="P41" s="225"/>
      <c r="Q41" s="225"/>
      <c r="R41" s="225">
        <v>1</v>
      </c>
      <c r="S41" s="225">
        <v>1</v>
      </c>
      <c r="T41" s="225">
        <v>1</v>
      </c>
      <c r="U41" s="225">
        <v>1</v>
      </c>
      <c r="V41" s="225">
        <v>1</v>
      </c>
      <c r="W41" s="225">
        <v>1</v>
      </c>
      <c r="X41" s="225">
        <v>1</v>
      </c>
      <c r="Y41" s="225">
        <v>1</v>
      </c>
      <c r="Z41" s="225">
        <v>1</v>
      </c>
      <c r="AA41" s="225">
        <v>1</v>
      </c>
      <c r="AB41" s="225">
        <v>1</v>
      </c>
      <c r="AC41" s="225">
        <v>0.7</v>
      </c>
      <c r="AD41" s="225"/>
      <c r="AE41" s="225"/>
      <c r="AF41" s="225"/>
      <c r="AG41" s="225"/>
      <c r="AH41" s="225"/>
      <c r="AI41" s="225"/>
      <c r="AJ41" s="225"/>
      <c r="AK41" s="225"/>
      <c r="AL41" s="225"/>
      <c r="AM41" s="225"/>
      <c r="AN41" s="225"/>
      <c r="AO41" s="225"/>
      <c r="AP41" s="225"/>
      <c r="AQ41" s="225"/>
      <c r="AR41" s="225"/>
      <c r="AS41" s="225"/>
      <c r="AT41" s="225"/>
      <c r="AU41" s="225"/>
      <c r="AV41" s="225"/>
      <c r="AW41" s="225"/>
      <c r="AX41" s="225"/>
    </row>
    <row r="42" spans="1:50" x14ac:dyDescent="0.25">
      <c r="A42" s="241" t="s">
        <v>364</v>
      </c>
      <c r="B42" s="225"/>
      <c r="C42" s="225"/>
      <c r="D42" s="225"/>
      <c r="E42" s="225"/>
      <c r="F42" s="225"/>
      <c r="G42" s="225"/>
      <c r="H42" s="225"/>
      <c r="I42" s="225"/>
      <c r="J42" s="225"/>
      <c r="K42" s="225"/>
      <c r="L42" s="225"/>
      <c r="M42" s="225"/>
      <c r="N42" s="225"/>
      <c r="O42" s="225"/>
      <c r="P42" s="225"/>
      <c r="Q42" s="225"/>
      <c r="R42" s="225"/>
      <c r="S42" s="225">
        <v>1</v>
      </c>
      <c r="T42" s="225">
        <v>1</v>
      </c>
      <c r="U42" s="225">
        <v>1</v>
      </c>
      <c r="V42" s="225">
        <v>1</v>
      </c>
      <c r="W42" s="225">
        <v>1</v>
      </c>
      <c r="X42" s="225">
        <v>1</v>
      </c>
      <c r="Y42" s="225">
        <v>1</v>
      </c>
      <c r="Z42" s="225">
        <v>1</v>
      </c>
      <c r="AA42" s="225">
        <v>1</v>
      </c>
      <c r="AB42" s="225">
        <v>0.4</v>
      </c>
      <c r="AC42" s="225"/>
      <c r="AD42" s="225"/>
      <c r="AE42" s="225"/>
      <c r="AF42" s="225"/>
      <c r="AG42" s="225"/>
      <c r="AH42" s="225"/>
      <c r="AI42" s="225"/>
      <c r="AJ42" s="225"/>
      <c r="AK42" s="225"/>
      <c r="AL42" s="225"/>
      <c r="AM42" s="225"/>
      <c r="AN42" s="225"/>
      <c r="AO42" s="225"/>
      <c r="AP42" s="225"/>
      <c r="AQ42" s="225"/>
      <c r="AR42" s="225"/>
      <c r="AS42" s="225"/>
      <c r="AT42" s="225"/>
      <c r="AU42" s="225"/>
      <c r="AV42" s="225"/>
      <c r="AW42" s="225"/>
      <c r="AX42" s="225"/>
    </row>
    <row r="43" spans="1:50" x14ac:dyDescent="0.25">
      <c r="A43" s="241" t="s">
        <v>365</v>
      </c>
      <c r="B43" s="225"/>
      <c r="C43" s="225"/>
      <c r="D43" s="225"/>
      <c r="E43" s="225"/>
      <c r="F43" s="225"/>
      <c r="G43" s="225"/>
      <c r="H43" s="225"/>
      <c r="I43" s="225"/>
      <c r="J43" s="225"/>
      <c r="K43" s="225"/>
      <c r="L43" s="225"/>
      <c r="M43" s="225"/>
      <c r="N43" s="225"/>
      <c r="O43" s="225"/>
      <c r="P43" s="225"/>
      <c r="Q43" s="225"/>
      <c r="R43" s="225">
        <v>1</v>
      </c>
      <c r="S43" s="225">
        <v>1</v>
      </c>
      <c r="T43" s="225">
        <v>1</v>
      </c>
      <c r="U43" s="225">
        <v>1</v>
      </c>
      <c r="V43" s="225">
        <v>1</v>
      </c>
      <c r="W43" s="225">
        <v>1</v>
      </c>
      <c r="X43" s="225">
        <v>1</v>
      </c>
      <c r="Y43" s="225">
        <v>1</v>
      </c>
      <c r="Z43" s="225">
        <v>1</v>
      </c>
      <c r="AA43" s="225">
        <v>1</v>
      </c>
      <c r="AB43" s="225"/>
      <c r="AC43" s="225"/>
      <c r="AD43" s="225"/>
      <c r="AE43" s="225"/>
      <c r="AF43" s="225"/>
      <c r="AG43" s="225"/>
      <c r="AH43" s="225"/>
      <c r="AI43" s="225"/>
      <c r="AJ43" s="225"/>
      <c r="AK43" s="225"/>
      <c r="AL43" s="225"/>
      <c r="AM43" s="225"/>
      <c r="AN43" s="225"/>
      <c r="AO43" s="225"/>
      <c r="AP43" s="225"/>
      <c r="AQ43" s="225"/>
      <c r="AR43" s="225"/>
      <c r="AS43" s="225"/>
      <c r="AT43" s="225"/>
      <c r="AU43" s="225"/>
      <c r="AV43" s="225"/>
      <c r="AW43" s="225"/>
      <c r="AX43" s="225"/>
    </row>
    <row r="44" spans="1:50" x14ac:dyDescent="0.25">
      <c r="A44" s="241" t="s">
        <v>366</v>
      </c>
      <c r="B44" s="225"/>
      <c r="C44" s="225"/>
      <c r="D44" s="225"/>
      <c r="E44" s="225"/>
      <c r="F44" s="225"/>
      <c r="G44" s="225"/>
      <c r="H44" s="225"/>
      <c r="I44" s="225"/>
      <c r="J44" s="225"/>
      <c r="K44" s="225"/>
      <c r="L44" s="225"/>
      <c r="M44" s="225"/>
      <c r="N44" s="225"/>
      <c r="O44" s="225"/>
      <c r="P44" s="225"/>
      <c r="Q44" s="225"/>
      <c r="R44" s="225"/>
      <c r="S44" s="225">
        <v>1</v>
      </c>
      <c r="T44" s="225">
        <v>1</v>
      </c>
      <c r="U44" s="225">
        <v>1</v>
      </c>
      <c r="V44" s="225">
        <v>1</v>
      </c>
      <c r="W44" s="225">
        <v>1</v>
      </c>
      <c r="X44" s="225">
        <v>1</v>
      </c>
      <c r="Y44" s="225">
        <v>1</v>
      </c>
      <c r="Z44" s="225">
        <v>1</v>
      </c>
      <c r="AA44" s="225">
        <v>1</v>
      </c>
      <c r="AB44" s="225">
        <v>1</v>
      </c>
      <c r="AC44" s="225"/>
      <c r="AD44" s="225"/>
      <c r="AE44" s="225"/>
      <c r="AF44" s="225"/>
      <c r="AG44" s="225"/>
      <c r="AH44" s="225"/>
      <c r="AI44" s="225"/>
      <c r="AJ44" s="225"/>
      <c r="AK44" s="225"/>
      <c r="AL44" s="225"/>
      <c r="AM44" s="225"/>
      <c r="AN44" s="225"/>
      <c r="AO44" s="225"/>
      <c r="AP44" s="225"/>
      <c r="AQ44" s="225"/>
      <c r="AR44" s="225"/>
      <c r="AS44" s="225"/>
      <c r="AT44" s="225"/>
      <c r="AU44" s="225"/>
      <c r="AV44" s="225"/>
      <c r="AW44" s="225"/>
      <c r="AX44" s="225"/>
    </row>
    <row r="45" spans="1:50" x14ac:dyDescent="0.25">
      <c r="A45" s="241" t="s">
        <v>367</v>
      </c>
      <c r="B45" s="225"/>
      <c r="C45" s="225"/>
      <c r="D45" s="225"/>
      <c r="E45" s="225"/>
      <c r="F45" s="225"/>
      <c r="G45" s="225"/>
      <c r="H45" s="225"/>
      <c r="I45" s="225"/>
      <c r="J45" s="225"/>
      <c r="K45" s="225"/>
      <c r="L45" s="225"/>
      <c r="M45" s="225"/>
      <c r="N45" s="225"/>
      <c r="O45" s="225"/>
      <c r="P45" s="225"/>
      <c r="Q45" s="225"/>
      <c r="R45" s="225"/>
      <c r="S45" s="225">
        <v>0.5</v>
      </c>
      <c r="T45" s="225">
        <v>1</v>
      </c>
      <c r="U45" s="225">
        <v>1</v>
      </c>
      <c r="V45" s="225">
        <v>1</v>
      </c>
      <c r="W45" s="225">
        <v>1</v>
      </c>
      <c r="X45" s="225">
        <v>1</v>
      </c>
      <c r="Y45" s="225">
        <v>1</v>
      </c>
      <c r="Z45" s="225">
        <v>1</v>
      </c>
      <c r="AA45" s="225">
        <v>1</v>
      </c>
      <c r="AB45" s="225">
        <v>1</v>
      </c>
      <c r="AC45" s="225">
        <v>0.5</v>
      </c>
      <c r="AD45" s="225"/>
      <c r="AE45" s="225"/>
      <c r="AF45" s="225"/>
      <c r="AG45" s="225"/>
      <c r="AH45" s="225"/>
      <c r="AI45" s="225"/>
      <c r="AJ45" s="225"/>
      <c r="AK45" s="225"/>
      <c r="AL45" s="225"/>
      <c r="AM45" s="225"/>
      <c r="AN45" s="225"/>
      <c r="AO45" s="225"/>
      <c r="AP45" s="225"/>
      <c r="AQ45" s="225"/>
      <c r="AR45" s="225"/>
      <c r="AS45" s="225"/>
      <c r="AT45" s="225"/>
      <c r="AU45" s="225"/>
      <c r="AV45" s="225"/>
      <c r="AW45" s="225"/>
      <c r="AX45" s="225"/>
    </row>
    <row r="46" spans="1:50" x14ac:dyDescent="0.25">
      <c r="A46" s="241" t="s">
        <v>368</v>
      </c>
      <c r="B46" s="225"/>
      <c r="C46" s="225"/>
      <c r="D46" s="225"/>
      <c r="E46" s="225"/>
      <c r="F46" s="225"/>
      <c r="G46" s="225"/>
      <c r="H46" s="225"/>
      <c r="I46" s="225"/>
      <c r="J46" s="225"/>
      <c r="K46" s="225"/>
      <c r="L46" s="225"/>
      <c r="M46" s="225"/>
      <c r="N46" s="225"/>
      <c r="O46" s="225"/>
      <c r="P46" s="225"/>
      <c r="Q46" s="225"/>
      <c r="R46" s="225"/>
      <c r="S46" s="225">
        <v>1</v>
      </c>
      <c r="T46" s="225">
        <v>1</v>
      </c>
      <c r="U46" s="225">
        <v>1</v>
      </c>
      <c r="V46" s="225">
        <v>1</v>
      </c>
      <c r="W46" s="225">
        <v>1</v>
      </c>
      <c r="X46" s="225">
        <v>1</v>
      </c>
      <c r="Y46" s="225">
        <v>1</v>
      </c>
      <c r="Z46" s="225">
        <v>1</v>
      </c>
      <c r="AA46" s="225"/>
      <c r="AB46" s="225"/>
      <c r="AC46" s="225"/>
      <c r="AD46" s="225"/>
      <c r="AE46" s="225"/>
      <c r="AF46" s="225"/>
      <c r="AG46" s="225"/>
      <c r="AH46" s="225"/>
      <c r="AI46" s="225"/>
      <c r="AJ46" s="225"/>
      <c r="AK46" s="225"/>
      <c r="AL46" s="225"/>
      <c r="AM46" s="225"/>
      <c r="AN46" s="225"/>
      <c r="AO46" s="225"/>
      <c r="AP46" s="225"/>
      <c r="AQ46" s="225"/>
      <c r="AR46" s="225"/>
      <c r="AS46" s="225"/>
      <c r="AT46" s="225"/>
      <c r="AU46" s="225"/>
      <c r="AV46" s="225"/>
      <c r="AW46" s="225"/>
      <c r="AX46" s="225"/>
    </row>
    <row r="47" spans="1:50" x14ac:dyDescent="0.25">
      <c r="A47" s="241" t="s">
        <v>369</v>
      </c>
      <c r="B47" s="225"/>
      <c r="C47" s="225"/>
      <c r="D47" s="225"/>
      <c r="E47" s="225"/>
      <c r="F47" s="225"/>
      <c r="G47" s="225"/>
      <c r="H47" s="225"/>
      <c r="I47" s="225"/>
      <c r="J47" s="225"/>
      <c r="K47" s="225"/>
      <c r="L47" s="225"/>
      <c r="M47" s="225"/>
      <c r="N47" s="225"/>
      <c r="O47" s="225"/>
      <c r="P47" s="225"/>
      <c r="Q47" s="225"/>
      <c r="R47" s="225"/>
      <c r="S47" s="225"/>
      <c r="T47" s="225"/>
      <c r="U47" s="225"/>
      <c r="V47" s="225"/>
      <c r="W47" s="225"/>
      <c r="X47" s="225"/>
      <c r="Y47" s="225"/>
      <c r="Z47" s="225"/>
      <c r="AA47" s="225"/>
      <c r="AB47" s="225"/>
      <c r="AC47" s="225">
        <v>1</v>
      </c>
      <c r="AD47" s="225">
        <v>1</v>
      </c>
      <c r="AE47" s="225">
        <v>1</v>
      </c>
      <c r="AF47" s="225">
        <v>1</v>
      </c>
      <c r="AG47" s="225">
        <v>1</v>
      </c>
      <c r="AH47" s="225">
        <v>1</v>
      </c>
      <c r="AI47" s="225">
        <v>1</v>
      </c>
      <c r="AJ47" s="225"/>
      <c r="AK47" s="225"/>
      <c r="AL47" s="225"/>
      <c r="AM47" s="225"/>
      <c r="AN47" s="225"/>
      <c r="AO47" s="225"/>
      <c r="AP47" s="225"/>
      <c r="AQ47" s="225"/>
      <c r="AR47" s="225"/>
      <c r="AS47" s="225"/>
      <c r="AT47" s="225"/>
      <c r="AU47" s="225"/>
      <c r="AV47" s="225"/>
      <c r="AW47" s="225"/>
      <c r="AX47" s="225"/>
    </row>
    <row r="48" spans="1:50" x14ac:dyDescent="0.25">
      <c r="A48" s="241" t="s">
        <v>370</v>
      </c>
      <c r="B48" s="225"/>
      <c r="C48" s="225"/>
      <c r="D48" s="225"/>
      <c r="E48" s="225"/>
      <c r="F48" s="225"/>
      <c r="G48" s="225"/>
      <c r="H48" s="225"/>
      <c r="I48" s="225"/>
      <c r="J48" s="225"/>
      <c r="K48" s="225"/>
      <c r="L48" s="225"/>
      <c r="M48" s="225"/>
      <c r="N48" s="225"/>
      <c r="O48" s="225"/>
      <c r="P48" s="225"/>
      <c r="Q48" s="225"/>
      <c r="R48" s="225"/>
      <c r="S48" s="225"/>
      <c r="T48" s="225"/>
      <c r="U48" s="225"/>
      <c r="V48" s="225"/>
      <c r="W48" s="225"/>
      <c r="X48" s="225"/>
      <c r="Y48" s="225"/>
      <c r="Z48" s="225"/>
      <c r="AA48" s="225"/>
      <c r="AB48" s="225"/>
      <c r="AC48" s="225">
        <v>0.92</v>
      </c>
      <c r="AD48" s="225">
        <v>1</v>
      </c>
      <c r="AE48" s="225">
        <v>1</v>
      </c>
      <c r="AF48" s="225">
        <v>1</v>
      </c>
      <c r="AG48" s="225">
        <v>1</v>
      </c>
      <c r="AH48" s="225">
        <v>1</v>
      </c>
      <c r="AI48" s="225">
        <v>1</v>
      </c>
      <c r="AJ48" s="225"/>
      <c r="AK48" s="225"/>
      <c r="AL48" s="225"/>
      <c r="AM48" s="225"/>
      <c r="AN48" s="225"/>
      <c r="AO48" s="225"/>
      <c r="AP48" s="225"/>
      <c r="AQ48" s="225"/>
      <c r="AR48" s="225"/>
      <c r="AS48" s="225"/>
      <c r="AT48" s="225"/>
      <c r="AU48" s="225"/>
      <c r="AV48" s="225"/>
      <c r="AW48" s="225"/>
      <c r="AX48" s="225"/>
    </row>
    <row r="49" spans="1:50" x14ac:dyDescent="0.25">
      <c r="A49" s="241" t="s">
        <v>371</v>
      </c>
      <c r="B49" s="225"/>
      <c r="C49" s="225"/>
      <c r="D49" s="225"/>
      <c r="E49" s="225"/>
      <c r="F49" s="225"/>
      <c r="G49" s="225"/>
      <c r="H49" s="225"/>
      <c r="I49" s="225"/>
      <c r="J49" s="225"/>
      <c r="K49" s="225"/>
      <c r="L49" s="225"/>
      <c r="M49" s="225"/>
      <c r="N49" s="225"/>
      <c r="O49" s="225"/>
      <c r="P49" s="225"/>
      <c r="Q49" s="225"/>
      <c r="R49" s="225"/>
      <c r="S49" s="225">
        <v>0.5</v>
      </c>
      <c r="T49" s="225">
        <v>1</v>
      </c>
      <c r="U49" s="225">
        <v>1</v>
      </c>
      <c r="V49" s="225">
        <v>1</v>
      </c>
      <c r="W49" s="225">
        <v>1</v>
      </c>
      <c r="X49" s="225">
        <v>1</v>
      </c>
      <c r="Y49" s="225">
        <v>1</v>
      </c>
      <c r="Z49" s="225">
        <v>1</v>
      </c>
      <c r="AA49" s="225">
        <v>0.5</v>
      </c>
      <c r="AB49" s="225"/>
      <c r="AC49" s="225"/>
      <c r="AD49" s="225"/>
      <c r="AE49" s="225"/>
      <c r="AF49" s="225"/>
      <c r="AG49" s="225"/>
      <c r="AH49" s="225"/>
      <c r="AI49" s="225"/>
      <c r="AJ49" s="225"/>
      <c r="AK49" s="225"/>
      <c r="AL49" s="225"/>
      <c r="AM49" s="225"/>
      <c r="AN49" s="225"/>
      <c r="AO49" s="225"/>
      <c r="AP49" s="225"/>
      <c r="AQ49" s="225"/>
      <c r="AR49" s="225"/>
      <c r="AS49" s="225"/>
      <c r="AT49" s="225"/>
      <c r="AU49" s="225"/>
      <c r="AV49" s="225"/>
      <c r="AW49" s="225"/>
      <c r="AX49" s="225"/>
    </row>
    <row r="50" spans="1:50" x14ac:dyDescent="0.25">
      <c r="A50" s="241" t="s">
        <v>372</v>
      </c>
      <c r="B50" s="225"/>
      <c r="C50" s="225"/>
      <c r="D50" s="225"/>
      <c r="E50" s="225"/>
      <c r="F50" s="225"/>
      <c r="G50" s="225"/>
      <c r="H50" s="225"/>
      <c r="I50" s="225"/>
      <c r="J50" s="225"/>
      <c r="K50" s="225"/>
      <c r="L50" s="225"/>
      <c r="M50" s="225"/>
      <c r="N50" s="225"/>
      <c r="O50" s="225"/>
      <c r="P50" s="225"/>
      <c r="Q50" s="225"/>
      <c r="R50" s="225"/>
      <c r="S50" s="225"/>
      <c r="T50" s="225"/>
      <c r="U50" s="225"/>
      <c r="V50" s="225"/>
      <c r="W50" s="225"/>
      <c r="X50" s="225"/>
      <c r="Y50" s="225"/>
      <c r="Z50" s="225"/>
      <c r="AA50" s="225"/>
      <c r="AB50" s="225">
        <v>1</v>
      </c>
      <c r="AC50" s="225">
        <v>1</v>
      </c>
      <c r="AD50" s="225">
        <v>1</v>
      </c>
      <c r="AE50" s="225">
        <v>1</v>
      </c>
      <c r="AF50" s="225">
        <v>1</v>
      </c>
      <c r="AG50" s="225">
        <v>1</v>
      </c>
      <c r="AH50" s="225">
        <v>1</v>
      </c>
      <c r="AI50" s="225">
        <v>1</v>
      </c>
      <c r="AJ50" s="225"/>
      <c r="AK50" s="225"/>
      <c r="AL50" s="225"/>
      <c r="AM50" s="225"/>
      <c r="AN50" s="225"/>
      <c r="AO50" s="225"/>
      <c r="AP50" s="225"/>
      <c r="AQ50" s="225"/>
      <c r="AR50" s="225"/>
      <c r="AS50" s="225"/>
      <c r="AT50" s="225"/>
      <c r="AU50" s="225"/>
      <c r="AV50" s="225"/>
      <c r="AW50" s="225"/>
      <c r="AX50" s="225"/>
    </row>
    <row r="51" spans="1:50" x14ac:dyDescent="0.25">
      <c r="A51" s="242" t="s">
        <v>373</v>
      </c>
      <c r="B51" s="225"/>
      <c r="C51" s="225"/>
      <c r="D51" s="225"/>
      <c r="E51" s="225"/>
      <c r="F51" s="225"/>
      <c r="G51" s="225"/>
      <c r="H51" s="225"/>
      <c r="I51" s="225"/>
      <c r="J51" s="225"/>
      <c r="K51" s="225"/>
      <c r="L51" s="225"/>
      <c r="M51" s="225"/>
      <c r="N51" s="225"/>
      <c r="O51" s="225"/>
      <c r="P51" s="225"/>
      <c r="Q51" s="225"/>
      <c r="R51" s="225">
        <v>1</v>
      </c>
      <c r="S51" s="225">
        <v>1</v>
      </c>
      <c r="T51" s="225">
        <v>1</v>
      </c>
      <c r="U51" s="225">
        <v>1</v>
      </c>
      <c r="V51" s="225">
        <v>1</v>
      </c>
      <c r="W51" s="225">
        <v>1</v>
      </c>
      <c r="X51" s="225">
        <v>1</v>
      </c>
      <c r="Y51" s="225">
        <v>1</v>
      </c>
      <c r="Z51" s="225" t="s">
        <v>337</v>
      </c>
      <c r="AA51" s="225" t="s">
        <v>337</v>
      </c>
      <c r="AB51" s="225">
        <v>1</v>
      </c>
      <c r="AC51" s="225">
        <v>1</v>
      </c>
      <c r="AD51" s="225">
        <v>1</v>
      </c>
      <c r="AE51" s="225">
        <v>1</v>
      </c>
      <c r="AF51" s="225">
        <v>1</v>
      </c>
      <c r="AG51" s="225">
        <v>1</v>
      </c>
      <c r="AH51" s="225">
        <v>1</v>
      </c>
      <c r="AI51" s="225">
        <v>0.4</v>
      </c>
      <c r="AJ51" s="225"/>
      <c r="AK51" s="225"/>
      <c r="AL51" s="225"/>
      <c r="AM51" s="225"/>
      <c r="AN51" s="225"/>
      <c r="AO51" s="225"/>
      <c r="AP51" s="225"/>
      <c r="AQ51" s="225"/>
      <c r="AR51" s="225"/>
      <c r="AS51" s="225"/>
      <c r="AT51" s="225"/>
      <c r="AU51" s="225"/>
      <c r="AV51" s="225"/>
      <c r="AW51" s="225"/>
      <c r="AX51" s="225"/>
    </row>
    <row r="52" spans="1:50" x14ac:dyDescent="0.25">
      <c r="A52" s="242" t="s">
        <v>374</v>
      </c>
      <c r="B52" s="225"/>
      <c r="C52" s="225"/>
      <c r="D52" s="225"/>
      <c r="E52" s="225"/>
      <c r="F52" s="225"/>
      <c r="G52" s="225"/>
      <c r="H52" s="225"/>
      <c r="I52" s="225"/>
      <c r="J52" s="225"/>
      <c r="K52" s="225"/>
      <c r="L52" s="225"/>
      <c r="M52" s="225"/>
      <c r="N52" s="225"/>
      <c r="O52" s="225"/>
      <c r="P52" s="225"/>
      <c r="Q52" s="225"/>
      <c r="R52" s="225">
        <v>1</v>
      </c>
      <c r="S52" s="225">
        <v>1</v>
      </c>
      <c r="T52" s="225">
        <v>1</v>
      </c>
      <c r="U52" s="225">
        <v>1</v>
      </c>
      <c r="V52" s="225">
        <v>1</v>
      </c>
      <c r="W52" s="225">
        <v>1</v>
      </c>
      <c r="X52" s="225">
        <v>1</v>
      </c>
      <c r="Y52" s="225">
        <v>1</v>
      </c>
      <c r="Z52" s="225" t="s">
        <v>337</v>
      </c>
      <c r="AA52" s="225" t="s">
        <v>337</v>
      </c>
      <c r="AB52" s="225">
        <v>1</v>
      </c>
      <c r="AC52" s="225">
        <v>1</v>
      </c>
      <c r="AD52" s="225">
        <v>1</v>
      </c>
      <c r="AE52" s="225">
        <v>1</v>
      </c>
      <c r="AF52" s="225">
        <v>1</v>
      </c>
      <c r="AG52" s="225">
        <v>1</v>
      </c>
      <c r="AH52" s="225">
        <v>1</v>
      </c>
      <c r="AI52" s="225">
        <v>1</v>
      </c>
      <c r="AJ52" s="225">
        <v>0.3</v>
      </c>
      <c r="AK52" s="225"/>
      <c r="AL52" s="225"/>
      <c r="AM52" s="225"/>
      <c r="AN52" s="225"/>
      <c r="AO52" s="225"/>
      <c r="AP52" s="225"/>
      <c r="AQ52" s="225"/>
      <c r="AR52" s="225"/>
      <c r="AS52" s="225"/>
      <c r="AT52" s="225"/>
      <c r="AU52" s="225"/>
      <c r="AV52" s="225"/>
      <c r="AW52" s="225"/>
      <c r="AX52" s="225"/>
    </row>
    <row r="53" spans="1:50" x14ac:dyDescent="0.25">
      <c r="A53" s="243" t="s">
        <v>375</v>
      </c>
      <c r="B53" s="225"/>
      <c r="C53" s="225"/>
      <c r="D53" s="225"/>
      <c r="E53" s="225"/>
      <c r="F53" s="225"/>
      <c r="G53" s="225"/>
      <c r="H53" s="225"/>
      <c r="I53" s="225"/>
      <c r="J53" s="225"/>
      <c r="K53" s="225"/>
      <c r="L53" s="225"/>
      <c r="M53" s="225"/>
      <c r="N53" s="225"/>
      <c r="O53" s="225"/>
      <c r="P53" s="225"/>
      <c r="Q53" s="225"/>
      <c r="R53" s="225">
        <v>1</v>
      </c>
      <c r="S53" s="225">
        <v>1</v>
      </c>
      <c r="T53" s="225">
        <v>1</v>
      </c>
      <c r="U53" s="225">
        <v>1</v>
      </c>
      <c r="V53" s="225">
        <v>1</v>
      </c>
      <c r="W53" s="225">
        <v>1</v>
      </c>
      <c r="X53" s="225">
        <v>1</v>
      </c>
      <c r="Y53" s="225">
        <v>1</v>
      </c>
      <c r="Z53" s="225" t="s">
        <v>337</v>
      </c>
      <c r="AA53" s="225" t="s">
        <v>337</v>
      </c>
      <c r="AB53" s="225">
        <v>1</v>
      </c>
      <c r="AC53" s="225">
        <v>1</v>
      </c>
      <c r="AD53" s="225">
        <v>1</v>
      </c>
      <c r="AE53" s="225">
        <v>1</v>
      </c>
      <c r="AF53" s="225">
        <v>1</v>
      </c>
      <c r="AG53" s="225">
        <v>1</v>
      </c>
      <c r="AH53" s="225"/>
      <c r="AI53" s="225"/>
      <c r="AJ53" s="225"/>
      <c r="AK53" s="225"/>
      <c r="AL53" s="225"/>
      <c r="AM53" s="225"/>
      <c r="AN53" s="225"/>
      <c r="AO53" s="225"/>
      <c r="AP53" s="225"/>
      <c r="AQ53" s="225"/>
      <c r="AR53" s="225"/>
      <c r="AS53" s="225"/>
      <c r="AT53" s="225"/>
      <c r="AU53" s="225"/>
      <c r="AV53" s="225"/>
      <c r="AW53" s="225"/>
      <c r="AX53" s="225"/>
    </row>
    <row r="54" spans="1:50" x14ac:dyDescent="0.25">
      <c r="A54" s="243" t="s">
        <v>376</v>
      </c>
      <c r="B54" s="225"/>
      <c r="C54" s="225"/>
      <c r="D54" s="225"/>
      <c r="E54" s="225"/>
      <c r="F54" s="225"/>
      <c r="G54" s="225"/>
      <c r="H54" s="225"/>
      <c r="I54" s="225"/>
      <c r="J54" s="225"/>
      <c r="K54" s="225"/>
      <c r="L54" s="225"/>
      <c r="M54" s="225"/>
      <c r="N54" s="225"/>
      <c r="O54" s="225"/>
      <c r="P54" s="225"/>
      <c r="Q54" s="225"/>
      <c r="R54" s="225">
        <v>1</v>
      </c>
      <c r="S54" s="225">
        <v>1</v>
      </c>
      <c r="T54" s="225">
        <v>1</v>
      </c>
      <c r="U54" s="225">
        <v>1</v>
      </c>
      <c r="V54" s="225">
        <v>1</v>
      </c>
      <c r="W54" s="225">
        <v>1</v>
      </c>
      <c r="X54" s="225">
        <v>1</v>
      </c>
      <c r="Y54" s="225">
        <v>1</v>
      </c>
      <c r="Z54" s="225" t="s">
        <v>337</v>
      </c>
      <c r="AA54" s="225" t="s">
        <v>337</v>
      </c>
      <c r="AB54" s="225">
        <v>1</v>
      </c>
      <c r="AC54" s="225">
        <v>1</v>
      </c>
      <c r="AD54" s="225">
        <v>1</v>
      </c>
      <c r="AE54" s="225">
        <v>1</v>
      </c>
      <c r="AF54" s="225">
        <v>1</v>
      </c>
      <c r="AG54" s="225">
        <v>1</v>
      </c>
      <c r="AH54" s="225">
        <v>0.7</v>
      </c>
      <c r="AI54" s="225"/>
      <c r="AJ54" s="225"/>
      <c r="AK54" s="225"/>
      <c r="AL54" s="225"/>
      <c r="AM54" s="225"/>
      <c r="AN54" s="225"/>
      <c r="AO54" s="225"/>
      <c r="AP54" s="225"/>
      <c r="AQ54" s="225"/>
      <c r="AR54" s="225"/>
      <c r="AS54" s="225"/>
      <c r="AT54" s="225"/>
      <c r="AU54" s="225"/>
      <c r="AV54" s="225"/>
      <c r="AW54" s="225"/>
      <c r="AX54" s="225"/>
    </row>
    <row r="55" spans="1:50" x14ac:dyDescent="0.25">
      <c r="A55" s="244" t="s">
        <v>377</v>
      </c>
      <c r="B55" s="225"/>
      <c r="C55" s="225"/>
      <c r="D55" s="225"/>
      <c r="E55" s="225"/>
      <c r="F55" s="225"/>
      <c r="G55" s="225"/>
      <c r="H55" s="225"/>
      <c r="I55" s="225"/>
      <c r="J55" s="225"/>
      <c r="K55" s="225"/>
      <c r="L55" s="225"/>
      <c r="M55" s="225"/>
      <c r="N55" s="225"/>
      <c r="O55" s="225"/>
      <c r="P55" s="225"/>
      <c r="Q55" s="225"/>
      <c r="R55" s="225">
        <v>1</v>
      </c>
      <c r="S55" s="225">
        <v>1</v>
      </c>
      <c r="T55" s="225">
        <v>1</v>
      </c>
      <c r="U55" s="225">
        <v>1</v>
      </c>
      <c r="V55" s="225">
        <v>1</v>
      </c>
      <c r="W55" s="225">
        <v>1</v>
      </c>
      <c r="X55" s="225" t="s">
        <v>337</v>
      </c>
      <c r="Y55" s="225" t="s">
        <v>337</v>
      </c>
      <c r="Z55" s="225">
        <v>1</v>
      </c>
      <c r="AA55" s="225">
        <v>1</v>
      </c>
      <c r="AB55" s="225">
        <v>1</v>
      </c>
      <c r="AC55" s="225">
        <v>1</v>
      </c>
      <c r="AD55" s="225">
        <v>1</v>
      </c>
      <c r="AE55" s="225"/>
      <c r="AF55" s="225"/>
      <c r="AG55" s="225"/>
      <c r="AH55" s="225"/>
      <c r="AI55" s="225"/>
      <c r="AJ55" s="225"/>
      <c r="AK55" s="225"/>
      <c r="AL55" s="225"/>
      <c r="AM55" s="225"/>
      <c r="AN55" s="225"/>
      <c r="AO55" s="225"/>
      <c r="AP55" s="225"/>
      <c r="AQ55" s="225"/>
      <c r="AR55" s="225"/>
      <c r="AS55" s="225"/>
      <c r="AT55" s="225"/>
      <c r="AU55" s="225"/>
      <c r="AV55" s="225"/>
      <c r="AW55" s="225"/>
      <c r="AX55" s="225"/>
    </row>
    <row r="56" spans="1:50" x14ac:dyDescent="0.25">
      <c r="A56" s="244" t="s">
        <v>378</v>
      </c>
      <c r="B56" s="225"/>
      <c r="C56" s="225"/>
      <c r="D56" s="225"/>
      <c r="E56" s="225"/>
      <c r="F56" s="225"/>
      <c r="G56" s="225"/>
      <c r="H56" s="225"/>
      <c r="I56" s="225"/>
      <c r="J56" s="225"/>
      <c r="K56" s="225"/>
      <c r="L56" s="225"/>
      <c r="M56" s="225"/>
      <c r="N56" s="225"/>
      <c r="O56" s="225"/>
      <c r="P56" s="225"/>
      <c r="Q56" s="225"/>
      <c r="R56" s="225">
        <v>1</v>
      </c>
      <c r="S56" s="225">
        <v>1</v>
      </c>
      <c r="T56" s="225">
        <v>1</v>
      </c>
      <c r="U56" s="225">
        <v>1</v>
      </c>
      <c r="V56" s="225">
        <v>1</v>
      </c>
      <c r="W56" s="225">
        <v>1</v>
      </c>
      <c r="X56" s="225" t="s">
        <v>337</v>
      </c>
      <c r="Y56" s="225" t="s">
        <v>337</v>
      </c>
      <c r="Z56" s="225">
        <v>1</v>
      </c>
      <c r="AA56" s="225">
        <v>1</v>
      </c>
      <c r="AB56" s="225">
        <v>1</v>
      </c>
      <c r="AC56" s="225">
        <v>1</v>
      </c>
      <c r="AD56" s="225">
        <v>1</v>
      </c>
      <c r="AE56" s="225">
        <v>0.3</v>
      </c>
      <c r="AF56" s="225"/>
      <c r="AG56" s="225"/>
      <c r="AH56" s="225"/>
      <c r="AI56" s="225"/>
      <c r="AJ56" s="225"/>
      <c r="AK56" s="225"/>
      <c r="AL56" s="225"/>
      <c r="AM56" s="225"/>
      <c r="AN56" s="225"/>
      <c r="AO56" s="225"/>
      <c r="AP56" s="225"/>
      <c r="AQ56" s="225"/>
      <c r="AR56" s="225"/>
      <c r="AS56" s="225"/>
      <c r="AT56" s="225"/>
      <c r="AU56" s="225"/>
      <c r="AV56" s="225"/>
      <c r="AW56" s="225"/>
      <c r="AX56" s="225"/>
    </row>
    <row r="57" spans="1:50" x14ac:dyDescent="0.25">
      <c r="A57" s="245" t="s">
        <v>379</v>
      </c>
      <c r="B57" s="225"/>
      <c r="C57" s="225"/>
      <c r="D57" s="225"/>
      <c r="E57" s="225"/>
      <c r="F57" s="225"/>
      <c r="G57" s="225"/>
      <c r="H57" s="225"/>
      <c r="I57" s="225"/>
      <c r="J57" s="225"/>
      <c r="K57" s="225"/>
      <c r="L57" s="225"/>
      <c r="M57" s="225"/>
      <c r="N57" s="225"/>
      <c r="O57" s="225"/>
      <c r="P57" s="225"/>
      <c r="Q57" s="225"/>
      <c r="R57" s="225"/>
      <c r="S57" s="225">
        <v>1</v>
      </c>
      <c r="T57" s="225">
        <v>1</v>
      </c>
      <c r="U57" s="225">
        <v>1</v>
      </c>
      <c r="V57" s="225">
        <v>1</v>
      </c>
      <c r="W57" s="225">
        <v>1</v>
      </c>
      <c r="X57" s="225">
        <v>1</v>
      </c>
      <c r="Y57" s="225">
        <v>1</v>
      </c>
      <c r="Z57" s="225">
        <v>1</v>
      </c>
      <c r="AA57" s="225" t="s">
        <v>337</v>
      </c>
      <c r="AB57" s="225" t="s">
        <v>337</v>
      </c>
      <c r="AC57" s="225">
        <v>1</v>
      </c>
      <c r="AD57" s="225">
        <v>1</v>
      </c>
      <c r="AE57" s="225">
        <v>1</v>
      </c>
      <c r="AF57" s="225">
        <v>1</v>
      </c>
      <c r="AG57" s="225">
        <v>1</v>
      </c>
      <c r="AH57" s="225">
        <v>1</v>
      </c>
      <c r="AI57" s="225">
        <v>1</v>
      </c>
      <c r="AJ57" s="225"/>
      <c r="AK57" s="225"/>
      <c r="AL57" s="225"/>
      <c r="AM57" s="225"/>
      <c r="AN57" s="225"/>
      <c r="AO57" s="225"/>
      <c r="AP57" s="225"/>
      <c r="AQ57" s="225"/>
      <c r="AR57" s="225"/>
      <c r="AS57" s="225"/>
      <c r="AT57" s="225"/>
      <c r="AU57" s="225"/>
      <c r="AV57" s="225"/>
      <c r="AW57" s="225"/>
      <c r="AX57" s="225"/>
    </row>
    <row r="58" spans="1:50" x14ac:dyDescent="0.25">
      <c r="A58" s="245" t="s">
        <v>380</v>
      </c>
      <c r="B58" s="225"/>
      <c r="C58" s="225"/>
      <c r="D58" s="225"/>
      <c r="E58" s="225"/>
      <c r="F58" s="225"/>
      <c r="G58" s="225"/>
      <c r="H58" s="225"/>
      <c r="I58" s="225"/>
      <c r="J58" s="225"/>
      <c r="K58" s="225"/>
      <c r="L58" s="225"/>
      <c r="M58" s="225"/>
      <c r="N58" s="225"/>
      <c r="O58" s="225"/>
      <c r="P58" s="225"/>
      <c r="Q58" s="225"/>
      <c r="R58" s="225">
        <v>0.3</v>
      </c>
      <c r="S58" s="225">
        <v>1</v>
      </c>
      <c r="T58" s="225">
        <v>1</v>
      </c>
      <c r="U58" s="225">
        <v>1</v>
      </c>
      <c r="V58" s="225">
        <v>1</v>
      </c>
      <c r="W58" s="225">
        <v>1</v>
      </c>
      <c r="X58" s="225">
        <v>1</v>
      </c>
      <c r="Y58" s="225">
        <v>1</v>
      </c>
      <c r="Z58" s="225">
        <v>1</v>
      </c>
      <c r="AA58" s="225" t="s">
        <v>337</v>
      </c>
      <c r="AB58" s="225" t="s">
        <v>337</v>
      </c>
      <c r="AC58" s="225">
        <v>1</v>
      </c>
      <c r="AD58" s="225">
        <v>1</v>
      </c>
      <c r="AE58" s="225">
        <v>1</v>
      </c>
      <c r="AF58" s="225">
        <v>1</v>
      </c>
      <c r="AG58" s="225">
        <v>1</v>
      </c>
      <c r="AH58" s="225">
        <v>1</v>
      </c>
      <c r="AI58" s="225">
        <v>1</v>
      </c>
      <c r="AJ58" s="225"/>
      <c r="AK58" s="225"/>
      <c r="AL58" s="225"/>
      <c r="AM58" s="225"/>
      <c r="AN58" s="225"/>
      <c r="AO58" s="225"/>
      <c r="AP58" s="225"/>
      <c r="AQ58" s="225"/>
      <c r="AR58" s="225"/>
      <c r="AS58" s="225"/>
      <c r="AT58" s="225"/>
      <c r="AU58" s="225"/>
      <c r="AV58" s="225"/>
      <c r="AW58" s="225"/>
      <c r="AX58" s="225"/>
    </row>
    <row r="59" spans="1:50" ht="14.5" x14ac:dyDescent="0.35">
      <c r="A59" s="246" t="s">
        <v>381</v>
      </c>
      <c r="B59" s="225"/>
      <c r="C59" s="225"/>
      <c r="D59" s="225"/>
      <c r="E59" s="225"/>
      <c r="F59" s="225"/>
      <c r="G59" s="225"/>
      <c r="H59" s="225"/>
      <c r="I59" s="225"/>
      <c r="J59" s="225"/>
      <c r="K59" s="225"/>
      <c r="L59" s="225"/>
      <c r="M59" s="225"/>
      <c r="N59" s="225"/>
      <c r="O59" s="225"/>
      <c r="P59" s="225"/>
      <c r="Q59" s="225"/>
      <c r="R59" s="225"/>
      <c r="S59" s="225">
        <v>1</v>
      </c>
      <c r="T59" s="225">
        <v>1</v>
      </c>
      <c r="U59" s="225">
        <v>1</v>
      </c>
      <c r="V59" s="225">
        <v>1</v>
      </c>
      <c r="W59" s="225">
        <v>1</v>
      </c>
      <c r="X59" s="225">
        <v>1</v>
      </c>
      <c r="Y59" s="225" t="s">
        <v>337</v>
      </c>
      <c r="Z59" s="225" t="s">
        <v>337</v>
      </c>
      <c r="AA59" s="225">
        <v>1</v>
      </c>
      <c r="AB59" s="225">
        <v>1</v>
      </c>
      <c r="AC59" s="225">
        <v>1</v>
      </c>
      <c r="AD59" s="225">
        <v>1</v>
      </c>
      <c r="AE59" s="225">
        <v>1</v>
      </c>
      <c r="AF59" s="225">
        <v>1</v>
      </c>
      <c r="AG59" s="225">
        <v>1</v>
      </c>
      <c r="AH59" s="225">
        <v>1</v>
      </c>
      <c r="AI59" s="225">
        <v>1</v>
      </c>
      <c r="AJ59" s="225"/>
      <c r="AK59" s="225"/>
      <c r="AL59" s="225"/>
      <c r="AM59" s="225"/>
      <c r="AN59" s="225"/>
      <c r="AO59" s="225"/>
      <c r="AP59" s="225"/>
      <c r="AQ59" s="225"/>
      <c r="AR59" s="225"/>
      <c r="AS59" s="225"/>
      <c r="AT59" s="225"/>
      <c r="AU59" s="225"/>
      <c r="AV59" s="225"/>
      <c r="AW59" s="225"/>
      <c r="AX59" s="225"/>
    </row>
    <row r="60" spans="1:50" ht="14.5" x14ac:dyDescent="0.35">
      <c r="A60" s="246" t="s">
        <v>382</v>
      </c>
      <c r="B60" s="225"/>
      <c r="C60" s="225"/>
      <c r="D60" s="225"/>
      <c r="E60" s="225"/>
      <c r="F60" s="225"/>
      <c r="G60" s="225"/>
      <c r="H60" s="225"/>
      <c r="I60" s="225"/>
      <c r="J60" s="225"/>
      <c r="K60" s="225"/>
      <c r="L60" s="225"/>
      <c r="M60" s="225"/>
      <c r="N60" s="225"/>
      <c r="O60" s="225"/>
      <c r="P60" s="225"/>
      <c r="Q60" s="225"/>
      <c r="R60" s="225">
        <v>0.3</v>
      </c>
      <c r="S60" s="225">
        <v>1</v>
      </c>
      <c r="T60" s="225">
        <v>1</v>
      </c>
      <c r="U60" s="225">
        <v>1</v>
      </c>
      <c r="V60" s="225">
        <v>1</v>
      </c>
      <c r="W60" s="225">
        <v>1</v>
      </c>
      <c r="X60" s="225">
        <v>1</v>
      </c>
      <c r="Y60" s="225" t="s">
        <v>337</v>
      </c>
      <c r="Z60" s="225" t="s">
        <v>337</v>
      </c>
      <c r="AA60" s="225">
        <v>1</v>
      </c>
      <c r="AB60" s="225">
        <v>1</v>
      </c>
      <c r="AC60" s="225">
        <v>1</v>
      </c>
      <c r="AD60" s="225">
        <v>1</v>
      </c>
      <c r="AE60" s="225">
        <v>1</v>
      </c>
      <c r="AF60" s="225">
        <v>1</v>
      </c>
      <c r="AG60" s="225">
        <v>1</v>
      </c>
      <c r="AH60" s="225">
        <v>1</v>
      </c>
      <c r="AI60" s="225">
        <v>1</v>
      </c>
      <c r="AJ60" s="225"/>
      <c r="AK60" s="225"/>
      <c r="AL60" s="225"/>
      <c r="AM60" s="225"/>
      <c r="AN60" s="225"/>
      <c r="AO60" s="225"/>
      <c r="AP60" s="225"/>
      <c r="AQ60" s="225"/>
      <c r="AR60" s="225"/>
      <c r="AS60" s="225"/>
      <c r="AT60" s="225"/>
      <c r="AU60" s="225"/>
      <c r="AV60" s="225"/>
      <c r="AW60" s="225"/>
      <c r="AX60" s="225"/>
    </row>
    <row r="61" spans="1:50" ht="13" x14ac:dyDescent="0.25">
      <c r="A61" s="247" t="s">
        <v>383</v>
      </c>
      <c r="B61" s="225"/>
      <c r="C61" s="225"/>
      <c r="D61" s="225"/>
      <c r="E61" s="225"/>
      <c r="F61" s="225"/>
      <c r="G61" s="225"/>
      <c r="H61" s="225"/>
      <c r="I61" s="225"/>
      <c r="J61" s="225"/>
      <c r="K61" s="225"/>
      <c r="L61" s="225"/>
      <c r="M61" s="225"/>
      <c r="N61" s="225"/>
      <c r="O61" s="225"/>
      <c r="P61" s="225"/>
      <c r="Q61" s="225"/>
      <c r="R61" s="225"/>
      <c r="S61" s="225"/>
      <c r="T61" s="225"/>
      <c r="U61" s="225"/>
      <c r="V61" s="225">
        <v>1</v>
      </c>
      <c r="W61" s="225">
        <v>1</v>
      </c>
      <c r="X61" s="225">
        <v>1</v>
      </c>
      <c r="Y61" s="225">
        <v>1</v>
      </c>
      <c r="Z61" s="225">
        <v>1</v>
      </c>
      <c r="AA61" s="225" t="s">
        <v>337</v>
      </c>
      <c r="AB61" s="225" t="s">
        <v>337</v>
      </c>
      <c r="AC61" s="225">
        <v>1</v>
      </c>
      <c r="AD61" s="225">
        <v>1</v>
      </c>
      <c r="AE61" s="225">
        <v>1</v>
      </c>
      <c r="AF61" s="225">
        <v>1</v>
      </c>
      <c r="AG61" s="225">
        <v>1</v>
      </c>
      <c r="AH61" s="225"/>
      <c r="AI61" s="225"/>
      <c r="AJ61" s="225"/>
      <c r="AK61" s="225"/>
      <c r="AL61" s="225"/>
      <c r="AM61" s="225"/>
      <c r="AN61" s="225"/>
      <c r="AO61" s="225"/>
      <c r="AP61" s="225"/>
      <c r="AQ61" s="225"/>
      <c r="AR61" s="225"/>
      <c r="AS61" s="225"/>
      <c r="AT61" s="225"/>
      <c r="AU61" s="225"/>
      <c r="AV61" s="225"/>
      <c r="AW61" s="225"/>
      <c r="AX61" s="225"/>
    </row>
    <row r="62" spans="1:50" ht="13" x14ac:dyDescent="0.25">
      <c r="A62" s="247" t="s">
        <v>384</v>
      </c>
      <c r="B62" s="225"/>
      <c r="C62" s="225"/>
      <c r="D62" s="225"/>
      <c r="E62" s="225"/>
      <c r="F62" s="225"/>
      <c r="G62" s="225"/>
      <c r="H62" s="225"/>
      <c r="I62" s="225"/>
      <c r="J62" s="225"/>
      <c r="K62" s="225"/>
      <c r="L62" s="225"/>
      <c r="M62" s="225"/>
      <c r="N62" s="225"/>
      <c r="O62" s="225"/>
      <c r="P62" s="225"/>
      <c r="Q62" s="225"/>
      <c r="R62" s="225"/>
      <c r="S62" s="225"/>
      <c r="T62" s="225"/>
      <c r="U62" s="225"/>
      <c r="V62" s="225">
        <v>1</v>
      </c>
      <c r="W62" s="225">
        <v>1</v>
      </c>
      <c r="X62" s="225">
        <v>1</v>
      </c>
      <c r="Y62" s="225">
        <v>1</v>
      </c>
      <c r="Z62" s="225">
        <v>1</v>
      </c>
      <c r="AA62" s="225" t="s">
        <v>337</v>
      </c>
      <c r="AB62" s="225" t="s">
        <v>337</v>
      </c>
      <c r="AC62" s="225">
        <v>1</v>
      </c>
      <c r="AD62" s="225">
        <v>1</v>
      </c>
      <c r="AE62" s="225">
        <v>1</v>
      </c>
      <c r="AF62" s="225">
        <v>1</v>
      </c>
      <c r="AG62" s="225">
        <v>1</v>
      </c>
      <c r="AH62" s="225">
        <v>0.7</v>
      </c>
      <c r="AI62" s="225"/>
      <c r="AJ62" s="225"/>
      <c r="AK62" s="225"/>
      <c r="AL62" s="225"/>
      <c r="AM62" s="225"/>
      <c r="AN62" s="225"/>
      <c r="AO62" s="225"/>
      <c r="AP62" s="225"/>
      <c r="AQ62" s="225"/>
      <c r="AR62" s="225"/>
      <c r="AS62" s="225"/>
      <c r="AT62" s="225"/>
      <c r="AU62" s="225"/>
      <c r="AV62" s="225"/>
      <c r="AW62" s="225"/>
      <c r="AX62" s="225"/>
    </row>
    <row r="63" spans="1:50" x14ac:dyDescent="0.25">
      <c r="A63" s="248" t="s">
        <v>385</v>
      </c>
      <c r="B63" s="225"/>
      <c r="C63" s="225"/>
      <c r="D63" s="225"/>
      <c r="E63" s="225"/>
      <c r="F63" s="225"/>
      <c r="G63" s="225"/>
      <c r="H63" s="225"/>
      <c r="I63" s="225"/>
      <c r="J63" s="225"/>
      <c r="K63" s="225"/>
      <c r="L63" s="225"/>
      <c r="M63" s="225"/>
      <c r="N63" s="225"/>
      <c r="O63" s="225"/>
      <c r="P63" s="225"/>
      <c r="Q63" s="225"/>
      <c r="R63" s="225">
        <v>1</v>
      </c>
      <c r="S63" s="225">
        <v>1</v>
      </c>
      <c r="T63" s="225">
        <v>1</v>
      </c>
      <c r="U63" s="225">
        <v>1</v>
      </c>
      <c r="V63" s="225">
        <v>1</v>
      </c>
      <c r="W63" s="225">
        <v>1</v>
      </c>
      <c r="X63" s="225">
        <v>1</v>
      </c>
      <c r="Y63" s="225" t="s">
        <v>337</v>
      </c>
      <c r="Z63" s="225" t="s">
        <v>337</v>
      </c>
      <c r="AA63" s="225">
        <v>1</v>
      </c>
      <c r="AB63" s="225">
        <v>1</v>
      </c>
      <c r="AC63" s="225">
        <v>1</v>
      </c>
      <c r="AD63" s="225">
        <v>1</v>
      </c>
      <c r="AE63" s="225">
        <v>1</v>
      </c>
      <c r="AF63" s="225">
        <v>1</v>
      </c>
      <c r="AG63" s="225">
        <v>1</v>
      </c>
      <c r="AH63" s="225">
        <v>1</v>
      </c>
      <c r="AI63" s="225"/>
      <c r="AJ63" s="225"/>
      <c r="AK63" s="225"/>
      <c r="AL63" s="225"/>
      <c r="AM63" s="225"/>
      <c r="AN63" s="225"/>
      <c r="AO63" s="225"/>
      <c r="AP63" s="225"/>
      <c r="AQ63" s="225"/>
      <c r="AR63" s="225"/>
      <c r="AS63" s="225"/>
      <c r="AT63" s="225"/>
      <c r="AU63" s="225"/>
      <c r="AV63" s="225"/>
      <c r="AW63" s="225"/>
      <c r="AX63" s="225"/>
    </row>
    <row r="64" spans="1:50" x14ac:dyDescent="0.25">
      <c r="A64" s="248" t="s">
        <v>386</v>
      </c>
      <c r="B64" s="225"/>
      <c r="C64" s="225"/>
      <c r="D64" s="225"/>
      <c r="E64" s="225"/>
      <c r="F64" s="225"/>
      <c r="G64" s="225"/>
      <c r="H64" s="225"/>
      <c r="I64" s="225"/>
      <c r="J64" s="225"/>
      <c r="K64" s="225"/>
      <c r="L64" s="225"/>
      <c r="M64" s="225"/>
      <c r="N64" s="225"/>
      <c r="O64" s="225"/>
      <c r="P64" s="225"/>
      <c r="Q64" s="225"/>
      <c r="R64" s="225">
        <v>1</v>
      </c>
      <c r="S64" s="225">
        <v>1</v>
      </c>
      <c r="T64" s="225">
        <v>1</v>
      </c>
      <c r="U64" s="225">
        <v>1</v>
      </c>
      <c r="V64" s="225">
        <v>1</v>
      </c>
      <c r="W64" s="225">
        <v>1</v>
      </c>
      <c r="X64" s="225">
        <v>1</v>
      </c>
      <c r="Y64" s="225" t="s">
        <v>337</v>
      </c>
      <c r="Z64" s="225" t="s">
        <v>337</v>
      </c>
      <c r="AA64" s="225">
        <v>1</v>
      </c>
      <c r="AB64" s="225">
        <v>1</v>
      </c>
      <c r="AC64" s="225">
        <v>1</v>
      </c>
      <c r="AD64" s="225">
        <v>1</v>
      </c>
      <c r="AE64" s="225">
        <v>1</v>
      </c>
      <c r="AF64" s="225">
        <v>1</v>
      </c>
      <c r="AG64" s="225">
        <v>1</v>
      </c>
      <c r="AH64" s="225">
        <v>1</v>
      </c>
      <c r="AI64" s="225">
        <v>0.3</v>
      </c>
      <c r="AJ64" s="225"/>
      <c r="AK64" s="225"/>
      <c r="AL64" s="225"/>
      <c r="AM64" s="225"/>
      <c r="AN64" s="225"/>
      <c r="AO64" s="225"/>
      <c r="AP64" s="225"/>
      <c r="AQ64" s="225"/>
      <c r="AR64" s="225"/>
      <c r="AS64" s="225"/>
      <c r="AT64" s="225"/>
      <c r="AU64" s="225"/>
      <c r="AV64" s="225"/>
      <c r="AW64" s="225"/>
      <c r="AX64" s="225"/>
    </row>
    <row r="65" spans="1:50" x14ac:dyDescent="0.25">
      <c r="A65" s="249" t="s">
        <v>387</v>
      </c>
      <c r="B65" s="225"/>
      <c r="C65" s="225"/>
      <c r="D65" s="225"/>
      <c r="E65" s="225"/>
      <c r="F65" s="225"/>
      <c r="G65" s="225"/>
      <c r="H65" s="225"/>
      <c r="I65" s="225"/>
      <c r="J65" s="225"/>
      <c r="K65" s="225"/>
      <c r="L65" s="225"/>
      <c r="M65" s="225"/>
      <c r="N65" s="225"/>
      <c r="O65" s="225"/>
      <c r="P65" s="225"/>
      <c r="Q65" s="225"/>
      <c r="R65" s="225"/>
      <c r="S65" s="225"/>
      <c r="T65" s="225"/>
      <c r="U65" s="225">
        <v>1</v>
      </c>
      <c r="V65" s="225">
        <v>1</v>
      </c>
      <c r="W65" s="225">
        <v>1</v>
      </c>
      <c r="X65" s="225">
        <v>1</v>
      </c>
      <c r="Y65" s="225">
        <v>1</v>
      </c>
      <c r="Z65" s="225" t="s">
        <v>337</v>
      </c>
      <c r="AA65" s="225" t="s">
        <v>337</v>
      </c>
      <c r="AB65" s="225">
        <v>1</v>
      </c>
      <c r="AC65" s="225">
        <v>1</v>
      </c>
      <c r="AD65" s="225">
        <v>1</v>
      </c>
      <c r="AE65" s="225">
        <v>1</v>
      </c>
      <c r="AF65" s="225">
        <v>1</v>
      </c>
      <c r="AG65" s="225">
        <v>1</v>
      </c>
      <c r="AH65" s="225">
        <v>1</v>
      </c>
      <c r="AI65" s="225">
        <v>1</v>
      </c>
      <c r="AJ65" s="225">
        <v>0.3</v>
      </c>
      <c r="AK65" s="225"/>
      <c r="AL65" s="225"/>
      <c r="AM65" s="225"/>
      <c r="AN65" s="225"/>
      <c r="AO65" s="225"/>
      <c r="AP65" s="225"/>
      <c r="AQ65" s="225"/>
      <c r="AR65" s="225"/>
      <c r="AS65" s="225"/>
      <c r="AT65" s="225"/>
      <c r="AU65" s="225"/>
      <c r="AV65" s="225"/>
      <c r="AW65" s="225"/>
      <c r="AX65" s="225"/>
    </row>
    <row r="66" spans="1:50" x14ac:dyDescent="0.25">
      <c r="A66" s="249" t="s">
        <v>388</v>
      </c>
      <c r="B66" s="225"/>
      <c r="C66" s="225"/>
      <c r="D66" s="225"/>
      <c r="E66" s="225"/>
      <c r="F66" s="225"/>
      <c r="G66" s="225"/>
      <c r="H66" s="225"/>
      <c r="I66" s="225"/>
      <c r="J66" s="225"/>
      <c r="K66" s="225"/>
      <c r="L66" s="225"/>
      <c r="M66" s="225"/>
      <c r="N66" s="225"/>
      <c r="O66" s="225"/>
      <c r="P66" s="225"/>
      <c r="Q66" s="225"/>
      <c r="R66" s="225"/>
      <c r="S66" s="225"/>
      <c r="T66" s="225">
        <v>0.3</v>
      </c>
      <c r="U66" s="225">
        <v>1</v>
      </c>
      <c r="V66" s="225">
        <v>1</v>
      </c>
      <c r="W66" s="225">
        <v>1</v>
      </c>
      <c r="X66" s="225">
        <v>1</v>
      </c>
      <c r="Y66" s="225">
        <v>1</v>
      </c>
      <c r="Z66" s="225" t="s">
        <v>337</v>
      </c>
      <c r="AA66" s="225" t="s">
        <v>337</v>
      </c>
      <c r="AB66" s="225">
        <v>1</v>
      </c>
      <c r="AC66" s="225">
        <v>1</v>
      </c>
      <c r="AD66" s="225">
        <v>1</v>
      </c>
      <c r="AE66" s="225">
        <v>1</v>
      </c>
      <c r="AF66" s="225">
        <v>1</v>
      </c>
      <c r="AG66" s="225">
        <v>1</v>
      </c>
      <c r="AH66" s="225">
        <v>1</v>
      </c>
      <c r="AI66" s="225">
        <v>1</v>
      </c>
      <c r="AJ66" s="225">
        <v>0.3</v>
      </c>
      <c r="AK66" s="225"/>
      <c r="AL66" s="225"/>
      <c r="AM66" s="225"/>
      <c r="AN66" s="225"/>
      <c r="AO66" s="225"/>
      <c r="AP66" s="225"/>
      <c r="AQ66" s="225"/>
      <c r="AR66" s="225"/>
      <c r="AS66" s="225"/>
      <c r="AT66" s="225"/>
      <c r="AU66" s="225"/>
      <c r="AV66" s="225"/>
      <c r="AW66" s="225"/>
      <c r="AX66" s="225"/>
    </row>
    <row r="67" spans="1:50" x14ac:dyDescent="0.25">
      <c r="A67" s="250" t="s">
        <v>389</v>
      </c>
      <c r="B67" s="225"/>
      <c r="C67" s="225"/>
      <c r="D67" s="225"/>
      <c r="E67" s="225"/>
      <c r="F67" s="225"/>
      <c r="G67" s="225"/>
      <c r="H67" s="225"/>
      <c r="I67" s="225"/>
      <c r="J67" s="225"/>
      <c r="K67" s="225"/>
      <c r="L67" s="225"/>
      <c r="M67" s="225"/>
      <c r="N67" s="225"/>
      <c r="O67" s="225"/>
      <c r="P67" s="225"/>
      <c r="Q67" s="225"/>
      <c r="R67" s="225">
        <v>1</v>
      </c>
      <c r="S67" s="225">
        <v>1</v>
      </c>
      <c r="T67" s="225">
        <v>1</v>
      </c>
      <c r="U67" s="225">
        <v>1</v>
      </c>
      <c r="V67" s="225">
        <v>1</v>
      </c>
      <c r="W67" s="225">
        <v>1</v>
      </c>
      <c r="X67" s="225">
        <v>1</v>
      </c>
      <c r="Y67" s="225">
        <v>1</v>
      </c>
      <c r="Z67" s="225" t="s">
        <v>337</v>
      </c>
      <c r="AA67" s="225" t="s">
        <v>337</v>
      </c>
      <c r="AB67" s="225">
        <v>1</v>
      </c>
      <c r="AC67" s="225">
        <v>1</v>
      </c>
      <c r="AD67" s="225">
        <v>1</v>
      </c>
      <c r="AE67" s="225">
        <v>1</v>
      </c>
      <c r="AF67" s="225">
        <v>1</v>
      </c>
      <c r="AG67" s="225">
        <v>1</v>
      </c>
      <c r="AH67" s="225"/>
      <c r="AI67" s="225"/>
      <c r="AJ67" s="225"/>
      <c r="AK67" s="225"/>
      <c r="AL67" s="225"/>
      <c r="AM67" s="225"/>
      <c r="AN67" s="225"/>
      <c r="AO67" s="225"/>
      <c r="AP67" s="225"/>
      <c r="AQ67" s="225"/>
      <c r="AR67" s="225"/>
      <c r="AS67" s="225"/>
      <c r="AT67" s="225"/>
      <c r="AU67" s="225"/>
      <c r="AV67" s="225"/>
      <c r="AW67" s="225"/>
      <c r="AX67" s="225"/>
    </row>
    <row r="68" spans="1:50" x14ac:dyDescent="0.25">
      <c r="A68" s="250" t="s">
        <v>390</v>
      </c>
      <c r="B68" s="225"/>
      <c r="C68" s="225"/>
      <c r="D68" s="225"/>
      <c r="E68" s="225"/>
      <c r="F68" s="225"/>
      <c r="G68" s="225"/>
      <c r="H68" s="225"/>
      <c r="I68" s="225"/>
      <c r="J68" s="225"/>
      <c r="K68" s="225"/>
      <c r="L68" s="225"/>
      <c r="M68" s="225"/>
      <c r="N68" s="225"/>
      <c r="O68" s="225"/>
      <c r="P68" s="225"/>
      <c r="Q68" s="225"/>
      <c r="R68" s="225">
        <v>1</v>
      </c>
      <c r="S68" s="225">
        <v>1</v>
      </c>
      <c r="T68" s="225">
        <v>1</v>
      </c>
      <c r="U68" s="225">
        <v>1</v>
      </c>
      <c r="V68" s="225">
        <v>1</v>
      </c>
      <c r="W68" s="225">
        <v>1</v>
      </c>
      <c r="X68" s="225">
        <v>1</v>
      </c>
      <c r="Y68" s="225">
        <v>1</v>
      </c>
      <c r="Z68" s="225" t="s">
        <v>337</v>
      </c>
      <c r="AA68" s="225" t="s">
        <v>337</v>
      </c>
      <c r="AB68" s="225">
        <v>1</v>
      </c>
      <c r="AC68" s="225">
        <v>1</v>
      </c>
      <c r="AD68" s="225">
        <v>1</v>
      </c>
      <c r="AE68" s="225">
        <v>1</v>
      </c>
      <c r="AF68" s="225">
        <v>1</v>
      </c>
      <c r="AG68" s="225">
        <v>1</v>
      </c>
      <c r="AH68" s="225">
        <v>0.7</v>
      </c>
      <c r="AI68" s="225"/>
      <c r="AJ68" s="225"/>
      <c r="AK68" s="225"/>
      <c r="AL68" s="225"/>
      <c r="AM68" s="225"/>
      <c r="AN68" s="225"/>
      <c r="AO68" s="225"/>
      <c r="AP68" s="225"/>
      <c r="AQ68" s="225"/>
      <c r="AR68" s="225"/>
      <c r="AS68" s="225"/>
      <c r="AT68" s="225"/>
      <c r="AU68" s="225"/>
      <c r="AV68" s="225"/>
      <c r="AW68" s="225"/>
      <c r="AX68" s="225"/>
    </row>
    <row r="69" spans="1:50" x14ac:dyDescent="0.25">
      <c r="A69" s="233" t="s">
        <v>391</v>
      </c>
      <c r="B69" s="225"/>
      <c r="C69" s="225"/>
      <c r="D69" s="225"/>
      <c r="E69" s="225"/>
      <c r="F69" s="225"/>
      <c r="G69" s="225"/>
      <c r="H69" s="225"/>
      <c r="I69" s="225"/>
      <c r="J69" s="225"/>
      <c r="K69" s="225"/>
      <c r="L69" s="225"/>
      <c r="M69" s="225"/>
      <c r="N69" s="225"/>
      <c r="O69" s="225"/>
      <c r="P69" s="225"/>
      <c r="Q69" s="225"/>
      <c r="R69" s="225"/>
      <c r="S69" s="225"/>
      <c r="T69" s="225">
        <v>1</v>
      </c>
      <c r="U69" s="225">
        <v>1</v>
      </c>
      <c r="V69" s="225">
        <v>1</v>
      </c>
      <c r="W69" s="225">
        <v>1</v>
      </c>
      <c r="X69" s="225">
        <v>1</v>
      </c>
      <c r="Y69" s="225">
        <v>1</v>
      </c>
      <c r="Z69" s="225">
        <v>1</v>
      </c>
      <c r="AA69" s="225">
        <v>1</v>
      </c>
      <c r="AB69" s="225" t="s">
        <v>337</v>
      </c>
      <c r="AC69" s="225" t="s">
        <v>337</v>
      </c>
      <c r="AD69" s="225">
        <v>1</v>
      </c>
      <c r="AE69" s="225">
        <v>1</v>
      </c>
      <c r="AF69" s="225">
        <v>1</v>
      </c>
      <c r="AG69" s="225">
        <v>1</v>
      </c>
      <c r="AH69" s="225">
        <v>1</v>
      </c>
      <c r="AI69" s="225">
        <v>1</v>
      </c>
      <c r="AJ69" s="225"/>
      <c r="AK69" s="225"/>
      <c r="AL69" s="225"/>
      <c r="AM69" s="225"/>
      <c r="AN69" s="225"/>
      <c r="AO69" s="225"/>
      <c r="AP69" s="225"/>
      <c r="AQ69" s="225"/>
      <c r="AR69" s="225"/>
      <c r="AS69" s="225"/>
      <c r="AT69" s="225"/>
      <c r="AU69" s="225"/>
      <c r="AV69" s="225"/>
      <c r="AW69" s="225"/>
      <c r="AX69" s="225"/>
    </row>
    <row r="70" spans="1:50" x14ac:dyDescent="0.25">
      <c r="A70" s="233" t="s">
        <v>392</v>
      </c>
      <c r="B70" s="225"/>
      <c r="C70" s="225"/>
      <c r="D70" s="225"/>
      <c r="E70" s="225"/>
      <c r="F70" s="225"/>
      <c r="G70" s="225"/>
      <c r="H70" s="225"/>
      <c r="I70" s="225"/>
      <c r="J70" s="225"/>
      <c r="K70" s="225"/>
      <c r="L70" s="225"/>
      <c r="M70" s="225"/>
      <c r="N70" s="225"/>
      <c r="O70" s="225"/>
      <c r="P70" s="225"/>
      <c r="Q70" s="225"/>
      <c r="R70" s="225"/>
      <c r="S70" s="225">
        <v>0.5</v>
      </c>
      <c r="T70" s="225">
        <v>1</v>
      </c>
      <c r="U70" s="225">
        <v>1</v>
      </c>
      <c r="V70" s="225">
        <v>1</v>
      </c>
      <c r="W70" s="225">
        <v>1</v>
      </c>
      <c r="X70" s="225">
        <v>1</v>
      </c>
      <c r="Y70" s="225">
        <v>1</v>
      </c>
      <c r="Z70" s="225">
        <v>1</v>
      </c>
      <c r="AA70" s="225">
        <v>1</v>
      </c>
      <c r="AB70" s="225" t="s">
        <v>337</v>
      </c>
      <c r="AC70" s="225" t="s">
        <v>337</v>
      </c>
      <c r="AD70" s="225">
        <v>1</v>
      </c>
      <c r="AE70" s="225">
        <v>1</v>
      </c>
      <c r="AF70" s="225">
        <v>1</v>
      </c>
      <c r="AG70" s="225">
        <v>1</v>
      </c>
      <c r="AH70" s="225">
        <v>1</v>
      </c>
      <c r="AI70" s="225">
        <v>1</v>
      </c>
      <c r="AJ70" s="225">
        <v>0.3</v>
      </c>
      <c r="AK70" s="225"/>
      <c r="AL70" s="225"/>
      <c r="AM70" s="225"/>
      <c r="AN70" s="225"/>
      <c r="AO70" s="225"/>
      <c r="AP70" s="225"/>
      <c r="AQ70" s="225"/>
      <c r="AR70" s="225"/>
      <c r="AS70" s="225"/>
      <c r="AT70" s="225"/>
      <c r="AU70" s="225"/>
      <c r="AV70" s="225"/>
      <c r="AW70" s="225"/>
      <c r="AX70" s="225"/>
    </row>
    <row r="71" spans="1:50" x14ac:dyDescent="0.25">
      <c r="A71" s="233" t="s">
        <v>393</v>
      </c>
      <c r="B71" s="225"/>
      <c r="C71" s="225"/>
      <c r="D71" s="225"/>
      <c r="E71" s="225"/>
      <c r="F71" s="225"/>
      <c r="G71" s="225"/>
      <c r="H71" s="225"/>
      <c r="I71" s="225"/>
      <c r="J71" s="225"/>
      <c r="K71" s="225"/>
      <c r="L71" s="225"/>
      <c r="M71" s="225"/>
      <c r="N71" s="225"/>
      <c r="O71" s="225"/>
      <c r="P71" s="225"/>
      <c r="Q71" s="225"/>
      <c r="R71" s="225"/>
      <c r="S71" s="225"/>
      <c r="T71" s="225">
        <v>1</v>
      </c>
      <c r="U71" s="225">
        <v>1</v>
      </c>
      <c r="V71" s="225">
        <v>1</v>
      </c>
      <c r="W71" s="225">
        <v>1</v>
      </c>
      <c r="X71" s="225">
        <v>1</v>
      </c>
      <c r="Y71" s="225">
        <v>1</v>
      </c>
      <c r="Z71" s="225"/>
      <c r="AA71" s="225"/>
      <c r="AB71" s="225"/>
      <c r="AC71" s="225">
        <v>1</v>
      </c>
      <c r="AD71" s="225">
        <v>1</v>
      </c>
      <c r="AE71" s="225">
        <v>1</v>
      </c>
      <c r="AF71" s="225">
        <v>1</v>
      </c>
      <c r="AG71" s="225">
        <v>1</v>
      </c>
      <c r="AH71" s="225">
        <v>1</v>
      </c>
      <c r="AI71" s="225"/>
      <c r="AJ71" s="225"/>
      <c r="AK71" s="225"/>
      <c r="AL71" s="225"/>
      <c r="AM71" s="225"/>
      <c r="AN71" s="225"/>
      <c r="AO71" s="225"/>
      <c r="AP71" s="225"/>
      <c r="AQ71" s="225"/>
      <c r="AR71" s="225"/>
      <c r="AS71" s="225"/>
      <c r="AT71" s="225"/>
      <c r="AU71" s="225"/>
      <c r="AV71" s="225"/>
      <c r="AW71" s="225"/>
      <c r="AX71" s="225"/>
    </row>
    <row r="72" spans="1:50" x14ac:dyDescent="0.25">
      <c r="A72" s="251" t="s">
        <v>394</v>
      </c>
      <c r="B72" s="225"/>
      <c r="C72" s="225"/>
      <c r="D72" s="225"/>
      <c r="E72" s="225"/>
      <c r="F72" s="225"/>
      <c r="G72" s="225"/>
      <c r="H72" s="225"/>
      <c r="I72" s="225"/>
      <c r="J72" s="225"/>
      <c r="K72" s="225"/>
      <c r="L72" s="225"/>
      <c r="M72" s="225"/>
      <c r="N72" s="225"/>
      <c r="O72" s="225"/>
      <c r="P72" s="225"/>
      <c r="Q72" s="225"/>
      <c r="R72" s="225"/>
      <c r="S72" s="225">
        <v>1</v>
      </c>
      <c r="T72" s="225">
        <v>1</v>
      </c>
      <c r="U72" s="225">
        <v>1</v>
      </c>
      <c r="V72" s="225">
        <v>1</v>
      </c>
      <c r="W72" s="225">
        <v>1</v>
      </c>
      <c r="X72" s="225">
        <v>1</v>
      </c>
      <c r="Y72" s="225">
        <v>1</v>
      </c>
      <c r="Z72" s="225">
        <v>1</v>
      </c>
      <c r="AA72" s="225">
        <v>0.5</v>
      </c>
      <c r="AB72" s="225"/>
      <c r="AC72" s="225">
        <v>0.5</v>
      </c>
      <c r="AD72" s="225">
        <v>1</v>
      </c>
      <c r="AE72" s="225">
        <v>1</v>
      </c>
      <c r="AF72" s="225">
        <v>1</v>
      </c>
      <c r="AG72" s="225">
        <v>1</v>
      </c>
      <c r="AH72" s="225">
        <v>1</v>
      </c>
      <c r="AI72" s="225"/>
      <c r="AJ72" s="225"/>
      <c r="AK72" s="225"/>
      <c r="AL72" s="225"/>
      <c r="AM72" s="225"/>
      <c r="AN72" s="225"/>
      <c r="AO72" s="225"/>
      <c r="AP72" s="225"/>
      <c r="AQ72" s="225"/>
      <c r="AR72" s="225"/>
      <c r="AS72" s="225"/>
      <c r="AT72" s="225"/>
      <c r="AU72" s="225"/>
      <c r="AV72" s="225"/>
      <c r="AW72" s="225"/>
      <c r="AX72" s="225"/>
    </row>
    <row r="73" spans="1:50" x14ac:dyDescent="0.25">
      <c r="A73" s="251" t="s">
        <v>395</v>
      </c>
      <c r="B73" s="225"/>
      <c r="C73" s="225"/>
      <c r="D73" s="225"/>
      <c r="E73" s="225"/>
      <c r="F73" s="225"/>
      <c r="G73" s="225"/>
      <c r="H73" s="225"/>
      <c r="I73" s="225"/>
      <c r="J73" s="225"/>
      <c r="K73" s="225"/>
      <c r="L73" s="225"/>
      <c r="M73" s="225"/>
      <c r="N73" s="225"/>
      <c r="O73" s="225"/>
      <c r="P73" s="225"/>
      <c r="Q73" s="225"/>
      <c r="R73" s="225"/>
      <c r="S73" s="225">
        <v>0.5</v>
      </c>
      <c r="T73" s="225">
        <v>1</v>
      </c>
      <c r="U73" s="225">
        <v>1</v>
      </c>
      <c r="V73" s="225">
        <v>1</v>
      </c>
      <c r="W73" s="225">
        <v>1</v>
      </c>
      <c r="X73" s="225">
        <v>1</v>
      </c>
      <c r="Y73" s="225">
        <v>1</v>
      </c>
      <c r="Z73" s="225">
        <v>1</v>
      </c>
      <c r="AA73" s="225">
        <v>0.5</v>
      </c>
      <c r="AB73" s="225"/>
      <c r="AC73" s="225">
        <v>0.5</v>
      </c>
      <c r="AD73" s="225">
        <v>1</v>
      </c>
      <c r="AE73" s="225">
        <v>1</v>
      </c>
      <c r="AF73" s="225">
        <v>1</v>
      </c>
      <c r="AG73" s="225">
        <v>1</v>
      </c>
      <c r="AH73" s="225">
        <v>0.5</v>
      </c>
      <c r="AI73" s="225"/>
      <c r="AJ73" s="225"/>
      <c r="AK73" s="225"/>
      <c r="AL73" s="225"/>
      <c r="AM73" s="225"/>
      <c r="AN73" s="225"/>
      <c r="AO73" s="225"/>
      <c r="AP73" s="225"/>
      <c r="AQ73" s="225"/>
      <c r="AR73" s="225"/>
      <c r="AS73" s="225"/>
      <c r="AT73" s="225"/>
      <c r="AU73" s="225"/>
      <c r="AV73" s="225"/>
      <c r="AW73" s="225"/>
      <c r="AX73" s="225"/>
    </row>
    <row r="74" spans="1:50" x14ac:dyDescent="0.25">
      <c r="A74" s="251" t="s">
        <v>396</v>
      </c>
      <c r="B74" s="225"/>
      <c r="C74" s="225"/>
      <c r="D74" s="225"/>
      <c r="E74" s="225"/>
      <c r="F74" s="225"/>
      <c r="G74" s="225"/>
      <c r="H74" s="225"/>
      <c r="I74" s="225"/>
      <c r="J74" s="225"/>
      <c r="K74" s="225"/>
      <c r="L74" s="225"/>
      <c r="M74" s="225"/>
      <c r="N74" s="225"/>
      <c r="O74" s="225"/>
      <c r="P74" s="225"/>
      <c r="Q74" s="225"/>
      <c r="R74" s="225"/>
      <c r="S74" s="225">
        <v>1</v>
      </c>
      <c r="T74" s="225">
        <v>1</v>
      </c>
      <c r="U74" s="225">
        <v>1</v>
      </c>
      <c r="V74" s="225">
        <v>1</v>
      </c>
      <c r="W74" s="225">
        <v>1</v>
      </c>
      <c r="X74" s="225">
        <v>1</v>
      </c>
      <c r="Y74" s="225">
        <v>1</v>
      </c>
      <c r="Z74" s="225">
        <v>1</v>
      </c>
      <c r="AA74" s="225">
        <v>0.5</v>
      </c>
      <c r="AB74" s="225"/>
      <c r="AC74" s="225">
        <v>0.5</v>
      </c>
      <c r="AD74" s="225">
        <v>1</v>
      </c>
      <c r="AE74" s="225">
        <v>1</v>
      </c>
      <c r="AF74" s="225">
        <v>1</v>
      </c>
      <c r="AG74" s="225">
        <v>1</v>
      </c>
      <c r="AH74" s="225">
        <v>1</v>
      </c>
      <c r="AI74" s="225">
        <v>1</v>
      </c>
      <c r="AJ74" s="225"/>
      <c r="AK74" s="225"/>
      <c r="AL74" s="225"/>
      <c r="AM74" s="225"/>
      <c r="AN74" s="225"/>
      <c r="AO74" s="225"/>
      <c r="AP74" s="225"/>
      <c r="AQ74" s="225"/>
      <c r="AR74" s="225"/>
      <c r="AS74" s="225"/>
      <c r="AT74" s="225"/>
      <c r="AU74" s="225"/>
      <c r="AV74" s="225"/>
      <c r="AW74" s="225"/>
      <c r="AX74" s="225"/>
    </row>
    <row r="75" spans="1:50" x14ac:dyDescent="0.25">
      <c r="B75" s="225"/>
      <c r="C75" s="225"/>
      <c r="D75" s="225"/>
      <c r="E75" s="225"/>
      <c r="F75" s="225"/>
      <c r="G75" s="225"/>
      <c r="H75" s="225"/>
      <c r="I75" s="225"/>
      <c r="J75" s="225"/>
      <c r="K75" s="225"/>
      <c r="L75" s="225"/>
      <c r="M75" s="225"/>
      <c r="N75" s="225"/>
      <c r="O75" s="225"/>
      <c r="P75" s="225"/>
      <c r="Q75" s="225"/>
      <c r="R75" s="225"/>
      <c r="S75" s="225"/>
      <c r="T75" s="225"/>
      <c r="U75" s="225"/>
      <c r="V75" s="225"/>
      <c r="W75" s="225"/>
      <c r="X75" s="225"/>
      <c r="Y75" s="225"/>
      <c r="Z75" s="225"/>
      <c r="AA75" s="225"/>
      <c r="AB75" s="225"/>
      <c r="AC75" s="225"/>
      <c r="AD75" s="225"/>
      <c r="AE75" s="225"/>
      <c r="AF75" s="225"/>
      <c r="AG75" s="225"/>
      <c r="AH75" s="225"/>
      <c r="AI75" s="225"/>
      <c r="AJ75" s="225"/>
      <c r="AK75" s="225"/>
      <c r="AL75" s="225"/>
      <c r="AM75" s="225"/>
      <c r="AN75" s="225"/>
      <c r="AO75" s="225"/>
      <c r="AP75" s="225"/>
      <c r="AQ75" s="225"/>
      <c r="AR75" s="225"/>
      <c r="AS75" s="225"/>
      <c r="AT75" s="225"/>
      <c r="AU75" s="225"/>
      <c r="AV75" s="225"/>
      <c r="AW75" s="225"/>
      <c r="AX75" s="225"/>
    </row>
    <row r="76" spans="1:50" x14ac:dyDescent="0.25">
      <c r="B76" s="225"/>
      <c r="C76" s="225"/>
      <c r="D76" s="225"/>
      <c r="E76" s="225"/>
      <c r="F76" s="225"/>
      <c r="G76" s="225"/>
      <c r="H76" s="225"/>
      <c r="I76" s="225"/>
      <c r="J76" s="225"/>
      <c r="K76" s="225"/>
      <c r="L76" s="225"/>
      <c r="M76" s="225"/>
      <c r="N76" s="225"/>
      <c r="O76" s="225"/>
      <c r="P76" s="225"/>
      <c r="Q76" s="225"/>
      <c r="R76" s="225"/>
      <c r="S76" s="225"/>
      <c r="T76" s="225"/>
      <c r="U76" s="225"/>
      <c r="V76" s="225"/>
      <c r="W76" s="225"/>
      <c r="X76" s="225"/>
      <c r="Y76" s="225"/>
      <c r="Z76" s="225"/>
      <c r="AA76" s="225"/>
      <c r="AB76" s="225"/>
      <c r="AC76" s="225"/>
      <c r="AD76" s="225"/>
      <c r="AE76" s="225"/>
      <c r="AF76" s="225"/>
      <c r="AG76" s="225"/>
      <c r="AH76" s="225"/>
      <c r="AI76" s="225"/>
      <c r="AJ76" s="225"/>
      <c r="AK76" s="225"/>
      <c r="AL76" s="225"/>
      <c r="AM76" s="225"/>
      <c r="AN76" s="225"/>
      <c r="AO76" s="225"/>
      <c r="AP76" s="225"/>
      <c r="AQ76" s="225"/>
      <c r="AR76" s="225"/>
      <c r="AS76" s="225"/>
      <c r="AT76" s="225"/>
      <c r="AU76" s="225"/>
      <c r="AV76" s="225"/>
      <c r="AW76" s="225"/>
      <c r="AX76" s="225"/>
    </row>
    <row r="77" spans="1:50" x14ac:dyDescent="0.25">
      <c r="B77" s="225"/>
      <c r="C77" s="225"/>
      <c r="D77" s="225"/>
      <c r="E77" s="225"/>
      <c r="F77" s="225"/>
      <c r="G77" s="225"/>
      <c r="H77" s="225"/>
      <c r="I77" s="225"/>
      <c r="J77" s="225"/>
      <c r="K77" s="225"/>
      <c r="L77" s="225"/>
      <c r="M77" s="225"/>
      <c r="N77" s="225"/>
      <c r="O77" s="225"/>
      <c r="P77" s="225"/>
      <c r="Q77" s="225"/>
      <c r="R77" s="225"/>
      <c r="S77" s="225"/>
      <c r="T77" s="225"/>
      <c r="U77" s="225"/>
      <c r="V77" s="225"/>
      <c r="W77" s="225"/>
      <c r="X77" s="225"/>
      <c r="Y77" s="225"/>
      <c r="Z77" s="225"/>
      <c r="AA77" s="225"/>
      <c r="AB77" s="225"/>
      <c r="AC77" s="225"/>
      <c r="AD77" s="225"/>
      <c r="AE77" s="225"/>
      <c r="AF77" s="225"/>
      <c r="AG77" s="225"/>
      <c r="AH77" s="225"/>
      <c r="AI77" s="225"/>
      <c r="AJ77" s="225"/>
      <c r="AK77" s="225"/>
      <c r="AL77" s="225"/>
      <c r="AM77" s="225"/>
      <c r="AN77" s="225"/>
      <c r="AO77" s="225"/>
      <c r="AP77" s="225"/>
      <c r="AQ77" s="225"/>
      <c r="AR77" s="225"/>
      <c r="AS77" s="225"/>
      <c r="AT77" s="225"/>
      <c r="AU77" s="225"/>
      <c r="AV77" s="225"/>
      <c r="AW77" s="225"/>
      <c r="AX77" s="225"/>
    </row>
    <row r="78" spans="1:50" x14ac:dyDescent="0.25">
      <c r="B78" s="225"/>
      <c r="C78" s="225"/>
      <c r="D78" s="225"/>
      <c r="E78" s="225"/>
      <c r="F78" s="225"/>
      <c r="G78" s="225"/>
      <c r="H78" s="225"/>
      <c r="I78" s="225"/>
      <c r="J78" s="225"/>
      <c r="K78" s="225"/>
      <c r="L78" s="225"/>
      <c r="M78" s="225"/>
      <c r="N78" s="225"/>
      <c r="O78" s="225"/>
      <c r="P78" s="225"/>
      <c r="Q78" s="225"/>
      <c r="R78" s="225"/>
      <c r="S78" s="225"/>
      <c r="T78" s="225"/>
      <c r="U78" s="225"/>
      <c r="V78" s="225"/>
      <c r="W78" s="225"/>
      <c r="X78" s="225"/>
      <c r="Y78" s="225"/>
      <c r="Z78" s="225"/>
      <c r="AA78" s="225"/>
      <c r="AB78" s="225"/>
      <c r="AC78" s="225"/>
      <c r="AD78" s="225"/>
      <c r="AE78" s="225"/>
      <c r="AF78" s="225"/>
      <c r="AG78" s="225"/>
      <c r="AH78" s="225"/>
      <c r="AI78" s="225"/>
      <c r="AJ78" s="225"/>
      <c r="AK78" s="225"/>
      <c r="AL78" s="225"/>
      <c r="AM78" s="225"/>
      <c r="AN78" s="225"/>
      <c r="AO78" s="225"/>
      <c r="AP78" s="225"/>
      <c r="AQ78" s="225"/>
      <c r="AR78" s="225"/>
      <c r="AS78" s="225"/>
      <c r="AT78" s="225"/>
      <c r="AU78" s="225"/>
      <c r="AV78" s="225"/>
      <c r="AW78" s="225"/>
      <c r="AX78" s="225"/>
    </row>
    <row r="79" spans="1:50" ht="14" x14ac:dyDescent="0.25">
      <c r="A79" s="252" t="s">
        <v>27</v>
      </c>
      <c r="Q79" s="225" t="s">
        <v>31</v>
      </c>
      <c r="R79" s="225" t="s">
        <v>31</v>
      </c>
      <c r="S79" s="225" t="s">
        <v>31</v>
      </c>
      <c r="T79" s="225" t="s">
        <v>31</v>
      </c>
      <c r="U79" s="225" t="s">
        <v>31</v>
      </c>
      <c r="V79" s="225" t="s">
        <v>31</v>
      </c>
      <c r="W79" s="225" t="s">
        <v>31</v>
      </c>
      <c r="X79" s="225" t="s">
        <v>31</v>
      </c>
      <c r="Y79" s="225" t="s">
        <v>31</v>
      </c>
      <c r="Z79" s="225" t="s">
        <v>31</v>
      </c>
      <c r="AA79" s="225" t="s">
        <v>31</v>
      </c>
      <c r="AB79" s="225" t="s">
        <v>31</v>
      </c>
      <c r="AC79" s="225" t="s">
        <v>31</v>
      </c>
      <c r="AD79" s="225" t="s">
        <v>31</v>
      </c>
      <c r="AE79" s="225" t="s">
        <v>31</v>
      </c>
      <c r="AF79" s="225" t="s">
        <v>31</v>
      </c>
      <c r="AG79" s="225" t="s">
        <v>31</v>
      </c>
      <c r="AH79" s="225" t="s">
        <v>31</v>
      </c>
      <c r="AI79" s="225" t="s">
        <v>31</v>
      </c>
      <c r="AJ79" s="225" t="s">
        <v>31</v>
      </c>
      <c r="AK79" s="225" t="s">
        <v>31</v>
      </c>
      <c r="AL79" s="225" t="s">
        <v>31</v>
      </c>
      <c r="AM79" s="225" t="s">
        <v>31</v>
      </c>
    </row>
    <row r="80" spans="1:50" ht="14" x14ac:dyDescent="0.25">
      <c r="A80" s="252" t="s">
        <v>397</v>
      </c>
      <c r="Q80" s="225" t="s">
        <v>31</v>
      </c>
      <c r="R80" s="225" t="s">
        <v>31</v>
      </c>
      <c r="S80" s="225" t="s">
        <v>31</v>
      </c>
      <c r="T80" s="225" t="s">
        <v>31</v>
      </c>
      <c r="U80" s="225" t="s">
        <v>31</v>
      </c>
      <c r="V80" s="225" t="s">
        <v>31</v>
      </c>
      <c r="W80" s="225" t="s">
        <v>31</v>
      </c>
      <c r="X80" s="225" t="s">
        <v>31</v>
      </c>
      <c r="Y80" s="225" t="s">
        <v>31</v>
      </c>
      <c r="Z80" s="225" t="s">
        <v>31</v>
      </c>
      <c r="AA80" s="225" t="s">
        <v>31</v>
      </c>
      <c r="AB80" s="225" t="s">
        <v>31</v>
      </c>
      <c r="AC80" s="225" t="s">
        <v>31</v>
      </c>
      <c r="AD80" s="225" t="s">
        <v>31</v>
      </c>
      <c r="AE80" s="225" t="s">
        <v>31</v>
      </c>
      <c r="AF80" s="225" t="s">
        <v>31</v>
      </c>
      <c r="AG80" s="225" t="s">
        <v>31</v>
      </c>
      <c r="AH80" s="225" t="s">
        <v>31</v>
      </c>
      <c r="AI80" s="225" t="s">
        <v>31</v>
      </c>
      <c r="AJ80" s="225" t="s">
        <v>31</v>
      </c>
      <c r="AK80" s="225" t="s">
        <v>31</v>
      </c>
      <c r="AL80" s="225" t="s">
        <v>31</v>
      </c>
      <c r="AM80" s="225" t="s">
        <v>31</v>
      </c>
    </row>
    <row r="81" spans="1:39" ht="14" x14ac:dyDescent="0.25">
      <c r="A81" s="252" t="s">
        <v>22</v>
      </c>
      <c r="Q81" s="225" t="s">
        <v>31</v>
      </c>
      <c r="R81" s="225" t="s">
        <v>31</v>
      </c>
      <c r="S81" s="225" t="s">
        <v>31</v>
      </c>
      <c r="T81" s="225" t="s">
        <v>31</v>
      </c>
      <c r="U81" s="225" t="s">
        <v>31</v>
      </c>
      <c r="V81" s="225" t="s">
        <v>31</v>
      </c>
      <c r="W81" s="225" t="s">
        <v>31</v>
      </c>
      <c r="X81" s="225" t="s">
        <v>31</v>
      </c>
      <c r="Y81" s="225" t="s">
        <v>31</v>
      </c>
      <c r="Z81" s="225" t="s">
        <v>31</v>
      </c>
      <c r="AA81" s="225" t="s">
        <v>31</v>
      </c>
      <c r="AB81" s="225" t="s">
        <v>31</v>
      </c>
      <c r="AC81" s="225" t="s">
        <v>31</v>
      </c>
      <c r="AD81" s="225" t="s">
        <v>31</v>
      </c>
      <c r="AE81" s="225" t="s">
        <v>31</v>
      </c>
      <c r="AF81" s="225" t="s">
        <v>31</v>
      </c>
      <c r="AG81" s="225" t="s">
        <v>31</v>
      </c>
      <c r="AH81" s="225" t="s">
        <v>31</v>
      </c>
      <c r="AI81" s="225" t="s">
        <v>31</v>
      </c>
      <c r="AJ81" s="225" t="s">
        <v>31</v>
      </c>
      <c r="AK81" s="225" t="s">
        <v>31</v>
      </c>
      <c r="AL81" s="225" t="s">
        <v>31</v>
      </c>
      <c r="AM81" s="225" t="s">
        <v>31</v>
      </c>
    </row>
    <row r="82" spans="1:39" ht="14" x14ac:dyDescent="0.25">
      <c r="A82" s="253" t="s">
        <v>31</v>
      </c>
      <c r="Q82" s="225" t="s">
        <v>31</v>
      </c>
      <c r="R82" s="225" t="s">
        <v>31</v>
      </c>
      <c r="S82" s="225" t="s">
        <v>31</v>
      </c>
      <c r="T82" s="225" t="s">
        <v>31</v>
      </c>
      <c r="U82" s="225" t="s">
        <v>31</v>
      </c>
      <c r="V82" s="225" t="s">
        <v>31</v>
      </c>
      <c r="W82" s="225" t="s">
        <v>31</v>
      </c>
      <c r="X82" s="225" t="s">
        <v>31</v>
      </c>
      <c r="Y82" s="225" t="s">
        <v>31</v>
      </c>
      <c r="Z82" s="225" t="s">
        <v>31</v>
      </c>
      <c r="AA82" s="225" t="s">
        <v>31</v>
      </c>
      <c r="AB82" s="225" t="s">
        <v>31</v>
      </c>
      <c r="AC82" s="225" t="s">
        <v>31</v>
      </c>
      <c r="AD82" s="225" t="s">
        <v>31</v>
      </c>
      <c r="AE82" s="225" t="s">
        <v>31</v>
      </c>
      <c r="AF82" s="225" t="s">
        <v>31</v>
      </c>
      <c r="AG82" s="225" t="s">
        <v>31</v>
      </c>
      <c r="AH82" s="225" t="s">
        <v>31</v>
      </c>
      <c r="AI82" s="225" t="s">
        <v>31</v>
      </c>
      <c r="AJ82" s="225" t="s">
        <v>31</v>
      </c>
      <c r="AK82" s="225" t="s">
        <v>31</v>
      </c>
      <c r="AL82" s="225" t="s">
        <v>31</v>
      </c>
      <c r="AM82" s="225" t="s">
        <v>31</v>
      </c>
    </row>
    <row r="83" spans="1:39" ht="14" x14ac:dyDescent="0.25">
      <c r="A83" s="253" t="s">
        <v>36</v>
      </c>
      <c r="Q83" s="225" t="s">
        <v>31</v>
      </c>
      <c r="R83" s="225" t="s">
        <v>31</v>
      </c>
      <c r="S83" s="225" t="s">
        <v>31</v>
      </c>
      <c r="T83" s="225" t="s">
        <v>31</v>
      </c>
      <c r="U83" s="225" t="s">
        <v>31</v>
      </c>
      <c r="V83" s="225" t="s">
        <v>31</v>
      </c>
      <c r="W83" s="225" t="s">
        <v>31</v>
      </c>
      <c r="X83" s="225" t="s">
        <v>31</v>
      </c>
      <c r="Y83" s="225" t="s">
        <v>31</v>
      </c>
      <c r="Z83" s="225" t="s">
        <v>31</v>
      </c>
      <c r="AA83" s="225" t="s">
        <v>31</v>
      </c>
      <c r="AB83" s="225" t="s">
        <v>31</v>
      </c>
      <c r="AC83" s="225" t="s">
        <v>31</v>
      </c>
      <c r="AD83" s="225" t="s">
        <v>31</v>
      </c>
      <c r="AE83" s="225" t="s">
        <v>31</v>
      </c>
      <c r="AF83" s="225" t="s">
        <v>31</v>
      </c>
      <c r="AG83" s="225" t="s">
        <v>31</v>
      </c>
      <c r="AH83" s="225" t="s">
        <v>31</v>
      </c>
      <c r="AI83" s="225" t="s">
        <v>31</v>
      </c>
      <c r="AJ83" s="225" t="s">
        <v>31</v>
      </c>
      <c r="AK83" s="225" t="s">
        <v>31</v>
      </c>
      <c r="AL83" s="225" t="s">
        <v>31</v>
      </c>
      <c r="AM83" s="225" t="s">
        <v>31</v>
      </c>
    </row>
    <row r="84" spans="1:39" ht="14" x14ac:dyDescent="0.25">
      <c r="A84" s="253" t="s">
        <v>29</v>
      </c>
      <c r="Q84" s="225" t="s">
        <v>31</v>
      </c>
      <c r="R84" s="225" t="s">
        <v>31</v>
      </c>
      <c r="S84" s="225" t="s">
        <v>31</v>
      </c>
      <c r="T84" s="225" t="s">
        <v>31</v>
      </c>
      <c r="U84" s="225" t="s">
        <v>31</v>
      </c>
      <c r="V84" s="225" t="s">
        <v>31</v>
      </c>
      <c r="W84" s="225" t="s">
        <v>31</v>
      </c>
      <c r="X84" s="225" t="s">
        <v>31</v>
      </c>
      <c r="Y84" s="225" t="s">
        <v>31</v>
      </c>
      <c r="Z84" s="225" t="s">
        <v>31</v>
      </c>
      <c r="AA84" s="225" t="s">
        <v>31</v>
      </c>
      <c r="AB84" s="225" t="s">
        <v>31</v>
      </c>
      <c r="AC84" s="225" t="s">
        <v>31</v>
      </c>
      <c r="AD84" s="225" t="s">
        <v>31</v>
      </c>
      <c r="AE84" s="225" t="s">
        <v>31</v>
      </c>
      <c r="AF84" s="225" t="s">
        <v>31</v>
      </c>
      <c r="AG84" s="225" t="s">
        <v>31</v>
      </c>
      <c r="AH84" s="225" t="s">
        <v>31</v>
      </c>
      <c r="AI84" s="225" t="s">
        <v>31</v>
      </c>
      <c r="AJ84" s="225" t="s">
        <v>31</v>
      </c>
      <c r="AK84" s="225" t="s">
        <v>31</v>
      </c>
      <c r="AL84" s="225" t="s">
        <v>31</v>
      </c>
      <c r="AM84" s="225" t="s">
        <v>31</v>
      </c>
    </row>
    <row r="85" spans="1:39" ht="14" x14ac:dyDescent="0.25">
      <c r="A85" s="253" t="s">
        <v>136</v>
      </c>
      <c r="Q85" s="225" t="s">
        <v>31</v>
      </c>
      <c r="R85" s="225" t="s">
        <v>31</v>
      </c>
      <c r="S85" s="225" t="s">
        <v>31</v>
      </c>
      <c r="T85" s="225" t="s">
        <v>31</v>
      </c>
      <c r="U85" s="225" t="s">
        <v>31</v>
      </c>
      <c r="V85" s="225" t="s">
        <v>31</v>
      </c>
      <c r="W85" s="225" t="s">
        <v>31</v>
      </c>
      <c r="X85" s="225" t="s">
        <v>31</v>
      </c>
      <c r="Y85" s="225" t="s">
        <v>31</v>
      </c>
      <c r="Z85" s="225" t="s">
        <v>31</v>
      </c>
      <c r="AA85" s="225" t="s">
        <v>31</v>
      </c>
      <c r="AB85" s="225" t="s">
        <v>31</v>
      </c>
      <c r="AC85" s="225" t="s">
        <v>31</v>
      </c>
      <c r="AD85" s="225" t="s">
        <v>31</v>
      </c>
      <c r="AE85" s="225" t="s">
        <v>31</v>
      </c>
      <c r="AF85" s="225" t="s">
        <v>31</v>
      </c>
      <c r="AG85" s="225" t="s">
        <v>31</v>
      </c>
      <c r="AH85" s="225" t="s">
        <v>31</v>
      </c>
      <c r="AI85" s="225" t="s">
        <v>31</v>
      </c>
      <c r="AJ85" s="225" t="s">
        <v>31</v>
      </c>
      <c r="AK85" s="225" t="s">
        <v>31</v>
      </c>
      <c r="AL85" s="225" t="s">
        <v>31</v>
      </c>
      <c r="AM85" s="225" t="s">
        <v>31</v>
      </c>
    </row>
    <row r="86" spans="1:39" ht="14" x14ac:dyDescent="0.25">
      <c r="A86" s="253" t="s">
        <v>25</v>
      </c>
      <c r="Q86" s="225" t="s">
        <v>31</v>
      </c>
      <c r="R86" s="225" t="s">
        <v>31</v>
      </c>
      <c r="S86" s="225" t="s">
        <v>31</v>
      </c>
      <c r="T86" s="225" t="s">
        <v>31</v>
      </c>
      <c r="U86" s="225" t="s">
        <v>31</v>
      </c>
      <c r="V86" s="225" t="s">
        <v>31</v>
      </c>
      <c r="W86" s="225" t="s">
        <v>31</v>
      </c>
      <c r="X86" s="225" t="s">
        <v>31</v>
      </c>
      <c r="Y86" s="225" t="s">
        <v>31</v>
      </c>
      <c r="Z86" s="225" t="s">
        <v>31</v>
      </c>
      <c r="AA86" s="225" t="s">
        <v>31</v>
      </c>
      <c r="AB86" s="225" t="s">
        <v>31</v>
      </c>
      <c r="AC86" s="225" t="s">
        <v>31</v>
      </c>
      <c r="AD86" s="225" t="s">
        <v>31</v>
      </c>
      <c r="AE86" s="225" t="s">
        <v>31</v>
      </c>
      <c r="AF86" s="225" t="s">
        <v>31</v>
      </c>
      <c r="AG86" s="225" t="s">
        <v>31</v>
      </c>
      <c r="AH86" s="225" t="s">
        <v>31</v>
      </c>
      <c r="AI86" s="225" t="s">
        <v>31</v>
      </c>
      <c r="AJ86" s="225" t="s">
        <v>31</v>
      </c>
      <c r="AK86" s="225" t="s">
        <v>31</v>
      </c>
      <c r="AL86" s="225" t="s">
        <v>31</v>
      </c>
      <c r="AM86" s="225" t="s">
        <v>31</v>
      </c>
    </row>
    <row r="87" spans="1:39" ht="14" x14ac:dyDescent="0.25">
      <c r="A87" s="253" t="s">
        <v>398</v>
      </c>
      <c r="Q87" s="225" t="s">
        <v>31</v>
      </c>
      <c r="R87" s="225" t="s">
        <v>31</v>
      </c>
      <c r="S87" s="225" t="s">
        <v>31</v>
      </c>
      <c r="T87" s="225" t="s">
        <v>31</v>
      </c>
      <c r="U87" s="225" t="s">
        <v>31</v>
      </c>
      <c r="V87" s="225" t="s">
        <v>31</v>
      </c>
      <c r="W87" s="225" t="s">
        <v>31</v>
      </c>
      <c r="X87" s="225" t="s">
        <v>31</v>
      </c>
      <c r="Y87" s="225" t="s">
        <v>31</v>
      </c>
      <c r="Z87" s="225" t="s">
        <v>31</v>
      </c>
      <c r="AA87" s="225" t="s">
        <v>31</v>
      </c>
      <c r="AB87" s="225" t="s">
        <v>31</v>
      </c>
      <c r="AC87" s="225" t="s">
        <v>31</v>
      </c>
      <c r="AD87" s="225" t="s">
        <v>31</v>
      </c>
      <c r="AE87" s="225" t="s">
        <v>31</v>
      </c>
      <c r="AF87" s="225" t="s">
        <v>31</v>
      </c>
      <c r="AG87" s="225" t="s">
        <v>31</v>
      </c>
      <c r="AH87" s="225" t="s">
        <v>31</v>
      </c>
      <c r="AI87" s="225" t="s">
        <v>31</v>
      </c>
      <c r="AJ87" s="225" t="s">
        <v>31</v>
      </c>
      <c r="AK87" s="225" t="s">
        <v>31</v>
      </c>
      <c r="AL87" s="225" t="s">
        <v>31</v>
      </c>
      <c r="AM87" s="225" t="s">
        <v>31</v>
      </c>
    </row>
    <row r="88" spans="1:39" ht="14" x14ac:dyDescent="0.25">
      <c r="A88" s="253" t="s">
        <v>10</v>
      </c>
      <c r="Q88" s="225" t="s">
        <v>31</v>
      </c>
      <c r="R88" s="225" t="s">
        <v>31</v>
      </c>
      <c r="S88" s="225" t="s">
        <v>31</v>
      </c>
      <c r="T88" s="225" t="s">
        <v>31</v>
      </c>
      <c r="U88" s="225" t="s">
        <v>31</v>
      </c>
      <c r="V88" s="225" t="s">
        <v>31</v>
      </c>
      <c r="W88" s="225" t="s">
        <v>31</v>
      </c>
      <c r="X88" s="225" t="s">
        <v>31</v>
      </c>
      <c r="Y88" s="225" t="s">
        <v>31</v>
      </c>
      <c r="Z88" s="225" t="s">
        <v>31</v>
      </c>
      <c r="AA88" s="225" t="s">
        <v>31</v>
      </c>
      <c r="AB88" s="225" t="s">
        <v>31</v>
      </c>
      <c r="AC88" s="225" t="s">
        <v>31</v>
      </c>
      <c r="AD88" s="225" t="s">
        <v>31</v>
      </c>
      <c r="AE88" s="225" t="s">
        <v>31</v>
      </c>
      <c r="AF88" s="225" t="s">
        <v>31</v>
      </c>
      <c r="AG88" s="225" t="s">
        <v>31</v>
      </c>
      <c r="AH88" s="225" t="s">
        <v>31</v>
      </c>
      <c r="AI88" s="225" t="s">
        <v>31</v>
      </c>
      <c r="AJ88" s="225" t="s">
        <v>31</v>
      </c>
      <c r="AK88" s="225" t="s">
        <v>31</v>
      </c>
      <c r="AL88" s="225" t="s">
        <v>31</v>
      </c>
      <c r="AM88" s="225" t="s">
        <v>31</v>
      </c>
    </row>
    <row r="89" spans="1:39" x14ac:dyDescent="0.25">
      <c r="A89" s="254" t="s">
        <v>21</v>
      </c>
      <c r="Q89" s="225" t="s">
        <v>31</v>
      </c>
      <c r="R89" s="225" t="s">
        <v>31</v>
      </c>
      <c r="S89" s="225" t="s">
        <v>31</v>
      </c>
      <c r="T89" s="225" t="s">
        <v>31</v>
      </c>
      <c r="U89" s="225" t="s">
        <v>31</v>
      </c>
      <c r="V89" s="225" t="s">
        <v>31</v>
      </c>
      <c r="W89" s="225" t="s">
        <v>31</v>
      </c>
      <c r="X89" s="225" t="s">
        <v>31</v>
      </c>
      <c r="Y89" s="225" t="s">
        <v>31</v>
      </c>
      <c r="Z89" s="225" t="s">
        <v>31</v>
      </c>
      <c r="AA89" s="225" t="s">
        <v>31</v>
      </c>
      <c r="AB89" s="225" t="s">
        <v>31</v>
      </c>
      <c r="AC89" s="225" t="s">
        <v>31</v>
      </c>
      <c r="AD89" s="225" t="s">
        <v>31</v>
      </c>
      <c r="AE89" s="225" t="s">
        <v>31</v>
      </c>
      <c r="AF89" s="225" t="s">
        <v>31</v>
      </c>
      <c r="AG89" s="225" t="s">
        <v>31</v>
      </c>
      <c r="AH89" s="225" t="s">
        <v>31</v>
      </c>
      <c r="AI89" s="225" t="s">
        <v>31</v>
      </c>
      <c r="AJ89" s="225" t="s">
        <v>31</v>
      </c>
      <c r="AK89" s="225" t="s">
        <v>31</v>
      </c>
      <c r="AL89" s="225" t="s">
        <v>31</v>
      </c>
      <c r="AM89" s="225" t="s">
        <v>31</v>
      </c>
    </row>
    <row r="90" spans="1:39" x14ac:dyDescent="0.25">
      <c r="A90" s="254" t="s">
        <v>30</v>
      </c>
      <c r="Q90" s="225" t="s">
        <v>31</v>
      </c>
      <c r="R90" s="225" t="s">
        <v>31</v>
      </c>
      <c r="S90" s="225" t="s">
        <v>31</v>
      </c>
      <c r="T90" s="225" t="s">
        <v>31</v>
      </c>
      <c r="U90" s="225" t="s">
        <v>31</v>
      </c>
      <c r="V90" s="225" t="s">
        <v>31</v>
      </c>
      <c r="W90" s="225" t="s">
        <v>31</v>
      </c>
      <c r="X90" s="225" t="s">
        <v>31</v>
      </c>
      <c r="Y90" s="225" t="s">
        <v>31</v>
      </c>
      <c r="Z90" s="225" t="s">
        <v>31</v>
      </c>
      <c r="AA90" s="225" t="s">
        <v>31</v>
      </c>
      <c r="AB90" s="225" t="s">
        <v>31</v>
      </c>
      <c r="AC90" s="225" t="s">
        <v>31</v>
      </c>
      <c r="AD90" s="225" t="s">
        <v>31</v>
      </c>
      <c r="AE90" s="225" t="s">
        <v>31</v>
      </c>
      <c r="AF90" s="225" t="s">
        <v>31</v>
      </c>
      <c r="AG90" s="225" t="s">
        <v>31</v>
      </c>
      <c r="AH90" s="225" t="s">
        <v>31</v>
      </c>
      <c r="AI90" s="225" t="s">
        <v>31</v>
      </c>
      <c r="AJ90" s="225" t="s">
        <v>31</v>
      </c>
      <c r="AK90" s="225" t="s">
        <v>31</v>
      </c>
      <c r="AL90" s="225" t="s">
        <v>31</v>
      </c>
      <c r="AM90" s="225" t="s">
        <v>31</v>
      </c>
    </row>
    <row r="91" spans="1:39" x14ac:dyDescent="0.25">
      <c r="A91" s="254" t="s">
        <v>399</v>
      </c>
      <c r="Q91" s="225" t="s">
        <v>31</v>
      </c>
      <c r="R91" s="225" t="s">
        <v>31</v>
      </c>
      <c r="S91" s="225" t="s">
        <v>31</v>
      </c>
      <c r="T91" s="225" t="s">
        <v>31</v>
      </c>
      <c r="U91" s="225" t="s">
        <v>31</v>
      </c>
      <c r="V91" s="225" t="s">
        <v>31</v>
      </c>
      <c r="W91" s="225" t="s">
        <v>31</v>
      </c>
      <c r="X91" s="225" t="s">
        <v>31</v>
      </c>
      <c r="Y91" s="225" t="s">
        <v>31</v>
      </c>
      <c r="Z91" s="225" t="s">
        <v>31</v>
      </c>
      <c r="AA91" s="225" t="s">
        <v>31</v>
      </c>
      <c r="AB91" s="225" t="s">
        <v>31</v>
      </c>
      <c r="AC91" s="225" t="s">
        <v>31</v>
      </c>
      <c r="AD91" s="225" t="s">
        <v>31</v>
      </c>
      <c r="AE91" s="225" t="s">
        <v>31</v>
      </c>
      <c r="AF91" s="225" t="s">
        <v>31</v>
      </c>
      <c r="AG91" s="225" t="s">
        <v>31</v>
      </c>
      <c r="AH91" s="225" t="s">
        <v>31</v>
      </c>
      <c r="AI91" s="225" t="s">
        <v>31</v>
      </c>
      <c r="AJ91" s="225" t="s">
        <v>31</v>
      </c>
      <c r="AK91" s="225" t="s">
        <v>31</v>
      </c>
      <c r="AL91" s="225" t="s">
        <v>31</v>
      </c>
      <c r="AM91" s="225" t="s">
        <v>31</v>
      </c>
    </row>
    <row r="92" spans="1:39" x14ac:dyDescent="0.25">
      <c r="A92" s="254" t="s">
        <v>20</v>
      </c>
      <c r="Q92" s="225" t="s">
        <v>31</v>
      </c>
      <c r="R92" s="225" t="s">
        <v>31</v>
      </c>
      <c r="S92" s="225" t="s">
        <v>31</v>
      </c>
      <c r="T92" s="225" t="s">
        <v>31</v>
      </c>
      <c r="U92" s="225" t="s">
        <v>31</v>
      </c>
      <c r="V92" s="225" t="s">
        <v>31</v>
      </c>
      <c r="W92" s="225" t="s">
        <v>31</v>
      </c>
      <c r="X92" s="225" t="s">
        <v>31</v>
      </c>
      <c r="Y92" s="225" t="s">
        <v>31</v>
      </c>
      <c r="Z92" s="225" t="s">
        <v>31</v>
      </c>
      <c r="AA92" s="225" t="s">
        <v>31</v>
      </c>
      <c r="AB92" s="225" t="s">
        <v>31</v>
      </c>
      <c r="AC92" s="225" t="s">
        <v>31</v>
      </c>
      <c r="AD92" s="225" t="s">
        <v>31</v>
      </c>
      <c r="AE92" s="225" t="s">
        <v>31</v>
      </c>
      <c r="AF92" s="225" t="s">
        <v>31</v>
      </c>
      <c r="AG92" s="225" t="s">
        <v>31</v>
      </c>
      <c r="AH92" s="225" t="s">
        <v>31</v>
      </c>
      <c r="AI92" s="225" t="s">
        <v>31</v>
      </c>
      <c r="AJ92" s="225" t="s">
        <v>31</v>
      </c>
      <c r="AK92" s="225" t="s">
        <v>31</v>
      </c>
      <c r="AL92" s="225" t="s">
        <v>31</v>
      </c>
      <c r="AM92" s="225" t="s">
        <v>31</v>
      </c>
    </row>
    <row r="93" spans="1:39" x14ac:dyDescent="0.25">
      <c r="A93" s="254" t="s">
        <v>400</v>
      </c>
      <c r="Q93" s="225" t="s">
        <v>31</v>
      </c>
      <c r="R93" s="225" t="s">
        <v>31</v>
      </c>
      <c r="S93" s="225" t="s">
        <v>31</v>
      </c>
      <c r="T93" s="225" t="s">
        <v>31</v>
      </c>
      <c r="U93" s="225" t="s">
        <v>31</v>
      </c>
      <c r="V93" s="225" t="s">
        <v>31</v>
      </c>
      <c r="W93" s="225" t="s">
        <v>31</v>
      </c>
      <c r="X93" s="225" t="s">
        <v>31</v>
      </c>
      <c r="Y93" s="225" t="s">
        <v>31</v>
      </c>
      <c r="Z93" s="225" t="s">
        <v>31</v>
      </c>
      <c r="AA93" s="225" t="s">
        <v>31</v>
      </c>
      <c r="AB93" s="225" t="s">
        <v>31</v>
      </c>
      <c r="AC93" s="225" t="s">
        <v>31</v>
      </c>
      <c r="AD93" s="225" t="s">
        <v>31</v>
      </c>
      <c r="AE93" s="225" t="s">
        <v>31</v>
      </c>
      <c r="AF93" s="225" t="s">
        <v>31</v>
      </c>
      <c r="AG93" s="225" t="s">
        <v>31</v>
      </c>
      <c r="AH93" s="225" t="s">
        <v>31</v>
      </c>
      <c r="AI93" s="225" t="s">
        <v>31</v>
      </c>
      <c r="AJ93" s="225" t="s">
        <v>31</v>
      </c>
      <c r="AK93" s="225" t="s">
        <v>31</v>
      </c>
      <c r="AL93" s="225" t="s">
        <v>31</v>
      </c>
      <c r="AM93" s="225" t="s">
        <v>31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C6E43-3CBC-4979-A16F-2C9381E0DFCF}">
  <sheetPr codeName="Feuil11">
    <tabColor rgb="FFFF0000"/>
  </sheetPr>
  <dimension ref="A1:KN249"/>
  <sheetViews>
    <sheetView zoomScale="80" zoomScaleNormal="80" workbookViewId="0">
      <selection activeCell="B1" sqref="B1:V1"/>
    </sheetView>
  </sheetViews>
  <sheetFormatPr baseColWidth="10" defaultColWidth="11.453125" defaultRowHeight="14.5" x14ac:dyDescent="0.35"/>
  <cols>
    <col min="1" max="2" width="11.453125" style="198"/>
    <col min="3" max="3" width="6.6328125" style="198" hidden="1" customWidth="1"/>
    <col min="4" max="21" width="6.6328125" style="198" customWidth="1"/>
    <col min="22" max="22" width="6.6328125" style="198" hidden="1" customWidth="1"/>
    <col min="23" max="23" width="6.6328125" style="198" customWidth="1"/>
    <col min="24" max="68" width="11.453125" style="198"/>
    <col min="69" max="69" width="12.54296875" style="198" bestFit="1" customWidth="1"/>
    <col min="70" max="72" width="11.54296875" style="198" bestFit="1" customWidth="1"/>
    <col min="73" max="74" width="12.54296875" style="198" bestFit="1" customWidth="1"/>
    <col min="75" max="77" width="11.54296875" style="198" bestFit="1" customWidth="1"/>
    <col min="78" max="79" width="12.54296875" style="198" bestFit="1" customWidth="1"/>
    <col min="80" max="82" width="11.54296875" style="198" bestFit="1" customWidth="1"/>
    <col min="83" max="84" width="12.54296875" style="198" bestFit="1" customWidth="1"/>
    <col min="85" max="87" width="11.54296875" style="198" bestFit="1" customWidth="1"/>
    <col min="88" max="89" width="12.54296875" style="198" bestFit="1" customWidth="1"/>
    <col min="90" max="90" width="11.54296875" style="198" bestFit="1" customWidth="1"/>
    <col min="91" max="91" width="12.54296875" style="198" bestFit="1" customWidth="1"/>
    <col min="92" max="16384" width="11.453125" style="198"/>
  </cols>
  <sheetData>
    <row r="1" spans="1:300" x14ac:dyDescent="0.35">
      <c r="A1" s="536" t="s">
        <v>326</v>
      </c>
      <c r="B1" s="195" t="s">
        <v>327</v>
      </c>
      <c r="C1" s="196">
        <v>0.3125</v>
      </c>
      <c r="D1" s="196">
        <v>0.33333333333333298</v>
      </c>
      <c r="E1" s="196">
        <v>0.35416666666666702</v>
      </c>
      <c r="F1" s="196">
        <v>0.375</v>
      </c>
      <c r="G1" s="196">
        <v>0.39583333333333298</v>
      </c>
      <c r="H1" s="196">
        <v>0.41666666666666702</v>
      </c>
      <c r="I1" s="196">
        <v>0.4375</v>
      </c>
      <c r="J1" s="196">
        <v>0.45833333333333298</v>
      </c>
      <c r="K1" s="196">
        <v>0.47916666666666702</v>
      </c>
      <c r="L1" s="196">
        <v>0.5</v>
      </c>
      <c r="M1" s="196">
        <v>0.52083333333333304</v>
      </c>
      <c r="N1" s="196">
        <v>0.54166666666666696</v>
      </c>
      <c r="O1" s="196">
        <v>0.5625</v>
      </c>
      <c r="P1" s="196">
        <v>0.58333333333333304</v>
      </c>
      <c r="Q1" s="196">
        <v>0.60416666666666696</v>
      </c>
      <c r="R1" s="196">
        <v>0.625</v>
      </c>
      <c r="S1" s="196">
        <v>0.64583333333333304</v>
      </c>
      <c r="T1" s="196">
        <v>0.66666666666666696</v>
      </c>
      <c r="U1" s="196">
        <v>0.6875</v>
      </c>
      <c r="V1" s="196">
        <v>0.70833333333333304</v>
      </c>
      <c r="W1" s="197"/>
      <c r="AA1" s="43"/>
      <c r="AB1" s="199" t="s">
        <v>328</v>
      </c>
      <c r="AC1" s="199" t="s">
        <v>329</v>
      </c>
      <c r="AD1" s="199" t="s">
        <v>330</v>
      </c>
      <c r="AE1" s="199" t="s">
        <v>331</v>
      </c>
      <c r="AF1" s="199" t="s">
        <v>332</v>
      </c>
      <c r="AG1" s="199" t="s">
        <v>328</v>
      </c>
      <c r="AH1" s="199" t="s">
        <v>329</v>
      </c>
      <c r="AI1" s="199" t="s">
        <v>330</v>
      </c>
      <c r="AJ1" s="199" t="s">
        <v>331</v>
      </c>
      <c r="AK1" s="199" t="s">
        <v>332</v>
      </c>
      <c r="AL1" s="199" t="s">
        <v>328</v>
      </c>
      <c r="AM1" s="199" t="s">
        <v>329</v>
      </c>
      <c r="AN1" s="199" t="s">
        <v>330</v>
      </c>
      <c r="AO1" s="199" t="s">
        <v>331</v>
      </c>
      <c r="AP1" s="199" t="s">
        <v>332</v>
      </c>
      <c r="AQ1" s="199" t="s">
        <v>328</v>
      </c>
      <c r="AR1" s="199" t="s">
        <v>329</v>
      </c>
      <c r="AS1" s="199" t="s">
        <v>330</v>
      </c>
      <c r="AT1" s="199" t="s">
        <v>331</v>
      </c>
      <c r="AU1" s="199" t="s">
        <v>332</v>
      </c>
      <c r="AV1" s="199" t="s">
        <v>328</v>
      </c>
      <c r="AW1" s="199" t="s">
        <v>329</v>
      </c>
      <c r="AX1" s="199" t="s">
        <v>330</v>
      </c>
      <c r="AY1" s="199" t="s">
        <v>331</v>
      </c>
      <c r="AZ1" s="199" t="s">
        <v>332</v>
      </c>
      <c r="BA1" s="199" t="s">
        <v>328</v>
      </c>
      <c r="BB1" s="199" t="s">
        <v>329</v>
      </c>
      <c r="BC1" s="199" t="s">
        <v>330</v>
      </c>
      <c r="BD1" s="199" t="s">
        <v>331</v>
      </c>
      <c r="BE1" s="199" t="s">
        <v>332</v>
      </c>
      <c r="BF1" s="199" t="s">
        <v>328</v>
      </c>
      <c r="BG1" s="199" t="s">
        <v>329</v>
      </c>
      <c r="BH1" s="199" t="s">
        <v>330</v>
      </c>
      <c r="BI1" s="199" t="s">
        <v>331</v>
      </c>
      <c r="BJ1" s="199" t="s">
        <v>332</v>
      </c>
      <c r="BK1" s="199" t="s">
        <v>328</v>
      </c>
      <c r="BL1" s="199" t="s">
        <v>329</v>
      </c>
      <c r="BM1" s="199" t="s">
        <v>330</v>
      </c>
      <c r="BN1" s="199" t="s">
        <v>331</v>
      </c>
      <c r="BO1" s="199" t="s">
        <v>332</v>
      </c>
      <c r="BP1" s="199" t="s">
        <v>328</v>
      </c>
      <c r="BQ1" s="199" t="s">
        <v>329</v>
      </c>
      <c r="BR1" s="199" t="s">
        <v>330</v>
      </c>
      <c r="BS1" s="199" t="s">
        <v>331</v>
      </c>
      <c r="BT1" s="199" t="s">
        <v>332</v>
      </c>
      <c r="BU1" s="199" t="s">
        <v>328</v>
      </c>
      <c r="BV1" s="199" t="s">
        <v>329</v>
      </c>
      <c r="BW1" s="199" t="s">
        <v>330</v>
      </c>
      <c r="BX1" s="199" t="s">
        <v>331</v>
      </c>
      <c r="BY1" s="199" t="s">
        <v>332</v>
      </c>
      <c r="BZ1" s="199" t="s">
        <v>328</v>
      </c>
      <c r="CA1" s="199" t="s">
        <v>329</v>
      </c>
      <c r="CB1" s="199" t="s">
        <v>330</v>
      </c>
      <c r="CC1" s="199" t="s">
        <v>331</v>
      </c>
      <c r="CD1" s="199" t="s">
        <v>332</v>
      </c>
      <c r="CE1" s="199" t="s">
        <v>328</v>
      </c>
      <c r="CF1" s="199" t="s">
        <v>329</v>
      </c>
      <c r="CG1" s="199" t="s">
        <v>330</v>
      </c>
      <c r="CH1" s="199" t="s">
        <v>331</v>
      </c>
      <c r="CI1" s="199" t="s">
        <v>332</v>
      </c>
      <c r="CJ1" s="199" t="s">
        <v>328</v>
      </c>
      <c r="CK1" s="199" t="s">
        <v>329</v>
      </c>
      <c r="CL1" s="199" t="s">
        <v>330</v>
      </c>
      <c r="CM1" s="199" t="s">
        <v>331</v>
      </c>
      <c r="CN1" s="200" t="s">
        <v>182</v>
      </c>
      <c r="CO1" s="200" t="s">
        <v>178</v>
      </c>
      <c r="CP1" s="200" t="s">
        <v>179</v>
      </c>
      <c r="CQ1" s="200" t="s">
        <v>180</v>
      </c>
      <c r="CR1" s="200" t="s">
        <v>181</v>
      </c>
      <c r="CS1" s="200" t="s">
        <v>182</v>
      </c>
      <c r="CT1" s="200" t="s">
        <v>178</v>
      </c>
      <c r="CU1" s="200" t="s">
        <v>179</v>
      </c>
      <c r="CV1" s="200" t="s">
        <v>180</v>
      </c>
      <c r="CW1" s="200" t="s">
        <v>181</v>
      </c>
      <c r="CX1" s="200" t="s">
        <v>182</v>
      </c>
      <c r="CY1" s="200" t="s">
        <v>179</v>
      </c>
      <c r="CZ1" s="200" t="s">
        <v>180</v>
      </c>
      <c r="DA1" s="200" t="s">
        <v>181</v>
      </c>
      <c r="DB1" s="200" t="s">
        <v>182</v>
      </c>
      <c r="DC1" s="200" t="s">
        <v>178</v>
      </c>
      <c r="DD1" s="200" t="s">
        <v>179</v>
      </c>
      <c r="DE1" s="200" t="s">
        <v>180</v>
      </c>
      <c r="DF1" s="200" t="s">
        <v>181</v>
      </c>
      <c r="DG1" s="200" t="s">
        <v>182</v>
      </c>
      <c r="DH1" s="200" t="s">
        <v>178</v>
      </c>
      <c r="DI1" s="200" t="s">
        <v>179</v>
      </c>
      <c r="DJ1" s="200" t="s">
        <v>180</v>
      </c>
      <c r="DK1" s="200" t="s">
        <v>181</v>
      </c>
      <c r="DL1" s="200" t="s">
        <v>182</v>
      </c>
      <c r="DM1" s="200" t="s">
        <v>178</v>
      </c>
      <c r="DN1" s="200" t="s">
        <v>179</v>
      </c>
      <c r="DO1" s="200" t="s">
        <v>180</v>
      </c>
      <c r="DP1" s="200" t="s">
        <v>181</v>
      </c>
      <c r="DQ1" s="200" t="s">
        <v>182</v>
      </c>
      <c r="DR1" s="200" t="s">
        <v>178</v>
      </c>
      <c r="DS1" s="200" t="s">
        <v>179</v>
      </c>
      <c r="DT1" s="200" t="s">
        <v>180</v>
      </c>
      <c r="DU1" s="200" t="s">
        <v>181</v>
      </c>
      <c r="DV1" s="200" t="s">
        <v>182</v>
      </c>
      <c r="DW1" s="200" t="s">
        <v>178</v>
      </c>
      <c r="DX1" s="200" t="s">
        <v>179</v>
      </c>
      <c r="DY1" s="200" t="s">
        <v>180</v>
      </c>
      <c r="DZ1" s="200" t="s">
        <v>182</v>
      </c>
      <c r="EA1" s="200" t="s">
        <v>178</v>
      </c>
      <c r="EB1" s="200" t="s">
        <v>179</v>
      </c>
      <c r="EC1" s="200" t="s">
        <v>180</v>
      </c>
      <c r="ED1" s="200" t="s">
        <v>181</v>
      </c>
      <c r="EE1" s="200" t="s">
        <v>182</v>
      </c>
      <c r="EF1" s="200" t="s">
        <v>179</v>
      </c>
      <c r="EG1" s="200" t="s">
        <v>180</v>
      </c>
      <c r="EH1" s="200" t="s">
        <v>181</v>
      </c>
      <c r="EI1" s="200" t="s">
        <v>182</v>
      </c>
      <c r="EJ1" s="200" t="s">
        <v>178</v>
      </c>
      <c r="EK1" s="200" t="s">
        <v>179</v>
      </c>
      <c r="EL1" s="200" t="s">
        <v>180</v>
      </c>
      <c r="EM1" s="200" t="s">
        <v>181</v>
      </c>
      <c r="EN1" s="200" t="s">
        <v>182</v>
      </c>
      <c r="EO1" s="200" t="s">
        <v>178</v>
      </c>
      <c r="EP1" s="200" t="s">
        <v>179</v>
      </c>
      <c r="EQ1" s="200" t="s">
        <v>180</v>
      </c>
      <c r="ER1" s="200" t="s">
        <v>181</v>
      </c>
      <c r="ES1" s="200" t="s">
        <v>182</v>
      </c>
      <c r="ET1" s="200" t="s">
        <v>178</v>
      </c>
      <c r="EU1" s="200" t="s">
        <v>179</v>
      </c>
      <c r="EV1" s="200" t="s">
        <v>180</v>
      </c>
      <c r="EW1" s="200" t="s">
        <v>181</v>
      </c>
      <c r="EX1" s="200" t="s">
        <v>182</v>
      </c>
      <c r="EY1" s="200" t="s">
        <v>178</v>
      </c>
      <c r="EZ1" s="200" t="s">
        <v>179</v>
      </c>
      <c r="FA1" s="200" t="s">
        <v>180</v>
      </c>
      <c r="FB1" s="200" t="s">
        <v>181</v>
      </c>
      <c r="FC1" s="200" t="s">
        <v>182</v>
      </c>
      <c r="FD1" s="200" t="s">
        <v>178</v>
      </c>
      <c r="FE1" s="200" t="s">
        <v>179</v>
      </c>
      <c r="FF1" s="200" t="s">
        <v>180</v>
      </c>
      <c r="FG1" s="200" t="s">
        <v>182</v>
      </c>
      <c r="FH1" s="200" t="s">
        <v>178</v>
      </c>
      <c r="FI1" s="200" t="s">
        <v>179</v>
      </c>
      <c r="FJ1" s="200" t="s">
        <v>180</v>
      </c>
      <c r="FK1" s="200" t="s">
        <v>181</v>
      </c>
      <c r="FL1" s="200" t="s">
        <v>182</v>
      </c>
      <c r="FM1" s="200" t="s">
        <v>178</v>
      </c>
      <c r="FN1" s="200" t="s">
        <v>179</v>
      </c>
      <c r="FO1" s="200" t="s">
        <v>180</v>
      </c>
      <c r="FP1" s="200" t="s">
        <v>181</v>
      </c>
      <c r="FQ1" s="200" t="s">
        <v>182</v>
      </c>
      <c r="FR1" s="200" t="s">
        <v>178</v>
      </c>
      <c r="FS1" s="200" t="s">
        <v>179</v>
      </c>
      <c r="FT1" s="200" t="s">
        <v>180</v>
      </c>
      <c r="FU1" s="200" t="s">
        <v>181</v>
      </c>
      <c r="FV1" s="200" t="s">
        <v>182</v>
      </c>
      <c r="FW1" s="200" t="s">
        <v>178</v>
      </c>
      <c r="FX1" s="200" t="s">
        <v>179</v>
      </c>
      <c r="FY1" s="200" t="s">
        <v>180</v>
      </c>
      <c r="FZ1" s="200" t="s">
        <v>181</v>
      </c>
      <c r="GA1" s="200" t="s">
        <v>182</v>
      </c>
      <c r="GB1" s="200" t="s">
        <v>179</v>
      </c>
      <c r="GC1" s="200" t="s">
        <v>180</v>
      </c>
      <c r="GD1" s="200" t="s">
        <v>181</v>
      </c>
      <c r="GE1" s="200" t="s">
        <v>182</v>
      </c>
      <c r="GF1" s="200" t="s">
        <v>178</v>
      </c>
      <c r="GG1" s="200" t="s">
        <v>179</v>
      </c>
      <c r="GH1" s="200" t="s">
        <v>180</v>
      </c>
      <c r="GI1" s="200" t="s">
        <v>181</v>
      </c>
      <c r="GJ1" s="200" t="s">
        <v>182</v>
      </c>
      <c r="GK1" s="200" t="s">
        <v>178</v>
      </c>
      <c r="GL1" s="200" t="s">
        <v>179</v>
      </c>
      <c r="GM1" s="200" t="s">
        <v>180</v>
      </c>
      <c r="GN1" s="200" t="s">
        <v>181</v>
      </c>
      <c r="GO1" s="200" t="s">
        <v>182</v>
      </c>
      <c r="GP1" s="200" t="s">
        <v>178</v>
      </c>
      <c r="GQ1" s="200" t="s">
        <v>179</v>
      </c>
      <c r="GR1" s="200" t="s">
        <v>180</v>
      </c>
      <c r="GS1" s="200" t="s">
        <v>181</v>
      </c>
      <c r="GT1" s="200" t="s">
        <v>182</v>
      </c>
      <c r="GU1" s="200" t="s">
        <v>178</v>
      </c>
      <c r="GV1" s="200" t="s">
        <v>179</v>
      </c>
      <c r="GW1" s="200" t="s">
        <v>180</v>
      </c>
      <c r="GX1" s="200" t="s">
        <v>181</v>
      </c>
      <c r="GY1" s="200" t="s">
        <v>182</v>
      </c>
      <c r="GZ1" s="200" t="s">
        <v>178</v>
      </c>
      <c r="HA1" s="200" t="s">
        <v>179</v>
      </c>
      <c r="HB1" s="200" t="s">
        <v>180</v>
      </c>
      <c r="HC1" s="200" t="s">
        <v>181</v>
      </c>
      <c r="HD1" s="200" t="s">
        <v>182</v>
      </c>
      <c r="HE1" s="200" t="s">
        <v>178</v>
      </c>
      <c r="HF1" s="200" t="s">
        <v>179</v>
      </c>
      <c r="HG1" s="200" t="s">
        <v>180</v>
      </c>
      <c r="HH1" s="200" t="s">
        <v>181</v>
      </c>
      <c r="HI1" s="200" t="s">
        <v>182</v>
      </c>
      <c r="HJ1" s="200" t="s">
        <v>178</v>
      </c>
      <c r="HK1" s="200" t="s">
        <v>179</v>
      </c>
      <c r="HL1" s="200" t="s">
        <v>180</v>
      </c>
      <c r="HM1" s="200" t="s">
        <v>181</v>
      </c>
      <c r="HN1" s="200" t="s">
        <v>182</v>
      </c>
      <c r="HO1" s="200" t="s">
        <v>178</v>
      </c>
      <c r="HP1" s="200" t="s">
        <v>179</v>
      </c>
      <c r="HQ1" s="200" t="s">
        <v>180</v>
      </c>
      <c r="HR1" s="200" t="s">
        <v>181</v>
      </c>
      <c r="HS1" s="200" t="s">
        <v>182</v>
      </c>
      <c r="HT1" s="200" t="s">
        <v>178</v>
      </c>
      <c r="HU1" s="200" t="s">
        <v>179</v>
      </c>
      <c r="HV1" s="200" t="s">
        <v>180</v>
      </c>
      <c r="HW1" s="200" t="s">
        <v>181</v>
      </c>
      <c r="HX1" s="200" t="s">
        <v>182</v>
      </c>
      <c r="HY1" s="200" t="s">
        <v>178</v>
      </c>
      <c r="HZ1" s="200" t="s">
        <v>179</v>
      </c>
      <c r="IA1" s="200" t="s">
        <v>180</v>
      </c>
      <c r="IB1" s="200" t="s">
        <v>181</v>
      </c>
      <c r="IC1" s="200" t="s">
        <v>182</v>
      </c>
      <c r="ID1" s="200" t="s">
        <v>178</v>
      </c>
      <c r="IE1" s="200" t="s">
        <v>180</v>
      </c>
      <c r="IF1" s="200" t="s">
        <v>181</v>
      </c>
      <c r="IG1" s="200" t="s">
        <v>182</v>
      </c>
      <c r="IH1" s="200" t="s">
        <v>178</v>
      </c>
      <c r="II1" s="200" t="s">
        <v>179</v>
      </c>
      <c r="IJ1" s="200" t="s">
        <v>180</v>
      </c>
      <c r="IK1" s="200" t="s">
        <v>181</v>
      </c>
      <c r="IL1" s="200" t="s">
        <v>178</v>
      </c>
      <c r="IM1" s="200" t="s">
        <v>179</v>
      </c>
      <c r="IN1" s="200" t="s">
        <v>180</v>
      </c>
      <c r="IO1" s="200" t="s">
        <v>181</v>
      </c>
      <c r="IP1" s="200" t="s">
        <v>182</v>
      </c>
      <c r="IQ1" s="200" t="s">
        <v>178</v>
      </c>
      <c r="IR1" s="200" t="s">
        <v>179</v>
      </c>
      <c r="IS1" s="200" t="s">
        <v>180</v>
      </c>
      <c r="IT1" s="200" t="s">
        <v>181</v>
      </c>
      <c r="IU1" s="200" t="s">
        <v>182</v>
      </c>
      <c r="IV1" s="200" t="s">
        <v>178</v>
      </c>
      <c r="IW1" s="200" t="s">
        <v>179</v>
      </c>
      <c r="IX1" s="200" t="s">
        <v>180</v>
      </c>
      <c r="IY1" s="200" t="s">
        <v>181</v>
      </c>
      <c r="IZ1" s="200" t="s">
        <v>182</v>
      </c>
      <c r="JA1" s="200" t="s">
        <v>178</v>
      </c>
      <c r="JB1" s="200" t="s">
        <v>179</v>
      </c>
      <c r="JC1" s="200" t="s">
        <v>180</v>
      </c>
      <c r="JD1" s="200" t="s">
        <v>181</v>
      </c>
      <c r="JE1" s="200" t="s">
        <v>182</v>
      </c>
      <c r="JF1" s="200" t="s">
        <v>178</v>
      </c>
      <c r="JG1" s="200" t="s">
        <v>179</v>
      </c>
      <c r="JH1" s="200" t="s">
        <v>180</v>
      </c>
      <c r="JI1" s="200" t="s">
        <v>181</v>
      </c>
      <c r="JJ1" s="200" t="s">
        <v>182</v>
      </c>
      <c r="JK1" s="200" t="s">
        <v>178</v>
      </c>
      <c r="JL1" s="200" t="s">
        <v>179</v>
      </c>
      <c r="JM1" s="200" t="s">
        <v>180</v>
      </c>
      <c r="JN1" s="200" t="s">
        <v>181</v>
      </c>
      <c r="JO1" s="200" t="s">
        <v>182</v>
      </c>
      <c r="JP1" s="200" t="s">
        <v>179</v>
      </c>
      <c r="JQ1" s="200" t="s">
        <v>180</v>
      </c>
      <c r="JR1" s="200" t="s">
        <v>181</v>
      </c>
      <c r="JS1" s="200" t="s">
        <v>182</v>
      </c>
      <c r="JT1" s="200" t="s">
        <v>179</v>
      </c>
      <c r="JU1" s="200" t="s">
        <v>180</v>
      </c>
      <c r="JV1" s="200" t="s">
        <v>181</v>
      </c>
      <c r="JW1" s="200" t="s">
        <v>182</v>
      </c>
      <c r="JX1" s="200" t="s">
        <v>178</v>
      </c>
      <c r="JY1" s="200" t="s">
        <v>179</v>
      </c>
      <c r="JZ1" s="200" t="s">
        <v>180</v>
      </c>
      <c r="KA1" s="200" t="s">
        <v>181</v>
      </c>
      <c r="KB1" s="200" t="s">
        <v>182</v>
      </c>
      <c r="KC1" s="200" t="s">
        <v>178</v>
      </c>
      <c r="KD1" s="200" t="s">
        <v>179</v>
      </c>
      <c r="KE1" s="200" t="s">
        <v>180</v>
      </c>
      <c r="KF1" s="200" t="s">
        <v>181</v>
      </c>
      <c r="KG1" s="200" t="s">
        <v>182</v>
      </c>
      <c r="KH1" s="200" t="s">
        <v>178</v>
      </c>
      <c r="KI1" s="200" t="s">
        <v>179</v>
      </c>
      <c r="KJ1" s="200" t="s">
        <v>180</v>
      </c>
      <c r="KK1" s="200" t="s">
        <v>181</v>
      </c>
      <c r="KL1" s="200" t="s">
        <v>182</v>
      </c>
      <c r="KM1" s="200" t="s">
        <v>178</v>
      </c>
      <c r="KN1" s="200" t="s">
        <v>179</v>
      </c>
    </row>
    <row r="2" spans="1:300" x14ac:dyDescent="0.35">
      <c r="A2" s="537"/>
      <c r="B2" s="201" t="s">
        <v>178</v>
      </c>
      <c r="C2" s="202">
        <v>0</v>
      </c>
      <c r="D2" s="202">
        <v>107.45454545454545</v>
      </c>
      <c r="E2" s="202">
        <v>135.5</v>
      </c>
      <c r="F2" s="202">
        <v>157.95454545454547</v>
      </c>
      <c r="G2" s="202">
        <v>146</v>
      </c>
      <c r="H2" s="202">
        <v>124.09090909090909</v>
      </c>
      <c r="I2" s="202">
        <v>114</v>
      </c>
      <c r="J2" s="202">
        <v>102.09090909090909</v>
      </c>
      <c r="K2" s="202">
        <v>74.409090909090907</v>
      </c>
      <c r="L2" s="202">
        <v>38.136363636363633</v>
      </c>
      <c r="M2" s="202">
        <v>28.681818181818183</v>
      </c>
      <c r="N2" s="202">
        <v>53.68181818181818</v>
      </c>
      <c r="O2" s="202">
        <v>80.590909090909093</v>
      </c>
      <c r="P2" s="202">
        <v>87</v>
      </c>
      <c r="Q2" s="202">
        <v>86.318181818181813</v>
      </c>
      <c r="R2" s="202">
        <v>80.545454545454547</v>
      </c>
      <c r="S2" s="202">
        <v>71.681818181818187</v>
      </c>
      <c r="T2" s="202">
        <v>60.090909090909093</v>
      </c>
      <c r="U2" s="202">
        <v>47</v>
      </c>
      <c r="V2" s="202">
        <v>12.428571428571429</v>
      </c>
      <c r="W2" s="203">
        <f>SUM(C2:U2)</f>
        <v>1595.2272727272725</v>
      </c>
      <c r="AA2" s="43" t="s">
        <v>333</v>
      </c>
      <c r="AB2" s="204">
        <v>44564</v>
      </c>
      <c r="AC2" s="204">
        <v>44565</v>
      </c>
      <c r="AD2" s="204">
        <v>44566</v>
      </c>
      <c r="AE2" s="204">
        <v>44567</v>
      </c>
      <c r="AF2" s="204">
        <v>44568</v>
      </c>
      <c r="AG2" s="204">
        <v>44571</v>
      </c>
      <c r="AH2" s="204">
        <v>44572</v>
      </c>
      <c r="AI2" s="204">
        <v>44573</v>
      </c>
      <c r="AJ2" s="204">
        <v>44574</v>
      </c>
      <c r="AK2" s="204">
        <v>44575</v>
      </c>
      <c r="AL2" s="204">
        <v>44578</v>
      </c>
      <c r="AM2" s="204">
        <v>44579</v>
      </c>
      <c r="AN2" s="204">
        <v>44580</v>
      </c>
      <c r="AO2" s="204">
        <v>44581</v>
      </c>
      <c r="AP2" s="204">
        <v>44582</v>
      </c>
      <c r="AQ2" s="204">
        <v>44585</v>
      </c>
      <c r="AR2" s="204">
        <v>44586</v>
      </c>
      <c r="AS2" s="204">
        <v>44587</v>
      </c>
      <c r="AT2" s="204">
        <v>44588</v>
      </c>
      <c r="AU2" s="204">
        <v>44589</v>
      </c>
      <c r="AV2" s="204">
        <v>44592</v>
      </c>
      <c r="AW2" s="204">
        <v>44593</v>
      </c>
      <c r="AX2" s="204">
        <v>44594</v>
      </c>
      <c r="AY2" s="204">
        <v>44595</v>
      </c>
      <c r="AZ2" s="204">
        <v>44596</v>
      </c>
      <c r="BA2" s="204">
        <v>44599</v>
      </c>
      <c r="BB2" s="204">
        <v>44600</v>
      </c>
      <c r="BC2" s="204">
        <v>44601</v>
      </c>
      <c r="BD2" s="204">
        <v>44602</v>
      </c>
      <c r="BE2" s="204">
        <v>44603</v>
      </c>
      <c r="BF2" s="204">
        <v>44606</v>
      </c>
      <c r="BG2" s="204">
        <v>44607</v>
      </c>
      <c r="BH2" s="204">
        <v>44608</v>
      </c>
      <c r="BI2" s="204">
        <v>44609</v>
      </c>
      <c r="BJ2" s="204">
        <v>44610</v>
      </c>
      <c r="BK2" s="204">
        <v>44613</v>
      </c>
      <c r="BL2" s="204">
        <v>44614</v>
      </c>
      <c r="BM2" s="204">
        <v>44615</v>
      </c>
      <c r="BN2" s="204">
        <v>44616</v>
      </c>
      <c r="BO2" s="204">
        <v>44617</v>
      </c>
      <c r="BP2" s="204">
        <v>44620</v>
      </c>
      <c r="BQ2" s="204">
        <v>44621</v>
      </c>
      <c r="BR2" s="204">
        <v>44622</v>
      </c>
      <c r="BS2" s="204">
        <v>44623</v>
      </c>
      <c r="BT2" s="204">
        <v>44624</v>
      </c>
      <c r="BU2" s="204">
        <v>44627</v>
      </c>
      <c r="BV2" s="204">
        <v>44628</v>
      </c>
      <c r="BW2" s="204">
        <v>44629</v>
      </c>
      <c r="BX2" s="204">
        <v>44630</v>
      </c>
      <c r="BY2" s="204">
        <v>44631</v>
      </c>
      <c r="BZ2" s="204">
        <v>44634</v>
      </c>
      <c r="CA2" s="204">
        <v>44635</v>
      </c>
      <c r="CB2" s="204">
        <v>44636</v>
      </c>
      <c r="CC2" s="204">
        <v>44637</v>
      </c>
      <c r="CD2" s="204">
        <v>44638</v>
      </c>
      <c r="CE2" s="204">
        <v>44641</v>
      </c>
      <c r="CF2" s="204">
        <v>44642</v>
      </c>
      <c r="CG2" s="204">
        <v>44643</v>
      </c>
      <c r="CH2" s="204">
        <v>44644</v>
      </c>
      <c r="CI2" s="204">
        <v>44645</v>
      </c>
      <c r="CJ2" s="204">
        <v>44648</v>
      </c>
      <c r="CK2" s="204">
        <v>44649</v>
      </c>
      <c r="CL2" s="204">
        <v>44650</v>
      </c>
      <c r="CM2" s="204">
        <v>44651</v>
      </c>
      <c r="CN2" s="205">
        <v>44652</v>
      </c>
      <c r="CO2" s="205">
        <v>44655</v>
      </c>
      <c r="CP2" s="205">
        <v>44656</v>
      </c>
      <c r="CQ2" s="205">
        <v>44657</v>
      </c>
      <c r="CR2" s="205">
        <v>44658</v>
      </c>
      <c r="CS2" s="205">
        <v>44659</v>
      </c>
      <c r="CT2" s="205">
        <v>44662</v>
      </c>
      <c r="CU2" s="205">
        <v>44663</v>
      </c>
      <c r="CV2" s="205">
        <v>44664</v>
      </c>
      <c r="CW2" s="205">
        <v>44665</v>
      </c>
      <c r="CX2" s="205">
        <v>44666</v>
      </c>
      <c r="CY2" s="205">
        <v>44670</v>
      </c>
      <c r="CZ2" s="205">
        <v>44671</v>
      </c>
      <c r="DA2" s="205">
        <v>44672</v>
      </c>
      <c r="DB2" s="205">
        <v>44673</v>
      </c>
      <c r="DC2" s="205">
        <v>44676</v>
      </c>
      <c r="DD2" s="205">
        <v>44677</v>
      </c>
      <c r="DE2" s="205">
        <v>44678</v>
      </c>
      <c r="DF2" s="205">
        <v>44679</v>
      </c>
      <c r="DG2" s="205">
        <v>44680</v>
      </c>
      <c r="DH2" s="205">
        <v>44683</v>
      </c>
      <c r="DI2" s="205">
        <v>44684</v>
      </c>
      <c r="DJ2" s="205">
        <v>44685</v>
      </c>
      <c r="DK2" s="205">
        <v>44686</v>
      </c>
      <c r="DL2" s="205">
        <v>44687</v>
      </c>
      <c r="DM2" s="205">
        <v>44690</v>
      </c>
      <c r="DN2" s="205">
        <v>44691</v>
      </c>
      <c r="DO2" s="205">
        <v>44692</v>
      </c>
      <c r="DP2" s="205">
        <v>44693</v>
      </c>
      <c r="DQ2" s="205">
        <v>44694</v>
      </c>
      <c r="DR2" s="205">
        <v>44697</v>
      </c>
      <c r="DS2" s="205">
        <v>44698</v>
      </c>
      <c r="DT2" s="205">
        <v>44699</v>
      </c>
      <c r="DU2" s="205">
        <v>44700</v>
      </c>
      <c r="DV2" s="205">
        <v>44701</v>
      </c>
      <c r="DW2" s="205">
        <v>44704</v>
      </c>
      <c r="DX2" s="205">
        <v>44705</v>
      </c>
      <c r="DY2" s="205">
        <v>44706</v>
      </c>
      <c r="DZ2" s="205">
        <v>44708</v>
      </c>
      <c r="EA2" s="205">
        <v>44711</v>
      </c>
      <c r="EB2" s="205">
        <v>44712</v>
      </c>
      <c r="EC2" s="205">
        <v>44713</v>
      </c>
      <c r="ED2" s="205">
        <v>44714</v>
      </c>
      <c r="EE2" s="205">
        <v>44715</v>
      </c>
      <c r="EF2" s="205">
        <v>44719</v>
      </c>
      <c r="EG2" s="205">
        <v>44720</v>
      </c>
      <c r="EH2" s="205">
        <v>44721</v>
      </c>
      <c r="EI2" s="205">
        <v>44722</v>
      </c>
      <c r="EJ2" s="205">
        <v>44725</v>
      </c>
      <c r="EK2" s="205">
        <v>44726</v>
      </c>
      <c r="EL2" s="205">
        <v>44727</v>
      </c>
      <c r="EM2" s="205">
        <v>44728</v>
      </c>
      <c r="EN2" s="205">
        <v>44729</v>
      </c>
      <c r="EO2" s="205">
        <v>44732</v>
      </c>
      <c r="EP2" s="205">
        <v>44733</v>
      </c>
      <c r="EQ2" s="205">
        <v>44734</v>
      </c>
      <c r="ER2" s="205">
        <v>44735</v>
      </c>
      <c r="ES2" s="205">
        <v>44736</v>
      </c>
      <c r="ET2" s="205">
        <v>44739</v>
      </c>
      <c r="EU2" s="205">
        <v>44740</v>
      </c>
      <c r="EV2" s="205">
        <v>44741</v>
      </c>
      <c r="EW2" s="205">
        <v>44742</v>
      </c>
      <c r="EX2" s="205">
        <v>44743</v>
      </c>
      <c r="EY2" s="205">
        <v>44746</v>
      </c>
      <c r="EZ2" s="205">
        <v>44747</v>
      </c>
      <c r="FA2" s="205">
        <v>44748</v>
      </c>
      <c r="FB2" s="205">
        <v>44749</v>
      </c>
      <c r="FC2" s="205">
        <v>44750</v>
      </c>
      <c r="FD2" s="205">
        <v>44753</v>
      </c>
      <c r="FE2" s="205">
        <v>44754</v>
      </c>
      <c r="FF2" s="205">
        <v>44755</v>
      </c>
      <c r="FG2" s="205">
        <v>44757</v>
      </c>
      <c r="FH2" s="205">
        <v>44760</v>
      </c>
      <c r="FI2" s="205">
        <v>44761</v>
      </c>
      <c r="FJ2" s="205">
        <v>44762</v>
      </c>
      <c r="FK2" s="205">
        <v>44763</v>
      </c>
      <c r="FL2" s="205">
        <v>44764</v>
      </c>
      <c r="FM2" s="205">
        <v>44767</v>
      </c>
      <c r="FN2" s="205">
        <v>44768</v>
      </c>
      <c r="FO2" s="205">
        <v>44769</v>
      </c>
      <c r="FP2" s="205">
        <v>44770</v>
      </c>
      <c r="FQ2" s="205">
        <v>44771</v>
      </c>
      <c r="FR2" s="205">
        <v>44774</v>
      </c>
      <c r="FS2" s="205">
        <v>44775</v>
      </c>
      <c r="FT2" s="205">
        <v>44776</v>
      </c>
      <c r="FU2" s="205">
        <v>44777</v>
      </c>
      <c r="FV2" s="205">
        <v>44778</v>
      </c>
      <c r="FW2" s="205">
        <v>44781</v>
      </c>
      <c r="FX2" s="205">
        <v>44782</v>
      </c>
      <c r="FY2" s="205">
        <v>44783</v>
      </c>
      <c r="FZ2" s="205">
        <v>44784</v>
      </c>
      <c r="GA2" s="205">
        <v>44785</v>
      </c>
      <c r="GB2" s="205">
        <v>44789</v>
      </c>
      <c r="GC2" s="205">
        <v>44790</v>
      </c>
      <c r="GD2" s="205">
        <v>44791</v>
      </c>
      <c r="GE2" s="205">
        <v>44792</v>
      </c>
      <c r="GF2" s="205">
        <v>44795</v>
      </c>
      <c r="GG2" s="205">
        <v>44796</v>
      </c>
      <c r="GH2" s="205">
        <v>44797</v>
      </c>
      <c r="GI2" s="205">
        <v>44798</v>
      </c>
      <c r="GJ2" s="205">
        <v>44799</v>
      </c>
      <c r="GK2" s="205">
        <v>44802</v>
      </c>
      <c r="GL2" s="205">
        <v>44803</v>
      </c>
      <c r="GM2" s="205">
        <v>44804</v>
      </c>
      <c r="GN2" s="206">
        <v>44805</v>
      </c>
      <c r="GO2" s="205">
        <v>44806</v>
      </c>
      <c r="GP2" s="205">
        <v>44809</v>
      </c>
      <c r="GQ2" s="205">
        <v>44810</v>
      </c>
      <c r="GR2" s="205">
        <v>44811</v>
      </c>
      <c r="GS2" s="205">
        <v>44812</v>
      </c>
      <c r="GT2" s="205">
        <v>44813</v>
      </c>
      <c r="GU2" s="205">
        <v>44816</v>
      </c>
      <c r="GV2" s="205">
        <v>44817</v>
      </c>
      <c r="GW2" s="205">
        <v>44818</v>
      </c>
      <c r="GX2" s="205">
        <v>44819</v>
      </c>
      <c r="GY2" s="205">
        <v>44820</v>
      </c>
      <c r="GZ2" s="205">
        <v>44823</v>
      </c>
      <c r="HA2" s="205">
        <v>44824</v>
      </c>
      <c r="HB2" s="205">
        <v>44825</v>
      </c>
      <c r="HC2" s="205">
        <v>44826</v>
      </c>
      <c r="HD2" s="205">
        <v>44827</v>
      </c>
      <c r="HE2" s="205">
        <v>44830</v>
      </c>
      <c r="HF2" s="205">
        <v>44831</v>
      </c>
      <c r="HG2" s="205">
        <v>44832</v>
      </c>
      <c r="HH2" s="205">
        <v>44833</v>
      </c>
      <c r="HI2" s="205">
        <v>44834</v>
      </c>
      <c r="HJ2" s="205">
        <v>44837</v>
      </c>
      <c r="HK2" s="205">
        <v>44838</v>
      </c>
      <c r="HL2" s="205">
        <v>44839</v>
      </c>
      <c r="HM2" s="205">
        <v>44840</v>
      </c>
      <c r="HN2" s="205">
        <v>44841</v>
      </c>
      <c r="HO2" s="205">
        <v>44844</v>
      </c>
      <c r="HP2" s="205">
        <v>44845</v>
      </c>
      <c r="HQ2" s="205">
        <v>44846</v>
      </c>
      <c r="HR2" s="205">
        <v>44847</v>
      </c>
      <c r="HS2" s="205">
        <v>44848</v>
      </c>
      <c r="HT2" s="205">
        <v>44851</v>
      </c>
      <c r="HU2" s="205">
        <v>44852</v>
      </c>
      <c r="HV2" s="205">
        <v>44853</v>
      </c>
      <c r="HW2" s="205">
        <v>44854</v>
      </c>
      <c r="HX2" s="205">
        <v>44855</v>
      </c>
      <c r="HY2" s="205">
        <v>44858</v>
      </c>
      <c r="HZ2" s="205">
        <v>44859</v>
      </c>
      <c r="IA2" s="205">
        <v>44860</v>
      </c>
      <c r="IB2" s="205">
        <v>44861</v>
      </c>
      <c r="IC2" s="205">
        <v>44862</v>
      </c>
      <c r="ID2" s="205">
        <v>44865</v>
      </c>
      <c r="IE2" s="205">
        <v>44867</v>
      </c>
      <c r="IF2" s="205">
        <v>44868</v>
      </c>
      <c r="IG2" s="205">
        <v>44869</v>
      </c>
      <c r="IH2" s="205">
        <v>44872</v>
      </c>
      <c r="II2" s="205">
        <v>44873</v>
      </c>
      <c r="IJ2" s="205">
        <v>44874</v>
      </c>
      <c r="IK2" s="205">
        <v>44875</v>
      </c>
      <c r="IL2" s="205">
        <v>44879</v>
      </c>
      <c r="IM2" s="205">
        <v>44880</v>
      </c>
      <c r="IN2" s="205">
        <v>44881</v>
      </c>
      <c r="IO2" s="205">
        <v>44882</v>
      </c>
      <c r="IP2" s="205">
        <v>44883</v>
      </c>
      <c r="IQ2" s="205">
        <v>44886</v>
      </c>
      <c r="IR2" s="205">
        <v>44887</v>
      </c>
      <c r="IS2" s="205">
        <v>44888</v>
      </c>
      <c r="IT2" s="205">
        <v>44889</v>
      </c>
      <c r="IU2" s="205">
        <v>44890</v>
      </c>
      <c r="IV2" s="205">
        <v>44893</v>
      </c>
      <c r="IW2" s="205">
        <v>44894</v>
      </c>
      <c r="IX2" s="205">
        <v>44895</v>
      </c>
      <c r="IY2" s="205">
        <v>44896</v>
      </c>
      <c r="IZ2" s="205">
        <v>44897</v>
      </c>
      <c r="JA2" s="205">
        <v>44900</v>
      </c>
      <c r="JB2" s="205">
        <v>44901</v>
      </c>
      <c r="JC2" s="205">
        <v>44902</v>
      </c>
      <c r="JD2" s="205">
        <v>44903</v>
      </c>
      <c r="JE2" s="205">
        <v>44904</v>
      </c>
      <c r="JF2" s="205">
        <v>44907</v>
      </c>
      <c r="JG2" s="205">
        <v>44908</v>
      </c>
      <c r="JH2" s="205">
        <v>44909</v>
      </c>
      <c r="JI2" s="205">
        <v>44910</v>
      </c>
      <c r="JJ2" s="205">
        <v>44911</v>
      </c>
      <c r="JK2" s="205">
        <v>44914</v>
      </c>
      <c r="JL2" s="205">
        <v>44915</v>
      </c>
      <c r="JM2" s="205">
        <v>44916</v>
      </c>
      <c r="JN2" s="205">
        <v>44917</v>
      </c>
      <c r="JO2" s="205">
        <v>44918</v>
      </c>
      <c r="JP2" s="205">
        <v>44922</v>
      </c>
      <c r="JQ2" s="205">
        <v>44923</v>
      </c>
      <c r="JR2" s="205">
        <v>44924</v>
      </c>
      <c r="JS2" s="205">
        <v>44925</v>
      </c>
      <c r="JT2" s="205">
        <v>44929</v>
      </c>
      <c r="JU2" s="205">
        <v>44930</v>
      </c>
      <c r="JV2" s="205">
        <v>44931</v>
      </c>
      <c r="JW2" s="205">
        <v>44932</v>
      </c>
      <c r="JX2" s="205">
        <v>44935</v>
      </c>
      <c r="JY2" s="205">
        <v>44936</v>
      </c>
      <c r="JZ2" s="205">
        <v>44937</v>
      </c>
      <c r="KA2" s="205">
        <v>44938</v>
      </c>
      <c r="KB2" s="205">
        <v>44939</v>
      </c>
      <c r="KC2" s="205">
        <v>44942</v>
      </c>
      <c r="KD2" s="205">
        <v>44943</v>
      </c>
      <c r="KE2" s="205">
        <v>44944</v>
      </c>
      <c r="KF2" s="205">
        <v>44945</v>
      </c>
      <c r="KG2" s="205">
        <v>44946</v>
      </c>
      <c r="KH2" s="205">
        <v>44949</v>
      </c>
      <c r="KI2" s="205">
        <v>44950</v>
      </c>
      <c r="KJ2" s="205">
        <v>44951</v>
      </c>
      <c r="KK2" s="205">
        <v>44952</v>
      </c>
      <c r="KL2" s="205">
        <v>44953</v>
      </c>
      <c r="KM2" s="205">
        <v>44956</v>
      </c>
      <c r="KN2" s="205">
        <v>44957</v>
      </c>
    </row>
    <row r="3" spans="1:300" x14ac:dyDescent="0.35">
      <c r="A3" s="537"/>
      <c r="B3" s="201" t="s">
        <v>179</v>
      </c>
      <c r="C3" s="202">
        <v>0</v>
      </c>
      <c r="D3" s="202">
        <v>106.08333333333333</v>
      </c>
      <c r="E3" s="202">
        <v>131.5</v>
      </c>
      <c r="F3" s="202">
        <v>125.83333333333333</v>
      </c>
      <c r="G3" s="202">
        <v>122.70833333333333</v>
      </c>
      <c r="H3" s="202">
        <v>109.625</v>
      </c>
      <c r="I3" s="202">
        <v>96.125</v>
      </c>
      <c r="J3" s="202">
        <v>88.5</v>
      </c>
      <c r="K3" s="202">
        <v>68.125</v>
      </c>
      <c r="L3" s="202">
        <v>32.916666666666664</v>
      </c>
      <c r="M3" s="202">
        <v>23.833333333333332</v>
      </c>
      <c r="N3" s="202">
        <v>46.25</v>
      </c>
      <c r="O3" s="202">
        <v>70.375</v>
      </c>
      <c r="P3" s="202">
        <v>82.5</v>
      </c>
      <c r="Q3" s="202">
        <v>78.625</v>
      </c>
      <c r="R3" s="202">
        <v>74.291666666666671</v>
      </c>
      <c r="S3" s="202">
        <v>66.833333333333329</v>
      </c>
      <c r="T3" s="202">
        <v>57.916666666666664</v>
      </c>
      <c r="U3" s="202">
        <v>44.791666666666664</v>
      </c>
      <c r="V3" s="202">
        <v>11.772727272727273</v>
      </c>
      <c r="W3" s="203">
        <f>SUM(C3:U3)</f>
        <v>1426.8333333333335</v>
      </c>
      <c r="AA3" s="196">
        <v>0.33333333333333298</v>
      </c>
      <c r="AB3" s="207">
        <v>196.8221476510067</v>
      </c>
      <c r="AC3" s="207">
        <v>142.92369477911649</v>
      </c>
      <c r="AD3" s="207">
        <v>116</v>
      </c>
      <c r="AE3" s="207">
        <v>110.83233532934132</v>
      </c>
      <c r="AF3" s="207">
        <v>104.5</v>
      </c>
      <c r="AG3" s="207">
        <v>155.35714285714286</v>
      </c>
      <c r="AH3" s="207">
        <v>124.99598393574298</v>
      </c>
      <c r="AI3" s="207">
        <v>106</v>
      </c>
      <c r="AJ3" s="207">
        <v>102.38323353293413</v>
      </c>
      <c r="AK3" s="207">
        <v>98</v>
      </c>
      <c r="AL3" s="207">
        <v>144.50680272108843</v>
      </c>
      <c r="AM3" s="207">
        <v>120.5140562248996</v>
      </c>
      <c r="AN3" s="207">
        <v>101</v>
      </c>
      <c r="AO3" s="207">
        <v>99.898203592814369</v>
      </c>
      <c r="AP3" s="207">
        <v>96.5</v>
      </c>
      <c r="AQ3" s="207">
        <v>142.95774647887325</v>
      </c>
      <c r="AR3" s="207">
        <v>121.51004016064259</v>
      </c>
      <c r="AS3" s="207">
        <v>100</v>
      </c>
      <c r="AT3" s="207">
        <v>98.407185628742525</v>
      </c>
      <c r="AU3" s="207">
        <v>99.5</v>
      </c>
      <c r="AV3" s="207">
        <v>141.01388888888889</v>
      </c>
      <c r="AW3" s="207">
        <v>107.23308733087332</v>
      </c>
      <c r="AX3" s="207">
        <v>77.472880061115347</v>
      </c>
      <c r="AY3" s="207">
        <v>83.063214013709057</v>
      </c>
      <c r="AZ3" s="207">
        <v>69.841166936790927</v>
      </c>
      <c r="BA3" s="207">
        <v>124.28422152560083</v>
      </c>
      <c r="BB3" s="207">
        <v>101.70978627671541</v>
      </c>
      <c r="BC3" s="207">
        <v>68.837762237762234</v>
      </c>
      <c r="BD3" s="207">
        <v>71.159359777313838</v>
      </c>
      <c r="BE3" s="207">
        <v>64.304347826086953</v>
      </c>
      <c r="BF3" s="207">
        <v>118.34136546184739</v>
      </c>
      <c r="BG3" s="207">
        <v>100.43961864406779</v>
      </c>
      <c r="BH3" s="207">
        <v>71.078703703703695</v>
      </c>
      <c r="BI3" s="207">
        <v>74.587174348697403</v>
      </c>
      <c r="BJ3" s="207">
        <v>67.407465007776054</v>
      </c>
      <c r="BK3" s="207">
        <v>116.68277945619336</v>
      </c>
      <c r="BL3" s="207">
        <v>98.431539690996274</v>
      </c>
      <c r="BM3" s="207">
        <v>74.15384615384616</v>
      </c>
      <c r="BN3" s="207">
        <v>75.8046875</v>
      </c>
      <c r="BO3" s="207">
        <v>66.886733902249802</v>
      </c>
      <c r="BP3" s="207">
        <v>116.90283400809717</v>
      </c>
      <c r="BQ3" s="208">
        <v>96.788421052631577</v>
      </c>
      <c r="BR3" s="208">
        <v>75.569230769230771</v>
      </c>
      <c r="BS3" s="208">
        <v>76.489616110761489</v>
      </c>
      <c r="BT3" s="208">
        <v>68.976671850699844</v>
      </c>
      <c r="BU3" s="208">
        <v>120.82144566778364</v>
      </c>
      <c r="BV3" s="208">
        <v>106.03417085427135</v>
      </c>
      <c r="BW3" s="208">
        <v>75.695372750642676</v>
      </c>
      <c r="BX3" s="208">
        <v>76.550505050505052</v>
      </c>
      <c r="BY3" s="208">
        <v>71.402272727272731</v>
      </c>
      <c r="BZ3" s="208">
        <v>122.22053231939164</v>
      </c>
      <c r="CA3" s="208">
        <v>106.54345654345654</v>
      </c>
      <c r="CB3" s="208">
        <v>78.215873015873015</v>
      </c>
      <c r="CC3" s="208">
        <v>80.128365685660611</v>
      </c>
      <c r="CD3" s="208">
        <v>76.296072507552879</v>
      </c>
      <c r="CE3" s="208">
        <v>121.35527589545015</v>
      </c>
      <c r="CF3" s="208">
        <v>114.50076180802438</v>
      </c>
      <c r="CG3" s="208">
        <v>81.118677042801551</v>
      </c>
      <c r="CH3" s="208">
        <v>79.194391332058643</v>
      </c>
      <c r="CI3" s="208">
        <v>71.105511811023618</v>
      </c>
      <c r="CJ3" s="208">
        <v>112.15306122448979</v>
      </c>
      <c r="CK3" s="208">
        <v>103.66629464285714</v>
      </c>
      <c r="CL3" s="208">
        <v>81.25598991172761</v>
      </c>
      <c r="CM3" s="208">
        <v>77.332735961768222</v>
      </c>
      <c r="CN3" s="209">
        <v>95.592306153990819</v>
      </c>
      <c r="CO3" s="210">
        <v>149.28127989314029</v>
      </c>
      <c r="CP3" s="210">
        <v>120.38999402123635</v>
      </c>
      <c r="CQ3" s="210">
        <v>111.81273123352173</v>
      </c>
      <c r="CR3" s="210">
        <v>109.59406047877138</v>
      </c>
      <c r="CS3" s="210">
        <v>98.427212229203903</v>
      </c>
      <c r="CT3" s="210">
        <v>136.15743717098104</v>
      </c>
      <c r="CU3" s="210">
        <v>112.19002139084587</v>
      </c>
      <c r="CV3" s="210">
        <v>105.47157764865901</v>
      </c>
      <c r="CW3" s="210">
        <v>98.272676370829075</v>
      </c>
      <c r="CX3" s="210">
        <v>86.556835330132174</v>
      </c>
      <c r="CY3" s="210">
        <v>142.53038043438491</v>
      </c>
      <c r="CZ3" s="210">
        <v>104.87445786997837</v>
      </c>
      <c r="DA3" s="210">
        <v>98.889960386514034</v>
      </c>
      <c r="DB3" s="210">
        <v>82.094677681607891</v>
      </c>
      <c r="DC3" s="210">
        <v>129.07296186380299</v>
      </c>
      <c r="DD3" s="210">
        <v>109.37519343258641</v>
      </c>
      <c r="DE3" s="210">
        <v>98.673442421834949</v>
      </c>
      <c r="DF3" s="210">
        <v>95.390756798792893</v>
      </c>
      <c r="DG3" s="210">
        <v>83.39085057367177</v>
      </c>
      <c r="DH3" s="210">
        <v>160.77002969206126</v>
      </c>
      <c r="DI3" s="210">
        <v>117.01154677075138</v>
      </c>
      <c r="DJ3" s="210">
        <v>105.03438340719988</v>
      </c>
      <c r="DK3" s="210">
        <v>101.5585200630639</v>
      </c>
      <c r="DL3" s="210">
        <v>89.558613837942758</v>
      </c>
      <c r="DM3" s="210">
        <v>181.30943119869229</v>
      </c>
      <c r="DN3" s="210">
        <v>143.22492230357059</v>
      </c>
      <c r="DO3" s="210">
        <v>114.52246020798968</v>
      </c>
      <c r="DP3" s="210">
        <v>113.54762005440942</v>
      </c>
      <c r="DQ3" s="210">
        <v>99.366491852208938</v>
      </c>
      <c r="DR3" s="210">
        <v>145.60349181337136</v>
      </c>
      <c r="DS3" s="210">
        <v>121.84834644773044</v>
      </c>
      <c r="DT3" s="210">
        <v>114.52246020798968</v>
      </c>
      <c r="DU3" s="210">
        <v>113.54762005440942</v>
      </c>
      <c r="DV3" s="210">
        <v>99.366491852208938</v>
      </c>
      <c r="DW3" s="210">
        <v>130.4713986110788</v>
      </c>
      <c r="DX3" s="210">
        <v>110.08172111329856</v>
      </c>
      <c r="DY3" s="210">
        <v>93.023561821074182</v>
      </c>
      <c r="DZ3" s="210">
        <v>73.866116280492236</v>
      </c>
      <c r="EA3" s="210">
        <v>146.4455830962836</v>
      </c>
      <c r="EB3" s="210">
        <v>118.11573546176614</v>
      </c>
      <c r="EC3" s="211">
        <v>101.89010660104881</v>
      </c>
      <c r="ED3" s="211">
        <v>96.713715347074341</v>
      </c>
      <c r="EE3" s="211">
        <v>88.172560100588797</v>
      </c>
      <c r="EF3" s="211">
        <v>132.5155785853276</v>
      </c>
      <c r="EG3" s="211">
        <v>105.65794716054283</v>
      </c>
      <c r="EH3" s="211">
        <v>102.07025467768911</v>
      </c>
      <c r="EI3" s="211">
        <v>91.139003734200273</v>
      </c>
      <c r="EJ3" s="211">
        <v>133.21172741372459</v>
      </c>
      <c r="EK3" s="211">
        <v>118.06182369144564</v>
      </c>
      <c r="EL3" s="211">
        <v>105.30970620005877</v>
      </c>
      <c r="EM3" s="211">
        <v>100.46912909543411</v>
      </c>
      <c r="EN3" s="211">
        <v>95.525566811741328</v>
      </c>
      <c r="EO3" s="211">
        <v>136.45055499762822</v>
      </c>
      <c r="EP3" s="211">
        <v>116.80032155702764</v>
      </c>
      <c r="EQ3" s="211">
        <v>103.95603386092633</v>
      </c>
      <c r="ER3" s="211">
        <v>100.40768942636696</v>
      </c>
      <c r="ES3" s="211">
        <v>94.111610003558127</v>
      </c>
      <c r="ET3" s="211">
        <v>137.12914315057424</v>
      </c>
      <c r="EU3" s="211">
        <v>121.40860312163993</v>
      </c>
      <c r="EV3" s="211">
        <v>118.50193353506366</v>
      </c>
      <c r="EW3" s="211">
        <v>125.1434408495</v>
      </c>
      <c r="EX3" s="212">
        <v>100.13983439097183</v>
      </c>
      <c r="EY3" s="212">
        <v>138.0763467970927</v>
      </c>
      <c r="EZ3" s="212">
        <v>102.18383880431455</v>
      </c>
      <c r="FA3" s="212">
        <v>90.290739301842805</v>
      </c>
      <c r="FB3" s="212">
        <v>91.943630554324727</v>
      </c>
      <c r="FC3" s="212">
        <v>91.512009534402296</v>
      </c>
      <c r="FD3" s="212">
        <v>124.66287212628205</v>
      </c>
      <c r="FE3" s="212">
        <v>98.40965355536288</v>
      </c>
      <c r="FF3" s="212">
        <v>83.946365499160862</v>
      </c>
      <c r="FG3" s="212">
        <v>77.154525285099481</v>
      </c>
      <c r="FH3" s="212">
        <v>132.05382299209637</v>
      </c>
      <c r="FI3" s="212">
        <v>102.46618119608422</v>
      </c>
      <c r="FJ3" s="212">
        <v>85.982266167708318</v>
      </c>
      <c r="FK3" s="212">
        <v>87.655232633320949</v>
      </c>
      <c r="FL3" s="212">
        <v>83.595223792151828</v>
      </c>
      <c r="FM3" s="212">
        <v>145.10964966154805</v>
      </c>
      <c r="FN3" s="212">
        <v>100.64062436834017</v>
      </c>
      <c r="FO3" s="212">
        <v>83.090089569931308</v>
      </c>
      <c r="FP3" s="212">
        <v>84.758886210612587</v>
      </c>
      <c r="FQ3" s="212">
        <v>83.772357885524102</v>
      </c>
      <c r="FR3" s="213">
        <v>127.71042544463442</v>
      </c>
      <c r="FS3" s="213">
        <v>102.21781462622518</v>
      </c>
      <c r="FT3" s="213">
        <v>84.537710187563732</v>
      </c>
      <c r="FU3" s="213">
        <v>85.360247619109188</v>
      </c>
      <c r="FV3" s="213">
        <v>83.975166881356415</v>
      </c>
      <c r="FW3" s="213">
        <v>127.91574962857793</v>
      </c>
      <c r="FX3" s="213">
        <v>100.90613252981076</v>
      </c>
      <c r="FY3" s="213">
        <v>81.16448271680693</v>
      </c>
      <c r="FZ3" s="213">
        <v>82.058378044647228</v>
      </c>
      <c r="GA3" s="213">
        <v>78.371033707297116</v>
      </c>
      <c r="GB3" s="213">
        <v>107.15972828126169</v>
      </c>
      <c r="GC3" s="213">
        <v>85.019758845719139</v>
      </c>
      <c r="GD3" s="213">
        <v>86.630729545830022</v>
      </c>
      <c r="GE3" s="213">
        <v>82.297848268566185</v>
      </c>
      <c r="GF3" s="213">
        <v>123.30077149982537</v>
      </c>
      <c r="GG3" s="213">
        <v>104.95757517185372</v>
      </c>
      <c r="GH3" s="213">
        <v>85.778336359459345</v>
      </c>
      <c r="GI3" s="213">
        <v>88.23511755573486</v>
      </c>
      <c r="GJ3" s="213">
        <v>86.783705946193834</v>
      </c>
      <c r="GK3" s="213">
        <v>137.99489795918365</v>
      </c>
      <c r="GL3" s="213">
        <v>107.97953589579889</v>
      </c>
      <c r="GM3" s="213">
        <v>92.743750000000006</v>
      </c>
      <c r="GN3" s="213">
        <v>92.204628839537307</v>
      </c>
      <c r="GO3" s="213">
        <v>89.411148692561767</v>
      </c>
      <c r="GP3" s="213">
        <v>128.24898566942565</v>
      </c>
      <c r="GQ3" s="213">
        <v>103.59834248618952</v>
      </c>
      <c r="GR3" s="213">
        <v>87.189960121474215</v>
      </c>
      <c r="GS3" s="213">
        <v>89.660215085740404</v>
      </c>
      <c r="GT3" s="213">
        <v>87.74879461548619</v>
      </c>
      <c r="GU3" s="213">
        <v>123.46121776825443</v>
      </c>
      <c r="GV3" s="213">
        <v>103.33359056983031</v>
      </c>
      <c r="GW3" s="213">
        <v>85.142576937378408</v>
      </c>
      <c r="GX3" s="213">
        <v>85.404180503085129</v>
      </c>
      <c r="GY3" s="213">
        <v>86.657572692501574</v>
      </c>
      <c r="GZ3" s="213">
        <v>122.25133391625816</v>
      </c>
      <c r="HA3" s="213">
        <v>100.77269453271008</v>
      </c>
      <c r="HB3" s="213">
        <v>82.442920345694588</v>
      </c>
      <c r="HC3" s="213">
        <v>83.06569371839214</v>
      </c>
      <c r="HD3" s="213">
        <v>87.705527544911618</v>
      </c>
      <c r="HE3" s="213">
        <v>127.12484493347407</v>
      </c>
      <c r="HF3" s="213">
        <v>118.34251478069346</v>
      </c>
      <c r="HG3" s="213">
        <v>107.16409854475641</v>
      </c>
      <c r="HH3" s="213">
        <v>102.43372610986451</v>
      </c>
      <c r="HI3" s="213">
        <v>72.97217350660263</v>
      </c>
      <c r="HJ3" s="214">
        <v>128.02857974</v>
      </c>
      <c r="HK3" s="214">
        <v>125.280075375</v>
      </c>
      <c r="HL3" s="214">
        <v>116.0374589</v>
      </c>
      <c r="HM3" s="214">
        <v>103.22602510000002</v>
      </c>
      <c r="HN3" s="214">
        <v>86.725667600000008</v>
      </c>
      <c r="HO3" s="214">
        <v>121.83353906000001</v>
      </c>
      <c r="HP3" s="214">
        <v>123.91546715</v>
      </c>
      <c r="HQ3" s="214">
        <v>114.37337010000002</v>
      </c>
      <c r="HR3" s="214">
        <v>100.77576520000001</v>
      </c>
      <c r="HS3" s="214">
        <v>83.415982100000008</v>
      </c>
      <c r="HT3" s="214">
        <v>113.64005385</v>
      </c>
      <c r="HU3" s="214">
        <v>113.07080400000001</v>
      </c>
      <c r="HV3" s="214">
        <v>112.85848200000001</v>
      </c>
      <c r="HW3" s="214">
        <v>99.800410600000006</v>
      </c>
      <c r="HX3" s="214">
        <v>81.34250080000001</v>
      </c>
      <c r="HY3" s="214">
        <v>102.76984630000001</v>
      </c>
      <c r="HZ3" s="214">
        <v>98.404740500000003</v>
      </c>
      <c r="IA3" s="214">
        <v>99.355621200000002</v>
      </c>
      <c r="IB3" s="214">
        <v>86.1108732</v>
      </c>
      <c r="IC3" s="214">
        <v>58.799379100000003</v>
      </c>
      <c r="ID3" s="214">
        <v>80.704097100000013</v>
      </c>
      <c r="IE3" s="214">
        <v>82.463857300000001</v>
      </c>
      <c r="IF3" s="214">
        <v>64.525354300000004</v>
      </c>
      <c r="IG3" s="214">
        <v>56.275772300000007</v>
      </c>
      <c r="IH3" s="214">
        <v>102.4085986</v>
      </c>
      <c r="II3" s="214">
        <v>95.854200200000008</v>
      </c>
      <c r="IJ3" s="214">
        <v>93.303368399999997</v>
      </c>
      <c r="IK3" s="214">
        <v>78.944465600000001</v>
      </c>
      <c r="IL3" s="214">
        <v>103.32191870000001</v>
      </c>
      <c r="IM3" s="214">
        <v>102.81519270000001</v>
      </c>
      <c r="IN3" s="214">
        <v>95.103637200000009</v>
      </c>
      <c r="IO3" s="214">
        <v>82.933100800000005</v>
      </c>
      <c r="IP3" s="214">
        <v>73.912947900000006</v>
      </c>
      <c r="IQ3" s="214">
        <v>101.57637930000001</v>
      </c>
      <c r="IR3" s="214">
        <v>103.14993700000001</v>
      </c>
      <c r="IS3" s="214">
        <v>94.878740000000008</v>
      </c>
      <c r="IT3" s="214">
        <v>82.427345000000003</v>
      </c>
      <c r="IU3" s="214">
        <v>74.2113966</v>
      </c>
      <c r="IV3" s="214">
        <v>101.15675900000001</v>
      </c>
      <c r="IW3" s="214">
        <v>102.6816912</v>
      </c>
      <c r="IX3" s="214">
        <v>98.132182499999999</v>
      </c>
      <c r="IY3" s="214">
        <v>80.064646199999999</v>
      </c>
      <c r="IZ3" s="214">
        <v>75.3976586</v>
      </c>
      <c r="JA3" s="214">
        <v>107.09201030000001</v>
      </c>
      <c r="JB3" s="214">
        <v>99.617219900000009</v>
      </c>
      <c r="JC3" s="214">
        <v>90.627673400000006</v>
      </c>
      <c r="JD3" s="214">
        <v>77.567955300000008</v>
      </c>
      <c r="JE3" s="214">
        <v>73.65597360000001</v>
      </c>
      <c r="JF3" s="214">
        <v>100.39281560000001</v>
      </c>
      <c r="JG3" s="214">
        <v>94.493870900000005</v>
      </c>
      <c r="JH3" s="214">
        <v>88.457100600000018</v>
      </c>
      <c r="JI3" s="214">
        <v>75.850880600000011</v>
      </c>
      <c r="JJ3" s="214">
        <v>74.573657400000016</v>
      </c>
      <c r="JK3" s="214">
        <v>80.960063800000015</v>
      </c>
      <c r="JL3" s="214">
        <v>76.645586600000016</v>
      </c>
      <c r="JM3" s="214">
        <v>69.939317800000012</v>
      </c>
      <c r="JN3" s="214">
        <v>53.021862300000002</v>
      </c>
      <c r="JO3" s="214">
        <v>51.533632700000005</v>
      </c>
      <c r="JP3" s="214">
        <v>73.608774800000006</v>
      </c>
      <c r="JQ3" s="214">
        <v>64.040470999999997</v>
      </c>
      <c r="JR3" s="214">
        <v>49.029572900000005</v>
      </c>
      <c r="JS3" s="214">
        <v>50.881475700000003</v>
      </c>
      <c r="JT3" s="214">
        <v>101.54305100000001</v>
      </c>
      <c r="JU3" s="214">
        <v>79.260526999999996</v>
      </c>
      <c r="JV3" s="214">
        <v>78.261982000000003</v>
      </c>
      <c r="JW3" s="214">
        <v>67.553095999999996</v>
      </c>
      <c r="JX3" s="214">
        <v>99.215256999999994</v>
      </c>
      <c r="JY3" s="214">
        <v>98.852952000000002</v>
      </c>
      <c r="JZ3" s="214">
        <v>78.270579999999995</v>
      </c>
      <c r="KA3" s="214">
        <v>78.091463000000005</v>
      </c>
      <c r="KB3" s="214">
        <v>67.188046</v>
      </c>
      <c r="KC3" s="214">
        <v>93.420334999999994</v>
      </c>
      <c r="KD3" s="214">
        <v>95.225808999999998</v>
      </c>
      <c r="KE3" s="214">
        <v>74.910670999999994</v>
      </c>
      <c r="KF3" s="214">
        <v>73.312833999999995</v>
      </c>
      <c r="KG3" s="214">
        <v>67.115763999999999</v>
      </c>
      <c r="KH3" s="214">
        <v>90.853206999999998</v>
      </c>
      <c r="KI3" s="214">
        <v>91.409585000000007</v>
      </c>
      <c r="KJ3" s="214">
        <v>71.834857</v>
      </c>
      <c r="KK3" s="214">
        <v>69.253111000000004</v>
      </c>
      <c r="KL3" s="214">
        <v>65.984967999999995</v>
      </c>
      <c r="KM3" s="214">
        <v>88.182302000000007</v>
      </c>
      <c r="KN3" s="214">
        <v>90.263559999999998</v>
      </c>
    </row>
    <row r="4" spans="1:300" x14ac:dyDescent="0.35">
      <c r="A4" s="537"/>
      <c r="B4" s="201" t="s">
        <v>180</v>
      </c>
      <c r="C4" s="202">
        <v>0</v>
      </c>
      <c r="D4" s="202">
        <v>79.916666666666671</v>
      </c>
      <c r="E4" s="202">
        <v>97.083333333333329</v>
      </c>
      <c r="F4" s="202">
        <v>100.20833333333333</v>
      </c>
      <c r="G4" s="202">
        <v>99.875</v>
      </c>
      <c r="H4" s="202">
        <v>84.125</v>
      </c>
      <c r="I4" s="202">
        <v>82.75</v>
      </c>
      <c r="J4" s="202">
        <v>76.833333333333329</v>
      </c>
      <c r="K4" s="202">
        <v>57.5</v>
      </c>
      <c r="L4" s="202">
        <v>28.416666666666668</v>
      </c>
      <c r="M4" s="202">
        <v>20.541666666666668</v>
      </c>
      <c r="N4" s="202">
        <v>39.25</v>
      </c>
      <c r="O4" s="202">
        <v>62.833333333333336</v>
      </c>
      <c r="P4" s="202">
        <v>68.458333333333329</v>
      </c>
      <c r="Q4" s="202">
        <v>68.416666666666671</v>
      </c>
      <c r="R4" s="202">
        <v>61.083333333333336</v>
      </c>
      <c r="S4" s="202">
        <v>60.25</v>
      </c>
      <c r="T4" s="202">
        <v>47.625</v>
      </c>
      <c r="U4" s="202">
        <v>36.833333333333336</v>
      </c>
      <c r="V4" s="202">
        <v>11.857142857142858</v>
      </c>
      <c r="W4" s="203">
        <f>SUM(C4:U4)</f>
        <v>1171.9999999999998</v>
      </c>
      <c r="AA4" s="196">
        <v>0.35416666666666702</v>
      </c>
      <c r="AB4" s="207">
        <v>202.1778523489933</v>
      </c>
      <c r="AC4" s="207">
        <v>144.07630522088354</v>
      </c>
      <c r="AD4" s="207">
        <v>116</v>
      </c>
      <c r="AE4" s="207">
        <v>112.16766467065868</v>
      </c>
      <c r="AF4" s="207">
        <v>104.5</v>
      </c>
      <c r="AG4" s="207">
        <v>159.64285714285714</v>
      </c>
      <c r="AH4" s="207">
        <v>126.00401606425703</v>
      </c>
      <c r="AI4" s="207">
        <v>106</v>
      </c>
      <c r="AJ4" s="207">
        <v>103.61676646706586</v>
      </c>
      <c r="AK4" s="207">
        <v>98</v>
      </c>
      <c r="AL4" s="207">
        <v>148.49319727891157</v>
      </c>
      <c r="AM4" s="207">
        <v>121.48594377510041</v>
      </c>
      <c r="AN4" s="207">
        <v>101</v>
      </c>
      <c r="AO4" s="207">
        <v>101.10179640718562</v>
      </c>
      <c r="AP4" s="207">
        <v>96.5</v>
      </c>
      <c r="AQ4" s="207">
        <v>147.04225352112675</v>
      </c>
      <c r="AR4" s="207">
        <v>122.48995983935744</v>
      </c>
      <c r="AS4" s="207">
        <v>100</v>
      </c>
      <c r="AT4" s="207">
        <v>99.592814371257504</v>
      </c>
      <c r="AU4" s="207">
        <v>99.5</v>
      </c>
      <c r="AV4" s="207">
        <v>144.98611111111114</v>
      </c>
      <c r="AW4" s="207">
        <v>108.87023370233703</v>
      </c>
      <c r="AX4" s="207">
        <v>77.472880061115347</v>
      </c>
      <c r="AY4" s="207">
        <v>84.063975628332059</v>
      </c>
      <c r="AZ4" s="207">
        <v>70.703403565640201</v>
      </c>
      <c r="BA4" s="207">
        <v>127.55485893416927</v>
      </c>
      <c r="BB4" s="207">
        <v>103.93700787401573</v>
      </c>
      <c r="BC4" s="207">
        <v>69.667132867132864</v>
      </c>
      <c r="BD4" s="207">
        <v>72.874043145441888</v>
      </c>
      <c r="BE4" s="207">
        <v>65.098228663446051</v>
      </c>
      <c r="BF4" s="207">
        <v>122.0863453815261</v>
      </c>
      <c r="BG4" s="207">
        <v>103.17266949152543</v>
      </c>
      <c r="BH4" s="207">
        <v>72.640873015873012</v>
      </c>
      <c r="BI4" s="207">
        <v>77.865731462925851</v>
      </c>
      <c r="BJ4" s="207">
        <v>68.922239502332815</v>
      </c>
      <c r="BK4" s="207">
        <v>120.39879154078551</v>
      </c>
      <c r="BL4" s="207">
        <v>99.119872136387855</v>
      </c>
      <c r="BM4" s="207">
        <v>74.926282051282058</v>
      </c>
      <c r="BN4" s="207">
        <v>79.065104166666657</v>
      </c>
      <c r="BO4" s="207">
        <v>68.42435996896819</v>
      </c>
      <c r="BP4" s="207">
        <v>119.93927125506073</v>
      </c>
      <c r="BQ4" s="208">
        <v>97.465263157894739</v>
      </c>
      <c r="BR4" s="208">
        <v>77.143589743589743</v>
      </c>
      <c r="BS4" s="208">
        <v>78.93077407174323</v>
      </c>
      <c r="BT4" s="208">
        <v>69.760497667185078</v>
      </c>
      <c r="BU4" s="208">
        <v>123.80469123982768</v>
      </c>
      <c r="BV4" s="208">
        <v>108.06030150753769</v>
      </c>
      <c r="BW4" s="208">
        <v>77.305912596401029</v>
      </c>
      <c r="BX4" s="208">
        <v>79.046717171717177</v>
      </c>
      <c r="BY4" s="208">
        <v>73.006818181818176</v>
      </c>
      <c r="BZ4" s="208">
        <v>125.20152091254754</v>
      </c>
      <c r="CA4" s="208">
        <v>108.56643356643357</v>
      </c>
      <c r="CB4" s="208">
        <v>79.828571428571436</v>
      </c>
      <c r="CC4" s="208">
        <v>82.658735128365691</v>
      </c>
      <c r="CD4" s="208">
        <v>77.125377643504535</v>
      </c>
      <c r="CE4" s="208">
        <v>124.3891577928364</v>
      </c>
      <c r="CF4" s="208">
        <v>117.41797866937533</v>
      </c>
      <c r="CG4" s="208">
        <v>82.863164721141374</v>
      </c>
      <c r="CH4" s="208">
        <v>82.79413639260676</v>
      </c>
      <c r="CI4" s="208">
        <v>71.962204724409446</v>
      </c>
      <c r="CJ4" s="208">
        <v>115.2469387755102</v>
      </c>
      <c r="CK4" s="208">
        <v>106.85602678571428</v>
      </c>
      <c r="CL4" s="208">
        <v>83.081967213114751</v>
      </c>
      <c r="CM4" s="208">
        <v>80.971923536439661</v>
      </c>
      <c r="CN4" s="209">
        <v>94.791346709927979</v>
      </c>
      <c r="CO4" s="210">
        <v>149.24054877578905</v>
      </c>
      <c r="CP4" s="210">
        <v>121.15602973080824</v>
      </c>
      <c r="CQ4" s="210">
        <v>112.57876694309353</v>
      </c>
      <c r="CR4" s="210">
        <v>109.53979590332686</v>
      </c>
      <c r="CS4" s="210">
        <v>97.546156840734781</v>
      </c>
      <c r="CT4" s="210">
        <v>136.11670605362983</v>
      </c>
      <c r="CU4" s="210">
        <v>112.95605710041767</v>
      </c>
      <c r="CV4" s="210">
        <v>106.23761335823082</v>
      </c>
      <c r="CW4" s="210">
        <v>98.218411795384625</v>
      </c>
      <c r="CX4" s="210">
        <v>85.668111672432303</v>
      </c>
      <c r="CY4" s="210">
        <v>143.29641614395669</v>
      </c>
      <c r="CZ4" s="210">
        <v>105.65830836349372</v>
      </c>
      <c r="DA4" s="210">
        <v>98.834433844198756</v>
      </c>
      <c r="DB4" s="210">
        <v>81.205954023908006</v>
      </c>
      <c r="DC4" s="210">
        <v>129.03223074645169</v>
      </c>
      <c r="DD4" s="210">
        <v>110.15904392610173</v>
      </c>
      <c r="DE4" s="210">
        <v>99.457292915350294</v>
      </c>
      <c r="DF4" s="210">
        <v>95.335230256477615</v>
      </c>
      <c r="DG4" s="210">
        <v>82.509795185202648</v>
      </c>
      <c r="DH4" s="210">
        <v>160.7283513394228</v>
      </c>
      <c r="DI4" s="210">
        <v>117.79539726426671</v>
      </c>
      <c r="DJ4" s="210">
        <v>105.81823390071523</v>
      </c>
      <c r="DK4" s="210">
        <v>101.50299352074865</v>
      </c>
      <c r="DL4" s="210">
        <v>88.677558449473636</v>
      </c>
      <c r="DM4" s="210">
        <v>181.26775284605384</v>
      </c>
      <c r="DN4" s="210">
        <v>144.00877279708592</v>
      </c>
      <c r="DO4" s="210">
        <v>115.30631070150501</v>
      </c>
      <c r="DP4" s="210">
        <v>113.49209351209413</v>
      </c>
      <c r="DQ4" s="210">
        <v>98.485436463739831</v>
      </c>
      <c r="DR4" s="210">
        <v>145.56181346073294</v>
      </c>
      <c r="DS4" s="210">
        <v>122.63219694124577</v>
      </c>
      <c r="DT4" s="210">
        <v>115.30631070150501</v>
      </c>
      <c r="DU4" s="210">
        <v>113.49209351209413</v>
      </c>
      <c r="DV4" s="210">
        <v>98.485436463739831</v>
      </c>
      <c r="DW4" s="210">
        <v>130.42972025844037</v>
      </c>
      <c r="DX4" s="210">
        <v>110.86557160681389</v>
      </c>
      <c r="DY4" s="210">
        <v>93.807412314589541</v>
      </c>
      <c r="DZ4" s="210">
        <v>72.977392622792365</v>
      </c>
      <c r="EA4" s="210">
        <v>146.40390474364503</v>
      </c>
      <c r="EB4" s="210">
        <v>118.89958595528145</v>
      </c>
      <c r="EC4" s="211">
        <v>110.81511573883753</v>
      </c>
      <c r="ED4" s="211">
        <v>105.47029354822578</v>
      </c>
      <c r="EE4" s="211">
        <v>92.899200656333875</v>
      </c>
      <c r="EF4" s="211">
        <v>144.60896866450892</v>
      </c>
      <c r="EG4" s="211">
        <v>115.37050873326578</v>
      </c>
      <c r="EH4" s="211">
        <v>111.99829724373525</v>
      </c>
      <c r="EI4" s="211">
        <v>96.673299579384434</v>
      </c>
      <c r="EJ4" s="211">
        <v>143.62368307654356</v>
      </c>
      <c r="EK4" s="211">
        <v>130.38817133361979</v>
      </c>
      <c r="EL4" s="211">
        <v>114.98202597175086</v>
      </c>
      <c r="EM4" s="211">
        <v>109.96066620976475</v>
      </c>
      <c r="EN4" s="211">
        <v>100.91294868794409</v>
      </c>
      <c r="EO4" s="211">
        <v>145.19421246965237</v>
      </c>
      <c r="EP4" s="211">
        <v>128.45496734675334</v>
      </c>
      <c r="EQ4" s="211">
        <v>113.26582124640115</v>
      </c>
      <c r="ER4" s="211">
        <v>108.81946424259614</v>
      </c>
      <c r="ES4" s="211">
        <v>98.689023323576208</v>
      </c>
      <c r="ET4" s="211">
        <v>144.57882228416349</v>
      </c>
      <c r="EU4" s="211">
        <v>130.30956498084356</v>
      </c>
      <c r="EV4" s="211">
        <v>126.13999044960904</v>
      </c>
      <c r="EW4" s="211">
        <v>131.19007150647042</v>
      </c>
      <c r="EX4" s="212">
        <v>109.30624773209782</v>
      </c>
      <c r="EY4" s="212">
        <v>151.18375228692361</v>
      </c>
      <c r="EZ4" s="212">
        <v>119.42569865375891</v>
      </c>
      <c r="FA4" s="212">
        <v>105.05061058050396</v>
      </c>
      <c r="FB4" s="212">
        <v>102.15125800892241</v>
      </c>
      <c r="FC4" s="212">
        <v>98.212117108271229</v>
      </c>
      <c r="FD4" s="212">
        <v>135.3717349564636</v>
      </c>
      <c r="FE4" s="212">
        <v>108.83510533952925</v>
      </c>
      <c r="FF4" s="212">
        <v>94.302073984487336</v>
      </c>
      <c r="FG4" s="212">
        <v>85.284717355021428</v>
      </c>
      <c r="FH4" s="212">
        <v>144.9296326846939</v>
      </c>
      <c r="FI4" s="212">
        <v>115.43951775769868</v>
      </c>
      <c r="FJ4" s="212">
        <v>97.817259446001742</v>
      </c>
      <c r="FK4" s="212">
        <v>99.655905202400049</v>
      </c>
      <c r="FL4" s="212">
        <v>91.959717973791328</v>
      </c>
      <c r="FM4" s="212">
        <v>157.28316847848672</v>
      </c>
      <c r="FN4" s="212">
        <v>112.97812332507867</v>
      </c>
      <c r="FO4" s="212">
        <v>95.682216924584026</v>
      </c>
      <c r="FP4" s="212">
        <v>97.697187753571285</v>
      </c>
      <c r="FQ4" s="212">
        <v>93.042254827052119</v>
      </c>
      <c r="FR4" s="213">
        <v>139.32046412141938</v>
      </c>
      <c r="FS4" s="213">
        <v>113.89985058350807</v>
      </c>
      <c r="FT4" s="213">
        <v>94.740537279166261</v>
      </c>
      <c r="FU4" s="213">
        <v>94.345536842173317</v>
      </c>
      <c r="FV4" s="213">
        <v>86.728451041400888</v>
      </c>
      <c r="FW4" s="213">
        <v>138.44998783328433</v>
      </c>
      <c r="FX4" s="213">
        <v>114.26135595287394</v>
      </c>
      <c r="FY4" s="213">
        <v>92.304705834800032</v>
      </c>
      <c r="FZ4" s="213">
        <v>88.370560971158554</v>
      </c>
      <c r="GA4" s="213">
        <v>82.424707864571118</v>
      </c>
      <c r="GB4" s="213">
        <v>120.37120163100629</v>
      </c>
      <c r="GC4" s="213">
        <v>96.355726691815022</v>
      </c>
      <c r="GD4" s="213">
        <v>96.73764799284352</v>
      </c>
      <c r="GE4" s="213">
        <v>86.155559906155219</v>
      </c>
      <c r="GF4" s="213">
        <v>136.20434061027223</v>
      </c>
      <c r="GG4" s="213">
        <v>117.89755019304117</v>
      </c>
      <c r="GH4" s="213">
        <v>97.027954242667136</v>
      </c>
      <c r="GI4" s="213">
        <v>96.77399989983823</v>
      </c>
      <c r="GJ4" s="213">
        <v>90.728419852839025</v>
      </c>
      <c r="GK4" s="213">
        <v>150.26111111111109</v>
      </c>
      <c r="GL4" s="213">
        <v>119.49735305801744</v>
      </c>
      <c r="GM4" s="213">
        <v>103.04861111111111</v>
      </c>
      <c r="GN4" s="213">
        <v>99.8663056648695</v>
      </c>
      <c r="GO4" s="213">
        <v>93.397507440837998</v>
      </c>
      <c r="GP4" s="213">
        <v>139.46900224865135</v>
      </c>
      <c r="GQ4" s="213">
        <v>116.36924309927804</v>
      </c>
      <c r="GR4" s="213">
        <v>96.771759076293222</v>
      </c>
      <c r="GS4" s="213">
        <v>98.106182297640871</v>
      </c>
      <c r="GT4" s="213">
        <v>91.759861669608696</v>
      </c>
      <c r="GU4" s="213">
        <v>135.85093603557632</v>
      </c>
      <c r="GV4" s="213">
        <v>114.04688118767103</v>
      </c>
      <c r="GW4" s="213">
        <v>94.339764798980667</v>
      </c>
      <c r="GX4" s="213">
        <v>94.849504405741413</v>
      </c>
      <c r="GY4" s="213">
        <v>90.633041475767797</v>
      </c>
      <c r="GZ4" s="213">
        <v>134.53193209281909</v>
      </c>
      <c r="HA4" s="213">
        <v>111.54301788049544</v>
      </c>
      <c r="HB4" s="213">
        <v>91.676126492668388</v>
      </c>
      <c r="HC4" s="213">
        <v>92.574675396847184</v>
      </c>
      <c r="HD4" s="213">
        <v>91.744749535126289</v>
      </c>
      <c r="HE4" s="213">
        <v>138.7883357464633</v>
      </c>
      <c r="HF4" s="213">
        <v>130.71484988504355</v>
      </c>
      <c r="HG4" s="213">
        <v>121.2491889575435</v>
      </c>
      <c r="HH4" s="213">
        <v>112.82555339637248</v>
      </c>
      <c r="HI4" s="213">
        <v>76.914555411273099</v>
      </c>
      <c r="HJ4" s="214">
        <v>153.1125692</v>
      </c>
      <c r="HK4" s="214">
        <v>138.45968394999997</v>
      </c>
      <c r="HL4" s="214">
        <v>132.75105250000001</v>
      </c>
      <c r="HM4" s="214">
        <v>121.58991460000001</v>
      </c>
      <c r="HN4" s="214">
        <v>95.247890100000006</v>
      </c>
      <c r="HO4" s="214">
        <v>146.91752851999999</v>
      </c>
      <c r="HP4" s="214">
        <v>137.09507572499999</v>
      </c>
      <c r="HQ4" s="214">
        <v>131.08696370000001</v>
      </c>
      <c r="HR4" s="214">
        <v>119.13965470000002</v>
      </c>
      <c r="HS4" s="214">
        <v>91.938204600000006</v>
      </c>
      <c r="HT4" s="214">
        <v>139.07900542499999</v>
      </c>
      <c r="HU4" s="214">
        <v>126.55691510000001</v>
      </c>
      <c r="HV4" s="214">
        <v>129.57207560000001</v>
      </c>
      <c r="HW4" s="214">
        <v>118.16430010000001</v>
      </c>
      <c r="HX4" s="214">
        <v>89.864722200000003</v>
      </c>
      <c r="HY4" s="214">
        <v>128.8004014</v>
      </c>
      <c r="HZ4" s="214">
        <v>111.89085160000002</v>
      </c>
      <c r="IA4" s="214">
        <v>116.0692148</v>
      </c>
      <c r="IB4" s="214">
        <v>104.47476160000001</v>
      </c>
      <c r="IC4" s="214">
        <v>67.321601600000008</v>
      </c>
      <c r="ID4" s="214">
        <v>106.73465220000001</v>
      </c>
      <c r="IE4" s="214">
        <v>99.177452000000017</v>
      </c>
      <c r="IF4" s="214">
        <v>82.889242700000011</v>
      </c>
      <c r="IG4" s="214">
        <v>64.797994800000012</v>
      </c>
      <c r="IH4" s="214">
        <v>128.43915370000002</v>
      </c>
      <c r="II4" s="214">
        <v>109.34031130000001</v>
      </c>
      <c r="IJ4" s="214">
        <v>110.01696200000002</v>
      </c>
      <c r="IK4" s="214">
        <v>97.308354000000008</v>
      </c>
      <c r="IL4" s="214">
        <v>129.3524749</v>
      </c>
      <c r="IM4" s="214">
        <v>116.30130380000001</v>
      </c>
      <c r="IN4" s="214">
        <v>111.8172308</v>
      </c>
      <c r="IO4" s="214">
        <v>101.29698920000001</v>
      </c>
      <c r="IP4" s="214">
        <v>82.435169300000013</v>
      </c>
      <c r="IQ4" s="214">
        <v>127.60693440000001</v>
      </c>
      <c r="IR4" s="214">
        <v>116.63604810000001</v>
      </c>
      <c r="IS4" s="214">
        <v>111.5923336</v>
      </c>
      <c r="IT4" s="214">
        <v>100.79123340000001</v>
      </c>
      <c r="IU4" s="214">
        <v>82.733619099999999</v>
      </c>
      <c r="IV4" s="214">
        <v>127.18731520000001</v>
      </c>
      <c r="IW4" s="214">
        <v>116.16780230000002</v>
      </c>
      <c r="IX4" s="214">
        <v>114.84577610000002</v>
      </c>
      <c r="IY4" s="214">
        <v>98.428534600000006</v>
      </c>
      <c r="IZ4" s="214">
        <v>83.919881100000012</v>
      </c>
      <c r="JA4" s="214">
        <v>133.12256540000001</v>
      </c>
      <c r="JB4" s="214">
        <v>113.103331</v>
      </c>
      <c r="JC4" s="214">
        <v>107.34126700000002</v>
      </c>
      <c r="JD4" s="214">
        <v>95.931844800000007</v>
      </c>
      <c r="JE4" s="214">
        <v>82.178196100000008</v>
      </c>
      <c r="JF4" s="214">
        <v>126.42337070000001</v>
      </c>
      <c r="JG4" s="214">
        <v>107.97998200000001</v>
      </c>
      <c r="JH4" s="214">
        <v>105.17069420000001</v>
      </c>
      <c r="JI4" s="214">
        <v>94.214769000000004</v>
      </c>
      <c r="JJ4" s="214">
        <v>83.0958799</v>
      </c>
      <c r="JK4" s="214">
        <v>106.99061890000002</v>
      </c>
      <c r="JL4" s="214">
        <v>90.131697700000004</v>
      </c>
      <c r="JM4" s="214">
        <v>86.652911400000008</v>
      </c>
      <c r="JN4" s="214">
        <v>71.385750700000003</v>
      </c>
      <c r="JO4" s="214">
        <v>60.055854100000005</v>
      </c>
      <c r="JP4" s="214">
        <v>87.094885900000008</v>
      </c>
      <c r="JQ4" s="214">
        <v>80.754064600000007</v>
      </c>
      <c r="JR4" s="214">
        <v>67.393461299999998</v>
      </c>
      <c r="JS4" s="214">
        <v>59.403697100000002</v>
      </c>
      <c r="JT4" s="214">
        <v>115.747596</v>
      </c>
      <c r="JU4" s="214">
        <v>96.750426000000004</v>
      </c>
      <c r="JV4" s="214">
        <v>91.931173999999999</v>
      </c>
      <c r="JW4" s="214">
        <v>80.449561000000003</v>
      </c>
      <c r="JX4" s="214">
        <v>125.283439</v>
      </c>
      <c r="JY4" s="214">
        <v>113.057497</v>
      </c>
      <c r="JZ4" s="214">
        <v>95.760479000000004</v>
      </c>
      <c r="KA4" s="214">
        <v>91.760655</v>
      </c>
      <c r="KB4" s="214">
        <v>80.084509999999995</v>
      </c>
      <c r="KC4" s="214">
        <v>119.488517</v>
      </c>
      <c r="KD4" s="214">
        <v>109.43035500000001</v>
      </c>
      <c r="KE4" s="214">
        <v>92.400570000000002</v>
      </c>
      <c r="KF4" s="214">
        <v>86.982026000000005</v>
      </c>
      <c r="KG4" s="214">
        <v>80.012229000000005</v>
      </c>
      <c r="KH4" s="214">
        <v>116.921389</v>
      </c>
      <c r="KI4" s="214">
        <v>105.61413</v>
      </c>
      <c r="KJ4" s="214">
        <v>89.324755999999994</v>
      </c>
      <c r="KK4" s="214">
        <v>82.922302999999999</v>
      </c>
      <c r="KL4" s="214">
        <v>78.881432000000004</v>
      </c>
      <c r="KM4" s="214">
        <v>114.250484</v>
      </c>
      <c r="KN4" s="214">
        <v>104.46810600000001</v>
      </c>
    </row>
    <row r="5" spans="1:300" x14ac:dyDescent="0.35">
      <c r="A5" s="537"/>
      <c r="B5" s="201" t="s">
        <v>181</v>
      </c>
      <c r="C5" s="202">
        <v>0</v>
      </c>
      <c r="D5" s="202">
        <v>75.869565217391298</v>
      </c>
      <c r="E5" s="202">
        <v>91.608695652173907</v>
      </c>
      <c r="F5" s="202">
        <v>103</v>
      </c>
      <c r="G5" s="202">
        <v>95.782608695652172</v>
      </c>
      <c r="H5" s="202">
        <v>84.478260869565219</v>
      </c>
      <c r="I5" s="202">
        <v>77.086956521739125</v>
      </c>
      <c r="J5" s="202">
        <v>75.521739130434781</v>
      </c>
      <c r="K5" s="202">
        <v>57.782608695652172</v>
      </c>
      <c r="L5" s="202">
        <v>29.739130434782609</v>
      </c>
      <c r="M5" s="202">
        <v>22.521739130434781</v>
      </c>
      <c r="N5" s="202">
        <v>45.739130434782609</v>
      </c>
      <c r="O5" s="202">
        <v>74.130434782608702</v>
      </c>
      <c r="P5" s="202">
        <v>80.260869565217391</v>
      </c>
      <c r="Q5" s="202">
        <v>68.826086956521735</v>
      </c>
      <c r="R5" s="202">
        <v>65.478260869565219</v>
      </c>
      <c r="S5" s="202">
        <v>59.260869565217391</v>
      </c>
      <c r="T5" s="202">
        <v>53.130434782608695</v>
      </c>
      <c r="U5" s="202">
        <v>39.130434782608695</v>
      </c>
      <c r="V5" s="202">
        <v>9.1</v>
      </c>
      <c r="W5" s="203">
        <f>SUM(C5:U5)</f>
        <v>1199.3478260869567</v>
      </c>
      <c r="AA5" s="196">
        <v>0.375</v>
      </c>
      <c r="AB5" s="207">
        <v>227.5</v>
      </c>
      <c r="AC5" s="207">
        <v>163.5</v>
      </c>
      <c r="AD5" s="207">
        <v>130</v>
      </c>
      <c r="AE5" s="207">
        <v>125.26315789473684</v>
      </c>
      <c r="AF5" s="207">
        <v>114.30303030303031</v>
      </c>
      <c r="AG5" s="207">
        <v>176.5</v>
      </c>
      <c r="AH5" s="207">
        <v>143.5</v>
      </c>
      <c r="AI5" s="207">
        <v>119.5</v>
      </c>
      <c r="AJ5" s="207">
        <v>116.31578947368421</v>
      </c>
      <c r="AK5" s="207">
        <v>107.84242424242424</v>
      </c>
      <c r="AL5" s="207">
        <v>166.5</v>
      </c>
      <c r="AM5" s="207">
        <v>138.5</v>
      </c>
      <c r="AN5" s="207">
        <v>112.5</v>
      </c>
      <c r="AO5" s="207">
        <v>113</v>
      </c>
      <c r="AP5" s="207">
        <v>106.35151515151516</v>
      </c>
      <c r="AQ5" s="207">
        <v>162</v>
      </c>
      <c r="AR5" s="207">
        <v>138.5</v>
      </c>
      <c r="AS5" s="207">
        <v>110.84023668639053</v>
      </c>
      <c r="AT5" s="207">
        <v>110.84795321637428</v>
      </c>
      <c r="AU5" s="207">
        <v>110</v>
      </c>
      <c r="AV5" s="207">
        <v>159</v>
      </c>
      <c r="AW5" s="207">
        <v>109.68880688806888</v>
      </c>
      <c r="AX5" s="207">
        <v>78.429335370511836</v>
      </c>
      <c r="AY5" s="207">
        <v>85.064737242955061</v>
      </c>
      <c r="AZ5" s="207">
        <v>70.703403565640201</v>
      </c>
      <c r="BA5" s="207">
        <v>129.19017763845349</v>
      </c>
      <c r="BB5" s="207">
        <v>104.67941507311585</v>
      </c>
      <c r="BC5" s="207">
        <v>71.325874125874122</v>
      </c>
      <c r="BD5" s="207">
        <v>73.731384829505913</v>
      </c>
      <c r="BE5" s="207">
        <v>65.098228663446051</v>
      </c>
      <c r="BF5" s="207">
        <v>122.83534136546184</v>
      </c>
      <c r="BG5" s="207">
        <v>103.17266949152543</v>
      </c>
      <c r="BH5" s="207">
        <v>72.640873015873012</v>
      </c>
      <c r="BI5" s="207">
        <v>77.865731462925851</v>
      </c>
      <c r="BJ5" s="207">
        <v>68.164852255054427</v>
      </c>
      <c r="BK5" s="207">
        <v>121.14199395770393</v>
      </c>
      <c r="BL5" s="207">
        <v>101.18486947256261</v>
      </c>
      <c r="BM5" s="207">
        <v>76.471153846153854</v>
      </c>
      <c r="BN5" s="207">
        <v>79.065104166666657</v>
      </c>
      <c r="BO5" s="207">
        <v>68.42435996896819</v>
      </c>
      <c r="BP5" s="207">
        <v>122.2165991902834</v>
      </c>
      <c r="BQ5" s="208">
        <v>100.17263157894737</v>
      </c>
      <c r="BR5" s="208">
        <v>78.717948717948715</v>
      </c>
      <c r="BS5" s="208">
        <v>79.744493392070481</v>
      </c>
      <c r="BT5" s="208">
        <v>69.760497667185078</v>
      </c>
      <c r="BU5" s="208">
        <v>126.78793681187172</v>
      </c>
      <c r="BV5" s="208">
        <v>109.4110552763819</v>
      </c>
      <c r="BW5" s="208">
        <v>78.111182519280206</v>
      </c>
      <c r="BX5" s="208">
        <v>79.046717171717177</v>
      </c>
      <c r="BY5" s="208">
        <v>72.204545454545453</v>
      </c>
      <c r="BZ5" s="208">
        <v>128.18250950570342</v>
      </c>
      <c r="CA5" s="208">
        <v>109.91508491508492</v>
      </c>
      <c r="CB5" s="208">
        <v>80.634920634920633</v>
      </c>
      <c r="CC5" s="208">
        <v>82.658735128365691</v>
      </c>
      <c r="CD5" s="208">
        <v>77.125377643504535</v>
      </c>
      <c r="CE5" s="208">
        <v>127.42303969022267</v>
      </c>
      <c r="CF5" s="208">
        <v>118.8765871000508</v>
      </c>
      <c r="CG5" s="208">
        <v>83.735408560311285</v>
      </c>
      <c r="CH5" s="208">
        <v>81.89420012746973</v>
      </c>
      <c r="CI5" s="208">
        <v>71.962204724409446</v>
      </c>
      <c r="CJ5" s="208">
        <v>118.3408163265306</v>
      </c>
      <c r="CK5" s="208">
        <v>108.45089285714286</v>
      </c>
      <c r="CL5" s="208">
        <v>83.081967213114751</v>
      </c>
      <c r="CM5" s="208">
        <v>80.062126642771801</v>
      </c>
      <c r="CN5" s="209">
        <v>104.7737755067246</v>
      </c>
      <c r="CO5" s="210">
        <v>162.23807420964351</v>
      </c>
      <c r="CP5" s="210">
        <v>130.71180473499385</v>
      </c>
      <c r="CQ5" s="210">
        <v>120.39045553290657</v>
      </c>
      <c r="CR5" s="210">
        <v>121.07266444181266</v>
      </c>
      <c r="CS5" s="210">
        <v>108.63312140851306</v>
      </c>
      <c r="CT5" s="210">
        <v>149.82898079600781</v>
      </c>
      <c r="CU5" s="210">
        <v>121.51894680136584</v>
      </c>
      <c r="CV5" s="210">
        <v>113.42871601166839</v>
      </c>
      <c r="CW5" s="210">
        <v>107.59284670443715</v>
      </c>
      <c r="CX5" s="210">
        <v>95.589396558455704</v>
      </c>
      <c r="CY5" s="210">
        <v>143.68800454263621</v>
      </c>
      <c r="CZ5" s="210">
        <v>106.76469105116274</v>
      </c>
      <c r="DA5" s="210">
        <v>101.57952626383349</v>
      </c>
      <c r="DB5" s="210">
        <v>83.277337109042449</v>
      </c>
      <c r="DC5" s="210">
        <v>129.69248684499576</v>
      </c>
      <c r="DD5" s="210">
        <v>106.0758653729949</v>
      </c>
      <c r="DE5" s="210">
        <v>97.091601606678282</v>
      </c>
      <c r="DF5" s="210">
        <v>99.271262889331283</v>
      </c>
      <c r="DG5" s="210">
        <v>82.569414134083772</v>
      </c>
      <c r="DH5" s="210">
        <v>163.90978644564723</v>
      </c>
      <c r="DI5" s="210">
        <v>114.17857075258492</v>
      </c>
      <c r="DJ5" s="210">
        <v>103.9673933800224</v>
      </c>
      <c r="DK5" s="210">
        <v>104.68743596935927</v>
      </c>
      <c r="DL5" s="210">
        <v>87.985587214111746</v>
      </c>
      <c r="DM5" s="210">
        <v>179.87161067466241</v>
      </c>
      <c r="DN5" s="210">
        <v>142.03251350239557</v>
      </c>
      <c r="DO5" s="210">
        <v>115.09603739780344</v>
      </c>
      <c r="DP5" s="210">
        <v>114.6568413700533</v>
      </c>
      <c r="DQ5" s="210">
        <v>98.877226089764434</v>
      </c>
      <c r="DR5" s="210">
        <v>143.1053728803962</v>
      </c>
      <c r="DS5" s="210">
        <v>120.6559376465552</v>
      </c>
      <c r="DT5" s="210">
        <v>115.09603739780344</v>
      </c>
      <c r="DU5" s="210">
        <v>114.6568413700533</v>
      </c>
      <c r="DV5" s="210">
        <v>98.877226089764434</v>
      </c>
      <c r="DW5" s="210">
        <v>132.54765722564895</v>
      </c>
      <c r="DX5" s="210">
        <v>111.95634415140221</v>
      </c>
      <c r="DY5" s="210">
        <v>96.313699637369567</v>
      </c>
      <c r="DZ5" s="210">
        <v>71.755890958271607</v>
      </c>
      <c r="EA5" s="210">
        <v>144.46027455614362</v>
      </c>
      <c r="EB5" s="210">
        <v>115.87223295255785</v>
      </c>
      <c r="EC5" s="211">
        <v>112.97358322836135</v>
      </c>
      <c r="ED5" s="211">
        <v>108.04871221224212</v>
      </c>
      <c r="EE5" s="211">
        <v>96.091342307264824</v>
      </c>
      <c r="EF5" s="211">
        <v>151.1522278723084</v>
      </c>
      <c r="EG5" s="211">
        <v>120.29726105903251</v>
      </c>
      <c r="EH5" s="211">
        <v>116.31523097401785</v>
      </c>
      <c r="EI5" s="211">
        <v>99.665652286518664</v>
      </c>
      <c r="EJ5" s="211">
        <v>153.25025596863077</v>
      </c>
      <c r="EK5" s="211">
        <v>135.1704840004065</v>
      </c>
      <c r="EL5" s="211">
        <v>120.1178817435602</v>
      </c>
      <c r="EM5" s="211">
        <v>115.46491530717566</v>
      </c>
      <c r="EN5" s="211">
        <v>103.91500267928589</v>
      </c>
      <c r="EO5" s="211">
        <v>153.62893788489123</v>
      </c>
      <c r="EP5" s="211">
        <v>130.26912357009118</v>
      </c>
      <c r="EQ5" s="211">
        <v>115.47437628546992</v>
      </c>
      <c r="ER5" s="211">
        <v>111.31621372958216</v>
      </c>
      <c r="ES5" s="211">
        <v>101.04332468198278</v>
      </c>
      <c r="ET5" s="211">
        <v>153.11157822590997</v>
      </c>
      <c r="EU5" s="211">
        <v>130.24943761145866</v>
      </c>
      <c r="EV5" s="211">
        <v>125.80644703959945</v>
      </c>
      <c r="EW5" s="211">
        <v>133.71440379247713</v>
      </c>
      <c r="EX5" s="212">
        <v>116.71077405501006</v>
      </c>
      <c r="EY5" s="212">
        <v>164.86800900541076</v>
      </c>
      <c r="EZ5" s="212">
        <v>125.98804156276275</v>
      </c>
      <c r="FA5" s="212">
        <v>111.81677727305249</v>
      </c>
      <c r="FB5" s="212">
        <v>112.29252702623064</v>
      </c>
      <c r="FC5" s="212">
        <v>103.04490639378204</v>
      </c>
      <c r="FD5" s="212">
        <v>143.05899511760384</v>
      </c>
      <c r="FE5" s="212">
        <v>117.29005870170053</v>
      </c>
      <c r="FF5" s="212">
        <v>103.19922658377449</v>
      </c>
      <c r="FG5" s="212">
        <v>89.444375634538744</v>
      </c>
      <c r="FH5" s="212">
        <v>153.6940153933549</v>
      </c>
      <c r="FI5" s="212">
        <v>125.40753800123066</v>
      </c>
      <c r="FJ5" s="212">
        <v>108.25367548493563</v>
      </c>
      <c r="FK5" s="212">
        <v>111.15050560806286</v>
      </c>
      <c r="FL5" s="212">
        <v>96.451014337321638</v>
      </c>
      <c r="FM5" s="212">
        <v>166.45294034408312</v>
      </c>
      <c r="FN5" s="212">
        <v>123.34378562647441</v>
      </c>
      <c r="FO5" s="212">
        <v>106.13093459559352</v>
      </c>
      <c r="FP5" s="212">
        <v>109.56799285169537</v>
      </c>
      <c r="FQ5" s="212">
        <v>97.695539842390588</v>
      </c>
      <c r="FR5" s="213">
        <v>158.18677697119492</v>
      </c>
      <c r="FS5" s="213">
        <v>128.50239553011164</v>
      </c>
      <c r="FT5" s="213">
        <v>107.85845782551236</v>
      </c>
      <c r="FU5" s="213">
        <v>104.82837426908146</v>
      </c>
      <c r="FV5" s="213">
        <v>90.858377281467611</v>
      </c>
      <c r="FW5" s="213">
        <v>153.49889955429353</v>
      </c>
      <c r="FX5" s="213">
        <v>126.13266566226343</v>
      </c>
      <c r="FY5" s="213">
        <v>103.44492895279315</v>
      </c>
      <c r="FZ5" s="213">
        <v>97.838835360925543</v>
      </c>
      <c r="GA5" s="213">
        <v>85.127157302753773</v>
      </c>
      <c r="GB5" s="213">
        <v>132.11473349744591</v>
      </c>
      <c r="GC5" s="213">
        <v>107.69169453791091</v>
      </c>
      <c r="GD5" s="213">
        <v>106.84456643985703</v>
      </c>
      <c r="GE5" s="213">
        <v>88.727367664547913</v>
      </c>
      <c r="GF5" s="213">
        <v>151.97536952304057</v>
      </c>
      <c r="GG5" s="213">
        <v>129.39975021187445</v>
      </c>
      <c r="GH5" s="213">
        <v>108.27757212587493</v>
      </c>
      <c r="GI5" s="213">
        <v>106.73602930129216</v>
      </c>
      <c r="GJ5" s="213">
        <v>94.673133759484202</v>
      </c>
      <c r="GK5" s="213">
        <v>170.19370748299315</v>
      </c>
      <c r="GL5" s="213">
        <v>133.89462451079063</v>
      </c>
      <c r="GM5" s="213">
        <v>117.76984126984128</v>
      </c>
      <c r="GN5" s="213">
        <v>113.65732395046747</v>
      </c>
      <c r="GO5" s="213">
        <v>98.712652438539664</v>
      </c>
      <c r="GP5" s="213">
        <v>159.1040312622963</v>
      </c>
      <c r="GQ5" s="213">
        <v>130.5591326693764</v>
      </c>
      <c r="GR5" s="213">
        <v>111.82887171958022</v>
      </c>
      <c r="GS5" s="213">
        <v>109.36747191350815</v>
      </c>
      <c r="GT5" s="213">
        <v>95.770928723731188</v>
      </c>
      <c r="GU5" s="213">
        <v>150.99392502896978</v>
      </c>
      <c r="GV5" s="213">
        <v>127.43849445997195</v>
      </c>
      <c r="GW5" s="213">
        <v>107.47860460126959</v>
      </c>
      <c r="GX5" s="213">
        <v>106.99349228058522</v>
      </c>
      <c r="GY5" s="213">
        <v>94.60851025903402</v>
      </c>
      <c r="GZ5" s="213">
        <v>149.54155208639358</v>
      </c>
      <c r="HA5" s="213">
        <v>125.00592206522715</v>
      </c>
      <c r="HB5" s="213">
        <v>104.86642098834524</v>
      </c>
      <c r="HC5" s="213">
        <v>103.44208302936723</v>
      </c>
      <c r="HD5" s="213">
        <v>94.437564195269402</v>
      </c>
      <c r="HE5" s="213">
        <v>154.82563561432346</v>
      </c>
      <c r="HF5" s="213">
        <v>144.63372687743734</v>
      </c>
      <c r="HG5" s="213">
        <v>137.09491567192896</v>
      </c>
      <c r="HH5" s="213">
        <v>132.12466121417305</v>
      </c>
      <c r="HI5" s="213">
        <v>80.856937315943583</v>
      </c>
      <c r="HJ5" s="214">
        <v>171.98110450000001</v>
      </c>
      <c r="HK5" s="214">
        <v>151.19680532499999</v>
      </c>
      <c r="HL5" s="214">
        <v>137.64983100000001</v>
      </c>
      <c r="HM5" s="214">
        <v>122.2982475</v>
      </c>
      <c r="HN5" s="214">
        <v>111.97011210000001</v>
      </c>
      <c r="HO5" s="214">
        <v>165.78606382000001</v>
      </c>
      <c r="HP5" s="214">
        <v>149.83219709999997</v>
      </c>
      <c r="HQ5" s="214">
        <v>135.9857433</v>
      </c>
      <c r="HR5" s="214">
        <v>119.84798760000001</v>
      </c>
      <c r="HS5" s="214">
        <v>108.66042660000001</v>
      </c>
      <c r="HT5" s="214">
        <v>158.21454829999999</v>
      </c>
      <c r="HU5" s="214">
        <v>139.5902475</v>
      </c>
      <c r="HV5" s="214">
        <v>134.47085520000002</v>
      </c>
      <c r="HW5" s="214">
        <v>118.87263300000001</v>
      </c>
      <c r="HX5" s="214">
        <v>106.58694530000001</v>
      </c>
      <c r="HY5" s="214">
        <v>148.38095690000003</v>
      </c>
      <c r="HZ5" s="214">
        <v>124.92418510000002</v>
      </c>
      <c r="IA5" s="214">
        <v>120.96799440000001</v>
      </c>
      <c r="IB5" s="214">
        <v>105.18309560000002</v>
      </c>
      <c r="IC5" s="214">
        <v>84.04382360000001</v>
      </c>
      <c r="ID5" s="214">
        <v>126.31520770000002</v>
      </c>
      <c r="IE5" s="214">
        <v>104.07623050000001</v>
      </c>
      <c r="IF5" s="214">
        <v>83.597575599999999</v>
      </c>
      <c r="IG5" s="214">
        <v>81.520216800000014</v>
      </c>
      <c r="IH5" s="214">
        <v>148.01971030000001</v>
      </c>
      <c r="II5" s="214">
        <v>122.37364480000001</v>
      </c>
      <c r="IJ5" s="214">
        <v>114.91574160000002</v>
      </c>
      <c r="IK5" s="214">
        <v>98.016686899999996</v>
      </c>
      <c r="IL5" s="214">
        <v>148.93303040000001</v>
      </c>
      <c r="IM5" s="214">
        <v>129.3346373</v>
      </c>
      <c r="IN5" s="214">
        <v>116.7160104</v>
      </c>
      <c r="IO5" s="214">
        <v>102.00532320000001</v>
      </c>
      <c r="IP5" s="214">
        <v>99.157392400000006</v>
      </c>
      <c r="IQ5" s="214">
        <v>147.1874899</v>
      </c>
      <c r="IR5" s="214">
        <v>129.66938160000001</v>
      </c>
      <c r="IS5" s="214">
        <v>116.49111210000001</v>
      </c>
      <c r="IT5" s="214">
        <v>101.4995674</v>
      </c>
      <c r="IU5" s="214">
        <v>99.455841100000001</v>
      </c>
      <c r="IV5" s="214">
        <v>146.76787070000003</v>
      </c>
      <c r="IW5" s="214">
        <v>129.2011358</v>
      </c>
      <c r="IX5" s="214">
        <v>119.74455460000001</v>
      </c>
      <c r="IY5" s="214">
        <v>99.136868600000014</v>
      </c>
      <c r="IZ5" s="214">
        <v>100.64210310000001</v>
      </c>
      <c r="JA5" s="214">
        <v>152.70312090000002</v>
      </c>
      <c r="JB5" s="214">
        <v>126.13666340000002</v>
      </c>
      <c r="JC5" s="214">
        <v>112.24004550000001</v>
      </c>
      <c r="JD5" s="214">
        <v>96.64017770000001</v>
      </c>
      <c r="JE5" s="214">
        <v>98.90041810000001</v>
      </c>
      <c r="JF5" s="214">
        <v>146.0039262</v>
      </c>
      <c r="JG5" s="214">
        <v>121.01331550000002</v>
      </c>
      <c r="JH5" s="214">
        <v>110.06947270000002</v>
      </c>
      <c r="JI5" s="214">
        <v>94.923102999999998</v>
      </c>
      <c r="JJ5" s="214">
        <v>99.818101900000016</v>
      </c>
      <c r="JK5" s="214">
        <v>126.57117440000002</v>
      </c>
      <c r="JL5" s="214">
        <v>103.1650301</v>
      </c>
      <c r="JM5" s="214">
        <v>91.5516899</v>
      </c>
      <c r="JN5" s="214">
        <v>72.094084699999996</v>
      </c>
      <c r="JO5" s="214">
        <v>76.778077200000013</v>
      </c>
      <c r="JP5" s="214">
        <v>100.12821940000001</v>
      </c>
      <c r="JQ5" s="214">
        <v>85.652843099999998</v>
      </c>
      <c r="JR5" s="214">
        <v>68.101794200000001</v>
      </c>
      <c r="JS5" s="214">
        <v>76.125919100000004</v>
      </c>
      <c r="JT5" s="214">
        <v>130.16426300000001</v>
      </c>
      <c r="JU5" s="214">
        <v>103.47264800000001</v>
      </c>
      <c r="JV5" s="214">
        <v>103.64077</v>
      </c>
      <c r="JW5" s="214">
        <v>96.641480000000001</v>
      </c>
      <c r="JX5" s="214">
        <v>141.498085</v>
      </c>
      <c r="JY5" s="214">
        <v>127.474164</v>
      </c>
      <c r="JZ5" s="214">
        <v>102.48270100000001</v>
      </c>
      <c r="KA5" s="214">
        <v>103.470251</v>
      </c>
      <c r="KB5" s="214">
        <v>96.276430000000005</v>
      </c>
      <c r="KC5" s="214">
        <v>135.70316299999999</v>
      </c>
      <c r="KD5" s="214">
        <v>123.847021</v>
      </c>
      <c r="KE5" s="214">
        <v>99.122793000000001</v>
      </c>
      <c r="KF5" s="214">
        <v>98.691621999999995</v>
      </c>
      <c r="KG5" s="214">
        <v>96.204148000000004</v>
      </c>
      <c r="KH5" s="214">
        <v>133.13603599999999</v>
      </c>
      <c r="KI5" s="214">
        <v>120.03079700000001</v>
      </c>
      <c r="KJ5" s="214">
        <v>96.046977999999996</v>
      </c>
      <c r="KK5" s="214">
        <v>94.631899000000004</v>
      </c>
      <c r="KL5" s="214">
        <v>95.073352</v>
      </c>
      <c r="KM5" s="214">
        <v>130.46513100000001</v>
      </c>
      <c r="KN5" s="214">
        <v>118.884772</v>
      </c>
    </row>
    <row r="6" spans="1:300" x14ac:dyDescent="0.35">
      <c r="A6" s="537"/>
      <c r="B6" s="201" t="s">
        <v>182</v>
      </c>
      <c r="C6" s="202">
        <v>0</v>
      </c>
      <c r="D6" s="202">
        <v>67.75</v>
      </c>
      <c r="E6" s="202">
        <v>80.166666666666671</v>
      </c>
      <c r="F6" s="202">
        <v>86.416666666666671</v>
      </c>
      <c r="G6" s="202">
        <v>79.166666666666671</v>
      </c>
      <c r="H6" s="202">
        <v>70.625</v>
      </c>
      <c r="I6" s="202">
        <v>64.083333333333329</v>
      </c>
      <c r="J6" s="202">
        <v>63.916666666666664</v>
      </c>
      <c r="K6" s="202">
        <v>48.333333333333336</v>
      </c>
      <c r="L6" s="202">
        <v>23.125</v>
      </c>
      <c r="M6" s="202">
        <v>18.125</v>
      </c>
      <c r="N6" s="202">
        <v>28.833333333333332</v>
      </c>
      <c r="O6" s="202">
        <v>47.666666666666664</v>
      </c>
      <c r="P6" s="202">
        <v>52.208333333333336</v>
      </c>
      <c r="Q6" s="202">
        <v>49.166666666666664</v>
      </c>
      <c r="R6" s="202">
        <v>49.541666666666664</v>
      </c>
      <c r="S6" s="202">
        <v>42.125</v>
      </c>
      <c r="T6" s="202">
        <v>35.916666666666664</v>
      </c>
      <c r="U6" s="202">
        <v>25.875</v>
      </c>
      <c r="V6" s="202">
        <v>5.6190476190476186</v>
      </c>
      <c r="W6" s="203">
        <f>SUM(C6:U6)</f>
        <v>933.04166666666663</v>
      </c>
      <c r="AA6" s="196">
        <v>0.39583333333333298</v>
      </c>
      <c r="AB6" s="207">
        <v>227.5</v>
      </c>
      <c r="AC6" s="207">
        <v>163.5</v>
      </c>
      <c r="AD6" s="207">
        <v>130</v>
      </c>
      <c r="AE6" s="207">
        <v>126.73684210526315</v>
      </c>
      <c r="AF6" s="207">
        <v>115.6969696969697</v>
      </c>
      <c r="AG6" s="207">
        <v>176.5</v>
      </c>
      <c r="AH6" s="207">
        <v>143.5</v>
      </c>
      <c r="AI6" s="207">
        <v>119.5</v>
      </c>
      <c r="AJ6" s="207">
        <v>117.68421052631578</v>
      </c>
      <c r="AK6" s="207">
        <v>109.15757575757576</v>
      </c>
      <c r="AL6" s="207">
        <v>166.5</v>
      </c>
      <c r="AM6" s="207">
        <v>138.5</v>
      </c>
      <c r="AN6" s="207">
        <v>112.5</v>
      </c>
      <c r="AO6" s="207">
        <v>113</v>
      </c>
      <c r="AP6" s="207">
        <v>107.64848484848486</v>
      </c>
      <c r="AQ6" s="207">
        <v>162</v>
      </c>
      <c r="AR6" s="207">
        <v>138.5</v>
      </c>
      <c r="AS6" s="207">
        <v>112.15976331360945</v>
      </c>
      <c r="AT6" s="207">
        <v>112.15204678362572</v>
      </c>
      <c r="AU6" s="207">
        <v>110</v>
      </c>
      <c r="AV6" s="207">
        <v>159</v>
      </c>
      <c r="AW6" s="207">
        <v>109.68880688806888</v>
      </c>
      <c r="AX6" s="207">
        <v>78.429335370511836</v>
      </c>
      <c r="AY6" s="207">
        <v>85.064737242955061</v>
      </c>
      <c r="AZ6" s="207">
        <v>70.703403565640201</v>
      </c>
      <c r="BA6" s="207">
        <v>129.19017763845349</v>
      </c>
      <c r="BB6" s="207">
        <v>104.67941507311585</v>
      </c>
      <c r="BC6" s="207">
        <v>71.325874125874122</v>
      </c>
      <c r="BD6" s="207">
        <v>73.731384829505913</v>
      </c>
      <c r="BE6" s="207">
        <v>65.098228663446051</v>
      </c>
      <c r="BF6" s="207">
        <v>122.83534136546184</v>
      </c>
      <c r="BG6" s="207">
        <v>103.17266949152543</v>
      </c>
      <c r="BH6" s="207">
        <v>73.421957671957671</v>
      </c>
      <c r="BI6" s="207">
        <v>77.865731462925851</v>
      </c>
      <c r="BJ6" s="207">
        <v>68.164852255054427</v>
      </c>
      <c r="BK6" s="207">
        <v>121.14199395770393</v>
      </c>
      <c r="BL6" s="207">
        <v>101.18486947256261</v>
      </c>
      <c r="BM6" s="207">
        <v>76.471153846153854</v>
      </c>
      <c r="BN6" s="207">
        <v>79.065104166666657</v>
      </c>
      <c r="BO6" s="207">
        <v>68.42435996896819</v>
      </c>
      <c r="BP6" s="207">
        <v>122.2165991902834</v>
      </c>
      <c r="BQ6" s="208">
        <v>100.17263157894737</v>
      </c>
      <c r="BR6" s="208">
        <v>78.717948717948715</v>
      </c>
      <c r="BS6" s="208">
        <v>79.744493392070481</v>
      </c>
      <c r="BT6" s="208">
        <v>69.760497667185078</v>
      </c>
      <c r="BU6" s="208">
        <v>126.78793681187172</v>
      </c>
      <c r="BV6" s="208">
        <v>109.4110552763819</v>
      </c>
      <c r="BW6" s="208">
        <v>78.111182519280206</v>
      </c>
      <c r="BX6" s="208">
        <v>79.046717171717177</v>
      </c>
      <c r="BY6" s="208">
        <v>72.204545454545453</v>
      </c>
      <c r="BZ6" s="208">
        <v>128.18250950570342</v>
      </c>
      <c r="CA6" s="208">
        <v>110.58941058941059</v>
      </c>
      <c r="CB6" s="208">
        <v>80.634920634920633</v>
      </c>
      <c r="CC6" s="208">
        <v>82.658735128365691</v>
      </c>
      <c r="CD6" s="208">
        <v>77.125377643504535</v>
      </c>
      <c r="CE6" s="208">
        <v>127.42303969022267</v>
      </c>
      <c r="CF6" s="208">
        <v>118.8765871000508</v>
      </c>
      <c r="CG6" s="208">
        <v>83.735408560311285</v>
      </c>
      <c r="CH6" s="208">
        <v>82.79413639260676</v>
      </c>
      <c r="CI6" s="208">
        <v>71.962204724409446</v>
      </c>
      <c r="CJ6" s="208">
        <v>118.3408163265306</v>
      </c>
      <c r="CK6" s="208">
        <v>108.45089285714286</v>
      </c>
      <c r="CL6" s="208">
        <v>83.081967213114751</v>
      </c>
      <c r="CM6" s="208">
        <v>80.971923536439661</v>
      </c>
      <c r="CN6" s="209">
        <v>103.9600816209355</v>
      </c>
      <c r="CO6" s="210">
        <v>161.36335328242023</v>
      </c>
      <c r="CP6" s="210">
        <v>129.83708380777045</v>
      </c>
      <c r="CQ6" s="210">
        <v>119.51573460568328</v>
      </c>
      <c r="CR6" s="210">
        <v>120.19794351458928</v>
      </c>
      <c r="CS6" s="210">
        <v>107.73805813414504</v>
      </c>
      <c r="CT6" s="210">
        <v>148.95425986878442</v>
      </c>
      <c r="CU6" s="210">
        <v>120.64422587414255</v>
      </c>
      <c r="CV6" s="210">
        <v>112.55399508444509</v>
      </c>
      <c r="CW6" s="210">
        <v>106.7181257772138</v>
      </c>
      <c r="CX6" s="210">
        <v>94.686665014856885</v>
      </c>
      <c r="CY6" s="210">
        <v>127.43935617327926</v>
      </c>
      <c r="CZ6" s="210">
        <v>89.625902376885676</v>
      </c>
      <c r="DA6" s="210">
        <v>84.956658179455673</v>
      </c>
      <c r="DB6" s="210">
        <v>70.132508790648203</v>
      </c>
      <c r="DC6" s="210">
        <v>111.30472325000176</v>
      </c>
      <c r="DD6" s="210">
        <v>88.313012467108706</v>
      </c>
      <c r="DE6" s="210">
        <v>80.016886642394212</v>
      </c>
      <c r="DF6" s="210">
        <v>82.712468514946494</v>
      </c>
      <c r="DG6" s="210">
        <v>69.496327794913299</v>
      </c>
      <c r="DH6" s="210">
        <v>146.25776279055404</v>
      </c>
      <c r="DI6" s="210">
        <v>95.588372029767399</v>
      </c>
      <c r="DJ6" s="210">
        <v>86.428448475295099</v>
      </c>
      <c r="DK6" s="210">
        <v>87.664411654531264</v>
      </c>
      <c r="DL6" s="210">
        <v>74.448270934498055</v>
      </c>
      <c r="DM6" s="210">
        <v>162.61974325001958</v>
      </c>
      <c r="DN6" s="210">
        <v>123.84247101002822</v>
      </c>
      <c r="DO6" s="210">
        <v>97.957248723526362</v>
      </c>
      <c r="DP6" s="210">
        <v>98.033973285675458</v>
      </c>
      <c r="DQ6" s="210">
        <v>85.740066040600965</v>
      </c>
      <c r="DR6" s="210">
        <v>124.28998687621626</v>
      </c>
      <c r="DS6" s="210">
        <v>102.4658951541879</v>
      </c>
      <c r="DT6" s="210">
        <v>97.957248723526362</v>
      </c>
      <c r="DU6" s="210">
        <v>98.033973285675458</v>
      </c>
      <c r="DV6" s="210">
        <v>85.740066040600965</v>
      </c>
      <c r="DW6" s="210">
        <v>113.73227122146902</v>
      </c>
      <c r="DX6" s="210">
        <v>93.76630165903488</v>
      </c>
      <c r="DY6" s="210">
        <v>79.174910963092458</v>
      </c>
      <c r="DZ6" s="210">
        <v>58.675136349870399</v>
      </c>
      <c r="EA6" s="210">
        <v>127.69273337459992</v>
      </c>
      <c r="EB6" s="210">
        <v>99.266705809660948</v>
      </c>
      <c r="EC6" s="211">
        <v>112.53111063599205</v>
      </c>
      <c r="ED6" s="211">
        <v>107.54641563671615</v>
      </c>
      <c r="EE6" s="211">
        <v>95.632965825098964</v>
      </c>
      <c r="EF6" s="211">
        <v>151.3653766761559</v>
      </c>
      <c r="EG6" s="211">
        <v>120.11403299392242</v>
      </c>
      <c r="EH6" s="211">
        <v>116.0634856450808</v>
      </c>
      <c r="EI6" s="211">
        <v>99.434925933853819</v>
      </c>
      <c r="EJ6" s="211">
        <v>152.80274616722068</v>
      </c>
      <c r="EK6" s="211">
        <v>135.38097576323091</v>
      </c>
      <c r="EL6" s="211">
        <v>119.93495726305454</v>
      </c>
      <c r="EM6" s="211">
        <v>115.21468186144939</v>
      </c>
      <c r="EN6" s="211">
        <v>103.67212734603707</v>
      </c>
      <c r="EO6" s="211">
        <v>153.10187220495527</v>
      </c>
      <c r="EP6" s="211">
        <v>130.37896156494926</v>
      </c>
      <c r="EQ6" s="211">
        <v>115.19849912336097</v>
      </c>
      <c r="ER6" s="211">
        <v>110.97634714739638</v>
      </c>
      <c r="ES6" s="211">
        <v>100.71456049953235</v>
      </c>
      <c r="ET6" s="211">
        <v>152.55405460297297</v>
      </c>
      <c r="EU6" s="211">
        <v>130.30026657259151</v>
      </c>
      <c r="EV6" s="211">
        <v>125.47991034856588</v>
      </c>
      <c r="EW6" s="211">
        <v>132.47587675980128</v>
      </c>
      <c r="EX6" s="212">
        <v>115.79162359578909</v>
      </c>
      <c r="EY6" s="212">
        <v>162.92313195513006</v>
      </c>
      <c r="EZ6" s="212">
        <v>126.19333617271384</v>
      </c>
      <c r="FA6" s="212">
        <v>111.57115663292818</v>
      </c>
      <c r="FB6" s="212">
        <v>111.97374176595463</v>
      </c>
      <c r="FC6" s="212">
        <v>102.55556784567473</v>
      </c>
      <c r="FD6" s="212">
        <v>142.48501564431265</v>
      </c>
      <c r="FE6" s="212">
        <v>117.11342268732484</v>
      </c>
      <c r="FF6" s="212">
        <v>102.90624250555142</v>
      </c>
      <c r="FG6" s="212">
        <v>89.069937835713532</v>
      </c>
      <c r="FH6" s="212">
        <v>153.20655277716963</v>
      </c>
      <c r="FI6" s="212">
        <v>125.36247954844733</v>
      </c>
      <c r="FJ6" s="212">
        <v>107.95081023012489</v>
      </c>
      <c r="FK6" s="212">
        <v>110.81405283916445</v>
      </c>
      <c r="FL6" s="212">
        <v>95.954015876923094</v>
      </c>
      <c r="FM6" s="212">
        <v>165.8526771303487</v>
      </c>
      <c r="FN6" s="212">
        <v>123.18709645405502</v>
      </c>
      <c r="FO6" s="212">
        <v>105.82377014830395</v>
      </c>
      <c r="FP6" s="212">
        <v>109.21037570319014</v>
      </c>
      <c r="FQ6" s="212">
        <v>97.184144241618512</v>
      </c>
      <c r="FR6" s="213">
        <v>159.63803180579302</v>
      </c>
      <c r="FS6" s="213">
        <v>129.96265002477202</v>
      </c>
      <c r="FT6" s="213">
        <v>109.31600455288415</v>
      </c>
      <c r="FU6" s="213">
        <v>106.32592247292547</v>
      </c>
      <c r="FV6" s="213">
        <v>90.858377281467611</v>
      </c>
      <c r="FW6" s="213">
        <v>155.00379072639444</v>
      </c>
      <c r="FX6" s="213">
        <v>126.13266566226343</v>
      </c>
      <c r="FY6" s="213">
        <v>105.03638939822073</v>
      </c>
      <c r="FZ6" s="213">
        <v>99.416881092553382</v>
      </c>
      <c r="GA6" s="213">
        <v>85.127157302753773</v>
      </c>
      <c r="GB6" s="213">
        <v>133.58267498075088</v>
      </c>
      <c r="GC6" s="213">
        <v>109.10869051867289</v>
      </c>
      <c r="GD6" s="213">
        <v>108.28841193228753</v>
      </c>
      <c r="GE6" s="213">
        <v>88.727367664547913</v>
      </c>
      <c r="GF6" s="213">
        <v>153.40909942420134</v>
      </c>
      <c r="GG6" s="213">
        <v>130.83752521422861</v>
      </c>
      <c r="GH6" s="213">
        <v>109.68377436127588</v>
      </c>
      <c r="GI6" s="213">
        <v>108.15917635864274</v>
      </c>
      <c r="GJ6" s="213">
        <v>94.673133759484202</v>
      </c>
      <c r="GK6" s="213">
        <v>171.72698412698409</v>
      </c>
      <c r="GL6" s="213">
        <v>135.33435165606795</v>
      </c>
      <c r="GM6" s="213">
        <v>119.24196428571429</v>
      </c>
      <c r="GN6" s="213">
        <v>115.18965931553392</v>
      </c>
      <c r="GO6" s="213">
        <v>98.712652438539664</v>
      </c>
      <c r="GP6" s="213">
        <v>160.50653333469953</v>
      </c>
      <c r="GQ6" s="213">
        <v>131.97812162638624</v>
      </c>
      <c r="GR6" s="213">
        <v>113.19770014169723</v>
      </c>
      <c r="GS6" s="213">
        <v>110.77513311549158</v>
      </c>
      <c r="GT6" s="213">
        <v>95.770928723731188</v>
      </c>
      <c r="GU6" s="213">
        <v>152.37056039200556</v>
      </c>
      <c r="GV6" s="213">
        <v>128.77765578720204</v>
      </c>
      <c r="GW6" s="213">
        <v>108.79248858149849</v>
      </c>
      <c r="GX6" s="213">
        <v>108.34282426667897</v>
      </c>
      <c r="GY6" s="213">
        <v>94.60851025903402</v>
      </c>
      <c r="GZ6" s="213">
        <v>150.90606299490037</v>
      </c>
      <c r="HA6" s="213">
        <v>126.35221248370034</v>
      </c>
      <c r="HB6" s="213">
        <v>104.86642098834524</v>
      </c>
      <c r="HC6" s="213">
        <v>104.80050898343222</v>
      </c>
      <c r="HD6" s="213">
        <v>95.783971525340959</v>
      </c>
      <c r="HE6" s="213">
        <v>156.28357196594712</v>
      </c>
      <c r="HF6" s="213">
        <v>146.18026876548112</v>
      </c>
      <c r="HG6" s="213">
        <v>138.85555197352733</v>
      </c>
      <c r="HH6" s="213">
        <v>133.60920796938848</v>
      </c>
      <c r="HI6" s="213">
        <v>80.856937315943583</v>
      </c>
      <c r="HJ6" s="214">
        <v>165.17943854000001</v>
      </c>
      <c r="HK6" s="214">
        <v>144.74408987500001</v>
      </c>
      <c r="HL6" s="214">
        <v>136.365317</v>
      </c>
      <c r="HM6" s="214">
        <v>128.77880290000002</v>
      </c>
      <c r="HN6" s="214">
        <v>103.61733360000001</v>
      </c>
      <c r="HO6" s="214">
        <v>158.98439786</v>
      </c>
      <c r="HP6" s="214">
        <v>143.37948272499997</v>
      </c>
      <c r="HQ6" s="214">
        <v>134.7012282</v>
      </c>
      <c r="HR6" s="214">
        <v>126.32854300000002</v>
      </c>
      <c r="HS6" s="214">
        <v>100.30764810000001</v>
      </c>
      <c r="HT6" s="214">
        <v>151.31663234999999</v>
      </c>
      <c r="HU6" s="214">
        <v>132.98747</v>
      </c>
      <c r="HV6" s="214">
        <v>133.18634010000002</v>
      </c>
      <c r="HW6" s="214">
        <v>125.35318840000001</v>
      </c>
      <c r="HX6" s="214">
        <v>98.234166800000011</v>
      </c>
      <c r="HY6" s="214">
        <v>141.3226243</v>
      </c>
      <c r="HZ6" s="214">
        <v>118.3214076</v>
      </c>
      <c r="IA6" s="214">
        <v>119.6834793</v>
      </c>
      <c r="IB6" s="214">
        <v>111.66365100000002</v>
      </c>
      <c r="IC6" s="214">
        <v>75.691046200000002</v>
      </c>
      <c r="ID6" s="214">
        <v>119.2568751</v>
      </c>
      <c r="IE6" s="214">
        <v>102.79171650000001</v>
      </c>
      <c r="IF6" s="214">
        <v>90.078132100000005</v>
      </c>
      <c r="IG6" s="214">
        <v>73.167438300000015</v>
      </c>
      <c r="IH6" s="214">
        <v>140.96137659999999</v>
      </c>
      <c r="II6" s="214">
        <v>115.7708662</v>
      </c>
      <c r="IJ6" s="214">
        <v>113.63122650000001</v>
      </c>
      <c r="IK6" s="214">
        <v>104.49724340000002</v>
      </c>
      <c r="IL6" s="214">
        <v>141.87469670000002</v>
      </c>
      <c r="IM6" s="214">
        <v>122.73185980000001</v>
      </c>
      <c r="IN6" s="214">
        <v>115.43149530000001</v>
      </c>
      <c r="IO6" s="214">
        <v>108.48587860000001</v>
      </c>
      <c r="IP6" s="214">
        <v>90.804613900000007</v>
      </c>
      <c r="IQ6" s="214">
        <v>140.12915620000001</v>
      </c>
      <c r="IR6" s="214">
        <v>123.06660410000001</v>
      </c>
      <c r="IS6" s="214">
        <v>115.20659810000001</v>
      </c>
      <c r="IT6" s="214">
        <v>107.9801228</v>
      </c>
      <c r="IU6" s="214">
        <v>91.103063700000007</v>
      </c>
      <c r="IV6" s="214">
        <v>139.70953700000001</v>
      </c>
      <c r="IW6" s="214">
        <v>122.5983583</v>
      </c>
      <c r="IX6" s="214">
        <v>118.4600406</v>
      </c>
      <c r="IY6" s="214">
        <v>105.617424</v>
      </c>
      <c r="IZ6" s="214">
        <v>92.289325700000006</v>
      </c>
      <c r="JA6" s="214">
        <v>145.64478829999999</v>
      </c>
      <c r="JB6" s="214">
        <v>119.53388590000002</v>
      </c>
      <c r="JC6" s="214">
        <v>110.95553150000001</v>
      </c>
      <c r="JD6" s="214">
        <v>103.12073310000001</v>
      </c>
      <c r="JE6" s="214">
        <v>90.547640700000002</v>
      </c>
      <c r="JF6" s="214">
        <v>138.94559360000002</v>
      </c>
      <c r="JG6" s="214">
        <v>114.41053690000001</v>
      </c>
      <c r="JH6" s="214">
        <v>108.7849587</v>
      </c>
      <c r="JI6" s="214">
        <v>101.4036584</v>
      </c>
      <c r="JJ6" s="214">
        <v>91.465324500000008</v>
      </c>
      <c r="JK6" s="214">
        <v>119.5128418</v>
      </c>
      <c r="JL6" s="214">
        <v>96.562252600000008</v>
      </c>
      <c r="JM6" s="214">
        <v>90.267175900000012</v>
      </c>
      <c r="JN6" s="214">
        <v>78.574640099999996</v>
      </c>
      <c r="JO6" s="214">
        <v>68.425298699999999</v>
      </c>
      <c r="JP6" s="214">
        <v>93.525441900000004</v>
      </c>
      <c r="JQ6" s="214">
        <v>84.368329100000011</v>
      </c>
      <c r="JR6" s="214">
        <v>74.582350700000006</v>
      </c>
      <c r="JS6" s="214">
        <v>67.773141700000011</v>
      </c>
      <c r="JT6" s="214">
        <v>123.29305100000001</v>
      </c>
      <c r="JU6" s="214">
        <v>123.841335</v>
      </c>
      <c r="JV6" s="214">
        <v>102.458952</v>
      </c>
      <c r="JW6" s="214">
        <v>85.654105999999999</v>
      </c>
      <c r="JX6" s="214">
        <v>141.84404499999999</v>
      </c>
      <c r="JY6" s="214">
        <v>120.602952</v>
      </c>
      <c r="JZ6" s="214">
        <v>122.851388</v>
      </c>
      <c r="KA6" s="214">
        <v>102.288433</v>
      </c>
      <c r="KB6" s="214">
        <v>85.289056000000002</v>
      </c>
      <c r="KC6" s="214">
        <v>136.04912300000001</v>
      </c>
      <c r="KD6" s="214">
        <v>116.975809</v>
      </c>
      <c r="KE6" s="214">
        <v>119.491479</v>
      </c>
      <c r="KF6" s="214">
        <v>97.509804000000003</v>
      </c>
      <c r="KG6" s="214">
        <v>85.216774000000001</v>
      </c>
      <c r="KH6" s="214">
        <v>133.48199500000001</v>
      </c>
      <c r="KI6" s="214">
        <v>113.15958500000001</v>
      </c>
      <c r="KJ6" s="214">
        <v>116.415665</v>
      </c>
      <c r="KK6" s="214">
        <v>93.450080999999997</v>
      </c>
      <c r="KL6" s="214">
        <v>84.085977999999997</v>
      </c>
      <c r="KM6" s="214">
        <v>130.81109000000001</v>
      </c>
      <c r="KN6" s="214">
        <v>112.01356</v>
      </c>
    </row>
    <row r="7" spans="1:300" x14ac:dyDescent="0.35">
      <c r="AA7" s="196">
        <v>0.41666666666666702</v>
      </c>
      <c r="AB7" s="207">
        <v>207.40136054421768</v>
      </c>
      <c r="AC7" s="207">
        <v>142.07287449392712</v>
      </c>
      <c r="AD7" s="207">
        <v>112</v>
      </c>
      <c r="AE7" s="207">
        <v>111</v>
      </c>
      <c r="AF7" s="207">
        <v>101.5</v>
      </c>
      <c r="AG7" s="207">
        <v>152.06228373702422</v>
      </c>
      <c r="AH7" s="207">
        <v>121.5</v>
      </c>
      <c r="AI7" s="207">
        <v>101</v>
      </c>
      <c r="AJ7" s="207">
        <v>102</v>
      </c>
      <c r="AK7" s="207">
        <v>95.5</v>
      </c>
      <c r="AL7" s="207">
        <v>151.54513888888886</v>
      </c>
      <c r="AM7" s="207">
        <v>119.5</v>
      </c>
      <c r="AN7" s="207">
        <v>97.5</v>
      </c>
      <c r="AO7" s="207">
        <v>98.5</v>
      </c>
      <c r="AP7" s="207">
        <v>92.5</v>
      </c>
      <c r="AQ7" s="207">
        <v>141.00719424460431</v>
      </c>
      <c r="AR7" s="207">
        <v>119</v>
      </c>
      <c r="AS7" s="207">
        <v>96</v>
      </c>
      <c r="AT7" s="207">
        <v>96.5</v>
      </c>
      <c r="AU7" s="207">
        <v>95.5</v>
      </c>
      <c r="AV7" s="207">
        <v>137.97163120567376</v>
      </c>
      <c r="AW7" s="207">
        <v>107.23308733087332</v>
      </c>
      <c r="AX7" s="207">
        <v>79.385790679908325</v>
      </c>
      <c r="AY7" s="207">
        <v>85.064737242955061</v>
      </c>
      <c r="AZ7" s="207">
        <v>73.29011345218801</v>
      </c>
      <c r="BA7" s="207">
        <v>125.91954022988504</v>
      </c>
      <c r="BB7" s="207">
        <v>103.19460067491563</v>
      </c>
      <c r="BC7" s="207">
        <v>68.837762237762234</v>
      </c>
      <c r="BD7" s="207">
        <v>72.874043145441888</v>
      </c>
      <c r="BE7" s="207">
        <v>67.479871175523343</v>
      </c>
      <c r="BF7" s="207">
        <v>119.09036144578313</v>
      </c>
      <c r="BG7" s="207">
        <v>99.756355932203391</v>
      </c>
      <c r="BH7" s="207">
        <v>69.516534391534393</v>
      </c>
      <c r="BI7" s="207">
        <v>73.767535070140283</v>
      </c>
      <c r="BJ7" s="207">
        <v>67.407465007776054</v>
      </c>
      <c r="BK7" s="207">
        <v>117.42598187311178</v>
      </c>
      <c r="BL7" s="207">
        <v>95.678209909429938</v>
      </c>
      <c r="BM7" s="207">
        <v>71.836538461538467</v>
      </c>
      <c r="BN7" s="207">
        <v>76.619791666666657</v>
      </c>
      <c r="BO7" s="207">
        <v>67.655546935608996</v>
      </c>
      <c r="BP7" s="207">
        <v>116.90283400809717</v>
      </c>
      <c r="BQ7" s="208">
        <v>97.465263157894739</v>
      </c>
      <c r="BR7" s="208">
        <v>73.207692307692312</v>
      </c>
      <c r="BS7" s="208">
        <v>77.303335431088726</v>
      </c>
      <c r="BT7" s="208">
        <v>69.760497667185078</v>
      </c>
      <c r="BU7" s="208">
        <v>122.31306845380566</v>
      </c>
      <c r="BV7" s="208">
        <v>106.03417085427135</v>
      </c>
      <c r="BW7" s="208">
        <v>73.279562982005146</v>
      </c>
      <c r="BX7" s="208">
        <v>77.382575757575751</v>
      </c>
      <c r="BY7" s="208">
        <v>71.402272727272731</v>
      </c>
      <c r="BZ7" s="208">
        <v>122.22053231939164</v>
      </c>
      <c r="CA7" s="208">
        <v>107.21778221778223</v>
      </c>
      <c r="CB7" s="208">
        <v>76.603174603174608</v>
      </c>
      <c r="CC7" s="208">
        <v>80.128365685660611</v>
      </c>
      <c r="CD7" s="208">
        <v>75.466767371601208</v>
      </c>
      <c r="CE7" s="208">
        <v>121.35527589545015</v>
      </c>
      <c r="CF7" s="208">
        <v>112.31284916201118</v>
      </c>
      <c r="CG7" s="208">
        <v>78.501945525291831</v>
      </c>
      <c r="CH7" s="208">
        <v>81.89420012746973</v>
      </c>
      <c r="CI7" s="208">
        <v>73.675590551181102</v>
      </c>
      <c r="CJ7" s="208">
        <v>112.15306122448979</v>
      </c>
      <c r="CK7" s="208">
        <v>104.46372767857143</v>
      </c>
      <c r="CL7" s="208">
        <v>80.343001261034047</v>
      </c>
      <c r="CM7" s="208">
        <v>80.062126642771801</v>
      </c>
      <c r="CN7" s="209">
        <v>93.14112165782322</v>
      </c>
      <c r="CO7" s="210">
        <v>140.82002598857414</v>
      </c>
      <c r="CP7" s="210">
        <v>108.75457019765507</v>
      </c>
      <c r="CQ7" s="210">
        <v>99.301511897449444</v>
      </c>
      <c r="CR7" s="210">
        <v>91.411964479045324</v>
      </c>
      <c r="CS7" s="210">
        <v>87.504431232385244</v>
      </c>
      <c r="CT7" s="210">
        <v>120.76840430247485</v>
      </c>
      <c r="CU7" s="210">
        <v>96.958563918404693</v>
      </c>
      <c r="CV7" s="210">
        <v>89.763549410277079</v>
      </c>
      <c r="CW7" s="210">
        <v>88.967824537345635</v>
      </c>
      <c r="CX7" s="210">
        <v>82.962533883026282</v>
      </c>
      <c r="CY7" s="210">
        <v>100.72596999015228</v>
      </c>
      <c r="CZ7" s="210">
        <v>66.471185503813217</v>
      </c>
      <c r="DA7" s="210">
        <v>62.883868333156521</v>
      </c>
      <c r="DB7" s="210">
        <v>58.148913766390095</v>
      </c>
      <c r="DC7" s="210">
        <v>89.248896032420049</v>
      </c>
      <c r="DD7" s="210">
        <v>76.263889035996058</v>
      </c>
      <c r="DE7" s="210">
        <v>77.129965490882526</v>
      </c>
      <c r="DF7" s="210">
        <v>78.54323195646235</v>
      </c>
      <c r="DG7" s="210">
        <v>67.910296053645652</v>
      </c>
      <c r="DH7" s="210">
        <v>113.23919611055535</v>
      </c>
      <c r="DI7" s="210">
        <v>74.084994509625631</v>
      </c>
      <c r="DJ7" s="210">
        <v>74.805070354780057</v>
      </c>
      <c r="DK7" s="210">
        <v>74.75871812704375</v>
      </c>
      <c r="DL7" s="210">
        <v>64.125782224227024</v>
      </c>
      <c r="DM7" s="210">
        <v>124.9734576397428</v>
      </c>
      <c r="DN7" s="210">
        <v>90.993579545410952</v>
      </c>
      <c r="DO7" s="210">
        <v>67.407680729791068</v>
      </c>
      <c r="DP7" s="210">
        <v>66.911113638336957</v>
      </c>
      <c r="DQ7" s="210">
        <v>64.267642533744322</v>
      </c>
      <c r="DR7" s="210">
        <v>91.045459980217032</v>
      </c>
      <c r="DS7" s="210">
        <v>71.394945415365825</v>
      </c>
      <c r="DT7" s="210">
        <v>67.407680729791068</v>
      </c>
      <c r="DU7" s="210">
        <v>66.911113638336957</v>
      </c>
      <c r="DV7" s="210">
        <v>64.267642533744322</v>
      </c>
      <c r="DW7" s="210">
        <v>87.732154628978108</v>
      </c>
      <c r="DX7" s="210">
        <v>75.856898893582823</v>
      </c>
      <c r="DY7" s="210">
        <v>64.652407666882397</v>
      </c>
      <c r="DZ7" s="210">
        <v>49.896927253607565</v>
      </c>
      <c r="EA7" s="210">
        <v>92.960654989416525</v>
      </c>
      <c r="EB7" s="210">
        <v>71.613616173662095</v>
      </c>
      <c r="EC7" s="211">
        <v>109.76273927966264</v>
      </c>
      <c r="ED7" s="211">
        <v>103.75886474397289</v>
      </c>
      <c r="EE7" s="211">
        <v>90.313442390840777</v>
      </c>
      <c r="EF7" s="211">
        <v>139.48109991694895</v>
      </c>
      <c r="EG7" s="211">
        <v>113.00224793920874</v>
      </c>
      <c r="EH7" s="211">
        <v>108.89664665084408</v>
      </c>
      <c r="EI7" s="211">
        <v>93.857732648007001</v>
      </c>
      <c r="EJ7" s="211">
        <v>140.21061450993523</v>
      </c>
      <c r="EK7" s="211">
        <v>128.52064563627894</v>
      </c>
      <c r="EL7" s="211">
        <v>113.6154405208023</v>
      </c>
      <c r="EM7" s="211">
        <v>107.84397288869067</v>
      </c>
      <c r="EN7" s="211">
        <v>97.878506322789775</v>
      </c>
      <c r="EO7" s="211">
        <v>140.97527123010687</v>
      </c>
      <c r="EP7" s="211">
        <v>126.79497463246115</v>
      </c>
      <c r="EQ7" s="211">
        <v>111.69248332607316</v>
      </c>
      <c r="ER7" s="211">
        <v>106.43546698865173</v>
      </c>
      <c r="ES7" s="211">
        <v>95.941235948940857</v>
      </c>
      <c r="ET7" s="211">
        <v>140.35388752162513</v>
      </c>
      <c r="EU7" s="211">
        <v>126.76997602286822</v>
      </c>
      <c r="EV7" s="211">
        <v>122.31377841831583</v>
      </c>
      <c r="EW7" s="211">
        <v>126.15292766192742</v>
      </c>
      <c r="EX7" s="212">
        <v>111.15922275042202</v>
      </c>
      <c r="EY7" s="212">
        <v>159.89284448744522</v>
      </c>
      <c r="EZ7" s="212">
        <v>122.78078274949642</v>
      </c>
      <c r="FA7" s="212">
        <v>109.78500206743736</v>
      </c>
      <c r="FB7" s="212">
        <v>109.11862290512592</v>
      </c>
      <c r="FC7" s="212">
        <v>99.481369157299014</v>
      </c>
      <c r="FD7" s="212">
        <v>133.46113989784527</v>
      </c>
      <c r="FE7" s="212">
        <v>114.04518765887707</v>
      </c>
      <c r="FF7" s="212">
        <v>100.63925302013959</v>
      </c>
      <c r="FG7" s="212">
        <v>84.760399844347376</v>
      </c>
      <c r="FH7" s="212">
        <v>144.96384548090856</v>
      </c>
      <c r="FI7" s="212">
        <v>119.55218426256565</v>
      </c>
      <c r="FJ7" s="212">
        <v>103.24942019160356</v>
      </c>
      <c r="FK7" s="212">
        <v>105.14922011406883</v>
      </c>
      <c r="FL7" s="212">
        <v>91.685360760827393</v>
      </c>
      <c r="FM7" s="212">
        <v>150.47199720809465</v>
      </c>
      <c r="FN7" s="212">
        <v>117.56927241061092</v>
      </c>
      <c r="FO7" s="212">
        <v>101.35690083577497</v>
      </c>
      <c r="FP7" s="212">
        <v>103.53387410841486</v>
      </c>
      <c r="FQ7" s="212">
        <v>93.809222230223583</v>
      </c>
      <c r="FR7" s="213">
        <v>153.83301246740055</v>
      </c>
      <c r="FS7" s="213">
        <v>124.12163204613057</v>
      </c>
      <c r="FT7" s="213">
        <v>103.48581764339698</v>
      </c>
      <c r="FU7" s="213">
        <v>100.33572965754939</v>
      </c>
      <c r="FV7" s="213">
        <v>86.728451041400888</v>
      </c>
      <c r="FW7" s="213">
        <v>147.47933486588985</v>
      </c>
      <c r="FX7" s="213">
        <v>120.19701080756869</v>
      </c>
      <c r="FY7" s="213">
        <v>98.670547616510376</v>
      </c>
      <c r="FZ7" s="213">
        <v>93.104698166042056</v>
      </c>
      <c r="GA7" s="213">
        <v>81.07348314547977</v>
      </c>
      <c r="GB7" s="213">
        <v>121.83914311431124</v>
      </c>
      <c r="GC7" s="213">
        <v>100.60671463410098</v>
      </c>
      <c r="GD7" s="213">
        <v>99.62533897770453</v>
      </c>
      <c r="GE7" s="213">
        <v>84.869656026958879</v>
      </c>
      <c r="GF7" s="213">
        <v>143.37299011607601</v>
      </c>
      <c r="GG7" s="213">
        <v>122.21087520010364</v>
      </c>
      <c r="GH7" s="213">
        <v>101.24656094887006</v>
      </c>
      <c r="GI7" s="213">
        <v>99.620294014539354</v>
      </c>
      <c r="GJ7" s="213">
        <v>88.098610581742236</v>
      </c>
      <c r="GK7" s="213">
        <v>157.9274943310657</v>
      </c>
      <c r="GL7" s="213">
        <v>123.81653449384939</v>
      </c>
      <c r="GM7" s="213">
        <v>107.46498015873017</v>
      </c>
      <c r="GN7" s="213">
        <v>105.99564712513526</v>
      </c>
      <c r="GO7" s="213">
        <v>94.726293690263418</v>
      </c>
      <c r="GP7" s="213">
        <v>153.49402297268347</v>
      </c>
      <c r="GQ7" s="213">
        <v>124.88317684133705</v>
      </c>
      <c r="GR7" s="213">
        <v>106.35355803111221</v>
      </c>
      <c r="GS7" s="213">
        <v>103.73682710557452</v>
      </c>
      <c r="GT7" s="213">
        <v>93.096884020982856</v>
      </c>
      <c r="GU7" s="213">
        <v>144.11074821379097</v>
      </c>
      <c r="GV7" s="213">
        <v>122.08184915105159</v>
      </c>
      <c r="GW7" s="213">
        <v>102.22306868035402</v>
      </c>
      <c r="GX7" s="213">
        <v>101.59616433621019</v>
      </c>
      <c r="GY7" s="213">
        <v>91.958197736856533</v>
      </c>
      <c r="GZ7" s="213">
        <v>142.71899754385973</v>
      </c>
      <c r="HA7" s="213">
        <v>119.62076039133447</v>
      </c>
      <c r="HB7" s="213">
        <v>99.590303190074508</v>
      </c>
      <c r="HC7" s="213">
        <v>99.366805167172203</v>
      </c>
      <c r="HD7" s="213">
        <v>91.744749535126289</v>
      </c>
      <c r="HE7" s="213">
        <v>148.99389020782885</v>
      </c>
      <c r="HF7" s="213">
        <v>139.9941012133061</v>
      </c>
      <c r="HG7" s="213">
        <v>131.8130067671338</v>
      </c>
      <c r="HH7" s="213">
        <v>120.24828717244964</v>
      </c>
      <c r="HI7" s="213">
        <v>77.900150887440716</v>
      </c>
      <c r="HJ7" s="214">
        <v>155.71438796000001</v>
      </c>
      <c r="HK7" s="214">
        <v>136.89604700000001</v>
      </c>
      <c r="HL7" s="214">
        <v>125.18493570000001</v>
      </c>
      <c r="HM7" s="214">
        <v>127.90102490000001</v>
      </c>
      <c r="HN7" s="214">
        <v>95.009000900000004</v>
      </c>
      <c r="HO7" s="214">
        <v>149.51934728000003</v>
      </c>
      <c r="HP7" s="214">
        <v>135.53143985</v>
      </c>
      <c r="HQ7" s="214">
        <v>123.52084800000002</v>
      </c>
      <c r="HR7" s="214">
        <v>125.450765</v>
      </c>
      <c r="HS7" s="214">
        <v>91.699315400000017</v>
      </c>
      <c r="HT7" s="214">
        <v>141.717642375</v>
      </c>
      <c r="HU7" s="214">
        <v>124.95691450000001</v>
      </c>
      <c r="HV7" s="214">
        <v>122.00595990000001</v>
      </c>
      <c r="HW7" s="214">
        <v>124.47541040000002</v>
      </c>
      <c r="HX7" s="214">
        <v>89.625834100000006</v>
      </c>
      <c r="HY7" s="214">
        <v>131.50040200000001</v>
      </c>
      <c r="HZ7" s="214">
        <v>110.29085210000001</v>
      </c>
      <c r="IA7" s="214">
        <v>108.5030991</v>
      </c>
      <c r="IB7" s="214">
        <v>110.785873</v>
      </c>
      <c r="IC7" s="214">
        <v>67.082712400000005</v>
      </c>
      <c r="ID7" s="214">
        <v>109.43465280000001</v>
      </c>
      <c r="IE7" s="214">
        <v>91.611335200000013</v>
      </c>
      <c r="IF7" s="214">
        <v>89.200354099999998</v>
      </c>
      <c r="IG7" s="214">
        <v>64.559105599999995</v>
      </c>
      <c r="IH7" s="214">
        <v>131.1391543</v>
      </c>
      <c r="II7" s="214">
        <v>107.74031070000001</v>
      </c>
      <c r="IJ7" s="214">
        <v>102.45084630000001</v>
      </c>
      <c r="IK7" s="214">
        <v>103.6194654</v>
      </c>
      <c r="IL7" s="214">
        <v>132.05247439999999</v>
      </c>
      <c r="IM7" s="214">
        <v>114.7013043</v>
      </c>
      <c r="IN7" s="214">
        <v>104.25111510000001</v>
      </c>
      <c r="IO7" s="214">
        <v>107.60810060000001</v>
      </c>
      <c r="IP7" s="214">
        <v>82.196281200000016</v>
      </c>
      <c r="IQ7" s="214">
        <v>130.30693500000001</v>
      </c>
      <c r="IR7" s="214">
        <v>115.03604860000002</v>
      </c>
      <c r="IS7" s="214">
        <v>104.02621680000001</v>
      </c>
      <c r="IT7" s="214">
        <v>107.10234480000001</v>
      </c>
      <c r="IU7" s="214">
        <v>82.49472990000001</v>
      </c>
      <c r="IV7" s="214">
        <v>129.88731469999999</v>
      </c>
      <c r="IW7" s="214">
        <v>114.56780280000001</v>
      </c>
      <c r="IX7" s="214">
        <v>107.27965930000001</v>
      </c>
      <c r="IY7" s="214">
        <v>104.73964600000001</v>
      </c>
      <c r="IZ7" s="214">
        <v>83.680991900000009</v>
      </c>
      <c r="JA7" s="214">
        <v>135.82256600000002</v>
      </c>
      <c r="JB7" s="214">
        <v>111.50333040000001</v>
      </c>
      <c r="JC7" s="214">
        <v>99.775150200000013</v>
      </c>
      <c r="JD7" s="214">
        <v>102.24295510000002</v>
      </c>
      <c r="JE7" s="214">
        <v>81.939306900000005</v>
      </c>
      <c r="JF7" s="214">
        <v>129.1233713</v>
      </c>
      <c r="JG7" s="214">
        <v>106.37998140000001</v>
      </c>
      <c r="JH7" s="214">
        <v>97.604577399999997</v>
      </c>
      <c r="JI7" s="214">
        <v>100.52588040000001</v>
      </c>
      <c r="JJ7" s="214">
        <v>82.856990700000011</v>
      </c>
      <c r="JK7" s="214">
        <v>109.69061950000001</v>
      </c>
      <c r="JL7" s="214">
        <v>88.531697100000017</v>
      </c>
      <c r="JM7" s="214">
        <v>79.086794600000005</v>
      </c>
      <c r="JN7" s="214">
        <v>77.696862100000004</v>
      </c>
      <c r="JO7" s="214">
        <v>59.816966000000008</v>
      </c>
      <c r="JP7" s="214">
        <v>85.494886399999999</v>
      </c>
      <c r="JQ7" s="214">
        <v>73.187947800000003</v>
      </c>
      <c r="JR7" s="214">
        <v>73.7045727</v>
      </c>
      <c r="JS7" s="214">
        <v>59.164809000000005</v>
      </c>
      <c r="JT7" s="214">
        <v>116.747596</v>
      </c>
      <c r="JU7" s="214">
        <v>123.361537</v>
      </c>
      <c r="JV7" s="214">
        <v>100.966527</v>
      </c>
      <c r="JW7" s="214">
        <v>85.815723000000006</v>
      </c>
      <c r="JX7" s="214">
        <v>136.00061099999999</v>
      </c>
      <c r="JY7" s="214">
        <v>114.057497</v>
      </c>
      <c r="JZ7" s="214">
        <v>122.37159</v>
      </c>
      <c r="KA7" s="214">
        <v>100.796009</v>
      </c>
      <c r="KB7" s="214">
        <v>85.450671999999997</v>
      </c>
      <c r="KC7" s="214">
        <v>130.20568800000001</v>
      </c>
      <c r="KD7" s="214">
        <v>110.43035500000001</v>
      </c>
      <c r="KE7" s="214">
        <v>119.011681</v>
      </c>
      <c r="KF7" s="214">
        <v>96.017380000000003</v>
      </c>
      <c r="KG7" s="214">
        <v>85.378389999999996</v>
      </c>
      <c r="KH7" s="214">
        <v>127.638561</v>
      </c>
      <c r="KI7" s="214">
        <v>106.61413</v>
      </c>
      <c r="KJ7" s="214">
        <v>115.935867</v>
      </c>
      <c r="KK7" s="214">
        <v>91.957656999999998</v>
      </c>
      <c r="KL7" s="214">
        <v>84.247594000000007</v>
      </c>
      <c r="KM7" s="214">
        <v>124.96765600000001</v>
      </c>
      <c r="KN7" s="214">
        <v>105.46810600000001</v>
      </c>
    </row>
    <row r="8" spans="1:300" x14ac:dyDescent="0.35">
      <c r="AA8" s="196">
        <v>0.4375</v>
      </c>
      <c r="AB8" s="207">
        <v>204.59863945578232</v>
      </c>
      <c r="AC8" s="207">
        <v>140.92712550607285</v>
      </c>
      <c r="AD8" s="207">
        <v>112</v>
      </c>
      <c r="AE8" s="207">
        <v>111</v>
      </c>
      <c r="AF8" s="207">
        <v>101.5</v>
      </c>
      <c r="AG8" s="207">
        <v>148.93771626297578</v>
      </c>
      <c r="AH8" s="207">
        <v>121.5</v>
      </c>
      <c r="AI8" s="207">
        <v>101</v>
      </c>
      <c r="AJ8" s="207">
        <v>102</v>
      </c>
      <c r="AK8" s="207">
        <v>95.5</v>
      </c>
      <c r="AL8" s="207">
        <v>149.45486111111111</v>
      </c>
      <c r="AM8" s="207">
        <v>119.5</v>
      </c>
      <c r="AN8" s="207">
        <v>97.5</v>
      </c>
      <c r="AO8" s="207">
        <v>98.5</v>
      </c>
      <c r="AP8" s="207">
        <v>92.5</v>
      </c>
      <c r="AQ8" s="207">
        <v>138.99280575539566</v>
      </c>
      <c r="AR8" s="207">
        <v>119</v>
      </c>
      <c r="AS8" s="207">
        <v>96</v>
      </c>
      <c r="AT8" s="207">
        <v>96.5</v>
      </c>
      <c r="AU8" s="207">
        <v>95.5</v>
      </c>
      <c r="AV8" s="207">
        <v>136.02836879432624</v>
      </c>
      <c r="AW8" s="207">
        <v>106.41451414514145</v>
      </c>
      <c r="AX8" s="207">
        <v>79.385790679908325</v>
      </c>
      <c r="AY8" s="207">
        <v>85.064737242955061</v>
      </c>
      <c r="AZ8" s="207">
        <v>73.29011345218801</v>
      </c>
      <c r="BA8" s="207">
        <v>123.46656217345871</v>
      </c>
      <c r="BB8" s="207">
        <v>102.45219347581552</v>
      </c>
      <c r="BC8" s="207">
        <v>68.837762237762234</v>
      </c>
      <c r="BD8" s="207">
        <v>72.874043145441888</v>
      </c>
      <c r="BE8" s="207">
        <v>67.479871175523343</v>
      </c>
      <c r="BF8" s="207">
        <v>117.59236947791165</v>
      </c>
      <c r="BG8" s="207">
        <v>99.07309322033899</v>
      </c>
      <c r="BH8" s="207">
        <v>69.516534391534393</v>
      </c>
      <c r="BI8" s="207">
        <v>73.767535070140283</v>
      </c>
      <c r="BJ8" s="207">
        <v>66.650077760497666</v>
      </c>
      <c r="BK8" s="207">
        <v>115.93957703927492</v>
      </c>
      <c r="BL8" s="207">
        <v>95.678209909429938</v>
      </c>
      <c r="BM8" s="207">
        <v>71.064102564102569</v>
      </c>
      <c r="BN8" s="207">
        <v>75.8046875</v>
      </c>
      <c r="BO8" s="207">
        <v>67.655546935608996</v>
      </c>
      <c r="BP8" s="207">
        <v>115.38461538461539</v>
      </c>
      <c r="BQ8" s="208">
        <v>96.788421052631577</v>
      </c>
      <c r="BR8" s="208">
        <v>73.207692307692312</v>
      </c>
      <c r="BS8" s="208">
        <v>76.489616110761489</v>
      </c>
      <c r="BT8" s="208">
        <v>69.760497667185078</v>
      </c>
      <c r="BU8" s="208">
        <v>120.07563427477263</v>
      </c>
      <c r="BV8" s="208">
        <v>106.03417085427135</v>
      </c>
      <c r="BW8" s="208">
        <v>73.279562982005146</v>
      </c>
      <c r="BX8" s="208">
        <v>77.382575757575751</v>
      </c>
      <c r="BY8" s="208">
        <v>71.402272727272731</v>
      </c>
      <c r="BZ8" s="208">
        <v>120.7300380228137</v>
      </c>
      <c r="CA8" s="208">
        <v>106.54345654345654</v>
      </c>
      <c r="CB8" s="208">
        <v>75.796825396825398</v>
      </c>
      <c r="CC8" s="208">
        <v>80.128365685660611</v>
      </c>
      <c r="CD8" s="208">
        <v>75.466767371601208</v>
      </c>
      <c r="CE8" s="208">
        <v>119.83833494675703</v>
      </c>
      <c r="CF8" s="208">
        <v>112.31284916201118</v>
      </c>
      <c r="CG8" s="208">
        <v>78.501945525291831</v>
      </c>
      <c r="CH8" s="208">
        <v>81.89420012746973</v>
      </c>
      <c r="CI8" s="208">
        <v>73.675590551181102</v>
      </c>
      <c r="CJ8" s="208">
        <v>110.60612244897959</v>
      </c>
      <c r="CK8" s="208">
        <v>104.46372767857143</v>
      </c>
      <c r="CL8" s="208">
        <v>80.343001261034047</v>
      </c>
      <c r="CM8" s="208">
        <v>80.062126642771801</v>
      </c>
      <c r="CN8" s="209">
        <v>90.861188781229743</v>
      </c>
      <c r="CO8" s="210">
        <v>133.48835448988459</v>
      </c>
      <c r="CP8" s="210">
        <v>104.3502178338852</v>
      </c>
      <c r="CQ8" s="210">
        <v>97.056121719662599</v>
      </c>
      <c r="CR8" s="210">
        <v>89.001288909544243</v>
      </c>
      <c r="CS8" s="210">
        <v>84.827375830099257</v>
      </c>
      <c r="CT8" s="210">
        <v>117.06703556446739</v>
      </c>
      <c r="CU8" s="210">
        <v>94.295964618802813</v>
      </c>
      <c r="CV8" s="210">
        <v>88.315075754948083</v>
      </c>
      <c r="CW8" s="210">
        <v>87.519350882016667</v>
      </c>
      <c r="CX8" s="210">
        <v>80.828470645152507</v>
      </c>
      <c r="CY8" s="210">
        <v>100.53671162044913</v>
      </c>
      <c r="CZ8" s="210">
        <v>65.518951191864431</v>
      </c>
      <c r="DA8" s="210">
        <v>61.266144675930704</v>
      </c>
      <c r="DB8" s="210">
        <v>55.879285960464365</v>
      </c>
      <c r="DC8" s="210">
        <v>87.963421564299011</v>
      </c>
      <c r="DD8" s="210">
        <v>75.404739963580909</v>
      </c>
      <c r="DE8" s="210">
        <v>75.512241833656702</v>
      </c>
      <c r="DF8" s="210">
        <v>76.925508299236526</v>
      </c>
      <c r="DG8" s="210">
        <v>66.136999368224792</v>
      </c>
      <c r="DH8" s="210">
        <v>111.92382688736173</v>
      </c>
      <c r="DI8" s="210">
        <v>73.225845437210495</v>
      </c>
      <c r="DJ8" s="210">
        <v>73.187346697554233</v>
      </c>
      <c r="DK8" s="210">
        <v>73.140994469817926</v>
      </c>
      <c r="DL8" s="210">
        <v>62.352485538806171</v>
      </c>
      <c r="DM8" s="210">
        <v>123.65808841654919</v>
      </c>
      <c r="DN8" s="210">
        <v>90.134430472995817</v>
      </c>
      <c r="DO8" s="210">
        <v>65.78995707256523</v>
      </c>
      <c r="DP8" s="210">
        <v>65.293389981111147</v>
      </c>
      <c r="DQ8" s="210">
        <v>62.439601266280107</v>
      </c>
      <c r="DR8" s="210">
        <v>89.730090757023419</v>
      </c>
      <c r="DS8" s="210">
        <v>70.535796342950675</v>
      </c>
      <c r="DT8" s="210">
        <v>65.78995707256523</v>
      </c>
      <c r="DU8" s="210">
        <v>65.293389981111147</v>
      </c>
      <c r="DV8" s="210">
        <v>62.439601266280107</v>
      </c>
      <c r="DW8" s="210">
        <v>86.416785405784495</v>
      </c>
      <c r="DX8" s="210">
        <v>74.997749821167702</v>
      </c>
      <c r="DY8" s="210">
        <v>63.163993760941182</v>
      </c>
      <c r="DZ8" s="210">
        <v>47.627299447681864</v>
      </c>
      <c r="EA8" s="210">
        <v>92.108615239388712</v>
      </c>
      <c r="EB8" s="210">
        <v>70.754467101246959</v>
      </c>
      <c r="EC8" s="211">
        <v>105.61110737780221</v>
      </c>
      <c r="ED8" s="211">
        <v>99.947365473908988</v>
      </c>
      <c r="EE8" s="211">
        <v>87.583874720427715</v>
      </c>
      <c r="EF8" s="211">
        <v>134.9353397783581</v>
      </c>
      <c r="EG8" s="211">
        <v>108.88978335450088</v>
      </c>
      <c r="EH8" s="211">
        <v>104.95006100781491</v>
      </c>
      <c r="EI8" s="211">
        <v>90.997727412225785</v>
      </c>
      <c r="EJ8" s="211">
        <v>135.18238783034082</v>
      </c>
      <c r="EK8" s="211">
        <v>123.88670827845904</v>
      </c>
      <c r="EL8" s="211">
        <v>109.36678373481624</v>
      </c>
      <c r="EM8" s="211">
        <v>103.90793151570426</v>
      </c>
      <c r="EN8" s="211">
        <v>95.175764404716574</v>
      </c>
      <c r="EO8" s="211">
        <v>136.24539883987188</v>
      </c>
      <c r="EP8" s="211">
        <v>122.43852580250663</v>
      </c>
      <c r="EQ8" s="211">
        <v>107.70428961693612</v>
      </c>
      <c r="ER8" s="211">
        <v>102.7776854877676</v>
      </c>
      <c r="ES8" s="211">
        <v>93.023513582247162</v>
      </c>
      <c r="ET8" s="211">
        <v>135.9765907901936</v>
      </c>
      <c r="EU8" s="211">
        <v>122.64905153207883</v>
      </c>
      <c r="EV8" s="211">
        <v>118.04809278637288</v>
      </c>
      <c r="EW8" s="211">
        <v>121.45124737157775</v>
      </c>
      <c r="EX8" s="212">
        <v>107.910714935442</v>
      </c>
      <c r="EY8" s="212">
        <v>153.76593781793966</v>
      </c>
      <c r="EZ8" s="212">
        <v>118.92971173057009</v>
      </c>
      <c r="FA8" s="212">
        <v>106.02147534438649</v>
      </c>
      <c r="FB8" s="212">
        <v>105.36044747639389</v>
      </c>
      <c r="FC8" s="212">
        <v>96.278705913123147</v>
      </c>
      <c r="FD8" s="212">
        <v>128.99416345323843</v>
      </c>
      <c r="FE8" s="212">
        <v>110.3696523460046</v>
      </c>
      <c r="FF8" s="212">
        <v>96.941937088968785</v>
      </c>
      <c r="FG8" s="212">
        <v>81.648176775049578</v>
      </c>
      <c r="FH8" s="212">
        <v>139.69362409574805</v>
      </c>
      <c r="FI8" s="212">
        <v>115.45469005157534</v>
      </c>
      <c r="FJ8" s="212">
        <v>99.708665194565313</v>
      </c>
      <c r="FK8" s="212">
        <v>101.53474211964452</v>
      </c>
      <c r="FL8" s="212">
        <v>88.798462151680752</v>
      </c>
      <c r="FM8" s="212">
        <v>145.3171468470351</v>
      </c>
      <c r="FN8" s="212">
        <v>113.68470298189796</v>
      </c>
      <c r="FO8" s="212">
        <v>98.059932664440069</v>
      </c>
      <c r="FP8" s="212">
        <v>100.10235035649018</v>
      </c>
      <c r="FQ8" s="212">
        <v>90.758384780514405</v>
      </c>
      <c r="FR8" s="213">
        <v>150.93050279820432</v>
      </c>
      <c r="FS8" s="213">
        <v>121.20112305680985</v>
      </c>
      <c r="FT8" s="213">
        <v>102.02827091602521</v>
      </c>
      <c r="FU8" s="213">
        <v>100.33572965754939</v>
      </c>
      <c r="FV8" s="213">
        <v>85.351808961378651</v>
      </c>
      <c r="FW8" s="213">
        <v>144.469552521688</v>
      </c>
      <c r="FX8" s="213">
        <v>117.22918338022131</v>
      </c>
      <c r="FY8" s="213">
        <v>97.07908717108279</v>
      </c>
      <c r="FZ8" s="213">
        <v>91.526652434414217</v>
      </c>
      <c r="GA8" s="213">
        <v>81.07348314547977</v>
      </c>
      <c r="GB8" s="213">
        <v>118.90326014770133</v>
      </c>
      <c r="GC8" s="213">
        <v>99.189718653338986</v>
      </c>
      <c r="GD8" s="213">
        <v>98.181493485274032</v>
      </c>
      <c r="GE8" s="213">
        <v>84.869656026958879</v>
      </c>
      <c r="GF8" s="213">
        <v>140.50553031375449</v>
      </c>
      <c r="GG8" s="213">
        <v>119.33532519539531</v>
      </c>
      <c r="GH8" s="213">
        <v>99.840358713469072</v>
      </c>
      <c r="GI8" s="213">
        <v>98.197146957188806</v>
      </c>
      <c r="GJ8" s="213">
        <v>88.098610581742236</v>
      </c>
      <c r="GK8" s="213">
        <v>154.86094104308387</v>
      </c>
      <c r="GL8" s="213">
        <v>122.37680734857207</v>
      </c>
      <c r="GM8" s="213">
        <v>105.99285714285716</v>
      </c>
      <c r="GN8" s="213">
        <v>102.93097639500239</v>
      </c>
      <c r="GO8" s="213">
        <v>93.397507440837998</v>
      </c>
      <c r="GP8" s="213">
        <v>149.28651675547385</v>
      </c>
      <c r="GQ8" s="213">
        <v>122.04519892731739</v>
      </c>
      <c r="GR8" s="213">
        <v>104.98472960899522</v>
      </c>
      <c r="GS8" s="213">
        <v>102.32916590359112</v>
      </c>
      <c r="GT8" s="213">
        <v>91.759861669608696</v>
      </c>
      <c r="GU8" s="213">
        <v>141.35747748771942</v>
      </c>
      <c r="GV8" s="213">
        <v>119.4035264965914</v>
      </c>
      <c r="GW8" s="213">
        <v>100.90918470012512</v>
      </c>
      <c r="GX8" s="213">
        <v>100.24683235011643</v>
      </c>
      <c r="GY8" s="213">
        <v>90.633041475767797</v>
      </c>
      <c r="GZ8" s="213">
        <v>139.98997572684621</v>
      </c>
      <c r="HA8" s="213">
        <v>116.92817955438814</v>
      </c>
      <c r="HB8" s="213">
        <v>98.271273740506828</v>
      </c>
      <c r="HC8" s="213">
        <v>98.008379213107204</v>
      </c>
      <c r="HD8" s="213">
        <v>91.744749535126289</v>
      </c>
      <c r="HE8" s="213">
        <v>146.07801750458157</v>
      </c>
      <c r="HF8" s="213">
        <v>138.44755932526235</v>
      </c>
      <c r="HG8" s="213">
        <v>130.0523704655354</v>
      </c>
      <c r="HH8" s="213">
        <v>118.7637404172342</v>
      </c>
      <c r="HI8" s="213">
        <v>77.900150887440716</v>
      </c>
      <c r="HJ8" s="214">
        <v>147.73494328000001</v>
      </c>
      <c r="HK8" s="214">
        <v>133.47559264999998</v>
      </c>
      <c r="HL8" s="214">
        <v>117.52316730000001</v>
      </c>
      <c r="HM8" s="214">
        <v>120.20935850000001</v>
      </c>
      <c r="HN8" s="214">
        <v>93.075667300000006</v>
      </c>
      <c r="HO8" s="214">
        <v>141.5399026</v>
      </c>
      <c r="HP8" s="214">
        <v>132.110984425</v>
      </c>
      <c r="HQ8" s="214">
        <v>115.85907850000001</v>
      </c>
      <c r="HR8" s="214">
        <v>117.7590986</v>
      </c>
      <c r="HS8" s="214">
        <v>89.76598180000002</v>
      </c>
      <c r="HT8" s="214">
        <v>133.62528102499999</v>
      </c>
      <c r="HU8" s="214">
        <v>121.45691470000001</v>
      </c>
      <c r="HV8" s="214">
        <v>114.3441904</v>
      </c>
      <c r="HW8" s="214">
        <v>116.78374400000001</v>
      </c>
      <c r="HX8" s="214">
        <v>87.692500500000008</v>
      </c>
      <c r="HY8" s="214">
        <v>123.21984620000001</v>
      </c>
      <c r="HZ8" s="214">
        <v>106.79085120000002</v>
      </c>
      <c r="IA8" s="214">
        <v>100.84132960000001</v>
      </c>
      <c r="IB8" s="214">
        <v>103.09420660000001</v>
      </c>
      <c r="IC8" s="214">
        <v>65.149378800000008</v>
      </c>
      <c r="ID8" s="214">
        <v>101.15409700000001</v>
      </c>
      <c r="IE8" s="214">
        <v>83.949566799999999</v>
      </c>
      <c r="IF8" s="214">
        <v>81.508686600000004</v>
      </c>
      <c r="IG8" s="214">
        <v>62.625772000000005</v>
      </c>
      <c r="IH8" s="214">
        <v>122.8585985</v>
      </c>
      <c r="II8" s="214">
        <v>104.24031090000001</v>
      </c>
      <c r="IJ8" s="214">
        <v>94.789076800000004</v>
      </c>
      <c r="IK8" s="214">
        <v>95.927799000000007</v>
      </c>
      <c r="IL8" s="214">
        <v>123.77191860000001</v>
      </c>
      <c r="IM8" s="214">
        <v>111.20130340000001</v>
      </c>
      <c r="IN8" s="214">
        <v>96.589345600000016</v>
      </c>
      <c r="IO8" s="214">
        <v>99.916434200000012</v>
      </c>
      <c r="IP8" s="214">
        <v>80.262947600000018</v>
      </c>
      <c r="IQ8" s="214">
        <v>122.02637920000001</v>
      </c>
      <c r="IR8" s="214">
        <v>111.5360488</v>
      </c>
      <c r="IS8" s="214">
        <v>96.364448400000015</v>
      </c>
      <c r="IT8" s="214">
        <v>99.410678400000009</v>
      </c>
      <c r="IU8" s="214">
        <v>80.561396300000013</v>
      </c>
      <c r="IV8" s="214">
        <v>121.60676000000001</v>
      </c>
      <c r="IW8" s="214">
        <v>111.06780300000001</v>
      </c>
      <c r="IX8" s="214">
        <v>99.617890900000006</v>
      </c>
      <c r="IY8" s="214">
        <v>97.047979600000005</v>
      </c>
      <c r="IZ8" s="214">
        <v>81.747658299999998</v>
      </c>
      <c r="JA8" s="214">
        <v>127.54201020000001</v>
      </c>
      <c r="JB8" s="214">
        <v>108.0033306</v>
      </c>
      <c r="JC8" s="214">
        <v>92.113381800000013</v>
      </c>
      <c r="JD8" s="214">
        <v>94.551288700000015</v>
      </c>
      <c r="JE8" s="214">
        <v>80.005974399999999</v>
      </c>
      <c r="JF8" s="214">
        <v>120.84281550000001</v>
      </c>
      <c r="JG8" s="214">
        <v>102.87998160000001</v>
      </c>
      <c r="JH8" s="214">
        <v>89.942808999999997</v>
      </c>
      <c r="JI8" s="214">
        <v>92.834214000000003</v>
      </c>
      <c r="JJ8" s="214">
        <v>80.923658200000006</v>
      </c>
      <c r="JK8" s="214">
        <v>101.41006370000001</v>
      </c>
      <c r="JL8" s="214">
        <v>85.031697300000005</v>
      </c>
      <c r="JM8" s="214">
        <v>71.425026200000005</v>
      </c>
      <c r="JN8" s="214">
        <v>70.005195700000002</v>
      </c>
      <c r="JO8" s="214">
        <v>57.88363240000001</v>
      </c>
      <c r="JP8" s="214">
        <v>81.994886600000015</v>
      </c>
      <c r="JQ8" s="214">
        <v>65.526179400000004</v>
      </c>
      <c r="JR8" s="214">
        <v>66.012906300000012</v>
      </c>
      <c r="JS8" s="214">
        <v>57.231475400000001</v>
      </c>
      <c r="JT8" s="214">
        <v>107.232445</v>
      </c>
      <c r="JU8" s="214">
        <v>97.475172999999998</v>
      </c>
      <c r="JV8" s="214">
        <v>95.277134000000004</v>
      </c>
      <c r="JW8" s="214">
        <v>75.482388999999998</v>
      </c>
      <c r="JX8" s="214">
        <v>124.677378</v>
      </c>
      <c r="JY8" s="214">
        <v>104.54234599999999</v>
      </c>
      <c r="JZ8" s="214">
        <v>96.485226999999995</v>
      </c>
      <c r="KA8" s="214">
        <v>95.106615000000005</v>
      </c>
      <c r="KB8" s="214">
        <v>75.117339000000001</v>
      </c>
      <c r="KC8" s="214">
        <v>118.882456</v>
      </c>
      <c r="KD8" s="214">
        <v>100.91520300000001</v>
      </c>
      <c r="KE8" s="214">
        <v>93.125317999999993</v>
      </c>
      <c r="KF8" s="214">
        <v>90.327985999999996</v>
      </c>
      <c r="KG8" s="214">
        <v>75.045057</v>
      </c>
      <c r="KH8" s="214">
        <v>116.31532900000001</v>
      </c>
      <c r="KI8" s="214">
        <v>97.098979</v>
      </c>
      <c r="KJ8" s="214">
        <v>90.049503999999999</v>
      </c>
      <c r="KK8" s="214">
        <v>86.268263000000005</v>
      </c>
      <c r="KL8" s="214">
        <v>73.914260999999996</v>
      </c>
      <c r="KM8" s="214">
        <v>113.644424</v>
      </c>
      <c r="KN8" s="214">
        <v>95.952954000000005</v>
      </c>
    </row>
    <row r="9" spans="1:300" x14ac:dyDescent="0.35">
      <c r="AA9" s="196">
        <v>0.45833333333333298</v>
      </c>
      <c r="AB9" s="207">
        <v>154.13017751479288</v>
      </c>
      <c r="AC9" s="207">
        <v>112</v>
      </c>
      <c r="AD9" s="207">
        <v>95.069444444444429</v>
      </c>
      <c r="AE9" s="207">
        <v>93.750000000000014</v>
      </c>
      <c r="AF9" s="207">
        <v>77.062068965517241</v>
      </c>
      <c r="AG9" s="207">
        <v>117.15976331360946</v>
      </c>
      <c r="AH9" s="207">
        <v>97.032258064516128</v>
      </c>
      <c r="AI9" s="207">
        <v>87.3611111111111</v>
      </c>
      <c r="AJ9" s="207">
        <v>88.175675675675663</v>
      </c>
      <c r="AK9" s="207">
        <v>75.531034482758628</v>
      </c>
      <c r="AL9" s="207">
        <v>117.15976331360946</v>
      </c>
      <c r="AM9" s="207">
        <v>94.389610389610397</v>
      </c>
      <c r="AN9" s="207">
        <v>84.277777777777771</v>
      </c>
      <c r="AO9" s="207">
        <v>85.13513513513513</v>
      </c>
      <c r="AP9" s="207">
        <v>68.386206896551727</v>
      </c>
      <c r="AQ9" s="207">
        <v>102.01785714285712</v>
      </c>
      <c r="AR9" s="207">
        <v>91.392156862745082</v>
      </c>
      <c r="AS9" s="207">
        <v>82.188811188811201</v>
      </c>
      <c r="AT9" s="207">
        <v>83.63013698630138</v>
      </c>
      <c r="AU9" s="207">
        <v>69.937062937062933</v>
      </c>
      <c r="AV9" s="207">
        <v>100.04761904761905</v>
      </c>
      <c r="AW9" s="207">
        <v>65.485854858548592</v>
      </c>
      <c r="AX9" s="207">
        <v>69.821237585943464</v>
      </c>
      <c r="AY9" s="207">
        <v>74.056359482102053</v>
      </c>
      <c r="AZ9" s="207">
        <v>62.943273905996762</v>
      </c>
      <c r="BA9" s="207">
        <v>81.765935214211069</v>
      </c>
      <c r="BB9" s="207">
        <v>69.786276715410565</v>
      </c>
      <c r="BC9" s="207">
        <v>73.81398601398601</v>
      </c>
      <c r="BD9" s="207">
        <v>77.160751565761998</v>
      </c>
      <c r="BE9" s="207">
        <v>58.747181964573265</v>
      </c>
      <c r="BF9" s="207">
        <v>75.648594377510037</v>
      </c>
      <c r="BG9" s="207">
        <v>64.226694915254242</v>
      </c>
      <c r="BH9" s="207">
        <v>70.297619047619051</v>
      </c>
      <c r="BI9" s="207">
        <v>74.587174348697403</v>
      </c>
      <c r="BJ9" s="207">
        <v>55.289269051321931</v>
      </c>
      <c r="BK9" s="207">
        <v>76.549848942598189</v>
      </c>
      <c r="BL9" s="207">
        <v>65.391582312200327</v>
      </c>
      <c r="BM9" s="207">
        <v>70.291666666666671</v>
      </c>
      <c r="BN9" s="207">
        <v>74.989583333333329</v>
      </c>
      <c r="BO9" s="207">
        <v>57.660977501939485</v>
      </c>
      <c r="BP9" s="207">
        <v>79.706477732793516</v>
      </c>
      <c r="BQ9" s="208">
        <v>67.007368421052632</v>
      </c>
      <c r="BR9" s="208">
        <v>73.207692307692312</v>
      </c>
      <c r="BS9" s="208">
        <v>77.303335431088726</v>
      </c>
      <c r="BT9" s="208">
        <v>59.570762052877143</v>
      </c>
      <c r="BU9" s="208">
        <v>80.547630445189085</v>
      </c>
      <c r="BV9" s="208">
        <v>68.888442211055278</v>
      </c>
      <c r="BW9" s="208">
        <v>77.305912596401029</v>
      </c>
      <c r="BX9" s="208">
        <v>81.542929292929287</v>
      </c>
      <c r="BY9" s="208">
        <v>62.577272727272728</v>
      </c>
      <c r="BZ9" s="208">
        <v>82.722433460076047</v>
      </c>
      <c r="CA9" s="208">
        <v>72.152847152847158</v>
      </c>
      <c r="CB9" s="208">
        <v>79.022222222222226</v>
      </c>
      <c r="CC9" s="208">
        <v>82.658735128365691</v>
      </c>
      <c r="CD9" s="208">
        <v>64.685800604229613</v>
      </c>
      <c r="CE9" s="208">
        <v>86.465634075508234</v>
      </c>
      <c r="CF9" s="208">
        <v>79.494159471813106</v>
      </c>
      <c r="CG9" s="208">
        <v>87.224383916990917</v>
      </c>
      <c r="CH9" s="208">
        <v>88.193753983428934</v>
      </c>
      <c r="CI9" s="208">
        <v>66.822047244094492</v>
      </c>
      <c r="CJ9" s="208">
        <v>88.175510204081633</v>
      </c>
      <c r="CK9" s="208">
        <v>86.122767857142861</v>
      </c>
      <c r="CL9" s="208">
        <v>90.385876418663301</v>
      </c>
      <c r="CM9" s="208">
        <v>89.160095579450413</v>
      </c>
      <c r="CN9" s="209">
        <v>55.801603289703159</v>
      </c>
      <c r="CO9" s="210">
        <v>91.993991158349388</v>
      </c>
      <c r="CP9" s="210">
        <v>73.733118584250064</v>
      </c>
      <c r="CQ9" s="210">
        <v>65.713001482220179</v>
      </c>
      <c r="CR9" s="210">
        <v>63.627059831805013</v>
      </c>
      <c r="CS9" s="210">
        <v>54.875703092827415</v>
      </c>
      <c r="CT9" s="210">
        <v>77.556856692039929</v>
      </c>
      <c r="CU9" s="210">
        <v>66.890887731596223</v>
      </c>
      <c r="CV9" s="210">
        <v>64.208933162872952</v>
      </c>
      <c r="CW9" s="210">
        <v>62.006181860671944</v>
      </c>
      <c r="CX9" s="210">
        <v>52.168197932526702</v>
      </c>
      <c r="CY9" s="210">
        <v>75.806314438227119</v>
      </c>
      <c r="CZ9" s="210">
        <v>62.502515670998953</v>
      </c>
      <c r="DA9" s="210">
        <v>58.377476013445794</v>
      </c>
      <c r="DB9" s="210">
        <v>47.304192512466685</v>
      </c>
      <c r="DC9" s="210">
        <v>67.294722507108744</v>
      </c>
      <c r="DD9" s="210">
        <v>63.372822322868778</v>
      </c>
      <c r="DE9" s="210">
        <v>62.77435947076502</v>
      </c>
      <c r="DF9" s="210">
        <v>61.902888375545324</v>
      </c>
      <c r="DG9" s="210">
        <v>50.883198629673807</v>
      </c>
      <c r="DH9" s="210">
        <v>91.057074639400298</v>
      </c>
      <c r="DI9" s="210">
        <v>71.250873602846355</v>
      </c>
      <c r="DJ9" s="210">
        <v>68.455177923134258</v>
      </c>
      <c r="DK9" s="210">
        <v>66.309378478513793</v>
      </c>
      <c r="DL9" s="210">
        <v>54.952852055696241</v>
      </c>
      <c r="DM9" s="210">
        <v>93.516685309027778</v>
      </c>
      <c r="DN9" s="210">
        <v>75.137306874591232</v>
      </c>
      <c r="DO9" s="210">
        <v>68.506720889575689</v>
      </c>
      <c r="DP9" s="210">
        <v>66.368808822133786</v>
      </c>
      <c r="DQ9" s="210">
        <v>55.426473535116941</v>
      </c>
      <c r="DR9" s="210">
        <v>81.201768629486438</v>
      </c>
      <c r="DS9" s="210">
        <v>71.98679032188825</v>
      </c>
      <c r="DT9" s="210">
        <v>67.694218513844717</v>
      </c>
      <c r="DU9" s="210">
        <v>65.5563064464028</v>
      </c>
      <c r="DV9" s="210">
        <v>55.456414817023344</v>
      </c>
      <c r="DW9" s="210">
        <v>74.114137891085662</v>
      </c>
      <c r="DX9" s="210">
        <v>68.865140947344671</v>
      </c>
      <c r="DY9" s="210">
        <v>57.759335216999169</v>
      </c>
      <c r="DZ9" s="210">
        <v>43.200604214035614</v>
      </c>
      <c r="EA9" s="210">
        <v>82.428276439921078</v>
      </c>
      <c r="EB9" s="210">
        <v>67.057483236846082</v>
      </c>
      <c r="EC9" s="211">
        <v>83.742588834309785</v>
      </c>
      <c r="ED9" s="211">
        <v>82.218171060492637</v>
      </c>
      <c r="EE9" s="211">
        <v>71.483056414609251</v>
      </c>
      <c r="EF9" s="211">
        <v>97.262276055799731</v>
      </c>
      <c r="EG9" s="211">
        <v>81.405331206300374</v>
      </c>
      <c r="EH9" s="211">
        <v>84.529290039763239</v>
      </c>
      <c r="EI9" s="211">
        <v>69.299086711005131</v>
      </c>
      <c r="EJ9" s="211">
        <v>106.03190294584496</v>
      </c>
      <c r="EK9" s="211">
        <v>96.990712679877632</v>
      </c>
      <c r="EL9" s="211">
        <v>84.533601646506526</v>
      </c>
      <c r="EM9" s="211">
        <v>83.563849448512883</v>
      </c>
      <c r="EN9" s="211">
        <v>72.935604852316843</v>
      </c>
      <c r="EO9" s="211">
        <v>105.81975553441757</v>
      </c>
      <c r="EP9" s="211">
        <v>98.046126420659434</v>
      </c>
      <c r="EQ9" s="211">
        <v>85.177049632656662</v>
      </c>
      <c r="ER9" s="211">
        <v>83.42812240928572</v>
      </c>
      <c r="ES9" s="211">
        <v>72.622950820853603</v>
      </c>
      <c r="ET9" s="211">
        <v>104.14119937144932</v>
      </c>
      <c r="EU9" s="211">
        <v>96.944794483257652</v>
      </c>
      <c r="EV9" s="211">
        <v>93.39647945834848</v>
      </c>
      <c r="EW9" s="211">
        <v>85.552107846421251</v>
      </c>
      <c r="EX9" s="212">
        <v>81.444245782877729</v>
      </c>
      <c r="EY9" s="212">
        <v>121.9618131959875</v>
      </c>
      <c r="EZ9" s="212">
        <v>104.3491091347847</v>
      </c>
      <c r="FA9" s="212">
        <v>95.020200027290329</v>
      </c>
      <c r="FB9" s="212">
        <v>95.912858669808287</v>
      </c>
      <c r="FC9" s="212">
        <v>77.478275344531056</v>
      </c>
      <c r="FD9" s="212">
        <v>102.07155429555169</v>
      </c>
      <c r="FE9" s="212">
        <v>100.4009069175321</v>
      </c>
      <c r="FF9" s="212">
        <v>85.838784640254474</v>
      </c>
      <c r="FG9" s="212">
        <v>64.693199911284935</v>
      </c>
      <c r="FH9" s="212">
        <v>107.09618372828545</v>
      </c>
      <c r="FI9" s="212">
        <v>100.22839869818627</v>
      </c>
      <c r="FJ9" s="212">
        <v>87.909706984188034</v>
      </c>
      <c r="FK9" s="212">
        <v>91.047845328969771</v>
      </c>
      <c r="FL9" s="212">
        <v>73.304448101764692</v>
      </c>
      <c r="FM9" s="212">
        <v>111.64837357252051</v>
      </c>
      <c r="FN9" s="212">
        <v>102.31236727611476</v>
      </c>
      <c r="FO9" s="212">
        <v>88.632253634584117</v>
      </c>
      <c r="FP9" s="212">
        <v>89.466042137474744</v>
      </c>
      <c r="FQ9" s="212">
        <v>73.202966942708315</v>
      </c>
      <c r="FR9" s="213">
        <v>117.55164160244759</v>
      </c>
      <c r="FS9" s="213">
        <v>103.67806912088554</v>
      </c>
      <c r="FT9" s="213">
        <v>88.910350369679108</v>
      </c>
      <c r="FU9" s="213">
        <v>86.857795822953207</v>
      </c>
      <c r="FV9" s="213">
        <v>67.455461921089579</v>
      </c>
      <c r="FW9" s="213">
        <v>115.87662025177059</v>
      </c>
      <c r="FX9" s="213">
        <v>97.938305102463374</v>
      </c>
      <c r="FY9" s="213">
        <v>82.755943162234516</v>
      </c>
      <c r="FZ9" s="213">
        <v>80.480332313019403</v>
      </c>
      <c r="GA9" s="213">
        <v>66.21001123547515</v>
      </c>
      <c r="GB9" s="213">
        <v>102.75590383134683</v>
      </c>
      <c r="GC9" s="213">
        <v>85.019758845719139</v>
      </c>
      <c r="GD9" s="213">
        <v>85.186884053399524</v>
      </c>
      <c r="GE9" s="213">
        <v>64.295193959817325</v>
      </c>
      <c r="GF9" s="213">
        <v>113.26466219170005</v>
      </c>
      <c r="GG9" s="213">
        <v>102.08202516714539</v>
      </c>
      <c r="GH9" s="213">
        <v>85.778336359459345</v>
      </c>
      <c r="GI9" s="213">
        <v>85.388823441033736</v>
      </c>
      <c r="GJ9" s="213">
        <v>68.375041048516366</v>
      </c>
      <c r="GK9" s="213">
        <v>124.19540816326528</v>
      </c>
      <c r="GL9" s="213">
        <v>102.22062731468962</v>
      </c>
      <c r="GM9" s="213">
        <v>91.271626984126996</v>
      </c>
      <c r="GN9" s="213">
        <v>89.139958109404432</v>
      </c>
      <c r="GO9" s="213">
        <v>72.136927450031379</v>
      </c>
      <c r="GP9" s="213">
        <v>119.8339732350064</v>
      </c>
      <c r="GQ9" s="213">
        <v>103.59834248618952</v>
      </c>
      <c r="GR9" s="213">
        <v>89.927616965708211</v>
      </c>
      <c r="GS9" s="213">
        <v>88.252553883756988</v>
      </c>
      <c r="GT9" s="213">
        <v>71.704526398996194</v>
      </c>
      <c r="GU9" s="213">
        <v>113.82477022700407</v>
      </c>
      <c r="GV9" s="213">
        <v>101.99442924260021</v>
      </c>
      <c r="GW9" s="213">
        <v>86.456460917607302</v>
      </c>
      <c r="GX9" s="213">
        <v>86.753512489178888</v>
      </c>
      <c r="GY9" s="213">
        <v>72.080853820525448</v>
      </c>
      <c r="GZ9" s="213">
        <v>114.06426846521754</v>
      </c>
      <c r="HA9" s="213">
        <v>99.426404114236902</v>
      </c>
      <c r="HB9" s="213">
        <v>83.761949795262282</v>
      </c>
      <c r="HC9" s="213">
        <v>83.06569371839214</v>
      </c>
      <c r="HD9" s="213">
        <v>70.202232253981364</v>
      </c>
      <c r="HE9" s="213">
        <v>114.0034177688612</v>
      </c>
      <c r="HF9" s="213">
        <v>113.70288911656218</v>
      </c>
      <c r="HG9" s="213">
        <v>107.16409854475641</v>
      </c>
      <c r="HH9" s="213">
        <v>105.40281962029536</v>
      </c>
      <c r="HI9" s="213">
        <v>84.799319220614052</v>
      </c>
      <c r="HJ9" s="214">
        <v>139.51191272000003</v>
      </c>
      <c r="HK9" s="214">
        <v>124.878307025</v>
      </c>
      <c r="HL9" s="214">
        <v>107.17752870000001</v>
      </c>
      <c r="HM9" s="214">
        <v>114.326025</v>
      </c>
      <c r="HN9" s="214">
        <v>83.956222900000014</v>
      </c>
      <c r="HO9" s="214">
        <v>133.31687204000002</v>
      </c>
      <c r="HP9" s="214">
        <v>123.513699875</v>
      </c>
      <c r="HQ9" s="214">
        <v>105.51343989999999</v>
      </c>
      <c r="HR9" s="214">
        <v>111.87576510000001</v>
      </c>
      <c r="HS9" s="214">
        <v>80.6465374</v>
      </c>
      <c r="HT9" s="214">
        <v>125.28588682499999</v>
      </c>
      <c r="HU9" s="214">
        <v>112.65969220000001</v>
      </c>
      <c r="HV9" s="214">
        <v>103.99855180000002</v>
      </c>
      <c r="HW9" s="214">
        <v>110.90041050000001</v>
      </c>
      <c r="HX9" s="214">
        <v>78.573056100000016</v>
      </c>
      <c r="HY9" s="214">
        <v>114.6865126</v>
      </c>
      <c r="HZ9" s="214">
        <v>97.993629800000008</v>
      </c>
      <c r="IA9" s="214">
        <v>90.495691000000008</v>
      </c>
      <c r="IB9" s="214">
        <v>97.210873100000001</v>
      </c>
      <c r="IC9" s="214">
        <v>56.029934400000002</v>
      </c>
      <c r="ID9" s="214">
        <v>92.620763400000001</v>
      </c>
      <c r="IE9" s="214">
        <v>73.603927100000007</v>
      </c>
      <c r="IF9" s="214">
        <v>75.625354200000004</v>
      </c>
      <c r="IG9" s="214">
        <v>53.506327600000006</v>
      </c>
      <c r="IH9" s="214">
        <v>114.32526490000001</v>
      </c>
      <c r="II9" s="214">
        <v>95.443088400000022</v>
      </c>
      <c r="IJ9" s="214">
        <v>84.443438200000003</v>
      </c>
      <c r="IK9" s="214">
        <v>90.044465500000001</v>
      </c>
      <c r="IL9" s="214">
        <v>115.23858610000001</v>
      </c>
      <c r="IM9" s="214">
        <v>102.40408200000002</v>
      </c>
      <c r="IN9" s="214">
        <v>86.243707000000001</v>
      </c>
      <c r="IO9" s="214">
        <v>94.03310070000002</v>
      </c>
      <c r="IP9" s="214">
        <v>71.143503199999998</v>
      </c>
      <c r="IQ9" s="214">
        <v>113.4930456</v>
      </c>
      <c r="IR9" s="214">
        <v>102.73882630000001</v>
      </c>
      <c r="IS9" s="214">
        <v>86.018809800000014</v>
      </c>
      <c r="IT9" s="214">
        <v>93.527344900000017</v>
      </c>
      <c r="IU9" s="214">
        <v>71.441951899999992</v>
      </c>
      <c r="IV9" s="214">
        <v>113.0734264</v>
      </c>
      <c r="IW9" s="214">
        <v>102.27058050000001</v>
      </c>
      <c r="IX9" s="214">
        <v>89.272252300000005</v>
      </c>
      <c r="IY9" s="214">
        <v>91.164646100000013</v>
      </c>
      <c r="IZ9" s="214">
        <v>72.628213900000006</v>
      </c>
      <c r="JA9" s="214">
        <v>119.00867660000002</v>
      </c>
      <c r="JB9" s="214">
        <v>99.206108100000009</v>
      </c>
      <c r="JC9" s="214">
        <v>81.767742100000007</v>
      </c>
      <c r="JD9" s="214">
        <v>88.667955200000009</v>
      </c>
      <c r="JE9" s="214">
        <v>70.886530000000008</v>
      </c>
      <c r="JF9" s="214">
        <v>112.30948190000001</v>
      </c>
      <c r="JG9" s="214">
        <v>94.082759100000004</v>
      </c>
      <c r="JH9" s="214">
        <v>79.59717040000001</v>
      </c>
      <c r="JI9" s="214">
        <v>86.950880500000011</v>
      </c>
      <c r="JJ9" s="214">
        <v>71.804213799999999</v>
      </c>
      <c r="JK9" s="214">
        <v>92.876730100000003</v>
      </c>
      <c r="JL9" s="214">
        <v>76.234474800000001</v>
      </c>
      <c r="JM9" s="214">
        <v>61.079387600000004</v>
      </c>
      <c r="JN9" s="214">
        <v>64.12186220000001</v>
      </c>
      <c r="JO9" s="214">
        <v>48.764188000000004</v>
      </c>
      <c r="JP9" s="214">
        <v>73.197664099999997</v>
      </c>
      <c r="JQ9" s="214">
        <v>55.180540800000003</v>
      </c>
      <c r="JR9" s="214">
        <v>60.129572800000005</v>
      </c>
      <c r="JS9" s="214">
        <v>48.112031000000009</v>
      </c>
      <c r="JT9" s="214">
        <v>97.853656999999998</v>
      </c>
      <c r="JU9" s="214">
        <v>91.429719000000006</v>
      </c>
      <c r="JV9" s="214">
        <v>96.312487000000004</v>
      </c>
      <c r="JW9" s="214">
        <v>73.010166999999996</v>
      </c>
      <c r="JX9" s="214">
        <v>111.84909500000001</v>
      </c>
      <c r="JY9" s="214">
        <v>95.163557999999995</v>
      </c>
      <c r="JZ9" s="214">
        <v>90.439772000000005</v>
      </c>
      <c r="KA9" s="214">
        <v>96.141968000000006</v>
      </c>
      <c r="KB9" s="214">
        <v>72.645116999999999</v>
      </c>
      <c r="KC9" s="214">
        <v>106.05417300000001</v>
      </c>
      <c r="KD9" s="214">
        <v>91.536415000000005</v>
      </c>
      <c r="KE9" s="214">
        <v>87.079863000000003</v>
      </c>
      <c r="KF9" s="214">
        <v>91.363338999999996</v>
      </c>
      <c r="KG9" s="214">
        <v>72.572834999999998</v>
      </c>
      <c r="KH9" s="214">
        <v>103.48704600000001</v>
      </c>
      <c r="KI9" s="214">
        <v>87.720191</v>
      </c>
      <c r="KJ9" s="214">
        <v>84.004048999999995</v>
      </c>
      <c r="KK9" s="214">
        <v>87.303616000000005</v>
      </c>
      <c r="KL9" s="214">
        <v>71.442037999999997</v>
      </c>
      <c r="KM9" s="214">
        <v>100.816141</v>
      </c>
      <c r="KN9" s="214">
        <v>86.574166000000005</v>
      </c>
    </row>
    <row r="10" spans="1:300" ht="25" x14ac:dyDescent="0.35">
      <c r="A10" s="538" t="s">
        <v>334</v>
      </c>
      <c r="B10" s="538"/>
      <c r="C10" s="538"/>
      <c r="D10" s="538"/>
      <c r="E10" s="538"/>
      <c r="F10" s="538"/>
      <c r="G10" s="538"/>
      <c r="H10" s="538"/>
      <c r="I10" s="538"/>
      <c r="J10" s="538"/>
      <c r="K10" s="538"/>
      <c r="L10" s="538"/>
      <c r="M10" s="538"/>
      <c r="N10" s="538"/>
      <c r="O10" s="538"/>
      <c r="P10" s="538"/>
      <c r="Q10" s="538"/>
      <c r="R10" s="538"/>
      <c r="S10" s="538"/>
      <c r="T10" s="538"/>
      <c r="U10" s="538"/>
      <c r="V10" s="538"/>
      <c r="W10" s="538"/>
      <c r="X10" s="43"/>
      <c r="Y10" s="43"/>
      <c r="AA10" s="196">
        <v>0.47916666666666702</v>
      </c>
      <c r="AB10" s="207">
        <v>141.86982248520712</v>
      </c>
      <c r="AC10" s="207">
        <v>105</v>
      </c>
      <c r="AD10" s="207">
        <v>89.930555555555571</v>
      </c>
      <c r="AE10" s="207">
        <v>91.249999999999986</v>
      </c>
      <c r="AF10" s="207">
        <v>73.937931034482759</v>
      </c>
      <c r="AG10" s="207">
        <v>107.84023668639054</v>
      </c>
      <c r="AH10" s="207">
        <v>90.967741935483872</v>
      </c>
      <c r="AI10" s="207">
        <v>82.6388888888889</v>
      </c>
      <c r="AJ10" s="207">
        <v>85.824324324324337</v>
      </c>
      <c r="AK10" s="207">
        <v>72.468965517241372</v>
      </c>
      <c r="AL10" s="207">
        <v>107.84023668639054</v>
      </c>
      <c r="AM10" s="207">
        <v>89.610389610389603</v>
      </c>
      <c r="AN10" s="207">
        <v>79.722222222222229</v>
      </c>
      <c r="AO10" s="207">
        <v>82.86486486486487</v>
      </c>
      <c r="AP10" s="207">
        <v>65.613793103448273</v>
      </c>
      <c r="AQ10" s="207">
        <v>94.982142857142875</v>
      </c>
      <c r="AR10" s="207">
        <v>85.607843137254918</v>
      </c>
      <c r="AS10" s="207">
        <v>78.811188811188799</v>
      </c>
      <c r="AT10" s="207">
        <v>81.36986301369862</v>
      </c>
      <c r="AU10" s="207">
        <v>67.062937062937067</v>
      </c>
      <c r="AV10" s="207">
        <v>90.952380952380949</v>
      </c>
      <c r="AW10" s="207">
        <v>60.574415744157442</v>
      </c>
      <c r="AX10" s="207">
        <v>65.038961038961034</v>
      </c>
      <c r="AY10" s="207">
        <v>70.053313023610045</v>
      </c>
      <c r="AZ10" s="207">
        <v>58.632090761750405</v>
      </c>
      <c r="BA10" s="207">
        <v>75.224660397074189</v>
      </c>
      <c r="BB10" s="207">
        <v>64.58942632170978</v>
      </c>
      <c r="BC10" s="207">
        <v>69.667132867132864</v>
      </c>
      <c r="BD10" s="207">
        <v>74.588726513569938</v>
      </c>
      <c r="BE10" s="207">
        <v>55.571658615136876</v>
      </c>
      <c r="BF10" s="207">
        <v>68.907630522088354</v>
      </c>
      <c r="BG10" s="207">
        <v>60.127118644067799</v>
      </c>
      <c r="BH10" s="207">
        <v>66.392195767195759</v>
      </c>
      <c r="BI10" s="207">
        <v>71.30861723446894</v>
      </c>
      <c r="BJ10" s="207">
        <v>52.259720062208395</v>
      </c>
      <c r="BK10" s="207">
        <v>68.374622356495465</v>
      </c>
      <c r="BL10" s="207">
        <v>59.884922749067663</v>
      </c>
      <c r="BM10" s="207">
        <v>65.657051282051285</v>
      </c>
      <c r="BN10" s="207">
        <v>70.9140625</v>
      </c>
      <c r="BO10" s="207">
        <v>53.81691233514352</v>
      </c>
      <c r="BP10" s="207">
        <v>70.597165991902841</v>
      </c>
      <c r="BQ10" s="208">
        <v>60.238947368421051</v>
      </c>
      <c r="BR10" s="208">
        <v>67.697435897435895</v>
      </c>
      <c r="BS10" s="208">
        <v>73.234738829452482</v>
      </c>
      <c r="BT10" s="208">
        <v>55.651632970451011</v>
      </c>
      <c r="BU10" s="208">
        <v>73.835327908089994</v>
      </c>
      <c r="BV10" s="208">
        <v>62.134673366834171</v>
      </c>
      <c r="BW10" s="208">
        <v>71.669023136246793</v>
      </c>
      <c r="BX10" s="208">
        <v>77.382575757575751</v>
      </c>
      <c r="BY10" s="208">
        <v>58.565909090909088</v>
      </c>
      <c r="BZ10" s="208">
        <v>74.524714828897345</v>
      </c>
      <c r="CA10" s="208">
        <v>64.060939060939063</v>
      </c>
      <c r="CB10" s="208">
        <v>71.765079365079373</v>
      </c>
      <c r="CC10" s="208">
        <v>78.441452723857239</v>
      </c>
      <c r="CD10" s="208">
        <v>60.5392749244713</v>
      </c>
      <c r="CE10" s="208">
        <v>75.847047434656346</v>
      </c>
      <c r="CF10" s="208">
        <v>69.283900457084812</v>
      </c>
      <c r="CG10" s="208">
        <v>77.629701686121919</v>
      </c>
      <c r="CH10" s="208">
        <v>83.694072657743789</v>
      </c>
      <c r="CI10" s="208">
        <v>62.538582677165351</v>
      </c>
      <c r="CJ10" s="208">
        <v>75.8</v>
      </c>
      <c r="CK10" s="208">
        <v>74.958705357142861</v>
      </c>
      <c r="CL10" s="208">
        <v>81.25598991172761</v>
      </c>
      <c r="CM10" s="208">
        <v>84.611111111111114</v>
      </c>
      <c r="CN10" s="209">
        <v>50.896345589438518</v>
      </c>
      <c r="CO10" s="210">
        <v>79.255729647523737</v>
      </c>
      <c r="CP10" s="210">
        <v>61.959734944912825</v>
      </c>
      <c r="CQ10" s="210">
        <v>57.673897639796373</v>
      </c>
      <c r="CR10" s="210">
        <v>58.525154526224391</v>
      </c>
      <c r="CS10" s="210">
        <v>50.216942311612812</v>
      </c>
      <c r="CT10" s="210">
        <v>69.310622434378189</v>
      </c>
      <c r="CU10" s="210">
        <v>57.652957723867395</v>
      </c>
      <c r="CV10" s="210">
        <v>57.318833279707455</v>
      </c>
      <c r="CW10" s="210">
        <v>56.538971928287779</v>
      </c>
      <c r="CX10" s="210">
        <v>46.694050529609711</v>
      </c>
      <c r="CY10" s="210">
        <v>82.820007381240885</v>
      </c>
      <c r="CZ10" s="210">
        <v>71.808288069991988</v>
      </c>
      <c r="DA10" s="210">
        <v>69.721902496278801</v>
      </c>
      <c r="DB10" s="210">
        <v>50.565714744385183</v>
      </c>
      <c r="DC10" s="210">
        <v>75.735722997699654</v>
      </c>
      <c r="DD10" s="210">
        <v>72.639022099931623</v>
      </c>
      <c r="DE10" s="210">
        <v>71.978964741138014</v>
      </c>
      <c r="DF10" s="210">
        <v>72.563474060671325</v>
      </c>
      <c r="DG10" s="210">
        <v>54.123217777412329</v>
      </c>
      <c r="DH10" s="210">
        <v>96.708003555409704</v>
      </c>
      <c r="DI10" s="210">
        <v>77.530699468337261</v>
      </c>
      <c r="DJ10" s="210">
        <v>77.659783193507266</v>
      </c>
      <c r="DK10" s="210">
        <v>76.969964163639787</v>
      </c>
      <c r="DL10" s="210">
        <v>58.192871203434748</v>
      </c>
      <c r="DM10" s="210">
        <v>100.64726410985669</v>
      </c>
      <c r="DN10" s="210">
        <v>82.896782624901604</v>
      </c>
      <c r="DO10" s="210">
        <v>77.119574959283213</v>
      </c>
      <c r="DP10" s="210">
        <v>76.437643306594296</v>
      </c>
      <c r="DQ10" s="210">
        <v>58.666492682855448</v>
      </c>
      <c r="DR10" s="210">
        <v>89.144849806046366</v>
      </c>
      <c r="DS10" s="210">
        <v>80.558768447929637</v>
      </c>
      <c r="DT10" s="210">
        <v>77.119574959283213</v>
      </c>
      <c r="DU10" s="210">
        <v>76.437643306594296</v>
      </c>
      <c r="DV10" s="210">
        <v>58.696433964761852</v>
      </c>
      <c r="DW10" s="210">
        <v>82.972191893732571</v>
      </c>
      <c r="DX10" s="210">
        <v>78.352091899473038</v>
      </c>
      <c r="DY10" s="210">
        <v>67.40680294150647</v>
      </c>
      <c r="DZ10" s="210">
        <v>46.462126445954112</v>
      </c>
      <c r="EA10" s="210">
        <v>90.371357616480992</v>
      </c>
      <c r="EB10" s="210">
        <v>76.544434188974435</v>
      </c>
      <c r="EC10" s="211">
        <v>69.661301352735265</v>
      </c>
      <c r="ED10" s="211">
        <v>66.664464863963047</v>
      </c>
      <c r="EE10" s="211">
        <v>56.502603844545575</v>
      </c>
      <c r="EF10" s="211">
        <v>79.98817701364338</v>
      </c>
      <c r="EG10" s="211">
        <v>67.988824125745907</v>
      </c>
      <c r="EH10" s="211">
        <v>68.711962058429123</v>
      </c>
      <c r="EI10" s="211">
        <v>54.510350353566182</v>
      </c>
      <c r="EJ10" s="211">
        <v>87.178269259318668</v>
      </c>
      <c r="EK10" s="211">
        <v>79.762315285794131</v>
      </c>
      <c r="EL10" s="211">
        <v>69.360041976030942</v>
      </c>
      <c r="EM10" s="211">
        <v>67.340354987917337</v>
      </c>
      <c r="EN10" s="211">
        <v>56.575704752159204</v>
      </c>
      <c r="EO10" s="211">
        <v>87.509995973159135</v>
      </c>
      <c r="EP10" s="211">
        <v>80.77464858207037</v>
      </c>
      <c r="EQ10" s="211">
        <v>69.997913506120867</v>
      </c>
      <c r="ER10" s="211">
        <v>67.269152825070194</v>
      </c>
      <c r="ES10" s="211">
        <v>56.047880597001189</v>
      </c>
      <c r="ET10" s="211">
        <v>85.331818731105926</v>
      </c>
      <c r="EU10" s="211">
        <v>78.893507484829982</v>
      </c>
      <c r="EV10" s="211">
        <v>74.86728041706732</v>
      </c>
      <c r="EW10" s="211">
        <v>76.32334883707729</v>
      </c>
      <c r="EX10" s="212">
        <v>69.694185919529971</v>
      </c>
      <c r="EY10" s="212">
        <v>102.17737757978691</v>
      </c>
      <c r="EZ10" s="212">
        <v>84.178067198754405</v>
      </c>
      <c r="FA10" s="212">
        <v>76.980276090981619</v>
      </c>
      <c r="FB10" s="212">
        <v>78.02493288550815</v>
      </c>
      <c r="FC10" s="212">
        <v>64.638546117494485</v>
      </c>
      <c r="FD10" s="212">
        <v>80.358702521940629</v>
      </c>
      <c r="FE10" s="212">
        <v>79.905242698428907</v>
      </c>
      <c r="FF10" s="212">
        <v>66.866427646678375</v>
      </c>
      <c r="FG10" s="212">
        <v>53.605910988036584</v>
      </c>
      <c r="FH10" s="212">
        <v>86.238495138297452</v>
      </c>
      <c r="FI10" s="212">
        <v>78.712605593785767</v>
      </c>
      <c r="FJ10" s="212">
        <v>70.019215885947986</v>
      </c>
      <c r="FK10" s="212">
        <v>72.49865681706909</v>
      </c>
      <c r="FL10" s="212">
        <v>61.191893096379374</v>
      </c>
      <c r="FM10" s="212">
        <v>88.837811041578888</v>
      </c>
      <c r="FN10" s="212">
        <v>79.48255075005801</v>
      </c>
      <c r="FO10" s="212">
        <v>69.366125052463573</v>
      </c>
      <c r="FP10" s="212">
        <v>70.60353179047128</v>
      </c>
      <c r="FQ10" s="212">
        <v>58.823194096715213</v>
      </c>
      <c r="FR10" s="213">
        <v>100.13658358727017</v>
      </c>
      <c r="FS10" s="213">
        <v>87.615269679621576</v>
      </c>
      <c r="FT10" s="213">
        <v>75.792429823333009</v>
      </c>
      <c r="FU10" s="213">
        <v>73.379861988357021</v>
      </c>
      <c r="FV10" s="213">
        <v>60.572251520978405</v>
      </c>
      <c r="FW10" s="213">
        <v>97.817926186559589</v>
      </c>
      <c r="FX10" s="213">
        <v>80.131340538379135</v>
      </c>
      <c r="FY10" s="213">
        <v>68.432799153386227</v>
      </c>
      <c r="FZ10" s="213">
        <v>66.277920728368926</v>
      </c>
      <c r="GA10" s="213">
        <v>58.102662920927173</v>
      </c>
      <c r="GB10" s="213">
        <v>85.140606031687369</v>
      </c>
      <c r="GC10" s="213">
        <v>72.266795018861259</v>
      </c>
      <c r="GD10" s="213">
        <v>72.19227462152503</v>
      </c>
      <c r="GE10" s="213">
        <v>56.57977068463925</v>
      </c>
      <c r="GF10" s="213">
        <v>96.059903377770937</v>
      </c>
      <c r="GG10" s="213">
        <v>84.828725138895464</v>
      </c>
      <c r="GH10" s="213">
        <v>73.122516240850587</v>
      </c>
      <c r="GI10" s="213">
        <v>74.003646982229242</v>
      </c>
      <c r="GJ10" s="213">
        <v>60.485613235226012</v>
      </c>
      <c r="GK10" s="213">
        <v>107.32936507936505</v>
      </c>
      <c r="GL10" s="213">
        <v>86.383628716639123</v>
      </c>
      <c r="GM10" s="213">
        <v>78.022519841269855</v>
      </c>
      <c r="GN10" s="213">
        <v>75.348939823806475</v>
      </c>
      <c r="GO10" s="213">
        <v>65.492996202904322</v>
      </c>
      <c r="GP10" s="213">
        <v>103.00394836616786</v>
      </c>
      <c r="GQ10" s="213">
        <v>86.570475002071476</v>
      </c>
      <c r="GR10" s="213">
        <v>77.608161166655208</v>
      </c>
      <c r="GS10" s="213">
        <v>76.99126426788969</v>
      </c>
      <c r="GT10" s="213">
        <v>65.019414642125369</v>
      </c>
      <c r="GU10" s="213">
        <v>97.305145870574876</v>
      </c>
      <c r="GV10" s="213">
        <v>85.924493315839101</v>
      </c>
      <c r="GW10" s="213">
        <v>74.631505095547254</v>
      </c>
      <c r="GX10" s="213">
        <v>75.958856600428845</v>
      </c>
      <c r="GY10" s="213">
        <v>64.129916253993002</v>
      </c>
      <c r="GZ10" s="213">
        <v>97.69013756313629</v>
      </c>
      <c r="HA10" s="213">
        <v>83.270919092558842</v>
      </c>
      <c r="HB10" s="213">
        <v>73.209714198720803</v>
      </c>
      <c r="HC10" s="213">
        <v>72.198286085872098</v>
      </c>
      <c r="HD10" s="213">
        <v>63.47019560362358</v>
      </c>
      <c r="HE10" s="213">
        <v>97.966117901000999</v>
      </c>
      <c r="HF10" s="213">
        <v>96.690928348080817</v>
      </c>
      <c r="HG10" s="213">
        <v>91.31837183037095</v>
      </c>
      <c r="HH10" s="213">
        <v>93.526445578571924</v>
      </c>
      <c r="HI10" s="213">
        <v>78.88574636360832</v>
      </c>
      <c r="HJ10" s="214">
        <v>115.27645855999999</v>
      </c>
      <c r="HK10" s="214">
        <v>97.962588174999993</v>
      </c>
      <c r="HL10" s="214">
        <v>88.661157200000005</v>
      </c>
      <c r="HM10" s="214">
        <v>93.145470000000003</v>
      </c>
      <c r="HN10" s="214">
        <v>70.122889100000009</v>
      </c>
      <c r="HO10" s="214">
        <v>109.08141788</v>
      </c>
      <c r="HP10" s="214">
        <v>96.597979949999996</v>
      </c>
      <c r="HQ10" s="214">
        <v>86.997068400000003</v>
      </c>
      <c r="HR10" s="214">
        <v>90.695210100000011</v>
      </c>
      <c r="HS10" s="214">
        <v>66.813203600000008</v>
      </c>
      <c r="HT10" s="214">
        <v>100.70747812499999</v>
      </c>
      <c r="HU10" s="214">
        <v>85.118025299999999</v>
      </c>
      <c r="HV10" s="214">
        <v>85.48218030000001</v>
      </c>
      <c r="HW10" s="214">
        <v>89.719855500000008</v>
      </c>
      <c r="HX10" s="214">
        <v>64.739722299999997</v>
      </c>
      <c r="HY10" s="214">
        <v>89.536512999999999</v>
      </c>
      <c r="HZ10" s="214">
        <v>70.451962900000012</v>
      </c>
      <c r="IA10" s="214">
        <v>71.979319500000003</v>
      </c>
      <c r="IB10" s="214">
        <v>76.030318100000002</v>
      </c>
      <c r="IC10" s="214">
        <v>42.196601700000002</v>
      </c>
      <c r="ID10" s="214">
        <v>67.4707638</v>
      </c>
      <c r="IE10" s="214">
        <v>55.087556700000007</v>
      </c>
      <c r="IF10" s="214">
        <v>54.444798100000007</v>
      </c>
      <c r="IG10" s="214">
        <v>39.672993800000008</v>
      </c>
      <c r="IH10" s="214">
        <v>89.175265300000007</v>
      </c>
      <c r="II10" s="214">
        <v>67.901422600000004</v>
      </c>
      <c r="IJ10" s="214">
        <v>65.927066700000012</v>
      </c>
      <c r="IK10" s="214">
        <v>68.863909400000011</v>
      </c>
      <c r="IL10" s="214">
        <v>90.088585399999999</v>
      </c>
      <c r="IM10" s="214">
        <v>74.862415100000007</v>
      </c>
      <c r="IN10" s="214">
        <v>67.727335500000009</v>
      </c>
      <c r="IO10" s="214">
        <v>72.852545700000007</v>
      </c>
      <c r="IP10" s="214">
        <v>57.310169400000007</v>
      </c>
      <c r="IQ10" s="214">
        <v>88.343046000000001</v>
      </c>
      <c r="IR10" s="214">
        <v>75.197159400000004</v>
      </c>
      <c r="IS10" s="214">
        <v>67.502438300000009</v>
      </c>
      <c r="IT10" s="214">
        <v>72.346788799999999</v>
      </c>
      <c r="IU10" s="214">
        <v>57.6086192</v>
      </c>
      <c r="IV10" s="214">
        <v>87.923425699999996</v>
      </c>
      <c r="IW10" s="214">
        <v>74.728913600000013</v>
      </c>
      <c r="IX10" s="214">
        <v>70.7558808</v>
      </c>
      <c r="IY10" s="214">
        <v>69.984091100000001</v>
      </c>
      <c r="IZ10" s="214">
        <v>58.794881200000006</v>
      </c>
      <c r="JA10" s="214">
        <v>93.858677000000014</v>
      </c>
      <c r="JB10" s="214">
        <v>71.664441199999999</v>
      </c>
      <c r="JC10" s="214">
        <v>63.251371700000007</v>
      </c>
      <c r="JD10" s="214">
        <v>67.48740020000001</v>
      </c>
      <c r="JE10" s="214">
        <v>57.053196200000009</v>
      </c>
      <c r="JF10" s="214">
        <v>87.159482300000008</v>
      </c>
      <c r="JG10" s="214">
        <v>66.5410933</v>
      </c>
      <c r="JH10" s="214">
        <v>61.080798900000005</v>
      </c>
      <c r="JI10" s="214">
        <v>65.770325499999998</v>
      </c>
      <c r="JJ10" s="214">
        <v>57.970880000000008</v>
      </c>
      <c r="JK10" s="214">
        <v>67.726730500000002</v>
      </c>
      <c r="JL10" s="214">
        <v>48.692807899999998</v>
      </c>
      <c r="JM10" s="214">
        <v>42.563016100000006</v>
      </c>
      <c r="JN10" s="214">
        <v>42.941306100000006</v>
      </c>
      <c r="JO10" s="214">
        <v>34.930854199999999</v>
      </c>
      <c r="JP10" s="214">
        <v>45.655997200000002</v>
      </c>
      <c r="JQ10" s="214">
        <v>36.664169300000005</v>
      </c>
      <c r="JR10" s="214">
        <v>38.949016700000001</v>
      </c>
      <c r="JS10" s="214">
        <v>34.278697200000003</v>
      </c>
      <c r="JT10" s="214">
        <v>77.760221999999999</v>
      </c>
      <c r="JU10" s="214">
        <v>70.220123000000001</v>
      </c>
      <c r="JV10" s="214">
        <v>74.070063000000005</v>
      </c>
      <c r="JW10" s="214">
        <v>59.770268000000002</v>
      </c>
      <c r="JX10" s="214">
        <v>89.470308000000003</v>
      </c>
      <c r="JY10" s="214">
        <v>75.070124000000007</v>
      </c>
      <c r="JZ10" s="214">
        <v>69.230176</v>
      </c>
      <c r="KA10" s="214">
        <v>73.899544000000006</v>
      </c>
      <c r="KB10" s="214">
        <v>59.405217999999998</v>
      </c>
      <c r="KC10" s="214">
        <v>83.675385000000006</v>
      </c>
      <c r="KD10" s="214">
        <v>71.442981000000003</v>
      </c>
      <c r="KE10" s="214">
        <v>65.870266999999998</v>
      </c>
      <c r="KF10" s="214">
        <v>69.120914999999997</v>
      </c>
      <c r="KG10" s="214">
        <v>59.332935999999997</v>
      </c>
      <c r="KH10" s="214">
        <v>81.108258000000006</v>
      </c>
      <c r="KI10" s="214">
        <v>67.626756999999998</v>
      </c>
      <c r="KJ10" s="214">
        <v>62.794452999999997</v>
      </c>
      <c r="KK10" s="214">
        <v>65.061192000000005</v>
      </c>
      <c r="KL10" s="214">
        <v>58.20214</v>
      </c>
      <c r="KM10" s="214">
        <v>78.437353000000002</v>
      </c>
      <c r="KN10" s="214">
        <v>66.480732000000003</v>
      </c>
    </row>
    <row r="11" spans="1:300" ht="14.25" customHeight="1" x14ac:dyDescent="0.35">
      <c r="A11" s="215"/>
      <c r="B11" s="195" t="s">
        <v>335</v>
      </c>
      <c r="C11" s="196">
        <v>0.3125</v>
      </c>
      <c r="D11" s="196">
        <v>0.33333333333333298</v>
      </c>
      <c r="E11" s="196">
        <v>0.35416666666666702</v>
      </c>
      <c r="F11" s="196">
        <v>0.375</v>
      </c>
      <c r="G11" s="196">
        <v>0.39583333333333298</v>
      </c>
      <c r="H11" s="196">
        <v>0.41666666666666702</v>
      </c>
      <c r="I11" s="196">
        <v>0.4375</v>
      </c>
      <c r="J11" s="196">
        <v>0.45833333333333298</v>
      </c>
      <c r="K11" s="196">
        <v>0.47916666666666702</v>
      </c>
      <c r="L11" s="196">
        <v>0.5</v>
      </c>
      <c r="M11" s="196">
        <v>0.52083333333333304</v>
      </c>
      <c r="N11" s="196">
        <v>0.54166666666666696</v>
      </c>
      <c r="O11" s="196">
        <v>0.5625</v>
      </c>
      <c r="P11" s="196">
        <v>0.58333333333333304</v>
      </c>
      <c r="Q11" s="196">
        <v>0.60416666666666696</v>
      </c>
      <c r="R11" s="196">
        <v>0.625</v>
      </c>
      <c r="S11" s="196">
        <v>0.64583333333333304</v>
      </c>
      <c r="T11" s="196">
        <v>0.66666666666666696</v>
      </c>
      <c r="U11" s="196">
        <v>0.6875</v>
      </c>
      <c r="V11" s="196">
        <v>0.70833333333333304</v>
      </c>
      <c r="W11" s="197"/>
      <c r="AA11" s="196">
        <v>0.5</v>
      </c>
      <c r="AB11" s="207">
        <v>75.90361445783131</v>
      </c>
      <c r="AC11" s="207">
        <v>62.278481012658219</v>
      </c>
      <c r="AD11" s="207">
        <v>50.289473684210527</v>
      </c>
      <c r="AE11" s="207">
        <v>50.225000000000009</v>
      </c>
      <c r="AF11" s="207">
        <v>45.093333333333327</v>
      </c>
      <c r="AG11" s="207">
        <v>64.265060240963848</v>
      </c>
      <c r="AH11" s="207">
        <v>54.683544303797476</v>
      </c>
      <c r="AI11" s="207">
        <v>47.723684210526322</v>
      </c>
      <c r="AJ11" s="207">
        <v>49.199999999999996</v>
      </c>
      <c r="AK11" s="207">
        <v>44.586666666666673</v>
      </c>
      <c r="AL11" s="207">
        <v>62.746987951807228</v>
      </c>
      <c r="AM11" s="207">
        <v>54.683544303797476</v>
      </c>
      <c r="AN11" s="207">
        <v>48.23684210526315</v>
      </c>
      <c r="AO11" s="207">
        <v>48.687500000000007</v>
      </c>
      <c r="AP11" s="207">
        <v>43.573333333333338</v>
      </c>
      <c r="AQ11" s="207">
        <v>55.156626506024089</v>
      </c>
      <c r="AR11" s="207">
        <v>53.164556962025323</v>
      </c>
      <c r="AS11" s="207">
        <v>46.697368421052637</v>
      </c>
      <c r="AT11" s="207">
        <v>47.662499999999994</v>
      </c>
      <c r="AU11" s="207">
        <v>45.093333333333327</v>
      </c>
      <c r="AV11" s="207">
        <v>53.638554216867469</v>
      </c>
      <c r="AW11" s="207">
        <v>33.561500615006153</v>
      </c>
      <c r="AX11" s="207">
        <v>38.258212375859429</v>
      </c>
      <c r="AY11" s="207">
        <v>42.03198781416603</v>
      </c>
      <c r="AZ11" s="207">
        <v>34.489465153970826</v>
      </c>
      <c r="BA11" s="207">
        <v>34.341692789968647</v>
      </c>
      <c r="BB11" s="207">
        <v>31.181102362204722</v>
      </c>
      <c r="BC11" s="207">
        <v>33.174825174825173</v>
      </c>
      <c r="BD11" s="207">
        <v>36.008350730688932</v>
      </c>
      <c r="BE11" s="207">
        <v>30.961352657004831</v>
      </c>
      <c r="BF11" s="207">
        <v>32.206827309236949</v>
      </c>
      <c r="BG11" s="207">
        <v>28.697033898305087</v>
      </c>
      <c r="BH11" s="207">
        <v>31.24338624338624</v>
      </c>
      <c r="BI11" s="207">
        <v>33.605210420841686</v>
      </c>
      <c r="BJ11" s="207">
        <v>29.53810264385692</v>
      </c>
      <c r="BK11" s="207">
        <v>32.700906344410875</v>
      </c>
      <c r="BL11" s="207">
        <v>29.598295151838041</v>
      </c>
      <c r="BM11" s="207">
        <v>33.214743589743591</v>
      </c>
      <c r="BN11" s="207">
        <v>35.864583333333329</v>
      </c>
      <c r="BO11" s="207">
        <v>30.752521334367728</v>
      </c>
      <c r="BP11" s="207">
        <v>34.159919028340084</v>
      </c>
      <c r="BQ11" s="208">
        <v>29.104210526315789</v>
      </c>
      <c r="BR11" s="208">
        <v>33.061538461538461</v>
      </c>
      <c r="BS11" s="208">
        <v>39.872246696035241</v>
      </c>
      <c r="BT11" s="208">
        <v>30.569206842923794</v>
      </c>
      <c r="BU11" s="208">
        <v>35.798946864528482</v>
      </c>
      <c r="BV11" s="208">
        <v>30.391959798994975</v>
      </c>
      <c r="BW11" s="208">
        <v>34.626606683804631</v>
      </c>
      <c r="BX11" s="208">
        <v>40.771464646464644</v>
      </c>
      <c r="BY11" s="208">
        <v>32.090909090909093</v>
      </c>
      <c r="BZ11" s="208">
        <v>35.771863117870723</v>
      </c>
      <c r="CA11" s="208">
        <v>29.670329670329672</v>
      </c>
      <c r="CB11" s="208">
        <v>35.479365079365081</v>
      </c>
      <c r="CC11" s="208">
        <v>41.329367564182846</v>
      </c>
      <c r="CD11" s="208">
        <v>33.17220543806647</v>
      </c>
      <c r="CE11" s="208">
        <v>36.406582768635047</v>
      </c>
      <c r="CF11" s="208">
        <v>32.81868969019807</v>
      </c>
      <c r="CG11" s="208">
        <v>39.250972762645915</v>
      </c>
      <c r="CH11" s="208">
        <v>44.996813256851496</v>
      </c>
      <c r="CI11" s="208">
        <v>35.124409448818895</v>
      </c>
      <c r="CJ11" s="208">
        <v>36.353061224489792</v>
      </c>
      <c r="CK11" s="208">
        <v>35.087053571428569</v>
      </c>
      <c r="CL11" s="208">
        <v>47.475409836065573</v>
      </c>
      <c r="CM11" s="208">
        <v>59.136798088410991</v>
      </c>
      <c r="CN11" s="209">
        <v>39.224691786552071</v>
      </c>
      <c r="CO11" s="210">
        <v>69.828997601828604</v>
      </c>
      <c r="CP11" s="210">
        <v>61.52329399623752</v>
      </c>
      <c r="CQ11" s="210">
        <v>52.190413263282082</v>
      </c>
      <c r="CR11" s="210">
        <v>50.983033298138125</v>
      </c>
      <c r="CS11" s="210">
        <v>43.679162238607468</v>
      </c>
      <c r="CT11" s="210">
        <v>63.827220850401986</v>
      </c>
      <c r="CU11" s="210">
        <v>60.576410455020465</v>
      </c>
      <c r="CV11" s="210">
        <v>53.072005171598427</v>
      </c>
      <c r="CW11" s="210">
        <v>51.569038076023034</v>
      </c>
      <c r="CX11" s="210">
        <v>46.335017913858159</v>
      </c>
      <c r="CY11" s="210">
        <v>64.408115080643839</v>
      </c>
      <c r="CZ11" s="210">
        <v>57.573282337181261</v>
      </c>
      <c r="DA11" s="210">
        <v>55.711705891066899</v>
      </c>
      <c r="DB11" s="210">
        <v>46.347316252670275</v>
      </c>
      <c r="DC11" s="210">
        <v>61.900864109033613</v>
      </c>
      <c r="DD11" s="210">
        <v>59.477902070148659</v>
      </c>
      <c r="DE11" s="210">
        <v>54.256590831613693</v>
      </c>
      <c r="DF11" s="210">
        <v>52.697475635243144</v>
      </c>
      <c r="DG11" s="210">
        <v>42.776722700090922</v>
      </c>
      <c r="DH11" s="210">
        <v>80.274100615728344</v>
      </c>
      <c r="DI11" s="210">
        <v>68.405588768157372</v>
      </c>
      <c r="DJ11" s="210">
        <v>59.851947563863916</v>
      </c>
      <c r="DK11" s="210">
        <v>58.608601617700842</v>
      </c>
      <c r="DL11" s="210">
        <v>48.105417724492639</v>
      </c>
      <c r="DM11" s="210">
        <v>77.268632764831949</v>
      </c>
      <c r="DN11" s="210">
        <v>71.475641855840678</v>
      </c>
      <c r="DO11" s="210">
        <v>62.19768928312655</v>
      </c>
      <c r="DP11" s="210">
        <v>60.962230714142052</v>
      </c>
      <c r="DQ11" s="210">
        <v>49.348353720662779</v>
      </c>
      <c r="DR11" s="210">
        <v>75.396680777526385</v>
      </c>
      <c r="DS11" s="210">
        <v>71.475641855840678</v>
      </c>
      <c r="DT11" s="210">
        <v>62.19768928312655</v>
      </c>
      <c r="DU11" s="210">
        <v>60.962230714142052</v>
      </c>
      <c r="DV11" s="210">
        <v>49.33344882698902</v>
      </c>
      <c r="DW11" s="210">
        <v>69.391002904639265</v>
      </c>
      <c r="DX11" s="210">
        <v>66.694143534001796</v>
      </c>
      <c r="DY11" s="210">
        <v>48.904629641634457</v>
      </c>
      <c r="DZ11" s="210">
        <v>43.717081306285934</v>
      </c>
      <c r="EA11" s="210">
        <v>75.683666897313032</v>
      </c>
      <c r="EB11" s="210">
        <v>66.111965759112863</v>
      </c>
      <c r="EC11" s="211">
        <v>29.552751705087534</v>
      </c>
      <c r="ED11" s="211">
        <v>30.208042961479489</v>
      </c>
      <c r="EE11" s="211">
        <v>28.145500360592287</v>
      </c>
      <c r="EF11" s="211">
        <v>31.828329967134756</v>
      </c>
      <c r="EG11" s="211">
        <v>29.357475820406766</v>
      </c>
      <c r="EH11" s="211">
        <v>30.456006326541541</v>
      </c>
      <c r="EI11" s="211">
        <v>27.146214648601877</v>
      </c>
      <c r="EJ11" s="211">
        <v>39.171105894698883</v>
      </c>
      <c r="EK11" s="211">
        <v>34.641690800125467</v>
      </c>
      <c r="EL11" s="211">
        <v>31.613109420271744</v>
      </c>
      <c r="EM11" s="211">
        <v>31.076267145641769</v>
      </c>
      <c r="EN11" s="211">
        <v>28.533358006820698</v>
      </c>
      <c r="EO11" s="211">
        <v>37.45659292985912</v>
      </c>
      <c r="EP11" s="211">
        <v>34.082685869801402</v>
      </c>
      <c r="EQ11" s="211">
        <v>31.217734827598814</v>
      </c>
      <c r="ER11" s="211">
        <v>30.470977649990971</v>
      </c>
      <c r="ES11" s="211">
        <v>28.250942583087298</v>
      </c>
      <c r="ET11" s="211">
        <v>35.90149589147353</v>
      </c>
      <c r="EU11" s="211">
        <v>33.751548552438294</v>
      </c>
      <c r="EV11" s="211">
        <v>31.567645344975308</v>
      </c>
      <c r="EW11" s="211">
        <v>32.021927785694679</v>
      </c>
      <c r="EX11" s="212">
        <v>32.241599880168238</v>
      </c>
      <c r="EY11" s="212">
        <v>42.059594686007486</v>
      </c>
      <c r="EZ11" s="212">
        <v>35.808549448496429</v>
      </c>
      <c r="FA11" s="212">
        <v>33.003765370678224</v>
      </c>
      <c r="FB11" s="212">
        <v>33.772414266162656</v>
      </c>
      <c r="FC11" s="212">
        <v>31.697694372108035</v>
      </c>
      <c r="FD11" s="212">
        <v>35.953746087777688</v>
      </c>
      <c r="FE11" s="212">
        <v>35.179658534793418</v>
      </c>
      <c r="FF11" s="212">
        <v>31.745460348394804</v>
      </c>
      <c r="FG11" s="212">
        <v>25.617180521551351</v>
      </c>
      <c r="FH11" s="212">
        <v>40.032767058106209</v>
      </c>
      <c r="FI11" s="212">
        <v>36.882538326594052</v>
      </c>
      <c r="FJ11" s="212">
        <v>32.8248393600349</v>
      </c>
      <c r="FK11" s="212">
        <v>31.622471483221393</v>
      </c>
      <c r="FL11" s="212">
        <v>29.11990760170276</v>
      </c>
      <c r="FM11" s="212">
        <v>36.447651240048501</v>
      </c>
      <c r="FN11" s="212">
        <v>32.857285872178416</v>
      </c>
      <c r="FO11" s="212">
        <v>27.199087611297589</v>
      </c>
      <c r="FP11" s="212">
        <v>26.568044788775758</v>
      </c>
      <c r="FQ11" s="212">
        <v>24.824610566828163</v>
      </c>
      <c r="FR11" s="213">
        <v>44.988899872541673</v>
      </c>
      <c r="FS11" s="213">
        <v>36.506362366508988</v>
      </c>
      <c r="FT11" s="213">
        <v>33.523574729551136</v>
      </c>
      <c r="FU11" s="213">
        <v>31.448512280724437</v>
      </c>
      <c r="FV11" s="213">
        <v>28.909483680466963</v>
      </c>
      <c r="FW11" s="213">
        <v>43.641843990926581</v>
      </c>
      <c r="FX11" s="213">
        <v>34.130015414494814</v>
      </c>
      <c r="FY11" s="213">
        <v>33.420669353979321</v>
      </c>
      <c r="FZ11" s="213">
        <v>31.560914632556631</v>
      </c>
      <c r="GA11" s="213">
        <v>28.375719100917923</v>
      </c>
      <c r="GB11" s="213">
        <v>36.698537082623865</v>
      </c>
      <c r="GC11" s="213">
        <v>32.590907557525668</v>
      </c>
      <c r="GD11" s="213">
        <v>33.208446325901512</v>
      </c>
      <c r="GE11" s="213">
        <v>27.003981463123278</v>
      </c>
      <c r="GF11" s="213">
        <v>45.879356837144329</v>
      </c>
      <c r="GG11" s="213">
        <v>37.382150061208172</v>
      </c>
      <c r="GH11" s="213">
        <v>33.748853649623349</v>
      </c>
      <c r="GI11" s="213">
        <v>34.155529376413497</v>
      </c>
      <c r="GJ11" s="213">
        <v>28.927901982064615</v>
      </c>
      <c r="GK11" s="213">
        <v>52.131405895691593</v>
      </c>
      <c r="GL11" s="213">
        <v>38.872632922487604</v>
      </c>
      <c r="GM11" s="213">
        <v>36.803075396825406</v>
      </c>
      <c r="GN11" s="213">
        <v>33.975884967012611</v>
      </c>
      <c r="GO11" s="213">
        <v>33.602126216694394</v>
      </c>
      <c r="GP11" s="213">
        <v>52.513873759652256</v>
      </c>
      <c r="GQ11" s="213">
        <v>39.743839420746895</v>
      </c>
      <c r="GR11" s="213">
        <v>40.649793769496192</v>
      </c>
      <c r="GS11" s="213">
        <v>38.984411814337577</v>
      </c>
      <c r="GT11" s="213">
        <v>34.26790056051955</v>
      </c>
      <c r="GU11" s="213">
        <v>49.122908164323057</v>
      </c>
      <c r="GV11" s="213">
        <v>43.071330844476172</v>
      </c>
      <c r="GW11" s="213">
        <v>40.47052160959602</v>
      </c>
      <c r="GX11" s="213">
        <v>39.526892975897454</v>
      </c>
      <c r="GY11" s="213">
        <v>34.976478510040742</v>
      </c>
      <c r="GZ11" s="213">
        <v>49.93225576539929</v>
      </c>
      <c r="HA11" s="213">
        <v>40.189625701417341</v>
      </c>
      <c r="HB11" s="213">
        <v>37.595919060393292</v>
      </c>
      <c r="HC11" s="213">
        <v>35.52078532611695</v>
      </c>
      <c r="HD11" s="213">
        <v>32.502827011977757</v>
      </c>
      <c r="HE11" s="213">
        <v>46.938345594173136</v>
      </c>
      <c r="HF11" s="213">
        <v>47.201587930680518</v>
      </c>
      <c r="HG11" s="213">
        <v>47.302464290411322</v>
      </c>
      <c r="HH11" s="213">
        <v>54.928229942970816</v>
      </c>
      <c r="HI11" s="213">
        <v>50.303477554747367</v>
      </c>
      <c r="HJ11" s="214">
        <v>79.581760980000013</v>
      </c>
      <c r="HK11" s="214">
        <v>68.731274174999996</v>
      </c>
      <c r="HL11" s="214">
        <v>63.837646400000004</v>
      </c>
      <c r="HM11" s="214">
        <v>70.076024700000005</v>
      </c>
      <c r="HN11" s="214">
        <v>50.128445400000004</v>
      </c>
      <c r="HO11" s="214">
        <v>73.386720300000007</v>
      </c>
      <c r="HP11" s="214">
        <v>67.366667024999998</v>
      </c>
      <c r="HQ11" s="214">
        <v>62.173558700000008</v>
      </c>
      <c r="HR11" s="214">
        <v>67.625765900000005</v>
      </c>
      <c r="HS11" s="214">
        <v>46.818759900000003</v>
      </c>
      <c r="HT11" s="214">
        <v>64.507667975000004</v>
      </c>
      <c r="HU11" s="214">
        <v>55.206914400000009</v>
      </c>
      <c r="HV11" s="214">
        <v>60.658670600000008</v>
      </c>
      <c r="HW11" s="214">
        <v>66.650411300000002</v>
      </c>
      <c r="HX11" s="214">
        <v>44.745278600000006</v>
      </c>
      <c r="HY11" s="214">
        <v>52.494845699999999</v>
      </c>
      <c r="HZ11" s="214">
        <v>40.540852000000001</v>
      </c>
      <c r="IA11" s="214">
        <v>47.155809800000007</v>
      </c>
      <c r="IB11" s="214">
        <v>52.960872800000004</v>
      </c>
      <c r="IC11" s="214">
        <v>22.202156900000002</v>
      </c>
      <c r="ID11" s="214">
        <v>30.429097600000002</v>
      </c>
      <c r="IE11" s="214">
        <v>30.264045899999999</v>
      </c>
      <c r="IF11" s="214">
        <v>31.375353900000004</v>
      </c>
      <c r="IG11" s="214">
        <v>19.678550100000002</v>
      </c>
      <c r="IH11" s="214">
        <v>52.133599100000005</v>
      </c>
      <c r="II11" s="214">
        <v>37.990310600000001</v>
      </c>
      <c r="IJ11" s="214">
        <v>41.103557000000002</v>
      </c>
      <c r="IK11" s="214">
        <v>45.794465200000005</v>
      </c>
      <c r="IL11" s="214">
        <v>53.046919200000005</v>
      </c>
      <c r="IM11" s="214">
        <v>44.951304200000003</v>
      </c>
      <c r="IN11" s="214">
        <v>42.903825800000007</v>
      </c>
      <c r="IO11" s="214">
        <v>49.783100400000009</v>
      </c>
      <c r="IP11" s="214">
        <v>37.315725700000002</v>
      </c>
      <c r="IQ11" s="214">
        <v>51.301378700000001</v>
      </c>
      <c r="IR11" s="214">
        <v>45.2860485</v>
      </c>
      <c r="IS11" s="214">
        <v>42.6789275</v>
      </c>
      <c r="IT11" s="214">
        <v>49.277344600000006</v>
      </c>
      <c r="IU11" s="214">
        <v>37.614174400000003</v>
      </c>
      <c r="IV11" s="214">
        <v>50.881759500000001</v>
      </c>
      <c r="IW11" s="214">
        <v>44.817802700000001</v>
      </c>
      <c r="IX11" s="214">
        <v>45.932370000000006</v>
      </c>
      <c r="IY11" s="214">
        <v>46.914645800000002</v>
      </c>
      <c r="IZ11" s="214">
        <v>38.800436400000009</v>
      </c>
      <c r="JA11" s="214">
        <v>56.8170097</v>
      </c>
      <c r="JB11" s="214">
        <v>41.753330300000002</v>
      </c>
      <c r="JC11" s="214">
        <v>38.427860899999999</v>
      </c>
      <c r="JD11" s="214">
        <v>44.417954900000005</v>
      </c>
      <c r="JE11" s="214">
        <v>37.058751400000006</v>
      </c>
      <c r="JF11" s="214">
        <v>50.117815000000007</v>
      </c>
      <c r="JG11" s="214">
        <v>36.629981299999997</v>
      </c>
      <c r="JH11" s="214">
        <v>36.257288100000004</v>
      </c>
      <c r="JI11" s="214">
        <v>42.7008802</v>
      </c>
      <c r="JJ11" s="214">
        <v>37.976435200000004</v>
      </c>
      <c r="JK11" s="214">
        <v>30.685064300000004</v>
      </c>
      <c r="JL11" s="214">
        <v>18.781697000000001</v>
      </c>
      <c r="JM11" s="214">
        <v>17.739505300000005</v>
      </c>
      <c r="JN11" s="214">
        <v>19.871861899999999</v>
      </c>
      <c r="JO11" s="214">
        <v>14.936410500000001</v>
      </c>
      <c r="JP11" s="214">
        <v>15.744886300000001</v>
      </c>
      <c r="JQ11" s="214">
        <v>11.8406585</v>
      </c>
      <c r="JR11" s="214">
        <v>15.8795725</v>
      </c>
      <c r="JS11" s="214">
        <v>14.284253500000002</v>
      </c>
      <c r="JT11" s="214">
        <v>45.820829000000003</v>
      </c>
      <c r="JU11" s="214">
        <v>42.174667999999997</v>
      </c>
      <c r="JV11" s="214">
        <v>48.703901000000002</v>
      </c>
      <c r="JW11" s="214">
        <v>38.123803000000002</v>
      </c>
      <c r="JX11" s="214">
        <v>53.606670999999999</v>
      </c>
      <c r="JY11" s="214">
        <v>43.13073</v>
      </c>
      <c r="JZ11" s="214">
        <v>41.184722000000001</v>
      </c>
      <c r="KA11" s="214">
        <v>48.533382000000003</v>
      </c>
      <c r="KB11" s="214">
        <v>37.758752999999999</v>
      </c>
      <c r="KC11" s="214">
        <v>47.811748999999999</v>
      </c>
      <c r="KD11" s="214">
        <v>39.503587000000003</v>
      </c>
      <c r="KE11" s="214">
        <v>37.824812999999999</v>
      </c>
      <c r="KF11" s="214">
        <v>43.754753000000001</v>
      </c>
      <c r="KG11" s="214">
        <v>37.686470999999997</v>
      </c>
      <c r="KH11" s="214">
        <v>45.244622</v>
      </c>
      <c r="KI11" s="214">
        <v>35.687362999999998</v>
      </c>
      <c r="KJ11" s="214">
        <v>34.748998</v>
      </c>
      <c r="KK11" s="214">
        <v>39.695030000000003</v>
      </c>
      <c r="KL11" s="214">
        <v>36.555675000000001</v>
      </c>
      <c r="KM11" s="214">
        <v>42.573717000000002</v>
      </c>
      <c r="KN11" s="214">
        <v>34.541338000000003</v>
      </c>
    </row>
    <row r="12" spans="1:300" x14ac:dyDescent="0.35">
      <c r="A12" s="216" t="str">
        <f t="shared" ref="A12:A75" si="0">TEXT(B12,"jjjj")</f>
        <v>lundi</v>
      </c>
      <c r="B12" s="217">
        <v>44564</v>
      </c>
      <c r="C12" s="202">
        <v>0</v>
      </c>
      <c r="D12" s="202">
        <v>145</v>
      </c>
      <c r="E12" s="202">
        <v>180</v>
      </c>
      <c r="F12" s="202">
        <v>233</v>
      </c>
      <c r="G12" s="202">
        <v>197</v>
      </c>
      <c r="H12" s="202">
        <v>176</v>
      </c>
      <c r="I12" s="202">
        <v>170</v>
      </c>
      <c r="J12" s="202">
        <v>155</v>
      </c>
      <c r="K12" s="202">
        <v>112</v>
      </c>
      <c r="L12" s="202">
        <v>53</v>
      </c>
      <c r="M12" s="202">
        <v>33</v>
      </c>
      <c r="N12" s="202">
        <v>59</v>
      </c>
      <c r="O12" s="202">
        <v>130</v>
      </c>
      <c r="P12" s="202">
        <v>131</v>
      </c>
      <c r="Q12" s="202">
        <v>103</v>
      </c>
      <c r="R12" s="202">
        <v>105</v>
      </c>
      <c r="S12" s="202">
        <v>80</v>
      </c>
      <c r="T12" s="202">
        <v>72</v>
      </c>
      <c r="U12" s="202">
        <v>54</v>
      </c>
      <c r="V12" s="202">
        <v>0</v>
      </c>
      <c r="W12" s="203">
        <f t="shared" ref="W12:W75" si="1">SUM(C12:U12)</f>
        <v>2188</v>
      </c>
      <c r="AA12" s="196">
        <v>0.52083333333333304</v>
      </c>
      <c r="AB12" s="207">
        <v>74.09638554216869</v>
      </c>
      <c r="AC12" s="207">
        <v>60.721518987341781</v>
      </c>
      <c r="AD12" s="207">
        <v>47.710526315789473</v>
      </c>
      <c r="AE12" s="207">
        <v>47.774999999999991</v>
      </c>
      <c r="AF12" s="207">
        <v>43.906666666666673</v>
      </c>
      <c r="AG12" s="207">
        <v>62.734939759036152</v>
      </c>
      <c r="AH12" s="207">
        <v>53.316455696202524</v>
      </c>
      <c r="AI12" s="207">
        <v>45.276315789473678</v>
      </c>
      <c r="AJ12" s="207">
        <v>46.800000000000004</v>
      </c>
      <c r="AK12" s="207">
        <v>43.413333333333327</v>
      </c>
      <c r="AL12" s="207">
        <v>61.253012048192772</v>
      </c>
      <c r="AM12" s="207">
        <v>53.316455696202524</v>
      </c>
      <c r="AN12" s="207">
        <v>45.76315789473685</v>
      </c>
      <c r="AO12" s="207">
        <v>46.312499999999993</v>
      </c>
      <c r="AP12" s="207">
        <v>42.426666666666662</v>
      </c>
      <c r="AQ12" s="207">
        <v>53.843373493975911</v>
      </c>
      <c r="AR12" s="207">
        <v>51.835443037974677</v>
      </c>
      <c r="AS12" s="207">
        <v>44.302631578947363</v>
      </c>
      <c r="AT12" s="207">
        <v>45.337500000000006</v>
      </c>
      <c r="AU12" s="207">
        <v>43.906666666666673</v>
      </c>
      <c r="AV12" s="207">
        <v>52.361445783132531</v>
      </c>
      <c r="AW12" s="207">
        <v>32.742927429274296</v>
      </c>
      <c r="AX12" s="207">
        <v>36.345301757066458</v>
      </c>
      <c r="AY12" s="207">
        <v>40.030464584920026</v>
      </c>
      <c r="AZ12" s="207">
        <v>32.764991896272285</v>
      </c>
      <c r="BA12" s="207">
        <v>34.341692789968647</v>
      </c>
      <c r="BB12" s="207">
        <v>29.696287964004497</v>
      </c>
      <c r="BC12" s="207">
        <v>31.516083916083915</v>
      </c>
      <c r="BD12" s="207">
        <v>34.293667362560889</v>
      </c>
      <c r="BE12" s="207">
        <v>29.373590982286633</v>
      </c>
      <c r="BF12" s="207">
        <v>31.457831325301203</v>
      </c>
      <c r="BG12" s="207">
        <v>27.33050847457627</v>
      </c>
      <c r="BH12" s="207">
        <v>29.68121693121693</v>
      </c>
      <c r="BI12" s="207">
        <v>31.965931863727455</v>
      </c>
      <c r="BJ12" s="207">
        <v>28.023328149300156</v>
      </c>
      <c r="BK12" s="207">
        <v>31.957703927492449</v>
      </c>
      <c r="BL12" s="207">
        <v>28.221630261054877</v>
      </c>
      <c r="BM12" s="207">
        <v>30.897435897435898</v>
      </c>
      <c r="BN12" s="207">
        <v>35.049479166666664</v>
      </c>
      <c r="BO12" s="207">
        <v>29.983708301008534</v>
      </c>
      <c r="BP12" s="207">
        <v>33.400809716599191</v>
      </c>
      <c r="BQ12" s="208">
        <v>27.750526315789475</v>
      </c>
      <c r="BR12" s="208">
        <v>30.7</v>
      </c>
      <c r="BS12" s="208">
        <v>39.058527375707989</v>
      </c>
      <c r="BT12" s="208">
        <v>29.785381026438571</v>
      </c>
      <c r="BU12" s="208">
        <v>35.053135471517471</v>
      </c>
      <c r="BV12" s="208">
        <v>29.041206030150754</v>
      </c>
      <c r="BW12" s="208">
        <v>32.210796915167094</v>
      </c>
      <c r="BX12" s="208">
        <v>39.939393939393938</v>
      </c>
      <c r="BY12" s="208">
        <v>31.288636363636364</v>
      </c>
      <c r="BZ12" s="208">
        <v>35.026615969581748</v>
      </c>
      <c r="CA12" s="208">
        <v>28.996003996003999</v>
      </c>
      <c r="CB12" s="208">
        <v>33.060317460317464</v>
      </c>
      <c r="CC12" s="208">
        <v>40.485911083281152</v>
      </c>
      <c r="CD12" s="208">
        <v>32.342900302114806</v>
      </c>
      <c r="CE12" s="208">
        <v>35.648112294288481</v>
      </c>
      <c r="CF12" s="208">
        <v>32.089385474860336</v>
      </c>
      <c r="CG12" s="208">
        <v>36.634241245136188</v>
      </c>
      <c r="CH12" s="208">
        <v>44.096876991714467</v>
      </c>
      <c r="CI12" s="208">
        <v>33.411023622047246</v>
      </c>
      <c r="CJ12" s="208">
        <v>36.353061224489792</v>
      </c>
      <c r="CK12" s="208">
        <v>34.289620535714285</v>
      </c>
      <c r="CL12" s="208">
        <v>45.649432534678439</v>
      </c>
      <c r="CM12" s="208">
        <v>58.227001194743131</v>
      </c>
      <c r="CN12" s="209">
        <v>39.468779009642716</v>
      </c>
      <c r="CO12" s="210">
        <v>67.246519896007882</v>
      </c>
      <c r="CP12" s="210">
        <v>60.36608795429229</v>
      </c>
      <c r="CQ12" s="210">
        <v>52.705249818752129</v>
      </c>
      <c r="CR12" s="210">
        <v>51.145194415011701</v>
      </c>
      <c r="CS12" s="210">
        <v>43.947658184007174</v>
      </c>
      <c r="CT12" s="210">
        <v>62.52249369184004</v>
      </c>
      <c r="CU12" s="210">
        <v>60.012426629687056</v>
      </c>
      <c r="CV12" s="210">
        <v>54.18006394368031</v>
      </c>
      <c r="CW12" s="210">
        <v>52.324421409508432</v>
      </c>
      <c r="CX12" s="210">
        <v>46.768945402910759</v>
      </c>
      <c r="CY12" s="210">
        <v>62.927412895610068</v>
      </c>
      <c r="CZ12" s="210">
        <v>57.769072526594911</v>
      </c>
      <c r="DA12" s="210">
        <v>55.546618887498084</v>
      </c>
      <c r="DB12" s="210">
        <v>45.843206350401537</v>
      </c>
      <c r="DC12" s="210">
        <v>61.066307992151714</v>
      </c>
      <c r="DD12" s="210">
        <v>57.962764950579206</v>
      </c>
      <c r="DE12" s="210">
        <v>54.452381021027335</v>
      </c>
      <c r="DF12" s="210">
        <v>52.53238863167433</v>
      </c>
      <c r="DG12" s="210">
        <v>42.714199336283748</v>
      </c>
      <c r="DH12" s="210">
        <v>79.420136217058513</v>
      </c>
      <c r="DI12" s="210">
        <v>66.890451648587941</v>
      </c>
      <c r="DJ12" s="210">
        <v>60.047737753277538</v>
      </c>
      <c r="DK12" s="210">
        <v>58.44351461413202</v>
      </c>
      <c r="DL12" s="210">
        <v>48.042894360685445</v>
      </c>
      <c r="DM12" s="210">
        <v>76.414668366162118</v>
      </c>
      <c r="DN12" s="210">
        <v>69.960504736271233</v>
      </c>
      <c r="DO12" s="210">
        <v>62.393479472540179</v>
      </c>
      <c r="DP12" s="210">
        <v>60.797143710573231</v>
      </c>
      <c r="DQ12" s="210">
        <v>49.285830356855605</v>
      </c>
      <c r="DR12" s="210">
        <v>74.542716378856554</v>
      </c>
      <c r="DS12" s="210">
        <v>69.960504736271233</v>
      </c>
      <c r="DT12" s="210">
        <v>62.393479472540179</v>
      </c>
      <c r="DU12" s="210">
        <v>60.797143710573231</v>
      </c>
      <c r="DV12" s="210">
        <v>49.270925463181825</v>
      </c>
      <c r="DW12" s="210">
        <v>68.537038505969434</v>
      </c>
      <c r="DX12" s="210">
        <v>65.179006414432351</v>
      </c>
      <c r="DY12" s="210">
        <v>49.100419831048086</v>
      </c>
      <c r="DZ12" s="210">
        <v>43.212971404017225</v>
      </c>
      <c r="EA12" s="210">
        <v>74.829702498643201</v>
      </c>
      <c r="EB12" s="210">
        <v>64.596828639543418</v>
      </c>
      <c r="EC12" s="211">
        <v>24.48110699610482</v>
      </c>
      <c r="ED12" s="211">
        <v>25.131557310099438</v>
      </c>
      <c r="EE12" s="211">
        <v>23.35406152562695</v>
      </c>
      <c r="EF12" s="211">
        <v>26.086915379009138</v>
      </c>
      <c r="EG12" s="211">
        <v>24.405413113382213</v>
      </c>
      <c r="EH12" s="211">
        <v>25.197792578814123</v>
      </c>
      <c r="EI12" s="211">
        <v>22.165266458940899</v>
      </c>
      <c r="EJ12" s="211">
        <v>34.74867922348826</v>
      </c>
      <c r="EK12" s="211">
        <v>28.759665569450455</v>
      </c>
      <c r="EL12" s="211">
        <v>26.455616830802214</v>
      </c>
      <c r="EM12" s="211">
        <v>25.803815568303321</v>
      </c>
      <c r="EN12" s="211">
        <v>23.584204301329596</v>
      </c>
      <c r="EO12" s="211">
        <v>33.287166705181633</v>
      </c>
      <c r="EP12" s="211">
        <v>28.646620225334466</v>
      </c>
      <c r="EQ12" s="211">
        <v>26.149646984494638</v>
      </c>
      <c r="ER12" s="211">
        <v>25.38952610015939</v>
      </c>
      <c r="ES12" s="211">
        <v>23.261296804695036</v>
      </c>
      <c r="ET12" s="211">
        <v>31.08932379318389</v>
      </c>
      <c r="EU12" s="211">
        <v>27.84136639861455</v>
      </c>
      <c r="EV12" s="211">
        <v>25.727960863270798</v>
      </c>
      <c r="EW12" s="211">
        <v>27.464911605796662</v>
      </c>
      <c r="EX12" s="212">
        <v>27.095258600277838</v>
      </c>
      <c r="EY12" s="212">
        <v>38.777414299830099</v>
      </c>
      <c r="EZ12" s="212">
        <v>31.093566824447841</v>
      </c>
      <c r="FA12" s="212">
        <v>28.381593499253931</v>
      </c>
      <c r="FB12" s="212">
        <v>28.394484255382292</v>
      </c>
      <c r="FC12" s="212">
        <v>26.197592553260765</v>
      </c>
      <c r="FD12" s="212">
        <v>31.047856639087875</v>
      </c>
      <c r="FE12" s="212">
        <v>30.330832737914722</v>
      </c>
      <c r="FF12" s="212">
        <v>26.518223868314539</v>
      </c>
      <c r="FG12" s="212">
        <v>19.47011081066605</v>
      </c>
      <c r="FH12" s="212">
        <v>35.160929181559261</v>
      </c>
      <c r="FI12" s="212">
        <v>31.508502677794329</v>
      </c>
      <c r="FJ12" s="212">
        <v>27.250821295685498</v>
      </c>
      <c r="FK12" s="212">
        <v>25.791488842517904</v>
      </c>
      <c r="FL12" s="212">
        <v>22.948634543018876</v>
      </c>
      <c r="FM12" s="212">
        <v>31.2540459498613</v>
      </c>
      <c r="FN12" s="212">
        <v>27.572319738699086</v>
      </c>
      <c r="FO12" s="212">
        <v>21.608534270428301</v>
      </c>
      <c r="FP12" s="212">
        <v>21.097464310238305</v>
      </c>
      <c r="FQ12" s="212">
        <v>18.995600373801363</v>
      </c>
      <c r="FR12" s="213">
        <v>40.635135368747314</v>
      </c>
      <c r="FS12" s="213">
        <v>32.12559888252791</v>
      </c>
      <c r="FT12" s="213">
        <v>29.150934547435771</v>
      </c>
      <c r="FU12" s="213">
        <v>26.955867669192372</v>
      </c>
      <c r="FV12" s="213">
        <v>26.15619952042249</v>
      </c>
      <c r="FW12" s="213">
        <v>40.632061646724758</v>
      </c>
      <c r="FX12" s="213">
        <v>29.67827427347375</v>
      </c>
      <c r="FY12" s="213">
        <v>28.646288017696566</v>
      </c>
      <c r="FZ12" s="213">
        <v>28.404823169300968</v>
      </c>
      <c r="GA12" s="213">
        <v>25.673269662735265</v>
      </c>
      <c r="GB12" s="213">
        <v>32.294712632709</v>
      </c>
      <c r="GC12" s="213">
        <v>29.756915596001697</v>
      </c>
      <c r="GD12" s="213">
        <v>30.32075534104051</v>
      </c>
      <c r="GE12" s="213">
        <v>25.718077583926934</v>
      </c>
      <c r="GF12" s="213">
        <v>43.011897034822809</v>
      </c>
      <c r="GG12" s="213">
        <v>33.068825054145691</v>
      </c>
      <c r="GH12" s="213">
        <v>30.936449178821405</v>
      </c>
      <c r="GI12" s="213">
        <v>31.30923526171237</v>
      </c>
      <c r="GJ12" s="213">
        <v>27.612997346516224</v>
      </c>
      <c r="GK12" s="213">
        <v>49.064852607709739</v>
      </c>
      <c r="GL12" s="213">
        <v>34.553451486655646</v>
      </c>
      <c r="GM12" s="213">
        <v>33.858829365079366</v>
      </c>
      <c r="GN12" s="213">
        <v>29.378878871813288</v>
      </c>
      <c r="GO12" s="213">
        <v>30.944553717843565</v>
      </c>
      <c r="GP12" s="213">
        <v>48.306367542442622</v>
      </c>
      <c r="GQ12" s="213">
        <v>35.48687254971739</v>
      </c>
      <c r="GR12" s="213">
        <v>36.543308503145191</v>
      </c>
      <c r="GS12" s="213">
        <v>36.169089410370752</v>
      </c>
      <c r="GT12" s="213">
        <v>31.593855857771217</v>
      </c>
      <c r="GU12" s="213">
        <v>46.369637438251523</v>
      </c>
      <c r="GV12" s="213">
        <v>39.053846862785903</v>
      </c>
      <c r="GW12" s="213">
        <v>36.528869668909337</v>
      </c>
      <c r="GX12" s="213">
        <v>36.82822900370995</v>
      </c>
      <c r="GY12" s="213">
        <v>32.326165987863263</v>
      </c>
      <c r="GZ12" s="213">
        <v>45.838723039878971</v>
      </c>
      <c r="HA12" s="213">
        <v>36.150754445997833</v>
      </c>
      <c r="HB12" s="213">
        <v>33.63883071169024</v>
      </c>
      <c r="HC12" s="213">
        <v>32.80393341798694</v>
      </c>
      <c r="HD12" s="213">
        <v>31.1564196819062</v>
      </c>
      <c r="HE12" s="213">
        <v>44.022472890925833</v>
      </c>
      <c r="HF12" s="213">
        <v>44.108504154592993</v>
      </c>
      <c r="HG12" s="213">
        <v>43.781191687214559</v>
      </c>
      <c r="HH12" s="213">
        <v>51.959136432539964</v>
      </c>
      <c r="HI12" s="213">
        <v>50.303477554747367</v>
      </c>
      <c r="HJ12" s="214">
        <v>74.190751500000005</v>
      </c>
      <c r="HK12" s="214">
        <v>58.920542524999995</v>
      </c>
      <c r="HL12" s="214">
        <v>61.011925700000006</v>
      </c>
      <c r="HM12" s="214">
        <v>62.348247500000006</v>
      </c>
      <c r="HN12" s="214">
        <v>42.603445499999999</v>
      </c>
      <c r="HO12" s="214">
        <v>67.995710819999999</v>
      </c>
      <c r="HP12" s="214">
        <v>57.555934299999997</v>
      </c>
      <c r="HQ12" s="214">
        <v>59.347836900000004</v>
      </c>
      <c r="HR12" s="214">
        <v>59.897987600000008</v>
      </c>
      <c r="HS12" s="214">
        <v>39.293760000000006</v>
      </c>
      <c r="HT12" s="214">
        <v>59.040369549999994</v>
      </c>
      <c r="HU12" s="214">
        <v>45.1680262</v>
      </c>
      <c r="HV12" s="214">
        <v>57.832948800000011</v>
      </c>
      <c r="HW12" s="214">
        <v>58.922633000000005</v>
      </c>
      <c r="HX12" s="214">
        <v>37.220278700000001</v>
      </c>
      <c r="HY12" s="214">
        <v>46.900401900000006</v>
      </c>
      <c r="HZ12" s="214">
        <v>30.501962700000004</v>
      </c>
      <c r="IA12" s="214">
        <v>44.330088000000003</v>
      </c>
      <c r="IB12" s="214">
        <v>45.233095599999999</v>
      </c>
      <c r="IC12" s="214">
        <v>14.677157000000001</v>
      </c>
      <c r="ID12" s="214">
        <v>24.834652700000003</v>
      </c>
      <c r="IE12" s="214">
        <v>27.438324100000003</v>
      </c>
      <c r="IF12" s="214">
        <v>23.647575600000003</v>
      </c>
      <c r="IG12" s="214">
        <v>12.1535502</v>
      </c>
      <c r="IH12" s="214">
        <v>46.539154199999999</v>
      </c>
      <c r="II12" s="214">
        <v>27.951422400000002</v>
      </c>
      <c r="IJ12" s="214">
        <v>38.277835200000005</v>
      </c>
      <c r="IK12" s="214">
        <v>38.066686900000008</v>
      </c>
      <c r="IL12" s="214">
        <v>47.452474300000006</v>
      </c>
      <c r="IM12" s="214">
        <v>34.912414900000002</v>
      </c>
      <c r="IN12" s="214">
        <v>40.078104000000003</v>
      </c>
      <c r="IO12" s="214">
        <v>42.055323200000004</v>
      </c>
      <c r="IP12" s="214">
        <v>29.790725800000001</v>
      </c>
      <c r="IQ12" s="214">
        <v>45.7069349</v>
      </c>
      <c r="IR12" s="214">
        <v>35.247159200000006</v>
      </c>
      <c r="IS12" s="214">
        <v>39.853206800000002</v>
      </c>
      <c r="IT12" s="214">
        <v>41.549567400000001</v>
      </c>
      <c r="IU12" s="214">
        <v>30.089174500000006</v>
      </c>
      <c r="IV12" s="214">
        <v>45.287314600000002</v>
      </c>
      <c r="IW12" s="214">
        <v>34.778913400000008</v>
      </c>
      <c r="IX12" s="214">
        <v>43.106649300000001</v>
      </c>
      <c r="IY12" s="214">
        <v>39.186868600000004</v>
      </c>
      <c r="IZ12" s="214">
        <v>31.275436500000001</v>
      </c>
      <c r="JA12" s="214">
        <v>51.222565900000006</v>
      </c>
      <c r="JB12" s="214">
        <v>31.714442100000003</v>
      </c>
      <c r="JC12" s="214">
        <v>35.602139100000002</v>
      </c>
      <c r="JD12" s="214">
        <v>36.6901777</v>
      </c>
      <c r="JE12" s="214">
        <v>29.533751500000001</v>
      </c>
      <c r="JF12" s="214">
        <v>44.5233712</v>
      </c>
      <c r="JG12" s="214">
        <v>26.591093100000002</v>
      </c>
      <c r="JH12" s="214">
        <v>33.431567400000006</v>
      </c>
      <c r="JI12" s="214">
        <v>34.973103000000002</v>
      </c>
      <c r="JJ12" s="214">
        <v>30.4514353</v>
      </c>
      <c r="JK12" s="214">
        <v>25.090619400000001</v>
      </c>
      <c r="JL12" s="214">
        <v>8.7428088000000006</v>
      </c>
      <c r="JM12" s="214">
        <v>14.913784600000001</v>
      </c>
      <c r="JN12" s="214">
        <v>12.144084700000001</v>
      </c>
      <c r="JO12" s="214">
        <v>7.4114106</v>
      </c>
      <c r="JP12" s="214">
        <v>5.705997</v>
      </c>
      <c r="JQ12" s="214">
        <v>9.014937800000002</v>
      </c>
      <c r="JR12" s="214">
        <v>8.1517942000000012</v>
      </c>
      <c r="JS12" s="214">
        <v>6.7592525000000006</v>
      </c>
      <c r="JT12" s="214">
        <v>39.240020000000001</v>
      </c>
      <c r="JU12" s="214">
        <v>33.670670000000001</v>
      </c>
      <c r="JV12" s="214">
        <v>42.065012000000003</v>
      </c>
      <c r="JW12" s="214">
        <v>31.808147000000002</v>
      </c>
      <c r="JX12" s="214">
        <v>50.142024999999997</v>
      </c>
      <c r="JY12" s="214">
        <v>36.549920999999998</v>
      </c>
      <c r="JZ12" s="214">
        <v>32.680723</v>
      </c>
      <c r="KA12" s="214">
        <v>41.894494000000002</v>
      </c>
      <c r="KB12" s="214">
        <v>31.443096000000001</v>
      </c>
      <c r="KC12" s="214">
        <v>44.347102</v>
      </c>
      <c r="KD12" s="214">
        <v>32.922778999999998</v>
      </c>
      <c r="KE12" s="214">
        <v>29.320813999999999</v>
      </c>
      <c r="KF12" s="214">
        <v>37.115864999999999</v>
      </c>
      <c r="KG12" s="214">
        <v>31.370813999999999</v>
      </c>
      <c r="KH12" s="214">
        <v>41.779975</v>
      </c>
      <c r="KI12" s="214">
        <v>29.106555</v>
      </c>
      <c r="KJ12" s="214">
        <v>26.245000000000001</v>
      </c>
      <c r="KK12" s="214">
        <v>33.056140999999997</v>
      </c>
      <c r="KL12" s="214">
        <v>30.240017999999999</v>
      </c>
      <c r="KM12" s="214">
        <v>39.109070000000003</v>
      </c>
      <c r="KN12" s="214">
        <v>27.960529999999999</v>
      </c>
    </row>
    <row r="13" spans="1:300" x14ac:dyDescent="0.35">
      <c r="A13" s="216" t="str">
        <f t="shared" si="0"/>
        <v>mardi</v>
      </c>
      <c r="B13" s="217">
        <v>44565</v>
      </c>
      <c r="C13" s="202">
        <v>0</v>
      </c>
      <c r="D13" s="202">
        <v>124</v>
      </c>
      <c r="E13" s="202">
        <v>179</v>
      </c>
      <c r="F13" s="202">
        <v>175</v>
      </c>
      <c r="G13" s="202">
        <v>152</v>
      </c>
      <c r="H13" s="202">
        <v>144</v>
      </c>
      <c r="I13" s="202">
        <v>135</v>
      </c>
      <c r="J13" s="202">
        <v>122</v>
      </c>
      <c r="K13" s="202">
        <v>88</v>
      </c>
      <c r="L13" s="202">
        <v>31</v>
      </c>
      <c r="M13" s="202">
        <v>35</v>
      </c>
      <c r="N13" s="202">
        <v>60</v>
      </c>
      <c r="O13" s="202">
        <v>101</v>
      </c>
      <c r="P13" s="202">
        <v>100</v>
      </c>
      <c r="Q13" s="202">
        <v>129</v>
      </c>
      <c r="R13" s="202">
        <v>75</v>
      </c>
      <c r="S13" s="202">
        <v>80</v>
      </c>
      <c r="T13" s="202">
        <v>70</v>
      </c>
      <c r="U13" s="202">
        <v>52</v>
      </c>
      <c r="V13" s="202">
        <v>0</v>
      </c>
      <c r="W13" s="203">
        <f t="shared" si="1"/>
        <v>1852</v>
      </c>
      <c r="AA13" s="196">
        <v>0.54166666666666696</v>
      </c>
      <c r="AB13" s="207">
        <v>116.2919254658385</v>
      </c>
      <c r="AC13" s="207">
        <v>94.013793103448279</v>
      </c>
      <c r="AD13" s="207">
        <v>80.239726027397253</v>
      </c>
      <c r="AE13" s="207">
        <v>80.661971830985934</v>
      </c>
      <c r="AF13" s="207">
        <v>66.239999999999995</v>
      </c>
      <c r="AG13" s="207">
        <v>104.51552795031054</v>
      </c>
      <c r="AH13" s="207">
        <v>86.668965517241389</v>
      </c>
      <c r="AI13" s="207">
        <v>77.321917808219169</v>
      </c>
      <c r="AJ13" s="207">
        <v>78.718309859154928</v>
      </c>
      <c r="AK13" s="207">
        <v>66.325396825396822</v>
      </c>
      <c r="AL13" s="207">
        <v>103.04347826086956</v>
      </c>
      <c r="AM13" s="207">
        <v>86.668965517241389</v>
      </c>
      <c r="AN13" s="207">
        <v>76.349315068493155</v>
      </c>
      <c r="AO13" s="207">
        <v>76.288732394366193</v>
      </c>
      <c r="AP13" s="207">
        <v>60.031746031746032</v>
      </c>
      <c r="AQ13" s="207">
        <v>91.71337579617834</v>
      </c>
      <c r="AR13" s="207">
        <v>82.262068965517244</v>
      </c>
      <c r="AS13" s="207">
        <v>74.427586206896549</v>
      </c>
      <c r="AT13" s="207">
        <v>75.874125874125866</v>
      </c>
      <c r="AU13" s="207">
        <v>62.93650793650793</v>
      </c>
      <c r="AV13" s="207">
        <v>88.301886792452834</v>
      </c>
      <c r="AW13" s="207">
        <v>59.755842558425584</v>
      </c>
      <c r="AX13" s="207">
        <v>68.864782276546975</v>
      </c>
      <c r="AY13" s="207">
        <v>70.053313023610045</v>
      </c>
      <c r="AZ13" s="207">
        <v>53.458670988654781</v>
      </c>
      <c r="BA13" s="207">
        <v>76.04231974921629</v>
      </c>
      <c r="BB13" s="207">
        <v>63.847019122609666</v>
      </c>
      <c r="BC13" s="207">
        <v>69.667132867132864</v>
      </c>
      <c r="BD13" s="207">
        <v>72.016701461377863</v>
      </c>
      <c r="BE13" s="207">
        <v>50.014492753623188</v>
      </c>
      <c r="BF13" s="207">
        <v>74.150602409638552</v>
      </c>
      <c r="BG13" s="207">
        <v>64.226694915254242</v>
      </c>
      <c r="BH13" s="207">
        <v>69.516534391534393</v>
      </c>
      <c r="BI13" s="207">
        <v>71.30861723446894</v>
      </c>
      <c r="BJ13" s="207">
        <v>49.230171073094866</v>
      </c>
      <c r="BK13" s="207">
        <v>73.577039274924473</v>
      </c>
      <c r="BL13" s="207">
        <v>67.456579648375069</v>
      </c>
      <c r="BM13" s="207">
        <v>71.836538461538467</v>
      </c>
      <c r="BN13" s="207">
        <v>73.359375</v>
      </c>
      <c r="BO13" s="207">
        <v>49.972847168347556</v>
      </c>
      <c r="BP13" s="207">
        <v>74.392712550607285</v>
      </c>
      <c r="BQ13" s="208">
        <v>66.33052631578947</v>
      </c>
      <c r="BR13" s="208">
        <v>71.633333333333326</v>
      </c>
      <c r="BS13" s="208">
        <v>77.303335431088726</v>
      </c>
      <c r="BT13" s="208">
        <v>50.164852255054434</v>
      </c>
      <c r="BU13" s="208">
        <v>78.310196266156055</v>
      </c>
      <c r="BV13" s="208">
        <v>65.511557788944714</v>
      </c>
      <c r="BW13" s="208">
        <v>71.669023136246793</v>
      </c>
      <c r="BX13" s="208">
        <v>76.550505050505052</v>
      </c>
      <c r="BY13" s="208">
        <v>52.147727272727273</v>
      </c>
      <c r="BZ13" s="208">
        <v>78.250950570342212</v>
      </c>
      <c r="CA13" s="208">
        <v>65.409590409590407</v>
      </c>
      <c r="CB13" s="208">
        <v>70.958730158730162</v>
      </c>
      <c r="CC13" s="208">
        <v>77.597996242955546</v>
      </c>
      <c r="CD13" s="208">
        <v>53.075528700906347</v>
      </c>
      <c r="CE13" s="208">
        <v>76.605517909002913</v>
      </c>
      <c r="CF13" s="208">
        <v>67.095987811071609</v>
      </c>
      <c r="CG13" s="208">
        <v>75.885214007782096</v>
      </c>
      <c r="CH13" s="208">
        <v>83.694072657743789</v>
      </c>
      <c r="CI13" s="208">
        <v>53.971653543307085</v>
      </c>
      <c r="CJ13" s="208">
        <v>76.573469387755097</v>
      </c>
      <c r="CK13" s="208">
        <v>70.971540178571431</v>
      </c>
      <c r="CL13" s="208">
        <v>84.907944514501892</v>
      </c>
      <c r="CM13" s="208">
        <v>94.618876941457586</v>
      </c>
      <c r="CN13" s="209">
        <v>46.400699371440552</v>
      </c>
      <c r="CO13" s="210">
        <v>93.684603562393846</v>
      </c>
      <c r="CP13" s="210">
        <v>82.134738844975672</v>
      </c>
      <c r="CQ13" s="210">
        <v>74.908650766390451</v>
      </c>
      <c r="CR13" s="210">
        <v>78.099556238772948</v>
      </c>
      <c r="CS13" s="210">
        <v>53.730653089321734</v>
      </c>
      <c r="CT13" s="210">
        <v>88.854197777512383</v>
      </c>
      <c r="CU13" s="210">
        <v>77.979498809435555</v>
      </c>
      <c r="CV13" s="210">
        <v>72.792951260343642</v>
      </c>
      <c r="CW13" s="210">
        <v>72.341627159646166</v>
      </c>
      <c r="CX13" s="210">
        <v>48.572017579033144</v>
      </c>
      <c r="CY13" s="210">
        <v>78.050650175539275</v>
      </c>
      <c r="CZ13" s="210">
        <v>73.136030812110064</v>
      </c>
      <c r="DA13" s="210">
        <v>74.081151997966003</v>
      </c>
      <c r="DB13" s="210">
        <v>48.155365792292166</v>
      </c>
      <c r="DC13" s="210">
        <v>75.016376707654388</v>
      </c>
      <c r="DD13" s="210">
        <v>67.497516216327867</v>
      </c>
      <c r="DE13" s="210">
        <v>64.763514555782606</v>
      </c>
      <c r="DF13" s="210">
        <v>67.688914015448049</v>
      </c>
      <c r="DG13" s="210">
        <v>43.899052744859191</v>
      </c>
      <c r="DH13" s="210">
        <v>96.536460705686977</v>
      </c>
      <c r="DI13" s="210">
        <v>79.439632619083653</v>
      </c>
      <c r="DJ13" s="210">
        <v>74.565119190736254</v>
      </c>
      <c r="DK13" s="210">
        <v>76.850227382263199</v>
      </c>
      <c r="DL13" s="210">
        <v>50.83048573589096</v>
      </c>
      <c r="DM13" s="210">
        <v>95.703740171347192</v>
      </c>
      <c r="DN13" s="210">
        <v>85.080853006306413</v>
      </c>
      <c r="DO13" s="210">
        <v>78.400139427883587</v>
      </c>
      <c r="DP13" s="210">
        <v>80.69313499658908</v>
      </c>
      <c r="DQ13" s="210">
        <v>54.793755308629613</v>
      </c>
      <c r="DR13" s="210">
        <v>93.682543309504325</v>
      </c>
      <c r="DS13" s="210">
        <v>84.716751141182172</v>
      </c>
      <c r="DT13" s="210">
        <v>78.036037562759347</v>
      </c>
      <c r="DU13" s="210">
        <v>80.912537595750564</v>
      </c>
      <c r="DV13" s="210">
        <v>54.823696590536024</v>
      </c>
      <c r="DW13" s="210">
        <v>86.650897331415464</v>
      </c>
      <c r="DX13" s="210">
        <v>80.618174384093336</v>
      </c>
      <c r="DY13" s="210">
        <v>61.837314134489219</v>
      </c>
      <c r="DZ13" s="210">
        <v>38.925745431484387</v>
      </c>
      <c r="EA13" s="210">
        <v>87.73011340030618</v>
      </c>
      <c r="EB13" s="210">
        <v>73.351701523791064</v>
      </c>
      <c r="EC13" s="211">
        <v>53.575357970105671</v>
      </c>
      <c r="ED13" s="211">
        <v>54.851700766288168</v>
      </c>
      <c r="EE13" s="211">
        <v>39.179453350847041</v>
      </c>
      <c r="EF13" s="211">
        <v>69.882146543670089</v>
      </c>
      <c r="EG13" s="211">
        <v>55.033845995077314</v>
      </c>
      <c r="EH13" s="211">
        <v>58.74008945690224</v>
      </c>
      <c r="EI13" s="211">
        <v>40.202361718250195</v>
      </c>
      <c r="EJ13" s="211">
        <v>82.995765363526203</v>
      </c>
      <c r="EK13" s="211">
        <v>72.714092597174215</v>
      </c>
      <c r="EL13" s="211">
        <v>57.498716975835698</v>
      </c>
      <c r="EM13" s="211">
        <v>60.294932300930242</v>
      </c>
      <c r="EN13" s="211">
        <v>39.741405948753439</v>
      </c>
      <c r="EO13" s="211">
        <v>82.405283744588289</v>
      </c>
      <c r="EP13" s="211">
        <v>72.579823515081458</v>
      </c>
      <c r="EQ13" s="211">
        <v>57.456776224151184</v>
      </c>
      <c r="ER13" s="211">
        <v>56.281860275354461</v>
      </c>
      <c r="ES13" s="211">
        <v>40.756327557838965</v>
      </c>
      <c r="ET13" s="211">
        <v>80.542537538531334</v>
      </c>
      <c r="EU13" s="211">
        <v>71.688010126181908</v>
      </c>
      <c r="EV13" s="211">
        <v>57.417044989103772</v>
      </c>
      <c r="EW13" s="211">
        <v>47.527641488825061</v>
      </c>
      <c r="EX13" s="212">
        <v>43.68437590547309</v>
      </c>
      <c r="EY13" s="212">
        <v>79.297932187299978</v>
      </c>
      <c r="EZ13" s="212">
        <v>70.858773403204083</v>
      </c>
      <c r="FA13" s="212">
        <v>55.111083617083615</v>
      </c>
      <c r="FB13" s="212">
        <v>59.218819674180196</v>
      </c>
      <c r="FC13" s="212">
        <v>41.473239923323149</v>
      </c>
      <c r="FD13" s="212">
        <v>65.215028206628617</v>
      </c>
      <c r="FE13" s="212">
        <v>65.101828837862129</v>
      </c>
      <c r="FF13" s="212">
        <v>49.207567668479406</v>
      </c>
      <c r="FG13" s="212">
        <v>34.647362736026579</v>
      </c>
      <c r="FH13" s="212">
        <v>71.773588126695401</v>
      </c>
      <c r="FI13" s="212">
        <v>67.56756701075291</v>
      </c>
      <c r="FJ13" s="212">
        <v>53.763262876047719</v>
      </c>
      <c r="FK13" s="212">
        <v>55.874970566656238</v>
      </c>
      <c r="FL13" s="212">
        <v>39.028397454859906</v>
      </c>
      <c r="FM13" s="212">
        <v>73.168253131803013</v>
      </c>
      <c r="FN13" s="212">
        <v>67.584070381632188</v>
      </c>
      <c r="FO13" s="212">
        <v>53.904569445089471</v>
      </c>
      <c r="FP13" s="212">
        <v>57.19946577777381</v>
      </c>
      <c r="FQ13" s="212">
        <v>34.111516148980755</v>
      </c>
      <c r="FR13" s="213">
        <v>85.624035241288993</v>
      </c>
      <c r="FS13" s="213">
        <v>71.552470238357614</v>
      </c>
      <c r="FT13" s="213">
        <v>64.132056004358702</v>
      </c>
      <c r="FU13" s="213">
        <v>64.394572765292892</v>
      </c>
      <c r="FV13" s="213">
        <v>50.935756960822744</v>
      </c>
      <c r="FW13" s="213">
        <v>85.778796809752251</v>
      </c>
      <c r="FX13" s="213">
        <v>66.776117115315941</v>
      </c>
      <c r="FY13" s="213">
        <v>58.884036480820718</v>
      </c>
      <c r="FZ13" s="213">
        <v>59.9657378018576</v>
      </c>
      <c r="GA13" s="213">
        <v>48.644089887287869</v>
      </c>
      <c r="GB13" s="213">
        <v>71.929132681942789</v>
      </c>
      <c r="GC13" s="213">
        <v>62.347823153527365</v>
      </c>
      <c r="GD13" s="213">
        <v>64.973047159372513</v>
      </c>
      <c r="GE13" s="213">
        <v>47.578443530264828</v>
      </c>
      <c r="GF13" s="213">
        <v>84.590064168484858</v>
      </c>
      <c r="GG13" s="213">
        <v>71.888750117708028</v>
      </c>
      <c r="GH13" s="213">
        <v>63.279100593043779</v>
      </c>
      <c r="GI13" s="213">
        <v>65.464764638125871</v>
      </c>
      <c r="GJ13" s="213">
        <v>49.966376150838876</v>
      </c>
      <c r="GK13" s="213">
        <v>93.529875283446685</v>
      </c>
      <c r="GL13" s="213">
        <v>73.426084409143257</v>
      </c>
      <c r="GM13" s="213">
        <v>67.717658730158732</v>
      </c>
      <c r="GN13" s="213">
        <v>69.219598363540712</v>
      </c>
      <c r="GO13" s="213">
        <v>53.533919958075593</v>
      </c>
      <c r="GP13" s="213">
        <v>88.978927642135758</v>
      </c>
      <c r="GQ13" s="213">
        <v>72.380585431973131</v>
      </c>
      <c r="GR13" s="213">
        <v>68.026362211836201</v>
      </c>
      <c r="GS13" s="213">
        <v>67.137635854005808</v>
      </c>
      <c r="GT13" s="213">
        <v>52.986213479757872</v>
      </c>
      <c r="GU13" s="213">
        <v>84.915427603252979</v>
      </c>
      <c r="GV13" s="213">
        <v>71.193718716308098</v>
      </c>
      <c r="GW13" s="213">
        <v>66.748201214173889</v>
      </c>
      <c r="GX13" s="213">
        <v>66.513532697772561</v>
      </c>
      <c r="GY13" s="213">
        <v>52.203509904194355</v>
      </c>
      <c r="GZ13" s="213">
        <v>84.045028478068573</v>
      </c>
      <c r="HA13" s="213">
        <v>69.808014907827115</v>
      </c>
      <c r="HB13" s="213">
        <v>65.295537501314683</v>
      </c>
      <c r="HC13" s="213">
        <v>62.689304407417055</v>
      </c>
      <c r="HD13" s="213">
        <v>51.352529632979561</v>
      </c>
      <c r="HE13" s="213">
        <v>83.386754384764473</v>
      </c>
      <c r="HF13" s="213">
        <v>79.678967579599473</v>
      </c>
      <c r="HG13" s="213">
        <v>78.993917719182249</v>
      </c>
      <c r="HH13" s="213">
        <v>133.60920796938848</v>
      </c>
      <c r="HI13" s="213">
        <v>137.03587945749788</v>
      </c>
      <c r="HJ13" s="214">
        <v>94.381610300000006</v>
      </c>
      <c r="HK13" s="214">
        <v>84.858989625000007</v>
      </c>
      <c r="HL13" s="214">
        <v>78.948623600000019</v>
      </c>
      <c r="HM13" s="214">
        <v>78.495469799999995</v>
      </c>
      <c r="HN13" s="214">
        <v>55.11455620000001</v>
      </c>
      <c r="HO13" s="214">
        <v>88.186569620000014</v>
      </c>
      <c r="HP13" s="214">
        <v>83.494381399999995</v>
      </c>
      <c r="HQ13" s="214">
        <v>77.284535900000009</v>
      </c>
      <c r="HR13" s="214">
        <v>76.045209900000003</v>
      </c>
      <c r="HS13" s="214">
        <v>51.804870700000002</v>
      </c>
      <c r="HT13" s="214">
        <v>79.516948050000011</v>
      </c>
      <c r="HU13" s="214">
        <v>71.70969190000001</v>
      </c>
      <c r="HV13" s="214">
        <v>75.769647800000001</v>
      </c>
      <c r="HW13" s="214">
        <v>75.0698553</v>
      </c>
      <c r="HX13" s="214">
        <v>49.731389400000005</v>
      </c>
      <c r="HY13" s="214">
        <v>67.853179900000001</v>
      </c>
      <c r="HZ13" s="214">
        <v>57.043629500000002</v>
      </c>
      <c r="IA13" s="214">
        <v>62.266787000000001</v>
      </c>
      <c r="IB13" s="214">
        <v>61.380317900000001</v>
      </c>
      <c r="IC13" s="214">
        <v>27.188267700000001</v>
      </c>
      <c r="ID13" s="214">
        <v>45.787430700000009</v>
      </c>
      <c r="IE13" s="214">
        <v>45.3750231</v>
      </c>
      <c r="IF13" s="214">
        <v>39.794797900000006</v>
      </c>
      <c r="IG13" s="214">
        <v>24.664660900000005</v>
      </c>
      <c r="IH13" s="214">
        <v>67.491932200000008</v>
      </c>
      <c r="II13" s="214">
        <v>54.493089200000007</v>
      </c>
      <c r="IJ13" s="214">
        <v>56.214534200000003</v>
      </c>
      <c r="IK13" s="214">
        <v>54.21390920000001</v>
      </c>
      <c r="IL13" s="214">
        <v>68.405252300000001</v>
      </c>
      <c r="IM13" s="214">
        <v>61.45408170000001</v>
      </c>
      <c r="IN13" s="214">
        <v>58.014803000000001</v>
      </c>
      <c r="IO13" s="214">
        <v>58.202545500000006</v>
      </c>
      <c r="IP13" s="214">
        <v>42.3018365</v>
      </c>
      <c r="IQ13" s="214">
        <v>66.659711800000011</v>
      </c>
      <c r="IR13" s="214">
        <v>61.788826000000007</v>
      </c>
      <c r="IS13" s="214">
        <v>57.789905800000007</v>
      </c>
      <c r="IT13" s="214">
        <v>57.696788600000005</v>
      </c>
      <c r="IU13" s="214">
        <v>42.600285200000002</v>
      </c>
      <c r="IV13" s="214">
        <v>66.240092600000011</v>
      </c>
      <c r="IW13" s="214">
        <v>61.320580200000002</v>
      </c>
      <c r="IX13" s="214">
        <v>61.043347200000007</v>
      </c>
      <c r="IY13" s="214">
        <v>55.334090900000007</v>
      </c>
      <c r="IZ13" s="214">
        <v>43.786547200000001</v>
      </c>
      <c r="JA13" s="214">
        <v>72.175342799999996</v>
      </c>
      <c r="JB13" s="214">
        <v>58.256108900000001</v>
      </c>
      <c r="JC13" s="214">
        <v>53.538838100000007</v>
      </c>
      <c r="JD13" s="214">
        <v>52.837400000000002</v>
      </c>
      <c r="JE13" s="214">
        <v>42.044863300000003</v>
      </c>
      <c r="JF13" s="214">
        <v>65.476149200000009</v>
      </c>
      <c r="JG13" s="214">
        <v>53.132759900000003</v>
      </c>
      <c r="JH13" s="214">
        <v>51.36826640000001</v>
      </c>
      <c r="JI13" s="214">
        <v>51.120325300000005</v>
      </c>
      <c r="JJ13" s="214">
        <v>42.962547100000002</v>
      </c>
      <c r="JK13" s="214">
        <v>46.043397400000003</v>
      </c>
      <c r="JL13" s="214">
        <v>35.284474500000002</v>
      </c>
      <c r="JM13" s="214">
        <v>32.850482500000005</v>
      </c>
      <c r="JN13" s="214">
        <v>28.291305900000001</v>
      </c>
      <c r="JO13" s="214">
        <v>19.922521300000003</v>
      </c>
      <c r="JP13" s="214">
        <v>32.247663800000005</v>
      </c>
      <c r="JQ13" s="214">
        <v>26.951636799999999</v>
      </c>
      <c r="JR13" s="214">
        <v>24.299016500000004</v>
      </c>
      <c r="JS13" s="214">
        <v>19.270364300000001</v>
      </c>
      <c r="JT13" s="214">
        <v>63.247596000000001</v>
      </c>
      <c r="JU13" s="214">
        <v>52.344281000000002</v>
      </c>
      <c r="JV13" s="214">
        <v>57.327638999999998</v>
      </c>
      <c r="JW13" s="214">
        <v>42.260167000000003</v>
      </c>
      <c r="JX13" s="214">
        <v>67.301115999999993</v>
      </c>
      <c r="JY13" s="214">
        <v>60.557496999999998</v>
      </c>
      <c r="JZ13" s="214">
        <v>51.354334000000001</v>
      </c>
      <c r="KA13" s="214">
        <v>57.157119999999999</v>
      </c>
      <c r="KB13" s="214">
        <v>41.895116999999999</v>
      </c>
      <c r="KC13" s="214">
        <v>61.506193000000003</v>
      </c>
      <c r="KD13" s="214">
        <v>56.930354999999999</v>
      </c>
      <c r="KE13" s="214">
        <v>47.994425</v>
      </c>
      <c r="KF13" s="214">
        <v>52.378490999999997</v>
      </c>
      <c r="KG13" s="214">
        <v>41.822834999999998</v>
      </c>
      <c r="KH13" s="214">
        <v>58.939065999999997</v>
      </c>
      <c r="KI13" s="214">
        <v>53.114130000000003</v>
      </c>
      <c r="KJ13" s="214">
        <v>44.918610999999999</v>
      </c>
      <c r="KK13" s="214">
        <v>48.318767999999999</v>
      </c>
      <c r="KL13" s="214">
        <v>40.692037999999997</v>
      </c>
      <c r="KM13" s="214">
        <v>56.268160999999999</v>
      </c>
      <c r="KN13" s="214">
        <v>51.968105999999999</v>
      </c>
    </row>
    <row r="14" spans="1:300" x14ac:dyDescent="0.35">
      <c r="A14" s="216" t="str">
        <f t="shared" si="0"/>
        <v>mercredi</v>
      </c>
      <c r="B14" s="217">
        <v>44566</v>
      </c>
      <c r="C14" s="202">
        <v>0</v>
      </c>
      <c r="D14" s="202">
        <v>92</v>
      </c>
      <c r="E14" s="202">
        <v>118</v>
      </c>
      <c r="F14" s="202">
        <v>157</v>
      </c>
      <c r="G14" s="202">
        <v>155</v>
      </c>
      <c r="H14" s="202">
        <v>129</v>
      </c>
      <c r="I14" s="202">
        <v>110</v>
      </c>
      <c r="J14" s="202">
        <v>88</v>
      </c>
      <c r="K14" s="202">
        <v>65</v>
      </c>
      <c r="L14" s="202">
        <v>26</v>
      </c>
      <c r="M14" s="202">
        <v>27</v>
      </c>
      <c r="N14" s="202">
        <v>42</v>
      </c>
      <c r="O14" s="202">
        <v>75</v>
      </c>
      <c r="P14" s="202">
        <v>87</v>
      </c>
      <c r="Q14" s="202">
        <v>60</v>
      </c>
      <c r="R14" s="202">
        <v>76</v>
      </c>
      <c r="S14" s="202">
        <v>69</v>
      </c>
      <c r="T14" s="202">
        <v>76</v>
      </c>
      <c r="U14" s="202">
        <v>40</v>
      </c>
      <c r="V14" s="202">
        <v>0</v>
      </c>
      <c r="W14" s="203">
        <f t="shared" si="1"/>
        <v>1492</v>
      </c>
      <c r="AA14" s="196">
        <v>0.5625</v>
      </c>
      <c r="AB14" s="207">
        <v>120.7080745341615</v>
      </c>
      <c r="AC14" s="207">
        <v>97.986206896551721</v>
      </c>
      <c r="AD14" s="207">
        <v>84.760273972602747</v>
      </c>
      <c r="AE14" s="207">
        <v>85.338028169014066</v>
      </c>
      <c r="AF14" s="207">
        <v>71.760000000000005</v>
      </c>
      <c r="AG14" s="207">
        <v>108.48447204968946</v>
      </c>
      <c r="AH14" s="207">
        <v>90.331034482758611</v>
      </c>
      <c r="AI14" s="207">
        <v>81.678082191780831</v>
      </c>
      <c r="AJ14" s="207">
        <v>83.281690140845072</v>
      </c>
      <c r="AK14" s="207">
        <v>70.674603174603178</v>
      </c>
      <c r="AL14" s="207">
        <v>106.95652173913044</v>
      </c>
      <c r="AM14" s="207">
        <v>90.331034482758611</v>
      </c>
      <c r="AN14" s="207">
        <v>80.650684931506845</v>
      </c>
      <c r="AO14" s="207">
        <v>80.711267605633807</v>
      </c>
      <c r="AP14" s="207">
        <v>63.968253968253968</v>
      </c>
      <c r="AQ14" s="207">
        <v>95.28662420382166</v>
      </c>
      <c r="AR14" s="207">
        <v>85.737931034482756</v>
      </c>
      <c r="AS14" s="207">
        <v>77.572413793103451</v>
      </c>
      <c r="AT14" s="207">
        <v>79.125874125874134</v>
      </c>
      <c r="AU14" s="207">
        <v>67.063492063492077</v>
      </c>
      <c r="AV14" s="207">
        <v>91.698113207547166</v>
      </c>
      <c r="AW14" s="207">
        <v>63.030135301353013</v>
      </c>
      <c r="AX14" s="207">
        <v>72.690603514132917</v>
      </c>
      <c r="AY14" s="207">
        <v>74.056359482102053</v>
      </c>
      <c r="AZ14" s="207">
        <v>57.769854132901131</v>
      </c>
      <c r="BA14" s="207">
        <v>78.495297805642622</v>
      </c>
      <c r="BB14" s="207">
        <v>66.074240719910009</v>
      </c>
      <c r="BC14" s="207">
        <v>72.984615384615381</v>
      </c>
      <c r="BD14" s="207">
        <v>75.446068197633963</v>
      </c>
      <c r="BE14" s="207">
        <v>53.190016103059577</v>
      </c>
      <c r="BF14" s="207">
        <v>76.397590361445779</v>
      </c>
      <c r="BG14" s="207">
        <v>66.959745762711862</v>
      </c>
      <c r="BH14" s="207">
        <v>72.640873015873012</v>
      </c>
      <c r="BI14" s="207">
        <v>73.767535070140283</v>
      </c>
      <c r="BJ14" s="207">
        <v>51.502332814930014</v>
      </c>
      <c r="BK14" s="207">
        <v>75.063444108761331</v>
      </c>
      <c r="BL14" s="207">
        <v>69.52157698454981</v>
      </c>
      <c r="BM14" s="207">
        <v>74.15384615384616</v>
      </c>
      <c r="BN14" s="207">
        <v>75.8046875</v>
      </c>
      <c r="BO14" s="207">
        <v>51.510473235065945</v>
      </c>
      <c r="BP14" s="207">
        <v>75.910931174089072</v>
      </c>
      <c r="BQ14" s="208">
        <v>68.361052631578943</v>
      </c>
      <c r="BR14" s="208">
        <v>74.782051282051285</v>
      </c>
      <c r="BS14" s="208">
        <v>78.93077407174323</v>
      </c>
      <c r="BT14" s="208">
        <v>51.732503888024887</v>
      </c>
      <c r="BU14" s="208">
        <v>80.547630445189085</v>
      </c>
      <c r="BV14" s="208">
        <v>67.537688442211049</v>
      </c>
      <c r="BW14" s="208">
        <v>74.084832904884323</v>
      </c>
      <c r="BX14" s="208">
        <v>79.046717171717177</v>
      </c>
      <c r="BY14" s="208">
        <v>55.356818181818177</v>
      </c>
      <c r="BZ14" s="208">
        <v>80.48669201520913</v>
      </c>
      <c r="CA14" s="208">
        <v>66.758241758241766</v>
      </c>
      <c r="CB14" s="208">
        <v>74.184126984126991</v>
      </c>
      <c r="CC14" s="208">
        <v>80.128365685660611</v>
      </c>
      <c r="CD14" s="208">
        <v>55.563444108761331</v>
      </c>
      <c r="CE14" s="208">
        <v>78.880929332042598</v>
      </c>
      <c r="CF14" s="208">
        <v>69.283900457084812</v>
      </c>
      <c r="CG14" s="208">
        <v>78.501945525291831</v>
      </c>
      <c r="CH14" s="208">
        <v>85.493945188017847</v>
      </c>
      <c r="CI14" s="208">
        <v>56.541732283464569</v>
      </c>
      <c r="CJ14" s="208">
        <v>78.89387755102041</v>
      </c>
      <c r="CK14" s="208">
        <v>73.363839285714278</v>
      </c>
      <c r="CL14" s="208">
        <v>87.646910466582597</v>
      </c>
      <c r="CM14" s="208">
        <v>96.438470728793305</v>
      </c>
      <c r="CN14" s="209">
        <v>47.543002392236808</v>
      </c>
      <c r="CO14" s="210">
        <v>94.577067522189509</v>
      </c>
      <c r="CP14" s="210">
        <v>84.857833066405547</v>
      </c>
      <c r="CQ14" s="210">
        <v>77.231572464339834</v>
      </c>
      <c r="CR14" s="210">
        <v>80.422477936722331</v>
      </c>
      <c r="CS14" s="210">
        <v>54.98718641219763</v>
      </c>
      <c r="CT14" s="210">
        <v>89.746661737308045</v>
      </c>
      <c r="CU14" s="210">
        <v>80.702593030865444</v>
      </c>
      <c r="CV14" s="210">
        <v>75.115872958293039</v>
      </c>
      <c r="CW14" s="210">
        <v>74.664548857595548</v>
      </c>
      <c r="CX14" s="210">
        <v>49.828550901909026</v>
      </c>
      <c r="CY14" s="210">
        <v>78.876437016710469</v>
      </c>
      <c r="CZ14" s="210">
        <v>73.934659013677091</v>
      </c>
      <c r="DA14" s="210">
        <v>74.88285077968294</v>
      </c>
      <c r="DB14" s="210">
        <v>47.753123514099592</v>
      </c>
      <c r="DC14" s="210">
        <v>74.011533287191369</v>
      </c>
      <c r="DD14" s="210">
        <v>68.868225356386063</v>
      </c>
      <c r="DE14" s="210">
        <v>65.724744834604948</v>
      </c>
      <c r="DF14" s="210">
        <v>68.653214874420343</v>
      </c>
      <c r="DG14" s="210">
        <v>43.511181062440492</v>
      </c>
      <c r="DH14" s="210">
        <v>95.108092603135049</v>
      </c>
      <c r="DI14" s="210">
        <v>79.884467574948147</v>
      </c>
      <c r="DJ14" s="210">
        <v>74.963591161853074</v>
      </c>
      <c r="DK14" s="210">
        <v>77.251769933529985</v>
      </c>
      <c r="DL14" s="210">
        <v>49.879855745766704</v>
      </c>
      <c r="DM14" s="210">
        <v>94.675528299245485</v>
      </c>
      <c r="DN14" s="210">
        <v>85.925844192621099</v>
      </c>
      <c r="DO14" s="210">
        <v>79.198767629450572</v>
      </c>
      <c r="DP14" s="210">
        <v>81.494833778306059</v>
      </c>
      <c r="DQ14" s="210">
        <v>54.391513030437039</v>
      </c>
      <c r="DR14" s="210">
        <v>92.654331437402618</v>
      </c>
      <c r="DS14" s="210">
        <v>85.561742327496873</v>
      </c>
      <c r="DT14" s="210">
        <v>78.834665764326346</v>
      </c>
      <c r="DU14" s="210">
        <v>81.714236377467529</v>
      </c>
      <c r="DV14" s="210">
        <v>54.421454312343442</v>
      </c>
      <c r="DW14" s="210">
        <v>85.622685459313729</v>
      </c>
      <c r="DX14" s="210">
        <v>81.463165570408023</v>
      </c>
      <c r="DY14" s="210">
        <v>62.635942336056203</v>
      </c>
      <c r="DZ14" s="210">
        <v>38.537873749065689</v>
      </c>
      <c r="EA14" s="210">
        <v>87.366089232445617</v>
      </c>
      <c r="EB14" s="210">
        <v>74.860880414346909</v>
      </c>
      <c r="EC14" s="211">
        <v>68.969044308120559</v>
      </c>
      <c r="ED14" s="211">
        <v>69.222027838491641</v>
      </c>
      <c r="EE14" s="211">
        <v>50.727265529768971</v>
      </c>
      <c r="EF14" s="211">
        <v>84.018927327019199</v>
      </c>
      <c r="EG14" s="211">
        <v>69.90928713311952</v>
      </c>
      <c r="EH14" s="211">
        <v>73.271261611061092</v>
      </c>
      <c r="EI14" s="211">
        <v>51.314337538453493</v>
      </c>
      <c r="EJ14" s="211">
        <v>96.349901807754478</v>
      </c>
      <c r="EK14" s="211">
        <v>87.165067416041353</v>
      </c>
      <c r="EL14" s="211">
        <v>72.909011997378727</v>
      </c>
      <c r="EM14" s="211">
        <v>74.794174485866549</v>
      </c>
      <c r="EN14" s="211">
        <v>51.340496874183337</v>
      </c>
      <c r="EO14" s="211">
        <v>95.579370019380733</v>
      </c>
      <c r="EP14" s="211">
        <v>87.363251655642472</v>
      </c>
      <c r="EQ14" s="211">
        <v>72.858883225574047</v>
      </c>
      <c r="ER14" s="211">
        <v>70.628892857291078</v>
      </c>
      <c r="ES14" s="211">
        <v>50.981384063212644</v>
      </c>
      <c r="ET14" s="211">
        <v>94.563510755551036</v>
      </c>
      <c r="EU14" s="211">
        <v>86.480506743953754</v>
      </c>
      <c r="EV14" s="211">
        <v>76.156169873010242</v>
      </c>
      <c r="EW14" s="211">
        <v>87.598641323193633</v>
      </c>
      <c r="EX14" s="212">
        <v>56.390674353016571</v>
      </c>
      <c r="EY14" s="212">
        <v>93.431847372128701</v>
      </c>
      <c r="EZ14" s="212">
        <v>86.060493429037322</v>
      </c>
      <c r="FA14" s="212">
        <v>73.350130855545501</v>
      </c>
      <c r="FB14" s="212">
        <v>76.466521451959849</v>
      </c>
      <c r="FC14" s="212">
        <v>52.757407239526358</v>
      </c>
      <c r="FD14" s="212">
        <v>82.240582914752594</v>
      </c>
      <c r="FE14" s="212">
        <v>82.626264533538631</v>
      </c>
      <c r="FF14" s="212">
        <v>67.76472061335221</v>
      </c>
      <c r="FG14" s="212">
        <v>44.845667354561016</v>
      </c>
      <c r="FH14" s="212">
        <v>89.39635533069621</v>
      </c>
      <c r="FI14" s="212">
        <v>85.724429406083871</v>
      </c>
      <c r="FJ14" s="212">
        <v>74.291890698970505</v>
      </c>
      <c r="FK14" s="212">
        <v>73.508349624805433</v>
      </c>
      <c r="FL14" s="212">
        <v>49.601596769443383</v>
      </c>
      <c r="FM14" s="212">
        <v>92.267957494617605</v>
      </c>
      <c r="FN14" s="212">
        <v>86.157908832854758</v>
      </c>
      <c r="FO14" s="212">
        <v>73.317713551969618</v>
      </c>
      <c r="FP14" s="212">
        <v>73.758986236621425</v>
      </c>
      <c r="FQ14" s="212">
        <v>45.795547705417952</v>
      </c>
      <c r="FR14" s="213">
        <v>95.782819083475815</v>
      </c>
      <c r="FS14" s="213">
        <v>81.774251700980145</v>
      </c>
      <c r="FT14" s="213">
        <v>74.334883095961217</v>
      </c>
      <c r="FU14" s="213">
        <v>73.379861988357021</v>
      </c>
      <c r="FV14" s="213">
        <v>57.818967360933925</v>
      </c>
      <c r="FW14" s="213">
        <v>96.313035014458677</v>
      </c>
      <c r="FX14" s="213">
        <v>77.163513111031747</v>
      </c>
      <c r="FY14" s="213">
        <v>66.841338707958641</v>
      </c>
      <c r="FZ14" s="213">
        <v>67.85596645999675</v>
      </c>
      <c r="GA14" s="213">
        <v>55.400213482744519</v>
      </c>
      <c r="GB14" s="213">
        <v>82.204723065077459</v>
      </c>
      <c r="GC14" s="213">
        <v>73.683790999623255</v>
      </c>
      <c r="GD14" s="213">
        <v>73.636120113955513</v>
      </c>
      <c r="GE14" s="213">
        <v>54.007962926246556</v>
      </c>
      <c r="GF14" s="213">
        <v>94.626173476610163</v>
      </c>
      <c r="GG14" s="213">
        <v>81.953175134187148</v>
      </c>
      <c r="GH14" s="213">
        <v>74.528718476251569</v>
      </c>
      <c r="GI14" s="213">
        <v>74.003646982229242</v>
      </c>
      <c r="GJ14" s="213">
        <v>56.540899328580835</v>
      </c>
      <c r="GK14" s="213">
        <v>102.72953514739227</v>
      </c>
      <c r="GL14" s="213">
        <v>82.064447280807158</v>
      </c>
      <c r="GM14" s="213">
        <v>79.494642857142864</v>
      </c>
      <c r="GN14" s="213">
        <v>78.413610553939364</v>
      </c>
      <c r="GO14" s="213">
        <v>58.849064955777244</v>
      </c>
      <c r="GP14" s="213">
        <v>98.796442148958235</v>
      </c>
      <c r="GQ14" s="213">
        <v>83.732497088051815</v>
      </c>
      <c r="GR14" s="213">
        <v>78.976989588772213</v>
      </c>
      <c r="GS14" s="213">
        <v>78.398925469873106</v>
      </c>
      <c r="GT14" s="213">
        <v>59.671325236628704</v>
      </c>
      <c r="GU14" s="213">
        <v>94.551875144503342</v>
      </c>
      <c r="GV14" s="213">
        <v>84.585331988609013</v>
      </c>
      <c r="GW14" s="213">
        <v>77.259273056005043</v>
      </c>
      <c r="GX14" s="213">
        <v>78.657520572616363</v>
      </c>
      <c r="GY14" s="213">
        <v>58.829291209638043</v>
      </c>
      <c r="GZ14" s="213">
        <v>93.59660483761597</v>
      </c>
      <c r="HA14" s="213">
        <v>81.924628674085668</v>
      </c>
      <c r="HB14" s="213">
        <v>75.847773097856162</v>
      </c>
      <c r="HC14" s="213">
        <v>74.915137994002109</v>
      </c>
      <c r="HD14" s="213">
        <v>58.084566283337352</v>
      </c>
      <c r="HE14" s="213">
        <v>92.134372494506394</v>
      </c>
      <c r="HF14" s="213">
        <v>88.958218907862033</v>
      </c>
      <c r="HG14" s="213">
        <v>93.079008131969331</v>
      </c>
      <c r="HH14" s="213">
        <v>144.00103525589648</v>
      </c>
      <c r="HI14" s="213">
        <v>143.93504779067123</v>
      </c>
      <c r="HJ14" s="214">
        <v>117.18767036000001</v>
      </c>
      <c r="HK14" s="214">
        <v>110.23821957499999</v>
      </c>
      <c r="HL14" s="214">
        <v>99.702016700000016</v>
      </c>
      <c r="HM14" s="214">
        <v>99.12602480000001</v>
      </c>
      <c r="HN14" s="214">
        <v>67.667333800000009</v>
      </c>
      <c r="HO14" s="214">
        <v>110.99262967999999</v>
      </c>
      <c r="HP14" s="214">
        <v>108.87361134999999</v>
      </c>
      <c r="HQ14" s="214">
        <v>98.0379279</v>
      </c>
      <c r="HR14" s="214">
        <v>96.67576600000001</v>
      </c>
      <c r="HS14" s="214">
        <v>64.357648300000008</v>
      </c>
      <c r="HT14" s="214">
        <v>102.64573537499999</v>
      </c>
      <c r="HU14" s="214">
        <v>97.679136500000013</v>
      </c>
      <c r="HV14" s="214">
        <v>96.523039800000006</v>
      </c>
      <c r="HW14" s="214">
        <v>95.700411400000007</v>
      </c>
      <c r="HX14" s="214">
        <v>62.284167000000004</v>
      </c>
      <c r="HY14" s="214">
        <v>91.519846000000015</v>
      </c>
      <c r="HZ14" s="214">
        <v>83.013074100000011</v>
      </c>
      <c r="IA14" s="214">
        <v>83.020179000000013</v>
      </c>
      <c r="IB14" s="214">
        <v>82.01087290000001</v>
      </c>
      <c r="IC14" s="214">
        <v>39.741046400000009</v>
      </c>
      <c r="ID14" s="214">
        <v>69.454096800000002</v>
      </c>
      <c r="IE14" s="214">
        <v>66.128415099999998</v>
      </c>
      <c r="IF14" s="214">
        <v>60.425353999999999</v>
      </c>
      <c r="IG14" s="214">
        <v>37.2174385</v>
      </c>
      <c r="IH14" s="214">
        <v>91.158598300000008</v>
      </c>
      <c r="II14" s="214">
        <v>80.462532700000011</v>
      </c>
      <c r="IJ14" s="214">
        <v>76.967926200000008</v>
      </c>
      <c r="IK14" s="214">
        <v>74.84446530000001</v>
      </c>
      <c r="IL14" s="214">
        <v>92.071918400000015</v>
      </c>
      <c r="IM14" s="214">
        <v>87.423526300000006</v>
      </c>
      <c r="IN14" s="214">
        <v>78.768195000000006</v>
      </c>
      <c r="IO14" s="214">
        <v>78.8331005</v>
      </c>
      <c r="IP14" s="214">
        <v>54.854614100000006</v>
      </c>
      <c r="IQ14" s="214">
        <v>90.326379000000017</v>
      </c>
      <c r="IR14" s="214">
        <v>87.758270600000017</v>
      </c>
      <c r="IS14" s="214">
        <v>78.543297800000005</v>
      </c>
      <c r="IT14" s="214">
        <v>78.327344700000012</v>
      </c>
      <c r="IU14" s="214">
        <v>55.153063900000006</v>
      </c>
      <c r="IV14" s="214">
        <v>89.906759800000003</v>
      </c>
      <c r="IW14" s="214">
        <v>87.290024800000012</v>
      </c>
      <c r="IX14" s="214">
        <v>81.796739200000005</v>
      </c>
      <c r="IY14" s="214">
        <v>75.964645900000008</v>
      </c>
      <c r="IZ14" s="214">
        <v>56.339324800000007</v>
      </c>
      <c r="JA14" s="214">
        <v>95.842010000000002</v>
      </c>
      <c r="JB14" s="214">
        <v>84.225552400000012</v>
      </c>
      <c r="JC14" s="214">
        <v>74.292230100000012</v>
      </c>
      <c r="JD14" s="214">
        <v>73.467955000000003</v>
      </c>
      <c r="JE14" s="214">
        <v>54.597640900000009</v>
      </c>
      <c r="JF14" s="214">
        <v>89.142815300000009</v>
      </c>
      <c r="JG14" s="214">
        <v>79.102203400000008</v>
      </c>
      <c r="JH14" s="214">
        <v>72.121658400000015</v>
      </c>
      <c r="JI14" s="214">
        <v>71.750880300000006</v>
      </c>
      <c r="JJ14" s="214">
        <v>55.515324700000008</v>
      </c>
      <c r="JK14" s="214">
        <v>69.710063500000004</v>
      </c>
      <c r="JL14" s="214">
        <v>61.253919100000005</v>
      </c>
      <c r="JM14" s="214">
        <v>53.603875600000002</v>
      </c>
      <c r="JN14" s="214">
        <v>48.921862000000004</v>
      </c>
      <c r="JO14" s="214">
        <v>32.475298899999999</v>
      </c>
      <c r="JP14" s="214">
        <v>58.217108400000008</v>
      </c>
      <c r="JQ14" s="214">
        <v>47.705028800000008</v>
      </c>
      <c r="JR14" s="214">
        <v>44.929572600000007</v>
      </c>
      <c r="JS14" s="214">
        <v>31.823141900000003</v>
      </c>
      <c r="JT14" s="214">
        <v>85.325879</v>
      </c>
      <c r="JU14" s="214">
        <v>73.386788999999993</v>
      </c>
      <c r="JV14" s="214">
        <v>76.059961999999999</v>
      </c>
      <c r="JW14" s="214">
        <v>56.497540999999998</v>
      </c>
      <c r="JX14" s="214">
        <v>93.162227000000001</v>
      </c>
      <c r="JY14" s="214">
        <v>82.635779999999997</v>
      </c>
      <c r="JZ14" s="214">
        <v>72.396843000000004</v>
      </c>
      <c r="KA14" s="214">
        <v>75.889443</v>
      </c>
      <c r="KB14" s="214">
        <v>56.132489999999997</v>
      </c>
      <c r="KC14" s="214">
        <v>87.367304000000004</v>
      </c>
      <c r="KD14" s="214">
        <v>79.008636999999993</v>
      </c>
      <c r="KE14" s="214">
        <v>69.036934000000002</v>
      </c>
      <c r="KF14" s="214">
        <v>71.110814000000005</v>
      </c>
      <c r="KG14" s="214">
        <v>56.060208000000003</v>
      </c>
      <c r="KH14" s="214">
        <v>84.800177000000005</v>
      </c>
      <c r="KI14" s="214">
        <v>75.192413000000002</v>
      </c>
      <c r="KJ14" s="214">
        <v>65.961119999999994</v>
      </c>
      <c r="KK14" s="214">
        <v>67.051091</v>
      </c>
      <c r="KL14" s="214">
        <v>54.929411999999999</v>
      </c>
      <c r="KM14" s="214">
        <v>82.129272</v>
      </c>
      <c r="KN14" s="214">
        <v>74.046389000000005</v>
      </c>
    </row>
    <row r="15" spans="1:300" x14ac:dyDescent="0.35">
      <c r="A15" s="216" t="str">
        <f t="shared" si="0"/>
        <v>jeudi</v>
      </c>
      <c r="B15" s="217">
        <v>44567</v>
      </c>
      <c r="C15" s="202">
        <v>0</v>
      </c>
      <c r="D15" s="202">
        <v>85</v>
      </c>
      <c r="E15" s="202">
        <v>113</v>
      </c>
      <c r="F15" s="202">
        <v>127</v>
      </c>
      <c r="G15" s="202">
        <v>116</v>
      </c>
      <c r="H15" s="202">
        <v>108</v>
      </c>
      <c r="I15" s="202">
        <v>109</v>
      </c>
      <c r="J15" s="202">
        <v>90</v>
      </c>
      <c r="K15" s="202">
        <v>60</v>
      </c>
      <c r="L15" s="202">
        <v>32</v>
      </c>
      <c r="M15" s="202">
        <v>16</v>
      </c>
      <c r="N15" s="202">
        <v>29</v>
      </c>
      <c r="O15" s="202">
        <v>84</v>
      </c>
      <c r="P15" s="202">
        <v>94</v>
      </c>
      <c r="Q15" s="202">
        <v>93</v>
      </c>
      <c r="R15" s="202">
        <v>70</v>
      </c>
      <c r="S15" s="202">
        <v>71</v>
      </c>
      <c r="T15" s="202">
        <v>56</v>
      </c>
      <c r="U15" s="202">
        <v>43</v>
      </c>
      <c r="V15" s="202">
        <v>0</v>
      </c>
      <c r="W15" s="203">
        <f t="shared" si="1"/>
        <v>1396</v>
      </c>
      <c r="AA15" s="196">
        <v>0.58333333333333304</v>
      </c>
      <c r="AB15" s="207">
        <v>128.5</v>
      </c>
      <c r="AC15" s="207">
        <v>107</v>
      </c>
      <c r="AD15" s="207">
        <v>93.5</v>
      </c>
      <c r="AE15" s="207">
        <v>94.119205298013242</v>
      </c>
      <c r="AF15" s="207">
        <v>77</v>
      </c>
      <c r="AG15" s="207">
        <v>118.5</v>
      </c>
      <c r="AH15" s="207">
        <v>102</v>
      </c>
      <c r="AI15" s="207">
        <v>91.5</v>
      </c>
      <c r="AJ15" s="207">
        <v>93.615894039735096</v>
      </c>
      <c r="AK15" s="207">
        <v>78</v>
      </c>
      <c r="AL15" s="207">
        <v>118</v>
      </c>
      <c r="AM15" s="207">
        <v>102.5</v>
      </c>
      <c r="AN15" s="207">
        <v>91.5</v>
      </c>
      <c r="AO15" s="207">
        <v>91.5</v>
      </c>
      <c r="AP15" s="207">
        <v>72</v>
      </c>
      <c r="AQ15" s="207">
        <v>106</v>
      </c>
      <c r="AR15" s="207">
        <v>97.5</v>
      </c>
      <c r="AS15" s="207">
        <v>88</v>
      </c>
      <c r="AT15" s="207">
        <v>89</v>
      </c>
      <c r="AU15" s="207">
        <v>74.5</v>
      </c>
      <c r="AV15" s="207">
        <v>101.5</v>
      </c>
      <c r="AW15" s="207">
        <v>65.485854858548592</v>
      </c>
      <c r="AX15" s="207">
        <v>76.516424751718858</v>
      </c>
      <c r="AY15" s="207">
        <v>77.058644325971059</v>
      </c>
      <c r="AZ15" s="207">
        <v>58.632090761750405</v>
      </c>
      <c r="BA15" s="207">
        <v>79.312957157784737</v>
      </c>
      <c r="BB15" s="207">
        <v>69.043869516310451</v>
      </c>
      <c r="BC15" s="207">
        <v>77.131468531468528</v>
      </c>
      <c r="BD15" s="207">
        <v>78.875434933890048</v>
      </c>
      <c r="BE15" s="207">
        <v>54.777777777777779</v>
      </c>
      <c r="BF15" s="207">
        <v>77.146586345381522</v>
      </c>
      <c r="BG15" s="207">
        <v>69.692796610169495</v>
      </c>
      <c r="BH15" s="207">
        <v>76.546296296296291</v>
      </c>
      <c r="BI15" s="207">
        <v>77.046092184368746</v>
      </c>
      <c r="BJ15" s="207">
        <v>53.017107309486782</v>
      </c>
      <c r="BK15" s="207">
        <v>76.549848942598189</v>
      </c>
      <c r="BL15" s="207">
        <v>72.274906766116146</v>
      </c>
      <c r="BM15" s="207">
        <v>78.016025641025649</v>
      </c>
      <c r="BN15" s="207">
        <v>79.065104166666657</v>
      </c>
      <c r="BO15" s="207">
        <v>56.123351435221103</v>
      </c>
      <c r="BP15" s="207">
        <v>78.188259109311744</v>
      </c>
      <c r="BQ15" s="208">
        <v>71.068421052631578</v>
      </c>
      <c r="BR15" s="208">
        <v>77.930769230769229</v>
      </c>
      <c r="BS15" s="208">
        <v>81.371932032724985</v>
      </c>
      <c r="BT15" s="208">
        <v>56.435458786936238</v>
      </c>
      <c r="BU15" s="208">
        <v>82.039253231211106</v>
      </c>
      <c r="BV15" s="208">
        <v>69.563819095477385</v>
      </c>
      <c r="BW15" s="208">
        <v>77.305912596401029</v>
      </c>
      <c r="BX15" s="208">
        <v>80.710858585858588</v>
      </c>
      <c r="BY15" s="208">
        <v>56.961363636363636</v>
      </c>
      <c r="BZ15" s="208">
        <v>81.977186311787079</v>
      </c>
      <c r="CA15" s="208">
        <v>68.781218781218783</v>
      </c>
      <c r="CB15" s="208">
        <v>76.603174603174608</v>
      </c>
      <c r="CC15" s="208">
        <v>80.971822166562305</v>
      </c>
      <c r="CD15" s="208">
        <v>57.222054380664652</v>
      </c>
      <c r="CE15" s="208">
        <v>80.397870280735731</v>
      </c>
      <c r="CF15" s="208">
        <v>71.471813103098029</v>
      </c>
      <c r="CG15" s="208">
        <v>81.118677042801551</v>
      </c>
      <c r="CH15" s="208">
        <v>87.293817718291905</v>
      </c>
      <c r="CI15" s="208">
        <v>57.39842519685039</v>
      </c>
      <c r="CJ15" s="208">
        <v>80.440816326530609</v>
      </c>
      <c r="CK15" s="208">
        <v>75.756138392857139</v>
      </c>
      <c r="CL15" s="208">
        <v>91.298865069356879</v>
      </c>
      <c r="CM15" s="208">
        <v>98.258064516129039</v>
      </c>
      <c r="CN15" s="209">
        <v>53.508629062413583</v>
      </c>
      <c r="CO15" s="210">
        <v>105.00263913019889</v>
      </c>
      <c r="CP15" s="210">
        <v>92.398827969465628</v>
      </c>
      <c r="CQ15" s="210">
        <v>84.492182955653902</v>
      </c>
      <c r="CR15" s="210">
        <v>81.400062221306726</v>
      </c>
      <c r="CS15" s="210">
        <v>58.161977166978275</v>
      </c>
      <c r="CT15" s="210">
        <v>89.581101002595304</v>
      </c>
      <c r="CU15" s="210">
        <v>81.912005853263764</v>
      </c>
      <c r="CV15" s="210">
        <v>76.989737910655506</v>
      </c>
      <c r="CW15" s="210">
        <v>75.501071803628477</v>
      </c>
      <c r="CX15" s="210">
        <v>52.062319237158896</v>
      </c>
      <c r="CY15" s="210">
        <v>77.535442528826223</v>
      </c>
      <c r="CZ15" s="210">
        <v>71.560864603940274</v>
      </c>
      <c r="DA15" s="210">
        <v>71.790519600550866</v>
      </c>
      <c r="DB15" s="210">
        <v>46.122114952183694</v>
      </c>
      <c r="DC15" s="210">
        <v>66.195223562979947</v>
      </c>
      <c r="DD15" s="210">
        <v>64.368579067098366</v>
      </c>
      <c r="DE15" s="210">
        <v>64.094541370314772</v>
      </c>
      <c r="DF15" s="210">
        <v>64.324196366925349</v>
      </c>
      <c r="DG15" s="210">
        <v>42.150897238377048</v>
      </c>
      <c r="DH15" s="210">
        <v>88.541707552811744</v>
      </c>
      <c r="DI15" s="210">
        <v>75.509727209570116</v>
      </c>
      <c r="DJ15" s="210">
        <v>72.648634074152767</v>
      </c>
      <c r="DK15" s="210">
        <v>72.237997802624861</v>
      </c>
      <c r="DL15" s="210">
        <v>47.834818298293165</v>
      </c>
      <c r="DM15" s="210">
        <v>89.051221774569527</v>
      </c>
      <c r="DN15" s="210">
        <v>82.213566281461866</v>
      </c>
      <c r="DO15" s="210">
        <v>76.763930734064303</v>
      </c>
      <c r="DP15" s="210">
        <v>76.361181839714959</v>
      </c>
      <c r="DQ15" s="210">
        <v>51.515864293796049</v>
      </c>
      <c r="DR15" s="210">
        <v>84.750969893424013</v>
      </c>
      <c r="DS15" s="210">
        <v>81.849464416337625</v>
      </c>
      <c r="DT15" s="210">
        <v>76.399828868940077</v>
      </c>
      <c r="DU15" s="210">
        <v>76.844610954027956</v>
      </c>
      <c r="DV15" s="210">
        <v>51.809832090853959</v>
      </c>
      <c r="DW15" s="210">
        <v>77.368852702537922</v>
      </c>
      <c r="DX15" s="210">
        <v>77.400416446451558</v>
      </c>
      <c r="DY15" s="210">
        <v>60.358243269690085</v>
      </c>
      <c r="DZ15" s="210">
        <v>37.17471816861169</v>
      </c>
      <c r="EA15" s="210">
        <v>78.754554755785705</v>
      </c>
      <c r="EB15" s="210">
        <v>70.383871177904453</v>
      </c>
      <c r="EC15" s="211">
        <v>76.100907547537574</v>
      </c>
      <c r="ED15" s="211">
        <v>77.0215246698329</v>
      </c>
      <c r="EE15" s="211">
        <v>54.139057526714687</v>
      </c>
      <c r="EF15" s="211">
        <v>93.836242576851149</v>
      </c>
      <c r="EG15" s="211">
        <v>77.695524315411475</v>
      </c>
      <c r="EH15" s="211">
        <v>81.848328251968809</v>
      </c>
      <c r="EI15" s="211">
        <v>55.11261358520499</v>
      </c>
      <c r="EJ15" s="211">
        <v>102.39891349225057</v>
      </c>
      <c r="EK15" s="211">
        <v>95.648195504658446</v>
      </c>
      <c r="EL15" s="211">
        <v>81.447342334957966</v>
      </c>
      <c r="EM15" s="211">
        <v>80.951399497508859</v>
      </c>
      <c r="EN15" s="211">
        <v>56.014093459337587</v>
      </c>
      <c r="EO15" s="211">
        <v>101.3843375759013</v>
      </c>
      <c r="EP15" s="211">
        <v>95.739755888656646</v>
      </c>
      <c r="EQ15" s="211">
        <v>81.262128519333842</v>
      </c>
      <c r="ER15" s="211">
        <v>79.150792223379014</v>
      </c>
      <c r="ES15" s="211">
        <v>55.886713721836742</v>
      </c>
      <c r="ET15" s="211">
        <v>99.553570293375174</v>
      </c>
      <c r="EU15" s="211">
        <v>94.415251976238736</v>
      </c>
      <c r="EV15" s="211">
        <v>84.954938815211591</v>
      </c>
      <c r="EW15" s="211">
        <v>91.849592382153645</v>
      </c>
      <c r="EX15" s="212">
        <v>64.317846749750856</v>
      </c>
      <c r="EY15" s="212">
        <v>103.20953144868092</v>
      </c>
      <c r="EZ15" s="212">
        <v>95.811718070742813</v>
      </c>
      <c r="FA15" s="212">
        <v>82.230203478909417</v>
      </c>
      <c r="FB15" s="212">
        <v>85.179943699620821</v>
      </c>
      <c r="FC15" s="212">
        <v>59.631334508205299</v>
      </c>
      <c r="FD15" s="212">
        <v>87.291220535229016</v>
      </c>
      <c r="FE15" s="212">
        <v>89.20520078187117</v>
      </c>
      <c r="FF15" s="212">
        <v>76.519415394488817</v>
      </c>
      <c r="FG15" s="212">
        <v>50.318842839086578</v>
      </c>
      <c r="FH15" s="212">
        <v>97.853958028414766</v>
      </c>
      <c r="FI15" s="212">
        <v>95.435597266336302</v>
      </c>
      <c r="FJ15" s="212">
        <v>80.511163713127019</v>
      </c>
      <c r="FK15" s="212">
        <v>79.078881146518981</v>
      </c>
      <c r="FL15" s="212">
        <v>56.847003764907051</v>
      </c>
      <c r="FM15" s="212">
        <v>98.510635228606816</v>
      </c>
      <c r="FN15" s="212">
        <v>94.360109198910848</v>
      </c>
      <c r="FO15" s="212">
        <v>77.849924224023766</v>
      </c>
      <c r="FP15" s="212">
        <v>78.71784618007932</v>
      </c>
      <c r="FQ15" s="212">
        <v>53.560942525403647</v>
      </c>
      <c r="FR15" s="213">
        <v>100.13658358727017</v>
      </c>
      <c r="FS15" s="213">
        <v>87.615269679621576</v>
      </c>
      <c r="FT15" s="213">
        <v>78.707523278076579</v>
      </c>
      <c r="FU15" s="213">
        <v>77.872506599889078</v>
      </c>
      <c r="FV15" s="213">
        <v>57.818967360933925</v>
      </c>
      <c r="FW15" s="213">
        <v>99.322817358660515</v>
      </c>
      <c r="FX15" s="213">
        <v>80.131340538379135</v>
      </c>
      <c r="FY15" s="213">
        <v>71.615720044241414</v>
      </c>
      <c r="FZ15" s="213">
        <v>69.434012191624589</v>
      </c>
      <c r="GA15" s="213">
        <v>55.400213482744519</v>
      </c>
      <c r="GB15" s="213">
        <v>85.140606031687369</v>
      </c>
      <c r="GC15" s="213">
        <v>76.517782961147219</v>
      </c>
      <c r="GD15" s="213">
        <v>76.523811098816523</v>
      </c>
      <c r="GE15" s="213">
        <v>54.007962926246556</v>
      </c>
      <c r="GF15" s="213">
        <v>98.927363180092456</v>
      </c>
      <c r="GG15" s="213">
        <v>86.266500141249622</v>
      </c>
      <c r="GH15" s="213">
        <v>77.341122947053506</v>
      </c>
      <c r="GI15" s="213">
        <v>78.273088154280927</v>
      </c>
      <c r="GJ15" s="213">
        <v>56.540899328580835</v>
      </c>
      <c r="GK15" s="213">
        <v>107.32936507936505</v>
      </c>
      <c r="GL15" s="213">
        <v>86.383628716639123</v>
      </c>
      <c r="GM15" s="213">
        <v>83.911011904761907</v>
      </c>
      <c r="GN15" s="213">
        <v>84.542952014205127</v>
      </c>
      <c r="GO15" s="213">
        <v>61.506637454628077</v>
      </c>
      <c r="GP15" s="213">
        <v>103.00394836616786</v>
      </c>
      <c r="GQ15" s="213">
        <v>89.408452916091164</v>
      </c>
      <c r="GR15" s="213">
        <v>83.083474855123214</v>
      </c>
      <c r="GS15" s="213">
        <v>82.621909075823339</v>
      </c>
      <c r="GT15" s="213">
        <v>61.00834758800287</v>
      </c>
      <c r="GU15" s="213">
        <v>98.681781233610636</v>
      </c>
      <c r="GV15" s="213">
        <v>88.602815970299289</v>
      </c>
      <c r="GW15" s="213">
        <v>81.200924996691725</v>
      </c>
      <c r="GX15" s="213">
        <v>81.356184544803867</v>
      </c>
      <c r="GY15" s="213">
        <v>60.154447470726787</v>
      </c>
      <c r="GZ15" s="213">
        <v>96.325626654629517</v>
      </c>
      <c r="HA15" s="213">
        <v>85.96349992950519</v>
      </c>
      <c r="HB15" s="213">
        <v>78.48583199699155</v>
      </c>
      <c r="HC15" s="213">
        <v>77.631989902132119</v>
      </c>
      <c r="HD15" s="213">
        <v>58.084566283337352</v>
      </c>
      <c r="HE15" s="213">
        <v>95.050245197753696</v>
      </c>
      <c r="HF15" s="213">
        <v>93.597844571993306</v>
      </c>
      <c r="HG15" s="213">
        <v>96.600280735166095</v>
      </c>
      <c r="HH15" s="213">
        <v>152.90831578718905</v>
      </c>
      <c r="HI15" s="213">
        <v>137.03587945749788</v>
      </c>
      <c r="HJ15" s="214">
        <v>122.07277152</v>
      </c>
      <c r="HK15" s="214">
        <v>115.61593395</v>
      </c>
      <c r="HL15" s="214">
        <v>106.56629280000001</v>
      </c>
      <c r="HM15" s="214">
        <v>100.97602570000001</v>
      </c>
      <c r="HN15" s="214">
        <v>73.542333700000015</v>
      </c>
      <c r="HO15" s="214">
        <v>115.87773084</v>
      </c>
      <c r="HP15" s="214">
        <v>114.251325725</v>
      </c>
      <c r="HQ15" s="214">
        <v>104.90220400000001</v>
      </c>
      <c r="HR15" s="214">
        <v>98.525765800000002</v>
      </c>
      <c r="HS15" s="214">
        <v>70.2326482</v>
      </c>
      <c r="HT15" s="214">
        <v>107.599965325</v>
      </c>
      <c r="HU15" s="214">
        <v>103.18191510000001</v>
      </c>
      <c r="HV15" s="214">
        <v>103.3873159</v>
      </c>
      <c r="HW15" s="214">
        <v>97.550411200000013</v>
      </c>
      <c r="HX15" s="214">
        <v>68.159166900000002</v>
      </c>
      <c r="HY15" s="214">
        <v>96.589290600000012</v>
      </c>
      <c r="HZ15" s="214">
        <v>88.515851600000019</v>
      </c>
      <c r="IA15" s="214">
        <v>89.884455099999997</v>
      </c>
      <c r="IB15" s="214">
        <v>83.860872700000002</v>
      </c>
      <c r="IC15" s="214">
        <v>45.616046300000001</v>
      </c>
      <c r="ID15" s="214">
        <v>74.523541399999999</v>
      </c>
      <c r="IE15" s="214">
        <v>72.99269120000001</v>
      </c>
      <c r="IF15" s="214">
        <v>62.275353800000005</v>
      </c>
      <c r="IG15" s="214">
        <v>43.092438400000006</v>
      </c>
      <c r="IH15" s="214">
        <v>96.22804290000002</v>
      </c>
      <c r="II15" s="214">
        <v>85.96531130000001</v>
      </c>
      <c r="IJ15" s="214">
        <v>83.832202300000006</v>
      </c>
      <c r="IK15" s="214">
        <v>76.694465100000002</v>
      </c>
      <c r="IL15" s="214">
        <v>97.141362999999998</v>
      </c>
      <c r="IM15" s="214">
        <v>92.926303800000014</v>
      </c>
      <c r="IN15" s="214">
        <v>85.632471100000004</v>
      </c>
      <c r="IO15" s="214">
        <v>80.683100300000007</v>
      </c>
      <c r="IP15" s="214">
        <v>60.729614000000005</v>
      </c>
      <c r="IQ15" s="214">
        <v>95.395823600000014</v>
      </c>
      <c r="IR15" s="214">
        <v>93.261048100000011</v>
      </c>
      <c r="IS15" s="214">
        <v>85.407573900000003</v>
      </c>
      <c r="IT15" s="214">
        <v>80.177344500000018</v>
      </c>
      <c r="IU15" s="214">
        <v>61.028063800000005</v>
      </c>
      <c r="IV15" s="214">
        <v>94.976204400000015</v>
      </c>
      <c r="IW15" s="214">
        <v>92.792802300000019</v>
      </c>
      <c r="IX15" s="214">
        <v>88.661016400000008</v>
      </c>
      <c r="IY15" s="214">
        <v>77.814645700000014</v>
      </c>
      <c r="IZ15" s="214">
        <v>62.214324700000006</v>
      </c>
      <c r="JA15" s="214">
        <v>100.9114546</v>
      </c>
      <c r="JB15" s="214">
        <v>89.728330999999997</v>
      </c>
      <c r="JC15" s="214">
        <v>81.15650620000001</v>
      </c>
      <c r="JD15" s="214">
        <v>75.317955900000001</v>
      </c>
      <c r="JE15" s="214">
        <v>60.472640800000001</v>
      </c>
      <c r="JF15" s="214">
        <v>94.212259900000006</v>
      </c>
      <c r="JG15" s="214">
        <v>84.604982000000007</v>
      </c>
      <c r="JH15" s="214">
        <v>78.985934500000013</v>
      </c>
      <c r="JI15" s="214">
        <v>73.600880100000012</v>
      </c>
      <c r="JJ15" s="214">
        <v>61.390324600000007</v>
      </c>
      <c r="JK15" s="214">
        <v>74.779508100000001</v>
      </c>
      <c r="JL15" s="214">
        <v>66.756697700000004</v>
      </c>
      <c r="JM15" s="214">
        <v>60.4681517</v>
      </c>
      <c r="JN15" s="214">
        <v>50.771861800000003</v>
      </c>
      <c r="JO15" s="214">
        <v>38.350298800000004</v>
      </c>
      <c r="JP15" s="214">
        <v>63.719885900000001</v>
      </c>
      <c r="JQ15" s="214">
        <v>54.569304900000006</v>
      </c>
      <c r="JR15" s="214">
        <v>46.779572400000006</v>
      </c>
      <c r="JS15" s="214">
        <v>37.698141800000002</v>
      </c>
      <c r="JT15" s="214">
        <v>90.313253000000003</v>
      </c>
      <c r="JU15" s="214">
        <v>82.020628000000002</v>
      </c>
      <c r="JV15" s="214">
        <v>81.006932000000006</v>
      </c>
      <c r="JW15" s="214">
        <v>59.732388999999998</v>
      </c>
      <c r="JX15" s="214">
        <v>97.934954000000005</v>
      </c>
      <c r="JY15" s="214">
        <v>87.623154</v>
      </c>
      <c r="JZ15" s="214">
        <v>81.030681000000001</v>
      </c>
      <c r="KA15" s="214">
        <v>80.836412999999993</v>
      </c>
      <c r="KB15" s="214">
        <v>59.367339000000001</v>
      </c>
      <c r="KC15" s="214">
        <v>92.140032000000005</v>
      </c>
      <c r="KD15" s="214">
        <v>83.996010999999996</v>
      </c>
      <c r="KE15" s="214">
        <v>77.670771999999999</v>
      </c>
      <c r="KF15" s="214">
        <v>76.057783999999998</v>
      </c>
      <c r="KG15" s="214">
        <v>59.295057</v>
      </c>
      <c r="KH15" s="214">
        <v>89.572903999999994</v>
      </c>
      <c r="KI15" s="214">
        <v>80.179787000000005</v>
      </c>
      <c r="KJ15" s="214">
        <v>74.594958000000005</v>
      </c>
      <c r="KK15" s="214">
        <v>71.998061000000007</v>
      </c>
      <c r="KL15" s="214">
        <v>58.164261000000003</v>
      </c>
      <c r="KM15" s="214">
        <v>86.901999000000004</v>
      </c>
      <c r="KN15" s="214">
        <v>79.033761999999996</v>
      </c>
    </row>
    <row r="16" spans="1:300" x14ac:dyDescent="0.35">
      <c r="A16" s="216" t="str">
        <f t="shared" si="0"/>
        <v>vendredi</v>
      </c>
      <c r="B16" s="217">
        <v>44568</v>
      </c>
      <c r="C16" s="202">
        <v>0</v>
      </c>
      <c r="D16" s="202">
        <v>74</v>
      </c>
      <c r="E16" s="202">
        <v>81</v>
      </c>
      <c r="F16" s="202">
        <v>106</v>
      </c>
      <c r="G16" s="202">
        <v>105</v>
      </c>
      <c r="H16" s="202">
        <v>84</v>
      </c>
      <c r="I16" s="202">
        <v>97</v>
      </c>
      <c r="J16" s="202">
        <v>61</v>
      </c>
      <c r="K16" s="202">
        <v>46</v>
      </c>
      <c r="L16" s="202">
        <v>17</v>
      </c>
      <c r="M16" s="202">
        <v>17</v>
      </c>
      <c r="N16" s="202">
        <v>35</v>
      </c>
      <c r="O16" s="202">
        <v>60</v>
      </c>
      <c r="P16" s="202">
        <v>56</v>
      </c>
      <c r="Q16" s="202">
        <v>57</v>
      </c>
      <c r="R16" s="202">
        <v>46</v>
      </c>
      <c r="S16" s="202">
        <v>49</v>
      </c>
      <c r="T16" s="202">
        <v>41</v>
      </c>
      <c r="U16" s="202">
        <v>23</v>
      </c>
      <c r="V16" s="202">
        <v>0</v>
      </c>
      <c r="W16" s="203">
        <f t="shared" si="1"/>
        <v>1055</v>
      </c>
      <c r="AA16" s="196">
        <v>0.60416666666666696</v>
      </c>
      <c r="AB16" s="207">
        <v>128.5</v>
      </c>
      <c r="AC16" s="207">
        <v>107</v>
      </c>
      <c r="AD16" s="207">
        <v>93.5</v>
      </c>
      <c r="AE16" s="207">
        <v>92.880794701986758</v>
      </c>
      <c r="AF16" s="207">
        <v>77</v>
      </c>
      <c r="AG16" s="207">
        <v>118.5</v>
      </c>
      <c r="AH16" s="207">
        <v>102</v>
      </c>
      <c r="AI16" s="207">
        <v>91.5</v>
      </c>
      <c r="AJ16" s="207">
        <v>92.384105960264904</v>
      </c>
      <c r="AK16" s="207">
        <v>78</v>
      </c>
      <c r="AL16" s="207">
        <v>118</v>
      </c>
      <c r="AM16" s="207">
        <v>102.5</v>
      </c>
      <c r="AN16" s="207">
        <v>91.5</v>
      </c>
      <c r="AO16" s="207">
        <v>91.5</v>
      </c>
      <c r="AP16" s="207">
        <v>72</v>
      </c>
      <c r="AQ16" s="207">
        <v>106</v>
      </c>
      <c r="AR16" s="207">
        <v>97.5</v>
      </c>
      <c r="AS16" s="207">
        <v>88</v>
      </c>
      <c r="AT16" s="207">
        <v>89</v>
      </c>
      <c r="AU16" s="207">
        <v>74.5</v>
      </c>
      <c r="AV16" s="207">
        <v>101.5</v>
      </c>
      <c r="AW16" s="207">
        <v>65.485854858548592</v>
      </c>
      <c r="AX16" s="207">
        <v>76.516424751718858</v>
      </c>
      <c r="AY16" s="207">
        <v>76.057882711348057</v>
      </c>
      <c r="AZ16" s="207">
        <v>58.632090761750405</v>
      </c>
      <c r="BA16" s="207">
        <v>79.312957157784737</v>
      </c>
      <c r="BB16" s="207">
        <v>69.043869516310451</v>
      </c>
      <c r="BC16" s="207">
        <v>77.131468531468528</v>
      </c>
      <c r="BD16" s="207">
        <v>78.018093249826023</v>
      </c>
      <c r="BE16" s="207">
        <v>54.777777777777779</v>
      </c>
      <c r="BF16" s="207">
        <v>77.895582329317264</v>
      </c>
      <c r="BG16" s="207">
        <v>69.009533898305079</v>
      </c>
      <c r="BH16" s="207">
        <v>75.765211640211632</v>
      </c>
      <c r="BI16" s="207">
        <v>76.226452905811627</v>
      </c>
      <c r="BJ16" s="207">
        <v>53.017107309486782</v>
      </c>
      <c r="BK16" s="207">
        <v>77.293051359516625</v>
      </c>
      <c r="BL16" s="207">
        <v>72.274906766116146</v>
      </c>
      <c r="BM16" s="207">
        <v>78.016025641025649</v>
      </c>
      <c r="BN16" s="207">
        <v>79.880208333333329</v>
      </c>
      <c r="BO16" s="207">
        <v>56.123351435221103</v>
      </c>
      <c r="BP16" s="207">
        <v>78.94736842105263</v>
      </c>
      <c r="BQ16" s="208">
        <v>71.068421052631578</v>
      </c>
      <c r="BR16" s="208">
        <v>77.930769230769229</v>
      </c>
      <c r="BS16" s="208">
        <v>81.371932032724985</v>
      </c>
      <c r="BT16" s="208">
        <v>56.435458786936238</v>
      </c>
      <c r="BU16" s="208">
        <v>82.039253231211106</v>
      </c>
      <c r="BV16" s="208">
        <v>68.888442211055278</v>
      </c>
      <c r="BW16" s="208">
        <v>77.305912596401029</v>
      </c>
      <c r="BX16" s="208">
        <v>80.710858585858588</v>
      </c>
      <c r="BY16" s="208">
        <v>56.961363636363636</v>
      </c>
      <c r="BZ16" s="208">
        <v>81.977186311787079</v>
      </c>
      <c r="CA16" s="208">
        <v>68.781218781218783</v>
      </c>
      <c r="CB16" s="208">
        <v>76.603174603174608</v>
      </c>
      <c r="CC16" s="208">
        <v>80.971822166562305</v>
      </c>
      <c r="CD16" s="208">
        <v>57.222054380664652</v>
      </c>
      <c r="CE16" s="208">
        <v>81.156340755082283</v>
      </c>
      <c r="CF16" s="208">
        <v>71.471813103098029</v>
      </c>
      <c r="CG16" s="208">
        <v>81.118677042801551</v>
      </c>
      <c r="CH16" s="208">
        <v>87.293817718291905</v>
      </c>
      <c r="CI16" s="208">
        <v>57.39842519685039</v>
      </c>
      <c r="CJ16" s="208">
        <v>81.214285714285708</v>
      </c>
      <c r="CK16" s="208">
        <v>75.756138392857139</v>
      </c>
      <c r="CL16" s="208">
        <v>90.385876418663301</v>
      </c>
      <c r="CM16" s="208">
        <v>98.258064516129039</v>
      </c>
      <c r="CN16" s="209">
        <v>53.114031714370242</v>
      </c>
      <c r="CO16" s="210">
        <v>101.20071304694281</v>
      </c>
      <c r="CP16" s="210">
        <v>90.830621289384297</v>
      </c>
      <c r="CQ16" s="210">
        <v>84.668272490784346</v>
      </c>
      <c r="CR16" s="210">
        <v>80.576743860478942</v>
      </c>
      <c r="CS16" s="210">
        <v>56.705270144080274</v>
      </c>
      <c r="CT16" s="210">
        <v>89.492184232936864</v>
      </c>
      <c r="CU16" s="210">
        <v>81.206056876094109</v>
      </c>
      <c r="CV16" s="210">
        <v>77.083248606987468</v>
      </c>
      <c r="CW16" s="210">
        <v>75.594582499960438</v>
      </c>
      <c r="CX16" s="210">
        <v>51.543762877401136</v>
      </c>
      <c r="CY16" s="210">
        <v>73.27989411254238</v>
      </c>
      <c r="CZ16" s="210">
        <v>67.074719813256451</v>
      </c>
      <c r="DA16" s="210">
        <v>67.820295399766337</v>
      </c>
      <c r="DB16" s="210">
        <v>41.454117777952881</v>
      </c>
      <c r="DC16" s="210">
        <v>62.004788077818674</v>
      </c>
      <c r="DD16" s="210">
        <v>60.883460126501951</v>
      </c>
      <c r="DE16" s="210">
        <v>60.114676421069383</v>
      </c>
      <c r="DF16" s="210">
        <v>60.86025200757927</v>
      </c>
      <c r="DG16" s="210">
        <v>37.840948424103196</v>
      </c>
      <c r="DH16" s="210">
        <v>83.853663849173287</v>
      </c>
      <c r="DI16" s="210">
        <v>70.568173698645666</v>
      </c>
      <c r="DJ16" s="210">
        <v>67.575450431067537</v>
      </c>
      <c r="DK16" s="210">
        <v>67.680734749438912</v>
      </c>
      <c r="DL16" s="210">
        <v>42.431550790179458</v>
      </c>
      <c r="DM16" s="210">
        <v>84.950216923332462</v>
      </c>
      <c r="DN16" s="210">
        <v>77.85905162293885</v>
      </c>
      <c r="DO16" s="210">
        <v>72.277785943380493</v>
      </c>
      <c r="DP16" s="210">
        <v>72.390957638930431</v>
      </c>
      <c r="DQ16" s="210">
        <v>46.847867119565237</v>
      </c>
      <c r="DR16" s="210">
        <v>80.649965042186963</v>
      </c>
      <c r="DS16" s="210">
        <v>77.494949757814638</v>
      </c>
      <c r="DT16" s="210">
        <v>71.913684078256253</v>
      </c>
      <c r="DU16" s="210">
        <v>72.874386753243428</v>
      </c>
      <c r="DV16" s="210">
        <v>47.141834916623154</v>
      </c>
      <c r="DW16" s="210">
        <v>73.267847851300886</v>
      </c>
      <c r="DX16" s="210">
        <v>73.045901787928543</v>
      </c>
      <c r="DY16" s="210">
        <v>55.922133758811604</v>
      </c>
      <c r="DZ16" s="210">
        <v>32.864769354337845</v>
      </c>
      <c r="EA16" s="210">
        <v>77.266359419339935</v>
      </c>
      <c r="EB16" s="210">
        <v>68.178836561006904</v>
      </c>
      <c r="EC16" s="211">
        <v>75.423551754292561</v>
      </c>
      <c r="ED16" s="211">
        <v>76.307000712030927</v>
      </c>
      <c r="EE16" s="211">
        <v>53.747249507976562</v>
      </c>
      <c r="EF16" s="211">
        <v>92.787000566754017</v>
      </c>
      <c r="EG16" s="211">
        <v>76.853345576605321</v>
      </c>
      <c r="EH16" s="211">
        <v>80.924447693606297</v>
      </c>
      <c r="EI16" s="211">
        <v>54.678193755305649</v>
      </c>
      <c r="EJ16" s="211">
        <v>101.46455243524294</v>
      </c>
      <c r="EK16" s="211">
        <v>94.595016244028528</v>
      </c>
      <c r="EL16" s="211">
        <v>80.590650684371326</v>
      </c>
      <c r="EM16" s="211">
        <v>80.027052683480576</v>
      </c>
      <c r="EN16" s="211">
        <v>55.560733473678937</v>
      </c>
      <c r="EO16" s="211">
        <v>100.47284233261593</v>
      </c>
      <c r="EP16" s="211">
        <v>94.672826038210061</v>
      </c>
      <c r="EQ16" s="211">
        <v>80.39608218990027</v>
      </c>
      <c r="ER16" s="211">
        <v>78.22532799928436</v>
      </c>
      <c r="ES16" s="211">
        <v>55.19608262419662</v>
      </c>
      <c r="ET16" s="211">
        <v>99.116568853237098</v>
      </c>
      <c r="EU16" s="211">
        <v>93.820268787901256</v>
      </c>
      <c r="EV16" s="211">
        <v>83.774438375619454</v>
      </c>
      <c r="EW16" s="211">
        <v>90.246780427684413</v>
      </c>
      <c r="EX16" s="212">
        <v>64.187099943312987</v>
      </c>
      <c r="EY16" s="212">
        <v>101.63537164937425</v>
      </c>
      <c r="EZ16" s="212">
        <v>94.981298787259945</v>
      </c>
      <c r="FA16" s="212">
        <v>81.665803671517935</v>
      </c>
      <c r="FB16" s="212">
        <v>84.409642339449221</v>
      </c>
      <c r="FC16" s="212">
        <v>59.539545968010728</v>
      </c>
      <c r="FD16" s="212">
        <v>87.496501805754036</v>
      </c>
      <c r="FE16" s="212">
        <v>89.596669401129063</v>
      </c>
      <c r="FF16" s="212">
        <v>75.972355230366716</v>
      </c>
      <c r="FG16" s="212">
        <v>50.436382831144961</v>
      </c>
      <c r="FH16" s="212">
        <v>96.814346969912677</v>
      </c>
      <c r="FI16" s="212">
        <v>94.533865852561092</v>
      </c>
      <c r="FJ16" s="212">
        <v>80.109572503840397</v>
      </c>
      <c r="FK16" s="212">
        <v>78.640129197461789</v>
      </c>
      <c r="FL16" s="212">
        <v>56.963604720220538</v>
      </c>
      <c r="FM16" s="212">
        <v>97.40249197963216</v>
      </c>
      <c r="FN16" s="212">
        <v>93.415360237885267</v>
      </c>
      <c r="FO16" s="212">
        <v>77.431274775322223</v>
      </c>
      <c r="FP16" s="212">
        <v>78.255329479930836</v>
      </c>
      <c r="FQ16" s="212">
        <v>53.534051514720261</v>
      </c>
      <c r="FR16" s="213">
        <v>100.13658358727017</v>
      </c>
      <c r="FS16" s="213">
        <v>87.615269679621576</v>
      </c>
      <c r="FT16" s="213">
        <v>78.707523278076579</v>
      </c>
      <c r="FU16" s="213">
        <v>77.872506599889078</v>
      </c>
      <c r="FV16" s="213">
        <v>59.195609440956162</v>
      </c>
      <c r="FW16" s="213">
        <v>99.322817358660515</v>
      </c>
      <c r="FX16" s="213">
        <v>80.131340538379135</v>
      </c>
      <c r="FY16" s="213">
        <v>71.615720044241414</v>
      </c>
      <c r="FZ16" s="213">
        <v>69.434012191624589</v>
      </c>
      <c r="GA16" s="213">
        <v>56.751438201835846</v>
      </c>
      <c r="GB16" s="213">
        <v>85.140606031687369</v>
      </c>
      <c r="GC16" s="213">
        <v>76.517782961147219</v>
      </c>
      <c r="GD16" s="213">
        <v>76.523811098816523</v>
      </c>
      <c r="GE16" s="213">
        <v>54.007962926246556</v>
      </c>
      <c r="GF16" s="213">
        <v>98.927363180092456</v>
      </c>
      <c r="GG16" s="213">
        <v>86.266500141249622</v>
      </c>
      <c r="GH16" s="213">
        <v>77.341122947053506</v>
      </c>
      <c r="GI16" s="213">
        <v>78.273088154280927</v>
      </c>
      <c r="GJ16" s="213">
        <v>56.540899328580835</v>
      </c>
      <c r="GK16" s="213">
        <v>107.32936507936505</v>
      </c>
      <c r="GL16" s="213">
        <v>86.383628716639123</v>
      </c>
      <c r="GM16" s="213">
        <v>83.911011904761907</v>
      </c>
      <c r="GN16" s="213">
        <v>84.542952014205127</v>
      </c>
      <c r="GO16" s="213">
        <v>61.506637454628077</v>
      </c>
      <c r="GP16" s="213">
        <v>103.00394836616786</v>
      </c>
      <c r="GQ16" s="213">
        <v>89.408452916091164</v>
      </c>
      <c r="GR16" s="213">
        <v>83.083474855123214</v>
      </c>
      <c r="GS16" s="213">
        <v>82.621909075823339</v>
      </c>
      <c r="GT16" s="213">
        <v>61.00834758800287</v>
      </c>
      <c r="GU16" s="213">
        <v>98.681781233610636</v>
      </c>
      <c r="GV16" s="213">
        <v>88.602815970299289</v>
      </c>
      <c r="GW16" s="213">
        <v>81.200924996691725</v>
      </c>
      <c r="GX16" s="213">
        <v>81.356184544803867</v>
      </c>
      <c r="GY16" s="213">
        <v>61.479603731815523</v>
      </c>
      <c r="GZ16" s="213">
        <v>97.69013756313629</v>
      </c>
      <c r="HA16" s="213">
        <v>85.96349992950519</v>
      </c>
      <c r="HB16" s="213">
        <v>78.48583199699155</v>
      </c>
      <c r="HC16" s="213">
        <v>77.631989902132119</v>
      </c>
      <c r="HD16" s="213">
        <v>59.430973613408902</v>
      </c>
      <c r="HE16" s="213">
        <v>96.508181549377341</v>
      </c>
      <c r="HF16" s="213">
        <v>93.597844571993306</v>
      </c>
      <c r="HG16" s="213">
        <v>96.600280735166095</v>
      </c>
      <c r="HH16" s="213">
        <v>151.42376903197359</v>
      </c>
      <c r="HI16" s="213">
        <v>138.0214749336655</v>
      </c>
      <c r="HJ16" s="214">
        <v>128.43544802</v>
      </c>
      <c r="HK16" s="214">
        <v>113.47136269999999</v>
      </c>
      <c r="HL16" s="214">
        <v>104.18544620000002</v>
      </c>
      <c r="HM16" s="214">
        <v>109.60658060000002</v>
      </c>
      <c r="HN16" s="214">
        <v>74.995111400000013</v>
      </c>
      <c r="HO16" s="214">
        <v>122.24040734</v>
      </c>
      <c r="HP16" s="214">
        <v>112.10675554999999</v>
      </c>
      <c r="HQ16" s="214">
        <v>102.52135740000001</v>
      </c>
      <c r="HR16" s="214">
        <v>107.15632070000001</v>
      </c>
      <c r="HS16" s="214">
        <v>71.685425900000013</v>
      </c>
      <c r="HT16" s="214">
        <v>114.0526797</v>
      </c>
      <c r="HU16" s="214">
        <v>100.98747010000001</v>
      </c>
      <c r="HV16" s="214">
        <v>101.00646930000001</v>
      </c>
      <c r="HW16" s="214">
        <v>106.18096610000001</v>
      </c>
      <c r="HX16" s="214">
        <v>69.611944600000001</v>
      </c>
      <c r="HY16" s="214">
        <v>103.1920681</v>
      </c>
      <c r="HZ16" s="214">
        <v>86.321406600000003</v>
      </c>
      <c r="IA16" s="214">
        <v>87.503608499999999</v>
      </c>
      <c r="IB16" s="214">
        <v>92.491428700000014</v>
      </c>
      <c r="IC16" s="214">
        <v>47.068823999999999</v>
      </c>
      <c r="ID16" s="214">
        <v>81.126318900000001</v>
      </c>
      <c r="IE16" s="214">
        <v>70.611844600000012</v>
      </c>
      <c r="IF16" s="214">
        <v>70.905909800000003</v>
      </c>
      <c r="IG16" s="214">
        <v>44.545216100000005</v>
      </c>
      <c r="IH16" s="214">
        <v>102.83082040000001</v>
      </c>
      <c r="II16" s="214">
        <v>83.770866300000009</v>
      </c>
      <c r="IJ16" s="214">
        <v>81.451355700000008</v>
      </c>
      <c r="IK16" s="214">
        <v>85.325021100000015</v>
      </c>
      <c r="IL16" s="214">
        <v>103.74414160000001</v>
      </c>
      <c r="IM16" s="214">
        <v>90.731859900000003</v>
      </c>
      <c r="IN16" s="214">
        <v>83.251624500000005</v>
      </c>
      <c r="IO16" s="214">
        <v>89.313656300000005</v>
      </c>
      <c r="IP16" s="214">
        <v>62.182391700000004</v>
      </c>
      <c r="IQ16" s="214">
        <v>101.9986011</v>
      </c>
      <c r="IR16" s="214">
        <v>91.066604200000015</v>
      </c>
      <c r="IS16" s="214">
        <v>83.026727300000005</v>
      </c>
      <c r="IT16" s="214">
        <v>88.807900500000002</v>
      </c>
      <c r="IU16" s="214">
        <v>62.480841500000004</v>
      </c>
      <c r="IV16" s="214">
        <v>101.5789819</v>
      </c>
      <c r="IW16" s="214">
        <v>90.598358400000009</v>
      </c>
      <c r="IX16" s="214">
        <v>86.280168700000004</v>
      </c>
      <c r="IY16" s="214">
        <v>86.445201699999998</v>
      </c>
      <c r="IZ16" s="214">
        <v>63.667103500000003</v>
      </c>
      <c r="JA16" s="214">
        <v>107.51423210000002</v>
      </c>
      <c r="JB16" s="214">
        <v>87.53388600000001</v>
      </c>
      <c r="JC16" s="214">
        <v>78.775659600000012</v>
      </c>
      <c r="JD16" s="214">
        <v>83.948510800000008</v>
      </c>
      <c r="JE16" s="214">
        <v>61.925418499999999</v>
      </c>
      <c r="JF16" s="214">
        <v>100.81503740000001</v>
      </c>
      <c r="JG16" s="214">
        <v>82.410537000000019</v>
      </c>
      <c r="JH16" s="214">
        <v>76.605087900000015</v>
      </c>
      <c r="JI16" s="214">
        <v>82.23143610000001</v>
      </c>
      <c r="JJ16" s="214">
        <v>62.843102300000005</v>
      </c>
      <c r="JK16" s="214">
        <v>81.382285600000003</v>
      </c>
      <c r="JL16" s="214">
        <v>64.562252700000002</v>
      </c>
      <c r="JM16" s="214">
        <v>58.087305100000002</v>
      </c>
      <c r="JN16" s="214">
        <v>59.402417800000002</v>
      </c>
      <c r="JO16" s="214">
        <v>39.803076500000003</v>
      </c>
      <c r="JP16" s="214">
        <v>61.525442000000005</v>
      </c>
      <c r="JQ16" s="214">
        <v>52.188458300000001</v>
      </c>
      <c r="JR16" s="214">
        <v>55.410128400000005</v>
      </c>
      <c r="JS16" s="214">
        <v>39.150919500000008</v>
      </c>
      <c r="JT16" s="214">
        <v>86.929413999999994</v>
      </c>
      <c r="JU16" s="214">
        <v>82.853960999999998</v>
      </c>
      <c r="JV16" s="214">
        <v>85.686223999999996</v>
      </c>
      <c r="JW16" s="214">
        <v>60.944510000000001</v>
      </c>
      <c r="JX16" s="214">
        <v>100.275863</v>
      </c>
      <c r="JY16" s="214">
        <v>84.239315000000005</v>
      </c>
      <c r="JZ16" s="214">
        <v>81.864014999999995</v>
      </c>
      <c r="KA16" s="214">
        <v>85.515705999999994</v>
      </c>
      <c r="KB16" s="214">
        <v>60.579459999999997</v>
      </c>
      <c r="KC16" s="214">
        <v>94.480941000000001</v>
      </c>
      <c r="KD16" s="214">
        <v>80.612172999999999</v>
      </c>
      <c r="KE16" s="214">
        <v>78.504105999999993</v>
      </c>
      <c r="KF16" s="214">
        <v>80.737076999999999</v>
      </c>
      <c r="KG16" s="214">
        <v>60.507178000000003</v>
      </c>
      <c r="KH16" s="214">
        <v>91.913813000000005</v>
      </c>
      <c r="KI16" s="214">
        <v>76.795948999999993</v>
      </c>
      <c r="KJ16" s="214">
        <v>75.428291000000002</v>
      </c>
      <c r="KK16" s="214">
        <v>76.677353999999994</v>
      </c>
      <c r="KL16" s="214">
        <v>59.376382</v>
      </c>
      <c r="KM16" s="214">
        <v>89.242908999999997</v>
      </c>
      <c r="KN16" s="214">
        <v>75.649923999999999</v>
      </c>
    </row>
    <row r="17" spans="1:300" x14ac:dyDescent="0.35">
      <c r="A17" s="216" t="str">
        <f t="shared" si="0"/>
        <v>samedi</v>
      </c>
      <c r="B17" s="217">
        <v>44569</v>
      </c>
      <c r="C17" s="202">
        <v>0</v>
      </c>
      <c r="D17" s="202"/>
      <c r="E17" s="202"/>
      <c r="F17" s="202"/>
      <c r="G17" s="202"/>
      <c r="H17" s="202"/>
      <c r="I17" s="202"/>
      <c r="J17" s="202"/>
      <c r="K17" s="202"/>
      <c r="L17" s="202"/>
      <c r="M17" s="202"/>
      <c r="N17" s="202"/>
      <c r="O17" s="202"/>
      <c r="P17" s="202"/>
      <c r="Q17" s="202"/>
      <c r="R17" s="202"/>
      <c r="S17" s="202"/>
      <c r="T17" s="202"/>
      <c r="U17" s="202"/>
      <c r="V17" s="202">
        <v>0</v>
      </c>
      <c r="W17" s="203">
        <f t="shared" si="1"/>
        <v>0</v>
      </c>
      <c r="AA17" s="196">
        <v>0.625</v>
      </c>
      <c r="AB17" s="207">
        <v>119.5</v>
      </c>
      <c r="AC17" s="207">
        <v>98.5</v>
      </c>
      <c r="AD17" s="207">
        <v>85.5</v>
      </c>
      <c r="AE17" s="207">
        <v>86.073825503355707</v>
      </c>
      <c r="AF17" s="207">
        <v>70.534351145038158</v>
      </c>
      <c r="AG17" s="207">
        <v>110</v>
      </c>
      <c r="AH17" s="207">
        <v>92.5</v>
      </c>
      <c r="AI17" s="207">
        <v>83.535483870967752</v>
      </c>
      <c r="AJ17" s="207">
        <v>85.067114093959745</v>
      </c>
      <c r="AK17" s="207">
        <v>71.541984732824432</v>
      </c>
      <c r="AL17" s="207">
        <v>109</v>
      </c>
      <c r="AM17" s="207">
        <v>94</v>
      </c>
      <c r="AN17" s="207">
        <v>85.045161290322596</v>
      </c>
      <c r="AO17" s="207">
        <v>83.5</v>
      </c>
      <c r="AP17" s="207">
        <v>66.503816793893122</v>
      </c>
      <c r="AQ17" s="207">
        <v>96.5</v>
      </c>
      <c r="AR17" s="207">
        <v>89</v>
      </c>
      <c r="AS17" s="207">
        <v>81.019354838709674</v>
      </c>
      <c r="AT17" s="207">
        <v>81.5</v>
      </c>
      <c r="AU17" s="207">
        <v>68.51908396946564</v>
      </c>
      <c r="AV17" s="207">
        <v>92.5</v>
      </c>
      <c r="AW17" s="207">
        <v>64.667281672816728</v>
      </c>
      <c r="AX17" s="207">
        <v>75.559969442322384</v>
      </c>
      <c r="AY17" s="207">
        <v>75.057121096725055</v>
      </c>
      <c r="AZ17" s="207">
        <v>57.769854132901131</v>
      </c>
      <c r="BA17" s="207">
        <v>78.495297805642622</v>
      </c>
      <c r="BB17" s="207">
        <v>69.043869516310451</v>
      </c>
      <c r="BC17" s="207">
        <v>76.302097902097898</v>
      </c>
      <c r="BD17" s="207">
        <v>77.160751565761998</v>
      </c>
      <c r="BE17" s="207">
        <v>54.777777777777779</v>
      </c>
      <c r="BF17" s="207">
        <v>77.146586345381522</v>
      </c>
      <c r="BG17" s="207">
        <v>69.009533898305079</v>
      </c>
      <c r="BH17" s="207">
        <v>74.984126984126988</v>
      </c>
      <c r="BI17" s="207">
        <v>75.406813627254508</v>
      </c>
      <c r="BJ17" s="207">
        <v>53.017107309486782</v>
      </c>
      <c r="BK17" s="207">
        <v>75.806646525679767</v>
      </c>
      <c r="BL17" s="207">
        <v>70.898241875332985</v>
      </c>
      <c r="BM17" s="207">
        <v>75.698717948717956</v>
      </c>
      <c r="BN17" s="207">
        <v>76.619791666666657</v>
      </c>
      <c r="BO17" s="207">
        <v>53.81691233514352</v>
      </c>
      <c r="BP17" s="207">
        <v>78.188259109311744</v>
      </c>
      <c r="BQ17" s="208">
        <v>70.39157894736843</v>
      </c>
      <c r="BR17" s="208">
        <v>76.356410256410257</v>
      </c>
      <c r="BS17" s="208">
        <v>78.93077407174323</v>
      </c>
      <c r="BT17" s="208">
        <v>54.083981337480559</v>
      </c>
      <c r="BU17" s="208">
        <v>81.293441838200096</v>
      </c>
      <c r="BV17" s="208">
        <v>68.888442211055278</v>
      </c>
      <c r="BW17" s="208">
        <v>78.916452442159382</v>
      </c>
      <c r="BX17" s="208">
        <v>81.542929292929287</v>
      </c>
      <c r="BY17" s="208">
        <v>59.368181818181817</v>
      </c>
      <c r="BZ17" s="208">
        <v>81.231939163498097</v>
      </c>
      <c r="CA17" s="208">
        <v>68.781218781218783</v>
      </c>
      <c r="CB17" s="208">
        <v>78.215873015873015</v>
      </c>
      <c r="CC17" s="208">
        <v>82.658735128365691</v>
      </c>
      <c r="CD17" s="208">
        <v>59.709969788519643</v>
      </c>
      <c r="CE17" s="208">
        <v>82.673281703775416</v>
      </c>
      <c r="CF17" s="208">
        <v>71.471813103098029</v>
      </c>
      <c r="CG17" s="208">
        <v>82.863164721141374</v>
      </c>
      <c r="CH17" s="208">
        <v>88.193753983428934</v>
      </c>
      <c r="CI17" s="208">
        <v>59.968503937007874</v>
      </c>
      <c r="CJ17" s="208">
        <v>82.761224489795907</v>
      </c>
      <c r="CK17" s="208">
        <v>75.756138392857139</v>
      </c>
      <c r="CL17" s="208">
        <v>93.124842370744005</v>
      </c>
      <c r="CM17" s="208">
        <v>100.07765830346476</v>
      </c>
      <c r="CN17" s="209">
        <v>46.830123624729097</v>
      </c>
      <c r="CO17" s="210">
        <v>87.578150312252745</v>
      </c>
      <c r="CP17" s="210">
        <v>78.366842484952784</v>
      </c>
      <c r="CQ17" s="210">
        <v>71.92658847024569</v>
      </c>
      <c r="CR17" s="210">
        <v>68.125509474625304</v>
      </c>
      <c r="CS17" s="210">
        <v>49.338994309396817</v>
      </c>
      <c r="CT17" s="210">
        <v>74.176288988073907</v>
      </c>
      <c r="CU17" s="210">
        <v>69.90979221625652</v>
      </c>
      <c r="CV17" s="210">
        <v>66.453915272752923</v>
      </c>
      <c r="CW17" s="210">
        <v>65.898399176331068</v>
      </c>
      <c r="CX17" s="210">
        <v>45.196348892270514</v>
      </c>
      <c r="CY17" s="210">
        <v>46.025109628797239</v>
      </c>
      <c r="CZ17" s="210">
        <v>40.770125400112939</v>
      </c>
      <c r="DA17" s="210">
        <v>41.954631570366047</v>
      </c>
      <c r="DB17" s="210">
        <v>28.224695901854574</v>
      </c>
      <c r="DC17" s="210">
        <v>37.608327772043687</v>
      </c>
      <c r="DD17" s="210">
        <v>39.195424589699108</v>
      </c>
      <c r="DE17" s="210">
        <v>38.715252089250065</v>
      </c>
      <c r="DF17" s="210">
        <v>39.89975825950318</v>
      </c>
      <c r="DG17" s="210">
        <v>27.31699506947399</v>
      </c>
      <c r="DH17" s="210">
        <v>51.104743363234718</v>
      </c>
      <c r="DI17" s="210">
        <v>43.454826846922558</v>
      </c>
      <c r="DJ17" s="210">
        <v>42.348904772450325</v>
      </c>
      <c r="DK17" s="210">
        <v>42.893119674564957</v>
      </c>
      <c r="DL17" s="210">
        <v>27.352298690264913</v>
      </c>
      <c r="DM17" s="210">
        <v>50.879290433513091</v>
      </c>
      <c r="DN17" s="210">
        <v>46.82775074558991</v>
      </c>
      <c r="DO17" s="210">
        <v>43.813900364687683</v>
      </c>
      <c r="DP17" s="210">
        <v>44.36600264398087</v>
      </c>
      <c r="DQ17" s="210">
        <v>29.429879951375135</v>
      </c>
      <c r="DR17" s="210">
        <v>48.31857527859804</v>
      </c>
      <c r="DS17" s="210">
        <v>45.729601936066089</v>
      </c>
      <c r="DT17" s="210">
        <v>42.71575155516387</v>
      </c>
      <c r="DU17" s="210">
        <v>44.054851602314194</v>
      </c>
      <c r="DV17" s="210">
        <v>29.459821233281541</v>
      </c>
      <c r="DW17" s="210">
        <v>43.507261322545716</v>
      </c>
      <c r="DX17" s="210">
        <v>44.169133028857068</v>
      </c>
      <c r="DY17" s="210">
        <v>32.897018808502203</v>
      </c>
      <c r="DZ17" s="210">
        <v>24.297828512401711</v>
      </c>
      <c r="EA17" s="210">
        <v>49.682836899392676</v>
      </c>
      <c r="EB17" s="210">
        <v>43.094232514968141</v>
      </c>
      <c r="EC17" s="211">
        <v>74.891853864577996</v>
      </c>
      <c r="ED17" s="211">
        <v>75.624762900148966</v>
      </c>
      <c r="EE17" s="211">
        <v>53.072408766762159</v>
      </c>
      <c r="EF17" s="211">
        <v>89.70164005907597</v>
      </c>
      <c r="EG17" s="211">
        <v>76.283008334777705</v>
      </c>
      <c r="EH17" s="211">
        <v>79.162696855684771</v>
      </c>
      <c r="EI17" s="211">
        <v>53.315309370795482</v>
      </c>
      <c r="EJ17" s="211">
        <v>99.333221738292224</v>
      </c>
      <c r="EK17" s="211">
        <v>92.127745089301811</v>
      </c>
      <c r="EL17" s="211">
        <v>79.848328713793521</v>
      </c>
      <c r="EM17" s="211">
        <v>78.374247939129049</v>
      </c>
      <c r="EN17" s="211">
        <v>54.359410655918431</v>
      </c>
      <c r="EO17" s="211">
        <v>97.483208876487367</v>
      </c>
      <c r="EP17" s="211">
        <v>91.661601031544535</v>
      </c>
      <c r="EQ17" s="211">
        <v>79.532076985442401</v>
      </c>
      <c r="ER17" s="211">
        <v>77.257645402551859</v>
      </c>
      <c r="ES17" s="211">
        <v>54.152321643707332</v>
      </c>
      <c r="ET17" s="211">
        <v>93.282646546624619</v>
      </c>
      <c r="EU17" s="211">
        <v>88.734789436108116</v>
      </c>
      <c r="EV17" s="211">
        <v>84.337056017818071</v>
      </c>
      <c r="EW17" s="211">
        <v>87.564473673012259</v>
      </c>
      <c r="EX17" s="212">
        <v>59.059507956931895</v>
      </c>
      <c r="EY17" s="212">
        <v>99.100724263023096</v>
      </c>
      <c r="EZ17" s="212">
        <v>92.637637480244777</v>
      </c>
      <c r="FA17" s="212">
        <v>80.851604892267034</v>
      </c>
      <c r="FB17" s="212">
        <v>83.841456209458002</v>
      </c>
      <c r="FC17" s="212">
        <v>56.354284684800788</v>
      </c>
      <c r="FD17" s="212">
        <v>83.045636010798248</v>
      </c>
      <c r="FE17" s="212">
        <v>83.668380541241291</v>
      </c>
      <c r="FF17" s="212">
        <v>73.441937885045078</v>
      </c>
      <c r="FG17" s="212">
        <v>48.238168023846889</v>
      </c>
      <c r="FH17" s="212">
        <v>92.60619038672148</v>
      </c>
      <c r="FI17" s="212">
        <v>89.775926356827469</v>
      </c>
      <c r="FJ17" s="212">
        <v>77.243938067946189</v>
      </c>
      <c r="FK17" s="212">
        <v>77.550536032538517</v>
      </c>
      <c r="FL17" s="212">
        <v>53.901504075715813</v>
      </c>
      <c r="FM17" s="212">
        <v>93.243219218183611</v>
      </c>
      <c r="FN17" s="212">
        <v>88.927401117472996</v>
      </c>
      <c r="FO17" s="212">
        <v>74.904573163061769</v>
      </c>
      <c r="FP17" s="212">
        <v>73.96789431310269</v>
      </c>
      <c r="FQ17" s="212">
        <v>52.113910540292892</v>
      </c>
      <c r="FR17" s="213">
        <v>95.782819083475815</v>
      </c>
      <c r="FS17" s="213">
        <v>84.694760690300853</v>
      </c>
      <c r="FT17" s="213">
        <v>77.249976550704787</v>
      </c>
      <c r="FU17" s="213">
        <v>76.374958396045059</v>
      </c>
      <c r="FV17" s="213">
        <v>55.065683200889453</v>
      </c>
      <c r="FW17" s="213">
        <v>93.303252670256839</v>
      </c>
      <c r="FX17" s="213">
        <v>78.647426824705434</v>
      </c>
      <c r="FY17" s="213">
        <v>68.432799153386227</v>
      </c>
      <c r="FZ17" s="213">
        <v>67.85596645999675</v>
      </c>
      <c r="GA17" s="213">
        <v>54.048988763653185</v>
      </c>
      <c r="GB17" s="213">
        <v>82.204723065077459</v>
      </c>
      <c r="GC17" s="213">
        <v>75.100786980385237</v>
      </c>
      <c r="GD17" s="213">
        <v>75.079965606386025</v>
      </c>
      <c r="GE17" s="213">
        <v>51.436155167853869</v>
      </c>
      <c r="GF17" s="213">
        <v>93.192443575449417</v>
      </c>
      <c r="GG17" s="213">
        <v>83.390950136541292</v>
      </c>
      <c r="GH17" s="213">
        <v>75.934920711652538</v>
      </c>
      <c r="GI17" s="213">
        <v>76.849941096930351</v>
      </c>
      <c r="GJ17" s="213">
        <v>53.911090057484053</v>
      </c>
      <c r="GK17" s="213">
        <v>101.19625850340134</v>
      </c>
      <c r="GL17" s="213">
        <v>84.943901571361792</v>
      </c>
      <c r="GM17" s="213">
        <v>82.438888888888897</v>
      </c>
      <c r="GN17" s="213">
        <v>81.478281284072224</v>
      </c>
      <c r="GO17" s="213">
        <v>58.849064955777244</v>
      </c>
      <c r="GP17" s="213">
        <v>97.393940076555012</v>
      </c>
      <c r="GQ17" s="213">
        <v>86.570475002071476</v>
      </c>
      <c r="GR17" s="213">
        <v>81.714646433006209</v>
      </c>
      <c r="GS17" s="213">
        <v>81.214247873839938</v>
      </c>
      <c r="GT17" s="213">
        <v>58.334302885254537</v>
      </c>
      <c r="GU17" s="213">
        <v>91.798604418431808</v>
      </c>
      <c r="GV17" s="213">
        <v>87.263654643069202</v>
      </c>
      <c r="GW17" s="213">
        <v>79.887041016462831</v>
      </c>
      <c r="GX17" s="213">
        <v>80.006852558710108</v>
      </c>
      <c r="GY17" s="213">
        <v>58.829291209638043</v>
      </c>
      <c r="GZ17" s="213">
        <v>92.232093929109212</v>
      </c>
      <c r="HA17" s="213">
        <v>84.617209511032002</v>
      </c>
      <c r="HB17" s="213">
        <v>77.166802547423856</v>
      </c>
      <c r="HC17" s="213">
        <v>76.273563948067121</v>
      </c>
      <c r="HD17" s="213">
        <v>56.738158953265796</v>
      </c>
      <c r="HE17" s="213">
        <v>93.592308846130038</v>
      </c>
      <c r="HF17" s="213">
        <v>96.690928348080817</v>
      </c>
      <c r="HG17" s="213">
        <v>100.12155333836287</v>
      </c>
      <c r="HH17" s="213">
        <v>106.88736637551078</v>
      </c>
      <c r="HI17" s="213">
        <v>87.756105649116904</v>
      </c>
      <c r="HJ17" s="214">
        <v>112.15267036</v>
      </c>
      <c r="HK17" s="214">
        <v>110.2545069</v>
      </c>
      <c r="HL17" s="214">
        <v>97.872402100000016</v>
      </c>
      <c r="HM17" s="214">
        <v>100.19547010000001</v>
      </c>
      <c r="HN17" s="214">
        <v>69.889556000000013</v>
      </c>
      <c r="HO17" s="214">
        <v>105.95762968</v>
      </c>
      <c r="HP17" s="214">
        <v>108.889898675</v>
      </c>
      <c r="HQ17" s="214">
        <v>96.208314400000006</v>
      </c>
      <c r="HR17" s="214">
        <v>97.745210200000002</v>
      </c>
      <c r="HS17" s="214">
        <v>66.579870500000013</v>
      </c>
      <c r="HT17" s="214">
        <v>97.539485374999984</v>
      </c>
      <c r="HU17" s="214">
        <v>97.695803700000013</v>
      </c>
      <c r="HV17" s="214">
        <v>94.693426300000013</v>
      </c>
      <c r="HW17" s="214">
        <v>96.7698556</v>
      </c>
      <c r="HX17" s="214">
        <v>64.506389200000001</v>
      </c>
      <c r="HY17" s="214">
        <v>86.294846000000007</v>
      </c>
      <c r="HZ17" s="214">
        <v>83.029740200000006</v>
      </c>
      <c r="IA17" s="214">
        <v>81.190565500000005</v>
      </c>
      <c r="IB17" s="214">
        <v>83.080317100000016</v>
      </c>
      <c r="IC17" s="214">
        <v>41.963268600000006</v>
      </c>
      <c r="ID17" s="214">
        <v>64.229096800000008</v>
      </c>
      <c r="IE17" s="214">
        <v>64.298801600000004</v>
      </c>
      <c r="IF17" s="214">
        <v>61.494798200000005</v>
      </c>
      <c r="IG17" s="214">
        <v>39.439660699999997</v>
      </c>
      <c r="IH17" s="214">
        <v>85.933598300000014</v>
      </c>
      <c r="II17" s="214">
        <v>80.479199900000012</v>
      </c>
      <c r="IJ17" s="214">
        <v>75.138312700000014</v>
      </c>
      <c r="IK17" s="214">
        <v>75.913909500000017</v>
      </c>
      <c r="IL17" s="214">
        <v>86.846918400000007</v>
      </c>
      <c r="IM17" s="214">
        <v>87.440192400000001</v>
      </c>
      <c r="IN17" s="214">
        <v>76.938581499999998</v>
      </c>
      <c r="IO17" s="214">
        <v>79.902544700000007</v>
      </c>
      <c r="IP17" s="214">
        <v>57.076836300000004</v>
      </c>
      <c r="IQ17" s="214">
        <v>85.101379000000009</v>
      </c>
      <c r="IR17" s="214">
        <v>87.774937800000018</v>
      </c>
      <c r="IS17" s="214">
        <v>76.713683200000006</v>
      </c>
      <c r="IT17" s="214">
        <v>79.396788900000004</v>
      </c>
      <c r="IU17" s="214">
        <v>57.375286100000004</v>
      </c>
      <c r="IV17" s="214">
        <v>84.681759800000009</v>
      </c>
      <c r="IW17" s="214">
        <v>87.306692000000012</v>
      </c>
      <c r="IX17" s="214">
        <v>79.967125700000011</v>
      </c>
      <c r="IY17" s="214">
        <v>77.0340901</v>
      </c>
      <c r="IZ17" s="214">
        <v>58.561547000000004</v>
      </c>
      <c r="JA17" s="214">
        <v>90.617010000000008</v>
      </c>
      <c r="JB17" s="214">
        <v>84.242219600000013</v>
      </c>
      <c r="JC17" s="214">
        <v>72.462616600000004</v>
      </c>
      <c r="JD17" s="214">
        <v>74.537400300000016</v>
      </c>
      <c r="JE17" s="214">
        <v>56.819863100000006</v>
      </c>
      <c r="JF17" s="214">
        <v>83.917815300000001</v>
      </c>
      <c r="JG17" s="214">
        <v>79.118870600000008</v>
      </c>
      <c r="JH17" s="214">
        <v>70.292043800000002</v>
      </c>
      <c r="JI17" s="214">
        <v>72.820324499999998</v>
      </c>
      <c r="JJ17" s="214">
        <v>57.737546900000005</v>
      </c>
      <c r="JK17" s="214">
        <v>64.48506350000001</v>
      </c>
      <c r="JL17" s="214">
        <v>61.270586300000005</v>
      </c>
      <c r="JM17" s="214">
        <v>51.774261000000003</v>
      </c>
      <c r="JN17" s="214">
        <v>49.991306200000004</v>
      </c>
      <c r="JO17" s="214">
        <v>34.697521100000003</v>
      </c>
      <c r="JP17" s="214">
        <v>58.233775600000008</v>
      </c>
      <c r="JQ17" s="214">
        <v>45.875414200000009</v>
      </c>
      <c r="JR17" s="214">
        <v>45.9990168</v>
      </c>
      <c r="JS17" s="214">
        <v>34.0453641</v>
      </c>
      <c r="JT17" s="214">
        <v>84.707192000000006</v>
      </c>
      <c r="JU17" s="214">
        <v>78.328709000000003</v>
      </c>
      <c r="JV17" s="214">
        <v>80.426123000000004</v>
      </c>
      <c r="JW17" s="214">
        <v>57.840975</v>
      </c>
      <c r="JX17" s="214">
        <v>88.152125999999996</v>
      </c>
      <c r="JY17" s="214">
        <v>82.017093000000003</v>
      </c>
      <c r="JZ17" s="214">
        <v>77.338762000000003</v>
      </c>
      <c r="KA17" s="214">
        <v>80.255605000000003</v>
      </c>
      <c r="KB17" s="214">
        <v>57.475924999999997</v>
      </c>
      <c r="KC17" s="214">
        <v>82.357202999999998</v>
      </c>
      <c r="KD17" s="214">
        <v>78.389950999999996</v>
      </c>
      <c r="KE17" s="214">
        <v>73.978853000000001</v>
      </c>
      <c r="KF17" s="214">
        <v>75.476975999999993</v>
      </c>
      <c r="KG17" s="214">
        <v>57.403643000000002</v>
      </c>
      <c r="KH17" s="214">
        <v>79.790075999999999</v>
      </c>
      <c r="KI17" s="214">
        <v>74.573725999999994</v>
      </c>
      <c r="KJ17" s="214">
        <v>70.903039000000007</v>
      </c>
      <c r="KK17" s="214">
        <v>71.417253000000002</v>
      </c>
      <c r="KL17" s="214">
        <v>56.272846999999999</v>
      </c>
      <c r="KM17" s="214">
        <v>77.119170999999994</v>
      </c>
      <c r="KN17" s="214">
        <v>73.427701999999996</v>
      </c>
    </row>
    <row r="18" spans="1:300" x14ac:dyDescent="0.35">
      <c r="A18" s="216" t="str">
        <f t="shared" si="0"/>
        <v>dimanche</v>
      </c>
      <c r="B18" s="217">
        <v>44570</v>
      </c>
      <c r="C18" s="202">
        <v>0</v>
      </c>
      <c r="D18" s="202"/>
      <c r="E18" s="202"/>
      <c r="F18" s="202"/>
      <c r="G18" s="202"/>
      <c r="H18" s="202"/>
      <c r="I18" s="202"/>
      <c r="J18" s="202"/>
      <c r="K18" s="202"/>
      <c r="L18" s="202"/>
      <c r="M18" s="202"/>
      <c r="N18" s="202"/>
      <c r="O18" s="202"/>
      <c r="P18" s="202"/>
      <c r="Q18" s="202"/>
      <c r="R18" s="202"/>
      <c r="S18" s="202"/>
      <c r="T18" s="202"/>
      <c r="U18" s="202"/>
      <c r="V18" s="202">
        <v>0</v>
      </c>
      <c r="W18" s="203">
        <f t="shared" si="1"/>
        <v>0</v>
      </c>
      <c r="AA18" s="196">
        <v>0.64583333333333304</v>
      </c>
      <c r="AB18" s="207">
        <v>119.5</v>
      </c>
      <c r="AC18" s="207">
        <v>98.5</v>
      </c>
      <c r="AD18" s="207">
        <v>85.5</v>
      </c>
      <c r="AE18" s="207">
        <v>84.926174496644293</v>
      </c>
      <c r="AF18" s="207">
        <v>69.465648854961842</v>
      </c>
      <c r="AG18" s="207">
        <v>110</v>
      </c>
      <c r="AH18" s="207">
        <v>92.5</v>
      </c>
      <c r="AI18" s="207">
        <v>82.464516129032248</v>
      </c>
      <c r="AJ18" s="207">
        <v>83.932885906040255</v>
      </c>
      <c r="AK18" s="207">
        <v>70.458015267175568</v>
      </c>
      <c r="AL18" s="207">
        <v>109</v>
      </c>
      <c r="AM18" s="207">
        <v>94</v>
      </c>
      <c r="AN18" s="207">
        <v>83.954838709677404</v>
      </c>
      <c r="AO18" s="207">
        <v>83.5</v>
      </c>
      <c r="AP18" s="207">
        <v>65.496183206106878</v>
      </c>
      <c r="AQ18" s="207">
        <v>96.5</v>
      </c>
      <c r="AR18" s="207">
        <v>89</v>
      </c>
      <c r="AS18" s="207">
        <v>79.980645161290326</v>
      </c>
      <c r="AT18" s="207">
        <v>81.5</v>
      </c>
      <c r="AU18" s="207">
        <v>67.48091603053436</v>
      </c>
      <c r="AV18" s="207">
        <v>92.5</v>
      </c>
      <c r="AW18" s="207">
        <v>64.667281672816728</v>
      </c>
      <c r="AX18" s="207">
        <v>75.559969442322384</v>
      </c>
      <c r="AY18" s="207">
        <v>75.057121096725055</v>
      </c>
      <c r="AZ18" s="207">
        <v>56.907617504051863</v>
      </c>
      <c r="BA18" s="207">
        <v>78.495297805642622</v>
      </c>
      <c r="BB18" s="207">
        <v>68.301462317210337</v>
      </c>
      <c r="BC18" s="207">
        <v>76.302097902097898</v>
      </c>
      <c r="BD18" s="207">
        <v>77.160751565761998</v>
      </c>
      <c r="BE18" s="207">
        <v>53.983896940418674</v>
      </c>
      <c r="BF18" s="207">
        <v>77.146586345381522</v>
      </c>
      <c r="BG18" s="207">
        <v>68.326271186440678</v>
      </c>
      <c r="BH18" s="207">
        <v>75.765211640211632</v>
      </c>
      <c r="BI18" s="207">
        <v>75.406813627254508</v>
      </c>
      <c r="BJ18" s="207">
        <v>52.259720062208395</v>
      </c>
      <c r="BK18" s="207">
        <v>75.806646525679767</v>
      </c>
      <c r="BL18" s="207">
        <v>70.209909429941405</v>
      </c>
      <c r="BM18" s="207">
        <v>75.698717948717956</v>
      </c>
      <c r="BN18" s="207">
        <v>76.619791666666657</v>
      </c>
      <c r="BO18" s="207">
        <v>53.81691233514352</v>
      </c>
      <c r="BP18" s="207">
        <v>78.94736842105263</v>
      </c>
      <c r="BQ18" s="208">
        <v>69.714736842105268</v>
      </c>
      <c r="BR18" s="208">
        <v>76.356410256410257</v>
      </c>
      <c r="BS18" s="208">
        <v>78.93077407174323</v>
      </c>
      <c r="BT18" s="208">
        <v>54.083981337480559</v>
      </c>
      <c r="BU18" s="208">
        <v>81.293441838200096</v>
      </c>
      <c r="BV18" s="208">
        <v>68.888442211055278</v>
      </c>
      <c r="BW18" s="208">
        <v>78.916452442159382</v>
      </c>
      <c r="BX18" s="208">
        <v>81.542929292929287</v>
      </c>
      <c r="BY18" s="208">
        <v>58.565909090909088</v>
      </c>
      <c r="BZ18" s="208">
        <v>81.977186311787079</v>
      </c>
      <c r="CA18" s="208">
        <v>68.106893106893111</v>
      </c>
      <c r="CB18" s="208">
        <v>78.215873015873015</v>
      </c>
      <c r="CC18" s="208">
        <v>81.815278647463998</v>
      </c>
      <c r="CD18" s="208">
        <v>58.88066465256798</v>
      </c>
      <c r="CE18" s="208">
        <v>82.673281703775416</v>
      </c>
      <c r="CF18" s="208">
        <v>71.471813103098029</v>
      </c>
      <c r="CG18" s="208">
        <v>83.735408560311285</v>
      </c>
      <c r="CH18" s="208">
        <v>88.193753983428934</v>
      </c>
      <c r="CI18" s="208">
        <v>59.968503937007874</v>
      </c>
      <c r="CJ18" s="208">
        <v>82.761224489795907</v>
      </c>
      <c r="CK18" s="208">
        <v>75.756138392857139</v>
      </c>
      <c r="CL18" s="208">
        <v>93.124842370744005</v>
      </c>
      <c r="CM18" s="208">
        <v>100.07765830346476</v>
      </c>
      <c r="CN18" s="209">
        <v>46.211452202611682</v>
      </c>
      <c r="CO18" s="210">
        <v>81.897201677628146</v>
      </c>
      <c r="CP18" s="210">
        <v>74.903838072763151</v>
      </c>
      <c r="CQ18" s="210">
        <v>70.676046631036016</v>
      </c>
      <c r="CR18" s="210">
        <v>66.874967635415615</v>
      </c>
      <c r="CS18" s="210">
        <v>48.658455745067641</v>
      </c>
      <c r="CT18" s="210">
        <v>73.207757563005202</v>
      </c>
      <c r="CU18" s="210">
        <v>68.308453402936834</v>
      </c>
      <c r="CV18" s="210">
        <v>66.12020249070298</v>
      </c>
      <c r="CW18" s="210">
        <v>65.564686394281154</v>
      </c>
      <c r="CX18" s="210">
        <v>45.453960991081566</v>
      </c>
      <c r="CY18" s="210">
        <v>47.12134032371749</v>
      </c>
      <c r="CZ18" s="210">
        <v>41.188019829357003</v>
      </c>
      <c r="DA18" s="210">
        <v>42.372525999610133</v>
      </c>
      <c r="DB18" s="210">
        <v>28.432272720860283</v>
      </c>
      <c r="DC18" s="210">
        <v>37.665251489442596</v>
      </c>
      <c r="DD18" s="210">
        <v>40.317149021710534</v>
      </c>
      <c r="DE18" s="210">
        <v>39.133146518494129</v>
      </c>
      <c r="DF18" s="210">
        <v>40.317652688747252</v>
      </c>
      <c r="DG18" s="210">
        <v>27.622821888479688</v>
      </c>
      <c r="DH18" s="210">
        <v>51.162990888015024</v>
      </c>
      <c r="DI18" s="210">
        <v>43.850679275461367</v>
      </c>
      <c r="DJ18" s="210">
        <v>42.040927198221787</v>
      </c>
      <c r="DK18" s="210">
        <v>42.585142100336405</v>
      </c>
      <c r="DL18" s="210">
        <v>27.658125509270612</v>
      </c>
      <c r="DM18" s="210">
        <v>50.937537958293397</v>
      </c>
      <c r="DN18" s="210">
        <v>47.223603174128705</v>
      </c>
      <c r="DO18" s="210">
        <v>43.505922790459145</v>
      </c>
      <c r="DP18" s="210">
        <v>44.058025069752333</v>
      </c>
      <c r="DQ18" s="210">
        <v>29.637456770380837</v>
      </c>
      <c r="DR18" s="210">
        <v>48.376822803378339</v>
      </c>
      <c r="DS18" s="210">
        <v>46.125454364604899</v>
      </c>
      <c r="DT18" s="210">
        <v>42.407773980935325</v>
      </c>
      <c r="DU18" s="210">
        <v>43.746874028085657</v>
      </c>
      <c r="DV18" s="210">
        <v>29.66739805228724</v>
      </c>
      <c r="DW18" s="210">
        <v>43.565508847326022</v>
      </c>
      <c r="DX18" s="210">
        <v>44.564985457395871</v>
      </c>
      <c r="DY18" s="210">
        <v>32.639076514079015</v>
      </c>
      <c r="DZ18" s="210">
        <v>24.603655331407417</v>
      </c>
      <c r="EA18" s="210">
        <v>50.204413897338782</v>
      </c>
      <c r="EB18" s="210">
        <v>43.490084943506943</v>
      </c>
      <c r="EC18" s="211">
        <v>72.466085648447674</v>
      </c>
      <c r="ED18" s="211">
        <v>73.194138811264011</v>
      </c>
      <c r="EE18" s="211">
        <v>50.790471061557234</v>
      </c>
      <c r="EF18" s="211">
        <v>86.878613116139178</v>
      </c>
      <c r="EG18" s="211">
        <v>73.83283779613609</v>
      </c>
      <c r="EH18" s="211">
        <v>76.583515892501879</v>
      </c>
      <c r="EI18" s="211">
        <v>50.806299668515479</v>
      </c>
      <c r="EJ18" s="211">
        <v>96.161767723503814</v>
      </c>
      <c r="EK18" s="211">
        <v>89.260785750264972</v>
      </c>
      <c r="EL18" s="211">
        <v>77.297366251038142</v>
      </c>
      <c r="EM18" s="211">
        <v>75.78986080470797</v>
      </c>
      <c r="EN18" s="211">
        <v>52.001792053891648</v>
      </c>
      <c r="EO18" s="211">
        <v>94.292463034034142</v>
      </c>
      <c r="EP18" s="211">
        <v>88.730791064672715</v>
      </c>
      <c r="EQ18" s="211">
        <v>76.931380108888462</v>
      </c>
      <c r="ER18" s="211">
        <v>74.634665561238435</v>
      </c>
      <c r="ES18" s="211">
        <v>51.545054496418729</v>
      </c>
      <c r="ET18" s="211">
        <v>90.878401901603254</v>
      </c>
      <c r="EU18" s="211">
        <v>86.559911513263472</v>
      </c>
      <c r="EV18" s="211">
        <v>81.601171504266432</v>
      </c>
      <c r="EW18" s="211">
        <v>85.629080142358262</v>
      </c>
      <c r="EX18" s="212">
        <v>56.819183593061503</v>
      </c>
      <c r="EY18" s="212">
        <v>95.949220921667404</v>
      </c>
      <c r="EZ18" s="212">
        <v>90.776938598875006</v>
      </c>
      <c r="FA18" s="212">
        <v>78.673936067662751</v>
      </c>
      <c r="FB18" s="212">
        <v>81.256784164153075</v>
      </c>
      <c r="FC18" s="212">
        <v>54.598802336085875</v>
      </c>
      <c r="FD18" s="212">
        <v>81.250523568587354</v>
      </c>
      <c r="FE18" s="212">
        <v>82.223555592747701</v>
      </c>
      <c r="FF18" s="212">
        <v>70.898139969921118</v>
      </c>
      <c r="FG18" s="212">
        <v>46.831649775225394</v>
      </c>
      <c r="FH18" s="212">
        <v>89.80279780537181</v>
      </c>
      <c r="FI18" s="212">
        <v>87.308199479135681</v>
      </c>
      <c r="FJ18" s="212">
        <v>75.041466743796391</v>
      </c>
      <c r="FK18" s="212">
        <v>75.297311107690049</v>
      </c>
      <c r="FL18" s="212">
        <v>52.399961551644722</v>
      </c>
      <c r="FM18" s="212">
        <v>90.27002497285342</v>
      </c>
      <c r="FN18" s="212">
        <v>86.656907451053925</v>
      </c>
      <c r="FO18" s="212">
        <v>72.92183480317982</v>
      </c>
      <c r="FP18" s="212">
        <v>71.921824677939284</v>
      </c>
      <c r="FQ18" s="212">
        <v>50.356877236679026</v>
      </c>
      <c r="FR18" s="213">
        <v>94.331564248877697</v>
      </c>
      <c r="FS18" s="213">
        <v>81.774251700980145</v>
      </c>
      <c r="FT18" s="213">
        <v>74.334883095961217</v>
      </c>
      <c r="FU18" s="213">
        <v>73.379861988357021</v>
      </c>
      <c r="FV18" s="213">
        <v>55.065683200889453</v>
      </c>
      <c r="FW18" s="213">
        <v>91.798361498155927</v>
      </c>
      <c r="FX18" s="213">
        <v>77.163513111031747</v>
      </c>
      <c r="FY18" s="213">
        <v>66.841338707958641</v>
      </c>
      <c r="FZ18" s="213">
        <v>67.85596645999675</v>
      </c>
      <c r="GA18" s="213">
        <v>52.697764044561858</v>
      </c>
      <c r="GB18" s="213">
        <v>80.736781581772505</v>
      </c>
      <c r="GC18" s="213">
        <v>73.683790999623255</v>
      </c>
      <c r="GD18" s="213">
        <v>73.636120113955513</v>
      </c>
      <c r="GE18" s="213">
        <v>50.150251288657522</v>
      </c>
      <c r="GF18" s="213">
        <v>90.324983773127883</v>
      </c>
      <c r="GG18" s="213">
        <v>81.953175134187148</v>
      </c>
      <c r="GH18" s="213">
        <v>74.528718476251569</v>
      </c>
      <c r="GI18" s="213">
        <v>75.426794039579804</v>
      </c>
      <c r="GJ18" s="213">
        <v>53.911090057484053</v>
      </c>
      <c r="GK18" s="213">
        <v>98.129705215419477</v>
      </c>
      <c r="GL18" s="213">
        <v>83.504174426084475</v>
      </c>
      <c r="GM18" s="213">
        <v>79.494642857142864</v>
      </c>
      <c r="GN18" s="213">
        <v>79.945945919005794</v>
      </c>
      <c r="GO18" s="213">
        <v>58.849064955777244</v>
      </c>
      <c r="GP18" s="213">
        <v>94.588935931748594</v>
      </c>
      <c r="GQ18" s="213">
        <v>85.15148604506166</v>
      </c>
      <c r="GR18" s="213">
        <v>78.976989588772213</v>
      </c>
      <c r="GS18" s="213">
        <v>78.398925469873106</v>
      </c>
      <c r="GT18" s="213">
        <v>56.997280533880378</v>
      </c>
      <c r="GU18" s="213">
        <v>90.421969055396033</v>
      </c>
      <c r="GV18" s="213">
        <v>84.585331988609013</v>
      </c>
      <c r="GW18" s="213">
        <v>77.259273056005043</v>
      </c>
      <c r="GX18" s="213">
        <v>78.657520572616363</v>
      </c>
      <c r="GY18" s="213">
        <v>57.504134948549307</v>
      </c>
      <c r="GZ18" s="213">
        <v>89.503072112095651</v>
      </c>
      <c r="HA18" s="213">
        <v>81.924628674085668</v>
      </c>
      <c r="HB18" s="213">
        <v>74.528743648288483</v>
      </c>
      <c r="HC18" s="213">
        <v>74.915137994002109</v>
      </c>
      <c r="HD18" s="213">
        <v>56.738158953265796</v>
      </c>
      <c r="HE18" s="213">
        <v>92.134372494506394</v>
      </c>
      <c r="HF18" s="213">
        <v>93.597844571993306</v>
      </c>
      <c r="HG18" s="213">
        <v>98.360917036764477</v>
      </c>
      <c r="HH18" s="213">
        <v>103.91827286507993</v>
      </c>
      <c r="HI18" s="213">
        <v>86.770510172949287</v>
      </c>
      <c r="HJ18" s="214">
        <v>112.05095276</v>
      </c>
      <c r="HK18" s="214">
        <v>111.26435545</v>
      </c>
      <c r="HL18" s="214">
        <v>92.938786600000014</v>
      </c>
      <c r="HM18" s="214">
        <v>94.873247700000007</v>
      </c>
      <c r="HN18" s="214">
        <v>69.436778400000009</v>
      </c>
      <c r="HO18" s="214">
        <v>105.85591208000001</v>
      </c>
      <c r="HP18" s="214">
        <v>109.89974722499998</v>
      </c>
      <c r="HQ18" s="214">
        <v>91.274698900000018</v>
      </c>
      <c r="HR18" s="214">
        <v>92.422987800000016</v>
      </c>
      <c r="HS18" s="214">
        <v>66.127092900000008</v>
      </c>
      <c r="HT18" s="214">
        <v>97.436329450000002</v>
      </c>
      <c r="HU18" s="214">
        <v>98.729137100000003</v>
      </c>
      <c r="HV18" s="214">
        <v>89.759810800000011</v>
      </c>
      <c r="HW18" s="214">
        <v>91.447633200000013</v>
      </c>
      <c r="HX18" s="214">
        <v>64.053611600000011</v>
      </c>
      <c r="HY18" s="214">
        <v>86.18929</v>
      </c>
      <c r="HZ18" s="214">
        <v>84.063073599999996</v>
      </c>
      <c r="IA18" s="214">
        <v>76.256950000000003</v>
      </c>
      <c r="IB18" s="214">
        <v>77.758095800000007</v>
      </c>
      <c r="IC18" s="214">
        <v>41.510491000000002</v>
      </c>
      <c r="ID18" s="214">
        <v>64.123541900000006</v>
      </c>
      <c r="IE18" s="214">
        <v>59.365186100000003</v>
      </c>
      <c r="IF18" s="214">
        <v>56.172575800000004</v>
      </c>
      <c r="IG18" s="214">
        <v>38.986883100000007</v>
      </c>
      <c r="IH18" s="214">
        <v>85.828043399999999</v>
      </c>
      <c r="II18" s="214">
        <v>81.512533300000015</v>
      </c>
      <c r="IJ18" s="214">
        <v>70.204697199999998</v>
      </c>
      <c r="IK18" s="214">
        <v>70.591687100000001</v>
      </c>
      <c r="IL18" s="214">
        <v>86.741363500000006</v>
      </c>
      <c r="IM18" s="214">
        <v>88.473525800000004</v>
      </c>
      <c r="IN18" s="214">
        <v>72.004965999999996</v>
      </c>
      <c r="IO18" s="214">
        <v>74.580323399999997</v>
      </c>
      <c r="IP18" s="214">
        <v>56.624058699999999</v>
      </c>
      <c r="IQ18" s="214">
        <v>84.995823000000001</v>
      </c>
      <c r="IR18" s="214">
        <v>88.808271200000007</v>
      </c>
      <c r="IS18" s="214">
        <v>71.780068800000009</v>
      </c>
      <c r="IT18" s="214">
        <v>74.074566500000003</v>
      </c>
      <c r="IU18" s="214">
        <v>56.922507400000008</v>
      </c>
      <c r="IV18" s="214">
        <v>84.576203800000002</v>
      </c>
      <c r="IW18" s="214">
        <v>88.340025400000002</v>
      </c>
      <c r="IX18" s="214">
        <v>75.033510200000009</v>
      </c>
      <c r="IY18" s="214">
        <v>71.711868800000019</v>
      </c>
      <c r="IZ18" s="214">
        <v>58.108769400000007</v>
      </c>
      <c r="JA18" s="214">
        <v>90.511454000000015</v>
      </c>
      <c r="JB18" s="214">
        <v>85.275553000000002</v>
      </c>
      <c r="JC18" s="214">
        <v>67.529001100000002</v>
      </c>
      <c r="JD18" s="214">
        <v>69.2151779</v>
      </c>
      <c r="JE18" s="214">
        <v>56.367085500000002</v>
      </c>
      <c r="JF18" s="214">
        <v>83.812259300000008</v>
      </c>
      <c r="JG18" s="214">
        <v>80.152204000000012</v>
      </c>
      <c r="JH18" s="214">
        <v>65.358429400000006</v>
      </c>
      <c r="JI18" s="214">
        <v>67.498103200000003</v>
      </c>
      <c r="JJ18" s="214">
        <v>57.284769300000008</v>
      </c>
      <c r="JK18" s="214">
        <v>64.379508600000008</v>
      </c>
      <c r="JL18" s="214">
        <v>62.303919700000009</v>
      </c>
      <c r="JM18" s="214">
        <v>46.840645500000008</v>
      </c>
      <c r="JN18" s="214">
        <v>44.669083800000003</v>
      </c>
      <c r="JO18" s="214">
        <v>34.244743500000006</v>
      </c>
      <c r="JP18" s="214">
        <v>59.267109000000005</v>
      </c>
      <c r="JQ18" s="214">
        <v>40.941799799999998</v>
      </c>
      <c r="JR18" s="214">
        <v>40.676794400000006</v>
      </c>
      <c r="JS18" s="214">
        <v>33.592586500000003</v>
      </c>
      <c r="JT18" s="214">
        <v>86.151636999999994</v>
      </c>
      <c r="JU18" s="214">
        <v>69.187293999999994</v>
      </c>
      <c r="JV18" s="214">
        <v>74.577639000000005</v>
      </c>
      <c r="JW18" s="214">
        <v>54.277844000000002</v>
      </c>
      <c r="JX18" s="214">
        <v>84.351620999999994</v>
      </c>
      <c r="JY18" s="214">
        <v>83.461538000000004</v>
      </c>
      <c r="JZ18" s="214">
        <v>68.197348000000005</v>
      </c>
      <c r="KA18" s="214">
        <v>74.407120000000006</v>
      </c>
      <c r="KB18" s="214">
        <v>53.912793000000001</v>
      </c>
      <c r="KC18" s="214">
        <v>78.556697999999997</v>
      </c>
      <c r="KD18" s="214">
        <v>79.834395000000001</v>
      </c>
      <c r="KE18" s="214">
        <v>64.837439000000003</v>
      </c>
      <c r="KF18" s="214">
        <v>69.628490999999997</v>
      </c>
      <c r="KG18" s="214">
        <v>53.840510999999999</v>
      </c>
      <c r="KH18" s="214">
        <v>75.989570999999998</v>
      </c>
      <c r="KI18" s="214">
        <v>76.018170999999995</v>
      </c>
      <c r="KJ18" s="214">
        <v>61.761625000000002</v>
      </c>
      <c r="KK18" s="214">
        <v>65.568768000000006</v>
      </c>
      <c r="KL18" s="214">
        <v>52.709715000000003</v>
      </c>
      <c r="KM18" s="214">
        <v>73.318665999999993</v>
      </c>
      <c r="KN18" s="214">
        <v>74.872146000000001</v>
      </c>
    </row>
    <row r="19" spans="1:300" x14ac:dyDescent="0.35">
      <c r="A19" s="216" t="str">
        <f t="shared" si="0"/>
        <v>lundi</v>
      </c>
      <c r="B19" s="217">
        <v>44571</v>
      </c>
      <c r="C19" s="202">
        <v>0</v>
      </c>
      <c r="D19" s="202">
        <v>155.35714285714286</v>
      </c>
      <c r="E19" s="202">
        <v>159.64285714285714</v>
      </c>
      <c r="F19" s="202">
        <v>176.5</v>
      </c>
      <c r="G19" s="202">
        <v>176.5</v>
      </c>
      <c r="H19" s="202">
        <v>152.06228373702422</v>
      </c>
      <c r="I19" s="202">
        <v>148.93771626297578</v>
      </c>
      <c r="J19" s="202">
        <v>117.15976331360946</v>
      </c>
      <c r="K19" s="202">
        <v>107.84023668639054</v>
      </c>
      <c r="L19" s="202">
        <v>64.265060240963848</v>
      </c>
      <c r="M19" s="202">
        <v>62.734939759036152</v>
      </c>
      <c r="N19" s="202">
        <v>104.51552795031054</v>
      </c>
      <c r="O19" s="202">
        <v>108.48447204968946</v>
      </c>
      <c r="P19" s="202">
        <v>118.5</v>
      </c>
      <c r="Q19" s="202">
        <v>118.5</v>
      </c>
      <c r="R19" s="202">
        <v>110</v>
      </c>
      <c r="S19" s="202">
        <v>110</v>
      </c>
      <c r="T19" s="202">
        <v>75.354838709677423</v>
      </c>
      <c r="U19" s="202">
        <v>70.645161290322577</v>
      </c>
      <c r="V19" s="202">
        <v>0</v>
      </c>
      <c r="W19" s="203">
        <f t="shared" si="1"/>
        <v>2137</v>
      </c>
      <c r="AA19" s="196">
        <v>0.66666666666666696</v>
      </c>
      <c r="AB19" s="207">
        <v>83.096774193548384</v>
      </c>
      <c r="AC19" s="207">
        <v>74.838709677419359</v>
      </c>
      <c r="AD19" s="207">
        <v>63.921259842519682</v>
      </c>
      <c r="AE19" s="207">
        <v>63.36363636363636</v>
      </c>
      <c r="AF19" s="207">
        <v>52.728813559322028</v>
      </c>
      <c r="AG19" s="207">
        <v>75.354838709677423</v>
      </c>
      <c r="AH19" s="207">
        <v>69.677419354838719</v>
      </c>
      <c r="AI19" s="207">
        <v>61.842519685039363</v>
      </c>
      <c r="AJ19" s="207">
        <v>62.848484848484858</v>
      </c>
      <c r="AK19" s="207">
        <v>52.211864406779668</v>
      </c>
      <c r="AL19" s="207">
        <v>75.354838709677423</v>
      </c>
      <c r="AM19" s="207">
        <v>69.677419354838705</v>
      </c>
      <c r="AN19" s="207">
        <v>63.4015748031496</v>
      </c>
      <c r="AO19" s="207">
        <v>62.333333333333329</v>
      </c>
      <c r="AP19" s="207">
        <v>51.177966101694921</v>
      </c>
      <c r="AQ19" s="207">
        <v>68.645161290322577</v>
      </c>
      <c r="AR19" s="207">
        <v>68.129032258064527</v>
      </c>
      <c r="AS19" s="207">
        <v>60.803149606299222</v>
      </c>
      <c r="AT19" s="207">
        <v>61.303030303030312</v>
      </c>
      <c r="AU19" s="207">
        <v>53.823529411764703</v>
      </c>
      <c r="AV19" s="207">
        <v>66.000000000000014</v>
      </c>
      <c r="AW19" s="207">
        <v>55.662976629766298</v>
      </c>
      <c r="AX19" s="207">
        <v>65.995416348357523</v>
      </c>
      <c r="AY19" s="207">
        <v>69.052551408987057</v>
      </c>
      <c r="AZ19" s="207">
        <v>53.458670988654781</v>
      </c>
      <c r="BA19" s="207">
        <v>57.23615464994775</v>
      </c>
      <c r="BB19" s="207">
        <v>51.968503937007867</v>
      </c>
      <c r="BC19" s="207">
        <v>57.226573426573424</v>
      </c>
      <c r="BD19" s="207">
        <v>59.156576200417533</v>
      </c>
      <c r="BE19" s="207">
        <v>49.22061191626409</v>
      </c>
      <c r="BF19" s="207">
        <v>53.178714859437747</v>
      </c>
      <c r="BG19" s="207">
        <v>49.194915254237287</v>
      </c>
      <c r="BH19" s="207">
        <v>57.019179894179892</v>
      </c>
      <c r="BI19" s="207">
        <v>57.374749498998</v>
      </c>
      <c r="BJ19" s="207">
        <v>46.200622083981337</v>
      </c>
      <c r="BK19" s="207">
        <v>52.024169184290031</v>
      </c>
      <c r="BL19" s="207">
        <v>50.248268513585508</v>
      </c>
      <c r="BM19" s="207">
        <v>56.387820512820518</v>
      </c>
      <c r="BN19" s="207">
        <v>56.2421875</v>
      </c>
      <c r="BO19" s="207">
        <v>46.897595034910779</v>
      </c>
      <c r="BP19" s="207">
        <v>54.655870445344128</v>
      </c>
      <c r="BQ19" s="208">
        <v>50.763157894736842</v>
      </c>
      <c r="BR19" s="208">
        <v>59.03846153846154</v>
      </c>
      <c r="BS19" s="208">
        <v>61.842668344870987</v>
      </c>
      <c r="BT19" s="208">
        <v>47.813374805598755</v>
      </c>
      <c r="BU19" s="208">
        <v>55.935854475825757</v>
      </c>
      <c r="BV19" s="208">
        <v>52.004020100502508</v>
      </c>
      <c r="BW19" s="208">
        <v>64.421593830334189</v>
      </c>
      <c r="BX19" s="208">
        <v>67.397727272727266</v>
      </c>
      <c r="BY19" s="208">
        <v>52.949999999999996</v>
      </c>
      <c r="BZ19" s="208">
        <v>55.893536121673009</v>
      </c>
      <c r="CA19" s="208">
        <v>51.923076923076927</v>
      </c>
      <c r="CB19" s="208">
        <v>64.507936507936506</v>
      </c>
      <c r="CC19" s="208">
        <v>68.319974953036947</v>
      </c>
      <c r="CD19" s="208">
        <v>54.734138972809667</v>
      </c>
      <c r="CE19" s="208">
        <v>57.643756050338823</v>
      </c>
      <c r="CF19" s="208">
        <v>56.156424581005588</v>
      </c>
      <c r="CG19" s="208">
        <v>69.779507133592745</v>
      </c>
      <c r="CH19" s="208">
        <v>72.894837476099426</v>
      </c>
      <c r="CI19" s="208">
        <v>56.541732283464569</v>
      </c>
      <c r="CJ19" s="208">
        <v>58.010204081632651</v>
      </c>
      <c r="CK19" s="208">
        <v>60.604910714285715</v>
      </c>
      <c r="CL19" s="208">
        <v>79.430012610340484</v>
      </c>
      <c r="CM19" s="208">
        <v>84.611111111111114</v>
      </c>
      <c r="CN19" s="209">
        <v>18.88356434865516</v>
      </c>
      <c r="CO19" s="210">
        <v>40.504692108217917</v>
      </c>
      <c r="CP19" s="210">
        <v>30.647112042398508</v>
      </c>
      <c r="CQ19" s="210">
        <v>27.289035178744449</v>
      </c>
      <c r="CR19" s="210">
        <v>28.855573022151038</v>
      </c>
      <c r="CS19" s="210">
        <v>22.745931395654885</v>
      </c>
      <c r="CT19" s="210">
        <v>34.655610206472822</v>
      </c>
      <c r="CU19" s="210">
        <v>29.14043626117769</v>
      </c>
      <c r="CV19" s="210">
        <v>27.182228863032858</v>
      </c>
      <c r="CW19" s="210">
        <v>27.940453504106305</v>
      </c>
      <c r="CX19" s="210">
        <v>23.063523982809048</v>
      </c>
      <c r="CY19" s="210">
        <v>19.725707367700362</v>
      </c>
      <c r="CZ19" s="210">
        <v>17.629537958323645</v>
      </c>
      <c r="DA19" s="210">
        <v>19.232506914367608</v>
      </c>
      <c r="DB19" s="210">
        <v>17.410144034160218</v>
      </c>
      <c r="DC19" s="210">
        <v>21.74608851619514</v>
      </c>
      <c r="DD19" s="210">
        <v>17.51919067005996</v>
      </c>
      <c r="DE19" s="210">
        <v>17.567971165753899</v>
      </c>
      <c r="DF19" s="210">
        <v>19.170940121797862</v>
      </c>
      <c r="DG19" s="210">
        <v>15.17162489256885</v>
      </c>
      <c r="DH19" s="210">
        <v>31.833820242259609</v>
      </c>
      <c r="DI19" s="210">
        <v>19.161329834536641</v>
      </c>
      <c r="DJ19" s="210">
        <v>19.175005158755173</v>
      </c>
      <c r="DK19" s="210">
        <v>20.770086737620563</v>
      </c>
      <c r="DL19" s="210">
        <v>16.392841689871407</v>
      </c>
      <c r="DM19" s="210">
        <v>26.944158207704607</v>
      </c>
      <c r="DN19" s="210">
        <v>18.913998295744641</v>
      </c>
      <c r="DO19" s="210">
        <v>18.26562216501998</v>
      </c>
      <c r="DP19" s="210">
        <v>19.868591121063929</v>
      </c>
      <c r="DQ19" s="210">
        <v>16.870386215537451</v>
      </c>
      <c r="DR19" s="210">
        <v>24.435038443154987</v>
      </c>
      <c r="DS19" s="210">
        <v>18.913998295744641</v>
      </c>
      <c r="DT19" s="210">
        <v>18.26562216501998</v>
      </c>
      <c r="DU19" s="210">
        <v>19.868591121063929</v>
      </c>
      <c r="DV19" s="210">
        <v>17.559759793929125</v>
      </c>
      <c r="DW19" s="210">
        <v>24.122780125907191</v>
      </c>
      <c r="DX19" s="210">
        <v>18.601739978496845</v>
      </c>
      <c r="DY19" s="210">
        <v>20.820616584196099</v>
      </c>
      <c r="DZ19" s="210">
        <v>14.2783453278523</v>
      </c>
      <c r="EA19" s="210">
        <v>23.410002293081934</v>
      </c>
      <c r="EB19" s="210">
        <v>16.489349358410237</v>
      </c>
      <c r="EC19" s="211">
        <v>59.748806587301765</v>
      </c>
      <c r="ED19" s="211">
        <v>60.037478399031102</v>
      </c>
      <c r="EE19" s="211">
        <v>45.721302807475219</v>
      </c>
      <c r="EF19" s="211">
        <v>66.469706487861885</v>
      </c>
      <c r="EG19" s="211">
        <v>57.976993890051439</v>
      </c>
      <c r="EH19" s="211">
        <v>60.43405925356776</v>
      </c>
      <c r="EI19" s="211">
        <v>45.29670788660647</v>
      </c>
      <c r="EJ19" s="211">
        <v>70.00982384234608</v>
      </c>
      <c r="EK19" s="211">
        <v>67.363943076979837</v>
      </c>
      <c r="EL19" s="211">
        <v>59.853598080414166</v>
      </c>
      <c r="EM19" s="211">
        <v>59.182093712170847</v>
      </c>
      <c r="EN19" s="211">
        <v>47.153583391366936</v>
      </c>
      <c r="EO19" s="211">
        <v>68.640453129357354</v>
      </c>
      <c r="EP19" s="211">
        <v>66.704262260337984</v>
      </c>
      <c r="EQ19" s="211">
        <v>60.404495022988279</v>
      </c>
      <c r="ER19" s="211">
        <v>59.122344551751318</v>
      </c>
      <c r="ES19" s="211">
        <v>46.96052349882261</v>
      </c>
      <c r="ET19" s="211">
        <v>66.416042877380733</v>
      </c>
      <c r="EU19" s="211">
        <v>65.59525295898483</v>
      </c>
      <c r="EV19" s="211">
        <v>64.739113338207645</v>
      </c>
      <c r="EW19" s="211">
        <v>69.477859741568025</v>
      </c>
      <c r="EX19" s="212">
        <v>49.088193722117452</v>
      </c>
      <c r="EY19" s="212">
        <v>74.363669893070181</v>
      </c>
      <c r="EZ19" s="212">
        <v>73.294989759006086</v>
      </c>
      <c r="FA19" s="212">
        <v>67.753854421721627</v>
      </c>
      <c r="FB19" s="212">
        <v>64.801347469487879</v>
      </c>
      <c r="FC19" s="212">
        <v>50.642735984766688</v>
      </c>
      <c r="FD19" s="212">
        <v>63.524952894952754</v>
      </c>
      <c r="FE19" s="212">
        <v>66.205546356453468</v>
      </c>
      <c r="FF19" s="212">
        <v>60.314233700075327</v>
      </c>
      <c r="FG19" s="212">
        <v>42.867689554029262</v>
      </c>
      <c r="FH19" s="212">
        <v>64.53131233156607</v>
      </c>
      <c r="FI19" s="212">
        <v>64.522369925068858</v>
      </c>
      <c r="FJ19" s="212">
        <v>59.513440143255664</v>
      </c>
      <c r="FK19" s="212">
        <v>58.310046264768673</v>
      </c>
      <c r="FL19" s="212">
        <v>46.642564657577353</v>
      </c>
      <c r="FM19" s="212">
        <v>64.406562848371962</v>
      </c>
      <c r="FN19" s="212">
        <v>63.260917233796064</v>
      </c>
      <c r="FO19" s="212">
        <v>57.783216570608722</v>
      </c>
      <c r="FP19" s="212">
        <v>56.189467118718042</v>
      </c>
      <c r="FQ19" s="212">
        <v>45.409301945673498</v>
      </c>
      <c r="FR19" s="213">
        <v>69.660232060709689</v>
      </c>
      <c r="FS19" s="213">
        <v>65.711452259716182</v>
      </c>
      <c r="FT19" s="213">
        <v>61.216962549615126</v>
      </c>
      <c r="FU19" s="213">
        <v>59.901928153760835</v>
      </c>
      <c r="FV19" s="213">
        <v>41.299262400667089</v>
      </c>
      <c r="FW19" s="213">
        <v>67.720102744541251</v>
      </c>
      <c r="FX19" s="213">
        <v>63.808289687968561</v>
      </c>
      <c r="FY19" s="213">
        <v>63.658417817103469</v>
      </c>
      <c r="FZ19" s="213">
        <v>63.121829265113263</v>
      </c>
      <c r="GA19" s="213">
        <v>40.536741572739885</v>
      </c>
      <c r="GB19" s="213">
        <v>64.589425265418001</v>
      </c>
      <c r="GC19" s="213">
        <v>59.513831192003394</v>
      </c>
      <c r="GD19" s="213">
        <v>59.197665189650522</v>
      </c>
      <c r="GE19" s="213">
        <v>38.577116375890398</v>
      </c>
      <c r="GF19" s="213">
        <v>67.385305354555726</v>
      </c>
      <c r="GG19" s="213">
        <v>64.699875105937224</v>
      </c>
      <c r="GH19" s="213">
        <v>59.060493886840867</v>
      </c>
      <c r="GI19" s="213">
        <v>59.772176408723617</v>
      </c>
      <c r="GJ19" s="213">
        <v>40.762043702000142</v>
      </c>
      <c r="GK19" s="213">
        <v>75.130555555555546</v>
      </c>
      <c r="GL19" s="213">
        <v>64.787721537479328</v>
      </c>
      <c r="GM19" s="213">
        <v>63.301289682539682</v>
      </c>
      <c r="GN19" s="213">
        <v>63.090256903274962</v>
      </c>
      <c r="GO19" s="213">
        <v>44.232416212097696</v>
      </c>
      <c r="GP19" s="213">
        <v>73.551404845700432</v>
      </c>
      <c r="GQ19" s="213">
        <v>66.704629603933782</v>
      </c>
      <c r="GR19" s="213">
        <v>63.919876945485207</v>
      </c>
      <c r="GS19" s="213">
        <v>64.32231345003899</v>
      </c>
      <c r="GT19" s="213">
        <v>44.964079371512881</v>
      </c>
      <c r="GU19" s="213">
        <v>69.772438609859549</v>
      </c>
      <c r="GV19" s="213">
        <v>67.176234734617822</v>
      </c>
      <c r="GW19" s="213">
        <v>62.806549273487221</v>
      </c>
      <c r="GX19" s="213">
        <v>63.814868725585043</v>
      </c>
      <c r="GY19" s="213">
        <v>45.577728598750653</v>
      </c>
      <c r="GZ19" s="213">
        <v>70.399919393000857</v>
      </c>
      <c r="HA19" s="213">
        <v>65.769143652407607</v>
      </c>
      <c r="HB19" s="213">
        <v>60.019419703043944</v>
      </c>
      <c r="HC19" s="213">
        <v>61.330878453352049</v>
      </c>
      <c r="HD19" s="213">
        <v>45.966900312693333</v>
      </c>
      <c r="HE19" s="213">
        <v>73.181199923398893</v>
      </c>
      <c r="HF19" s="213">
        <v>78.132425691555696</v>
      </c>
      <c r="HG19" s="213">
        <v>82.515190322379027</v>
      </c>
      <c r="HH19" s="213">
        <v>90.557352068141071</v>
      </c>
      <c r="HI19" s="213">
        <v>68.044196125764515</v>
      </c>
      <c r="HJ19" s="214">
        <v>105.75519618</v>
      </c>
      <c r="HK19" s="214">
        <v>93.483421149999998</v>
      </c>
      <c r="HL19" s="214">
        <v>79.088264199999998</v>
      </c>
      <c r="HM19" s="214">
        <v>91.884358500000005</v>
      </c>
      <c r="HN19" s="214">
        <v>55.986778100000002</v>
      </c>
      <c r="HO19" s="214">
        <v>99.560155499999993</v>
      </c>
      <c r="HP19" s="214">
        <v>92.118812925</v>
      </c>
      <c r="HQ19" s="214">
        <v>77.42417540000001</v>
      </c>
      <c r="HR19" s="214">
        <v>89.434098599999999</v>
      </c>
      <c r="HS19" s="214">
        <v>52.677092600000009</v>
      </c>
      <c r="HT19" s="214">
        <v>91.051480899999987</v>
      </c>
      <c r="HU19" s="214">
        <v>80.534692700000008</v>
      </c>
      <c r="HV19" s="214">
        <v>75.909287300000003</v>
      </c>
      <c r="HW19" s="214">
        <v>88.45874400000001</v>
      </c>
      <c r="HX19" s="214">
        <v>50.603611300000004</v>
      </c>
      <c r="HY19" s="214">
        <v>79.655957700000002</v>
      </c>
      <c r="HZ19" s="214">
        <v>65.868629200000001</v>
      </c>
      <c r="IA19" s="214">
        <v>62.406426500000002</v>
      </c>
      <c r="IB19" s="214">
        <v>74.769206600000004</v>
      </c>
      <c r="IC19" s="214">
        <v>28.060490700000003</v>
      </c>
      <c r="ID19" s="214">
        <v>57.590208500000003</v>
      </c>
      <c r="IE19" s="214">
        <v>45.514662600000008</v>
      </c>
      <c r="IF19" s="214">
        <v>53.183686600000009</v>
      </c>
      <c r="IG19" s="214">
        <v>25.536882800000001</v>
      </c>
      <c r="IH19" s="214">
        <v>79.294710000000009</v>
      </c>
      <c r="II19" s="214">
        <v>63.318088899999999</v>
      </c>
      <c r="IJ19" s="214">
        <v>56.354173700000011</v>
      </c>
      <c r="IK19" s="214">
        <v>67.602799000000005</v>
      </c>
      <c r="IL19" s="214">
        <v>80.208030100000016</v>
      </c>
      <c r="IM19" s="214">
        <v>70.27908140000001</v>
      </c>
      <c r="IN19" s="214">
        <v>58.154442500000002</v>
      </c>
      <c r="IO19" s="214">
        <v>71.591434200000009</v>
      </c>
      <c r="IP19" s="214">
        <v>43.174058400000007</v>
      </c>
      <c r="IQ19" s="214">
        <v>78.462489600000012</v>
      </c>
      <c r="IR19" s="214">
        <v>70.613826800000012</v>
      </c>
      <c r="IS19" s="214">
        <v>57.929545300000008</v>
      </c>
      <c r="IT19" s="214">
        <v>71.085678400000006</v>
      </c>
      <c r="IU19" s="214">
        <v>43.472508200000007</v>
      </c>
      <c r="IV19" s="214">
        <v>78.042870400000012</v>
      </c>
      <c r="IW19" s="214">
        <v>70.145581000000007</v>
      </c>
      <c r="IX19" s="214">
        <v>61.182987799999999</v>
      </c>
      <c r="IY19" s="214">
        <v>68.722979600000002</v>
      </c>
      <c r="IZ19" s="214">
        <v>44.658770200000006</v>
      </c>
      <c r="JA19" s="214">
        <v>83.978120599999997</v>
      </c>
      <c r="JB19" s="214">
        <v>67.081108600000007</v>
      </c>
      <c r="JC19" s="214">
        <v>53.678477600000008</v>
      </c>
      <c r="JD19" s="214">
        <v>66.226288700000012</v>
      </c>
      <c r="JE19" s="214">
        <v>42.917085200000002</v>
      </c>
      <c r="JF19" s="214">
        <v>77.278926999999996</v>
      </c>
      <c r="JG19" s="214">
        <v>61.957759600000003</v>
      </c>
      <c r="JH19" s="214">
        <v>51.507905900000004</v>
      </c>
      <c r="JI19" s="214">
        <v>64.509214</v>
      </c>
      <c r="JJ19" s="214">
        <v>43.834769000000001</v>
      </c>
      <c r="JK19" s="214">
        <v>57.846175200000005</v>
      </c>
      <c r="JL19" s="214">
        <v>44.1094753</v>
      </c>
      <c r="JM19" s="214">
        <v>32.990123100000005</v>
      </c>
      <c r="JN19" s="214">
        <v>41.680195699999999</v>
      </c>
      <c r="JO19" s="214">
        <v>20.794743200000003</v>
      </c>
      <c r="JP19" s="214">
        <v>41.072664600000003</v>
      </c>
      <c r="JQ19" s="214">
        <v>27.091276300000004</v>
      </c>
      <c r="JR19" s="214">
        <v>37.687906300000002</v>
      </c>
      <c r="JS19" s="214">
        <v>20.1425862</v>
      </c>
      <c r="JT19" s="214">
        <v>70.378908999999993</v>
      </c>
      <c r="JU19" s="214">
        <v>62.359012</v>
      </c>
      <c r="JV19" s="214">
        <v>69.782184000000001</v>
      </c>
      <c r="JW19" s="214">
        <v>44.348551</v>
      </c>
      <c r="JX19" s="214">
        <v>77.010711999999998</v>
      </c>
      <c r="JY19" s="214">
        <v>67.688810000000004</v>
      </c>
      <c r="JZ19" s="214">
        <v>61.369064999999999</v>
      </c>
      <c r="KA19" s="214">
        <v>69.611665000000002</v>
      </c>
      <c r="KB19" s="214">
        <v>43.983499999999999</v>
      </c>
      <c r="KC19" s="214">
        <v>71.215789000000001</v>
      </c>
      <c r="KD19" s="214">
        <v>64.061667999999997</v>
      </c>
      <c r="KE19" s="214">
        <v>58.009155999999997</v>
      </c>
      <c r="KF19" s="214">
        <v>64.833036000000007</v>
      </c>
      <c r="KG19" s="214">
        <v>43.911217999999998</v>
      </c>
      <c r="KH19" s="214">
        <v>68.648662000000002</v>
      </c>
      <c r="KI19" s="214">
        <v>60.245443999999999</v>
      </c>
      <c r="KJ19" s="214">
        <v>54.933342000000003</v>
      </c>
      <c r="KK19" s="214">
        <v>60.773313000000002</v>
      </c>
      <c r="KL19" s="214">
        <v>42.780422000000002</v>
      </c>
      <c r="KM19" s="214">
        <v>65.977756999999997</v>
      </c>
      <c r="KN19" s="214">
        <v>59.099418999999997</v>
      </c>
    </row>
    <row r="20" spans="1:300" x14ac:dyDescent="0.35">
      <c r="A20" s="216" t="str">
        <f t="shared" si="0"/>
        <v>mardi</v>
      </c>
      <c r="B20" s="217">
        <v>44572</v>
      </c>
      <c r="C20" s="202">
        <v>0</v>
      </c>
      <c r="D20" s="202">
        <v>124.99598393574298</v>
      </c>
      <c r="E20" s="202">
        <v>126.00401606425703</v>
      </c>
      <c r="F20" s="202">
        <v>143.5</v>
      </c>
      <c r="G20" s="202">
        <v>143.5</v>
      </c>
      <c r="H20" s="202">
        <v>121.5</v>
      </c>
      <c r="I20" s="202">
        <v>121.5</v>
      </c>
      <c r="J20" s="202">
        <v>97.032258064516128</v>
      </c>
      <c r="K20" s="202">
        <v>90.967741935483872</v>
      </c>
      <c r="L20" s="202">
        <v>54.683544303797476</v>
      </c>
      <c r="M20" s="202">
        <v>53.316455696202524</v>
      </c>
      <c r="N20" s="202">
        <v>86.668965517241389</v>
      </c>
      <c r="O20" s="202">
        <v>90.331034482758611</v>
      </c>
      <c r="P20" s="202">
        <v>102</v>
      </c>
      <c r="Q20" s="202">
        <v>102</v>
      </c>
      <c r="R20" s="202">
        <v>92.5</v>
      </c>
      <c r="S20" s="202">
        <v>92.5</v>
      </c>
      <c r="T20" s="202">
        <v>69.677419354838719</v>
      </c>
      <c r="U20" s="202">
        <v>65.322580645161281</v>
      </c>
      <c r="V20" s="202">
        <v>0</v>
      </c>
      <c r="W20" s="203">
        <f t="shared" si="1"/>
        <v>1778</v>
      </c>
      <c r="AA20" s="196">
        <v>0.6875</v>
      </c>
      <c r="AB20" s="207">
        <v>77.903225806451616</v>
      </c>
      <c r="AC20" s="207">
        <v>70.161290322580641</v>
      </c>
      <c r="AD20" s="207">
        <v>59.078740157480318</v>
      </c>
      <c r="AE20" s="207">
        <v>59.63636363636364</v>
      </c>
      <c r="AF20" s="207">
        <v>49.271186440677972</v>
      </c>
      <c r="AG20" s="207">
        <v>70.645161290322577</v>
      </c>
      <c r="AH20" s="207">
        <v>65.322580645161281</v>
      </c>
      <c r="AI20" s="207">
        <v>57.157480314960637</v>
      </c>
      <c r="AJ20" s="207">
        <v>59.151515151515142</v>
      </c>
      <c r="AK20" s="207">
        <v>48.788135593220332</v>
      </c>
      <c r="AL20" s="207">
        <v>70.645161290322577</v>
      </c>
      <c r="AM20" s="207">
        <v>65.322580645161295</v>
      </c>
      <c r="AN20" s="207">
        <v>58.5984251968504</v>
      </c>
      <c r="AO20" s="207">
        <v>58.666666666666671</v>
      </c>
      <c r="AP20" s="207">
        <v>47.822033898305079</v>
      </c>
      <c r="AQ20" s="207">
        <v>64.354838709677423</v>
      </c>
      <c r="AR20" s="207">
        <v>63.870967741935473</v>
      </c>
      <c r="AS20" s="207">
        <v>56.196850393700778</v>
      </c>
      <c r="AT20" s="207">
        <v>57.696969696969688</v>
      </c>
      <c r="AU20" s="207">
        <v>51.176470588235297</v>
      </c>
      <c r="AV20" s="207">
        <v>60.999999999999986</v>
      </c>
      <c r="AW20" s="207">
        <v>50.751537515375155</v>
      </c>
      <c r="AX20" s="207">
        <v>60.256684491978604</v>
      </c>
      <c r="AY20" s="207">
        <v>64.048743335872047</v>
      </c>
      <c r="AZ20" s="207">
        <v>50.009724473257698</v>
      </c>
      <c r="BA20" s="207">
        <v>52.330198537095086</v>
      </c>
      <c r="BB20" s="207">
        <v>46.771653543307082</v>
      </c>
      <c r="BC20" s="207">
        <v>52.250349650349648</v>
      </c>
      <c r="BD20" s="207">
        <v>54.869867780097422</v>
      </c>
      <c r="BE20" s="207">
        <v>46.045088566827694</v>
      </c>
      <c r="BF20" s="207">
        <v>47.935742971887549</v>
      </c>
      <c r="BG20" s="207">
        <v>44.412076271186443</v>
      </c>
      <c r="BH20" s="207">
        <v>52.332671957671955</v>
      </c>
      <c r="BI20" s="207">
        <v>53.276553106212425</v>
      </c>
      <c r="BJ20" s="207">
        <v>43.928460342146188</v>
      </c>
      <c r="BK20" s="207">
        <v>47.564954682779458</v>
      </c>
      <c r="BL20" s="207">
        <v>44.74160895045285</v>
      </c>
      <c r="BM20" s="207">
        <v>50.208333333333336</v>
      </c>
      <c r="BN20" s="207">
        <v>52.166666666666664</v>
      </c>
      <c r="BO20" s="207">
        <v>43.053529868114815</v>
      </c>
      <c r="BP20" s="207">
        <v>49.342105263157897</v>
      </c>
      <c r="BQ20" s="208">
        <v>45.348421052631579</v>
      </c>
      <c r="BR20" s="208">
        <v>52.741025641025637</v>
      </c>
      <c r="BS20" s="208">
        <v>56.146633102580239</v>
      </c>
      <c r="BT20" s="208">
        <v>43.894245723172631</v>
      </c>
      <c r="BU20" s="208">
        <v>50.715174724748685</v>
      </c>
      <c r="BV20" s="208">
        <v>47.276381909547737</v>
      </c>
      <c r="BW20" s="208">
        <v>58.784704370179952</v>
      </c>
      <c r="BX20" s="208">
        <v>62.405303030303031</v>
      </c>
      <c r="BY20" s="208">
        <v>50.543181818181814</v>
      </c>
      <c r="BZ20" s="208">
        <v>51.422053231939167</v>
      </c>
      <c r="CA20" s="208">
        <v>47.202797202797207</v>
      </c>
      <c r="CB20" s="208">
        <v>59.669841269841271</v>
      </c>
      <c r="CC20" s="208">
        <v>63.259236067626802</v>
      </c>
      <c r="CD20" s="208">
        <v>52.246223564954683</v>
      </c>
      <c r="CE20" s="208">
        <v>50.817521781219753</v>
      </c>
      <c r="CF20" s="208">
        <v>49.592686642965973</v>
      </c>
      <c r="CG20" s="208">
        <v>62.801556420233467</v>
      </c>
      <c r="CH20" s="208">
        <v>67.495219885277251</v>
      </c>
      <c r="CI20" s="208">
        <v>53.971653543307085</v>
      </c>
      <c r="CJ20" s="208">
        <v>51.822448979591833</v>
      </c>
      <c r="CK20" s="208">
        <v>54.225446428571431</v>
      </c>
      <c r="CL20" s="208">
        <v>72.126103404791934</v>
      </c>
      <c r="CM20" s="208">
        <v>80.062126642771801</v>
      </c>
      <c r="CN20" s="209">
        <v>15.971838063861901</v>
      </c>
      <c r="CO20" s="210">
        <v>30.613594392763851</v>
      </c>
      <c r="CP20" s="210">
        <v>24.9277365919848</v>
      </c>
      <c r="CQ20" s="210">
        <v>24.014235576609227</v>
      </c>
      <c r="CR20" s="210">
        <v>25.211438933408672</v>
      </c>
      <c r="CS20" s="210">
        <v>19.543032482382301</v>
      </c>
      <c r="CT20" s="210">
        <v>28.560100643414877</v>
      </c>
      <c r="CU20" s="210">
        <v>24.365897352474171</v>
      </c>
      <c r="CV20" s="210">
        <v>23.907429260897636</v>
      </c>
      <c r="CW20" s="210">
        <v>24.296319415363932</v>
      </c>
      <c r="CX20" s="210">
        <v>20.055027620556878</v>
      </c>
      <c r="CY20" s="210">
        <v>16.997172118467027</v>
      </c>
      <c r="CZ20" s="210">
        <v>14.371229656646259</v>
      </c>
      <c r="DA20" s="210">
        <v>15.596274951975929</v>
      </c>
      <c r="DB20" s="210">
        <v>14.401647671908046</v>
      </c>
      <c r="DC20" s="210">
        <v>17.847886023264731</v>
      </c>
      <c r="DD20" s="210">
        <v>14.727201112704918</v>
      </c>
      <c r="DE20" s="210">
        <v>14.309662864076504</v>
      </c>
      <c r="DF20" s="210">
        <v>15.534708159406172</v>
      </c>
      <c r="DG20" s="210">
        <v>11.952776841365228</v>
      </c>
      <c r="DH20" s="210">
        <v>27.844961877400593</v>
      </c>
      <c r="DI20" s="210">
        <v>16.276690846441554</v>
      </c>
      <c r="DJ20" s="210">
        <v>15.824047426337733</v>
      </c>
      <c r="DK20" s="210">
        <v>17.041205344488844</v>
      </c>
      <c r="DL20" s="210">
        <v>13.075192776598822</v>
      </c>
      <c r="DM20" s="210">
        <v>22.955299842845584</v>
      </c>
      <c r="DN20" s="210">
        <v>16.029359307649557</v>
      </c>
      <c r="DO20" s="210">
        <v>14.914664432602541</v>
      </c>
      <c r="DP20" s="210">
        <v>16.13970972793221</v>
      </c>
      <c r="DQ20" s="210">
        <v>13.766288164333826</v>
      </c>
      <c r="DR20" s="210">
        <v>20.446180078295974</v>
      </c>
      <c r="DS20" s="210">
        <v>16.029359307649557</v>
      </c>
      <c r="DT20" s="210">
        <v>14.914664432602541</v>
      </c>
      <c r="DU20" s="210">
        <v>16.13970972793221</v>
      </c>
      <c r="DV20" s="210">
        <v>14.455661742725502</v>
      </c>
      <c r="DW20" s="210">
        <v>20.133921761048171</v>
      </c>
      <c r="DX20" s="210">
        <v>15.717100990401757</v>
      </c>
      <c r="DY20" s="210">
        <v>17.528001466790773</v>
      </c>
      <c r="DZ20" s="210">
        <v>11.155098965600128</v>
      </c>
      <c r="EA20" s="210">
        <v>18.786230205396823</v>
      </c>
      <c r="EB20" s="210">
        <v>12.969796647489078</v>
      </c>
      <c r="EC20" s="211">
        <v>51.140210311724637</v>
      </c>
      <c r="ED20" s="211">
        <v>50.844646164691646</v>
      </c>
      <c r="EE20" s="211">
        <v>37.761244298060952</v>
      </c>
      <c r="EF20" s="211">
        <v>56.973960178775528</v>
      </c>
      <c r="EG20" s="211">
        <v>49.469791424197538</v>
      </c>
      <c r="EH20" s="211">
        <v>50.972948292361508</v>
      </c>
      <c r="EI20" s="211">
        <v>37.254006279707617</v>
      </c>
      <c r="EJ20" s="211">
        <v>59.515548969778628</v>
      </c>
      <c r="EK20" s="211">
        <v>57.09753770594056</v>
      </c>
      <c r="EL20" s="211">
        <v>50.457937458832156</v>
      </c>
      <c r="EM20" s="211">
        <v>49.720677165572397</v>
      </c>
      <c r="EN20" s="211">
        <v>38.44956959936588</v>
      </c>
      <c r="EO20" s="211">
        <v>57.78691496394481</v>
      </c>
      <c r="EP20" s="211">
        <v>55.999655173491959</v>
      </c>
      <c r="EQ20" s="211">
        <v>50.627111379891346</v>
      </c>
      <c r="ER20" s="211">
        <v>49.338638650345636</v>
      </c>
      <c r="ES20" s="211">
        <v>37.760186439340991</v>
      </c>
      <c r="ET20" s="211">
        <v>55.916379393744933</v>
      </c>
      <c r="EU20" s="211">
        <v>55.102604943485865</v>
      </c>
      <c r="EV20" s="211">
        <v>54.16124252743834</v>
      </c>
      <c r="EW20" s="211">
        <v>64.108048796675135</v>
      </c>
      <c r="EX20" s="212">
        <v>40.495551763315021</v>
      </c>
      <c r="EY20" s="212">
        <v>65.428029673376983</v>
      </c>
      <c r="EZ20" s="212">
        <v>63.987698922347754</v>
      </c>
      <c r="FA20" s="212">
        <v>59.609565720038098</v>
      </c>
      <c r="FB20" s="212">
        <v>55.503041356153268</v>
      </c>
      <c r="FC20" s="212">
        <v>38.87439677685412</v>
      </c>
      <c r="FD20" s="212">
        <v>53.152566021628019</v>
      </c>
      <c r="FE20" s="212">
        <v>55.460988179080033</v>
      </c>
      <c r="FF20" s="212">
        <v>49.435295850988922</v>
      </c>
      <c r="FG20" s="212">
        <v>32.536366033644121</v>
      </c>
      <c r="FH20" s="212">
        <v>53.5420677870299</v>
      </c>
      <c r="FI20" s="212">
        <v>53.130401952806309</v>
      </c>
      <c r="FJ20" s="212">
        <v>48.728267854789905</v>
      </c>
      <c r="FK20" s="212">
        <v>48.422612896377487</v>
      </c>
      <c r="FL20" s="212">
        <v>35.226351195363925</v>
      </c>
      <c r="FM20" s="212">
        <v>52.137533500724231</v>
      </c>
      <c r="FN20" s="212">
        <v>51.042997423028574</v>
      </c>
      <c r="FO20" s="212">
        <v>46.160163358196009</v>
      </c>
      <c r="FP20" s="212">
        <v>46.103582138109886</v>
      </c>
      <c r="FQ20" s="212">
        <v>33.330478652751026</v>
      </c>
      <c r="FR20" s="213">
        <v>62.403957887719095</v>
      </c>
      <c r="FS20" s="213">
        <v>59.870434281074743</v>
      </c>
      <c r="FT20" s="213">
        <v>55.386775640127965</v>
      </c>
      <c r="FU20" s="213">
        <v>53.911735338384744</v>
      </c>
      <c r="FV20" s="213">
        <v>37.16933616060038</v>
      </c>
      <c r="FW20" s="213">
        <v>60.19564688403667</v>
      </c>
      <c r="FX20" s="213">
        <v>57.872634833273814</v>
      </c>
      <c r="FY20" s="213">
        <v>57.292576035393132</v>
      </c>
      <c r="FZ20" s="213">
        <v>56.809646338601937</v>
      </c>
      <c r="GA20" s="213">
        <v>36.483067415465896</v>
      </c>
      <c r="GB20" s="213">
        <v>58.717659332198188</v>
      </c>
      <c r="GC20" s="213">
        <v>53.845847268955453</v>
      </c>
      <c r="GD20" s="213">
        <v>54.866128712359014</v>
      </c>
      <c r="GE20" s="213">
        <v>36.005308617497711</v>
      </c>
      <c r="GF20" s="213">
        <v>61.650385749912687</v>
      </c>
      <c r="GG20" s="213">
        <v>58.948775096520585</v>
      </c>
      <c r="GH20" s="213">
        <v>54.84188718063794</v>
      </c>
      <c r="GI20" s="213">
        <v>55.502735236671924</v>
      </c>
      <c r="GJ20" s="213">
        <v>38.13223443090336</v>
      </c>
      <c r="GK20" s="213">
        <v>67.464172335600892</v>
      </c>
      <c r="GL20" s="213">
        <v>59.028812956370061</v>
      </c>
      <c r="GM20" s="213">
        <v>57.41279761904763</v>
      </c>
      <c r="GN20" s="213">
        <v>56.960915443009199</v>
      </c>
      <c r="GO20" s="213">
        <v>41.574843713246878</v>
      </c>
      <c r="GP20" s="213">
        <v>66.538894483684373</v>
      </c>
      <c r="GQ20" s="213">
        <v>61.02867377589444</v>
      </c>
      <c r="GR20" s="213">
        <v>58.444563257017201</v>
      </c>
      <c r="GS20" s="213">
        <v>58.691668642105334</v>
      </c>
      <c r="GT20" s="213">
        <v>40.953012317390375</v>
      </c>
      <c r="GU20" s="213">
        <v>62.889261794680721</v>
      </c>
      <c r="GV20" s="213">
        <v>61.819589425697465</v>
      </c>
      <c r="GW20" s="213">
        <v>57.551013352571637</v>
      </c>
      <c r="GX20" s="213">
        <v>58.417540781210022</v>
      </c>
      <c r="GY20" s="213">
        <v>41.60225981548443</v>
      </c>
      <c r="GZ20" s="213">
        <v>63.577364850466999</v>
      </c>
      <c r="HA20" s="213">
        <v>59.03769156004175</v>
      </c>
      <c r="HB20" s="213">
        <v>54.743301904773205</v>
      </c>
      <c r="HC20" s="213">
        <v>57.255600591157034</v>
      </c>
      <c r="HD20" s="213">
        <v>41.927678322478656</v>
      </c>
      <c r="HE20" s="213">
        <v>65.89151816528063</v>
      </c>
      <c r="HF20" s="213">
        <v>71.946258139380674</v>
      </c>
      <c r="HG20" s="213">
        <v>75.472645115985472</v>
      </c>
      <c r="HH20" s="213">
        <v>84.619165047279367</v>
      </c>
      <c r="HI20" s="213">
        <v>66.07300517342928</v>
      </c>
      <c r="HJ20" s="214">
        <v>90.717115039999996</v>
      </c>
      <c r="HK20" s="214">
        <v>81.004191199999994</v>
      </c>
      <c r="HL20" s="214">
        <v>68.263921000000011</v>
      </c>
      <c r="HM20" s="214">
        <v>80.295470199999997</v>
      </c>
      <c r="HN20" s="214">
        <v>49.711778600000002</v>
      </c>
      <c r="HO20" s="214">
        <v>84.522074360000005</v>
      </c>
      <c r="HP20" s="214">
        <v>79.639582974999996</v>
      </c>
      <c r="HQ20" s="214">
        <v>66.5998333</v>
      </c>
      <c r="HR20" s="214">
        <v>77.845210300000005</v>
      </c>
      <c r="HS20" s="214">
        <v>46.402093100000002</v>
      </c>
      <c r="HT20" s="214">
        <v>75.800596724999991</v>
      </c>
      <c r="HU20" s="214">
        <v>67.765248100000008</v>
      </c>
      <c r="HV20" s="214">
        <v>65.084945200000007</v>
      </c>
      <c r="HW20" s="214">
        <v>76.869855700000002</v>
      </c>
      <c r="HX20" s="214">
        <v>44.328611800000004</v>
      </c>
      <c r="HY20" s="214">
        <v>64.050401800000003</v>
      </c>
      <c r="HZ20" s="214">
        <v>53.099184600000001</v>
      </c>
      <c r="IA20" s="214">
        <v>51.582084399999999</v>
      </c>
      <c r="IB20" s="214">
        <v>63.180317200000005</v>
      </c>
      <c r="IC20" s="214">
        <v>21.785490100000004</v>
      </c>
      <c r="ID20" s="214">
        <v>41.984652599999997</v>
      </c>
      <c r="IE20" s="214">
        <v>34.690320500000006</v>
      </c>
      <c r="IF20" s="214">
        <v>41.594798300000008</v>
      </c>
      <c r="IG20" s="214">
        <v>19.261883300000001</v>
      </c>
      <c r="IH20" s="214">
        <v>63.689154100000003</v>
      </c>
      <c r="II20" s="214">
        <v>50.548644300000007</v>
      </c>
      <c r="IJ20" s="214">
        <v>45.529831600000009</v>
      </c>
      <c r="IK20" s="214">
        <v>56.013909600000005</v>
      </c>
      <c r="IL20" s="214">
        <v>64.602474200000003</v>
      </c>
      <c r="IM20" s="214">
        <v>57.50963680000001</v>
      </c>
      <c r="IN20" s="214">
        <v>47.330100399999999</v>
      </c>
      <c r="IO20" s="214">
        <v>60.002544800000003</v>
      </c>
      <c r="IP20" s="214">
        <v>36.8990589</v>
      </c>
      <c r="IQ20" s="214">
        <v>62.856934800000005</v>
      </c>
      <c r="IR20" s="214">
        <v>57.844382200000005</v>
      </c>
      <c r="IS20" s="214">
        <v>47.105203200000005</v>
      </c>
      <c r="IT20" s="214">
        <v>59.496789</v>
      </c>
      <c r="IU20" s="214">
        <v>37.197507600000002</v>
      </c>
      <c r="IV20" s="214">
        <v>62.437314500000006</v>
      </c>
      <c r="IW20" s="214">
        <v>57.376136400000007</v>
      </c>
      <c r="IX20" s="214">
        <v>50.358644600000005</v>
      </c>
      <c r="IY20" s="214">
        <v>57.134090200000003</v>
      </c>
      <c r="IZ20" s="214">
        <v>38.383769600000008</v>
      </c>
      <c r="JA20" s="214">
        <v>68.372565800000004</v>
      </c>
      <c r="JB20" s="214">
        <v>54.311664000000007</v>
      </c>
      <c r="JC20" s="214">
        <v>42.854135500000005</v>
      </c>
      <c r="JD20" s="214">
        <v>54.637399300000006</v>
      </c>
      <c r="JE20" s="214">
        <v>36.642084600000004</v>
      </c>
      <c r="JF20" s="214">
        <v>61.673371100000004</v>
      </c>
      <c r="JG20" s="214">
        <v>49.188315000000003</v>
      </c>
      <c r="JH20" s="214">
        <v>40.683563800000009</v>
      </c>
      <c r="JI20" s="214">
        <v>52.920324600000008</v>
      </c>
      <c r="JJ20" s="214">
        <v>37.559768400000003</v>
      </c>
      <c r="JK20" s="214">
        <v>42.240619299999999</v>
      </c>
      <c r="JL20" s="214">
        <v>31.3400307</v>
      </c>
      <c r="JM20" s="214">
        <v>22.1657799</v>
      </c>
      <c r="JN20" s="214">
        <v>30.091306300000003</v>
      </c>
      <c r="JO20" s="214">
        <v>14.519743700000001</v>
      </c>
      <c r="JP20" s="214">
        <v>28.303220000000003</v>
      </c>
      <c r="JQ20" s="214">
        <v>16.266934200000001</v>
      </c>
      <c r="JR20" s="214">
        <v>26.099016900000002</v>
      </c>
      <c r="JS20" s="214">
        <v>13.8675867</v>
      </c>
      <c r="JT20" s="214">
        <v>59.770322999999998</v>
      </c>
      <c r="JU20" s="214">
        <v>53.621637999999997</v>
      </c>
      <c r="JV20" s="214">
        <v>58.562486999999997</v>
      </c>
      <c r="JW20" s="214">
        <v>38.176833999999999</v>
      </c>
      <c r="JX20" s="214">
        <v>62.707681000000001</v>
      </c>
      <c r="JY20" s="214">
        <v>57.080224999999999</v>
      </c>
      <c r="JZ20" s="214">
        <v>52.631691000000004</v>
      </c>
      <c r="KA20" s="214">
        <v>58.391967999999999</v>
      </c>
      <c r="KB20" s="214">
        <v>37.811782999999998</v>
      </c>
      <c r="KC20" s="214">
        <v>56.912759000000001</v>
      </c>
      <c r="KD20" s="214">
        <v>53.453082000000002</v>
      </c>
      <c r="KE20" s="214">
        <v>49.271782000000002</v>
      </c>
      <c r="KF20" s="214">
        <v>53.613339000000003</v>
      </c>
      <c r="KG20" s="214">
        <v>37.739500999999997</v>
      </c>
      <c r="KH20" s="214">
        <v>54.345632000000002</v>
      </c>
      <c r="KI20" s="214">
        <v>49.636857999999997</v>
      </c>
      <c r="KJ20" s="214">
        <v>46.195968000000001</v>
      </c>
      <c r="KK20" s="214">
        <v>49.553615999999998</v>
      </c>
      <c r="KL20" s="214">
        <v>36.608705</v>
      </c>
      <c r="KM20" s="214">
        <v>51.674726999999997</v>
      </c>
      <c r="KN20" s="214">
        <v>48.490833000000002</v>
      </c>
    </row>
    <row r="21" spans="1:300" x14ac:dyDescent="0.35">
      <c r="A21" s="216" t="str">
        <f t="shared" si="0"/>
        <v>mercredi</v>
      </c>
      <c r="B21" s="217">
        <v>44573</v>
      </c>
      <c r="C21" s="202">
        <v>0</v>
      </c>
      <c r="D21" s="202">
        <v>106</v>
      </c>
      <c r="E21" s="202">
        <v>106</v>
      </c>
      <c r="F21" s="202">
        <v>119.5</v>
      </c>
      <c r="G21" s="202">
        <v>119.5</v>
      </c>
      <c r="H21" s="202">
        <v>101</v>
      </c>
      <c r="I21" s="202">
        <v>101</v>
      </c>
      <c r="J21" s="202">
        <v>87.3611111111111</v>
      </c>
      <c r="K21" s="202">
        <v>82.6388888888889</v>
      </c>
      <c r="L21" s="202">
        <v>47.723684210526322</v>
      </c>
      <c r="M21" s="202">
        <v>45.276315789473678</v>
      </c>
      <c r="N21" s="202">
        <v>77.321917808219169</v>
      </c>
      <c r="O21" s="202">
        <v>81.678082191780831</v>
      </c>
      <c r="P21" s="202">
        <v>91.5</v>
      </c>
      <c r="Q21" s="202">
        <v>91.5</v>
      </c>
      <c r="R21" s="202">
        <v>83.535483870967752</v>
      </c>
      <c r="S21" s="202">
        <v>82.464516129032248</v>
      </c>
      <c r="T21" s="202">
        <v>61.842519685039363</v>
      </c>
      <c r="U21" s="202">
        <v>57.157480314960637</v>
      </c>
      <c r="V21" s="202">
        <v>0</v>
      </c>
      <c r="W21" s="203">
        <f t="shared" si="1"/>
        <v>1543</v>
      </c>
      <c r="AA21" s="43"/>
      <c r="AB21" s="218">
        <f t="shared" ref="AB21:CM21" si="2">SUM(AB3:AB20)</f>
        <v>2606</v>
      </c>
      <c r="AC21" s="218">
        <f t="shared" si="2"/>
        <v>1985</v>
      </c>
      <c r="AD21" s="218">
        <f t="shared" si="2"/>
        <v>1645</v>
      </c>
      <c r="AE21" s="218">
        <f t="shared" si="2"/>
        <v>1627</v>
      </c>
      <c r="AF21" s="218">
        <f t="shared" si="2"/>
        <v>1416</v>
      </c>
      <c r="AG21" s="218">
        <f t="shared" si="2"/>
        <v>2137</v>
      </c>
      <c r="AH21" s="218">
        <f t="shared" si="2"/>
        <v>1778</v>
      </c>
      <c r="AI21" s="218">
        <f t="shared" si="2"/>
        <v>1543</v>
      </c>
      <c r="AJ21" s="218">
        <f t="shared" si="2"/>
        <v>1553</v>
      </c>
      <c r="AK21" s="218">
        <f t="shared" si="2"/>
        <v>1376</v>
      </c>
      <c r="AL21" s="218">
        <f t="shared" si="2"/>
        <v>2086</v>
      </c>
      <c r="AM21" s="218">
        <f t="shared" si="2"/>
        <v>1755</v>
      </c>
      <c r="AN21" s="218">
        <f t="shared" si="2"/>
        <v>1511</v>
      </c>
      <c r="AO21" s="218">
        <f t="shared" si="2"/>
        <v>1515</v>
      </c>
      <c r="AP21" s="218">
        <f t="shared" si="2"/>
        <v>1311</v>
      </c>
      <c r="AQ21" s="218">
        <f t="shared" si="2"/>
        <v>1925</v>
      </c>
      <c r="AR21" s="218">
        <f t="shared" si="2"/>
        <v>1714</v>
      </c>
      <c r="AS21" s="218">
        <f t="shared" si="2"/>
        <v>1473</v>
      </c>
      <c r="AT21" s="218">
        <f t="shared" si="2"/>
        <v>1487</v>
      </c>
      <c r="AU21" s="218">
        <f t="shared" si="2"/>
        <v>1356</v>
      </c>
      <c r="AV21" s="218">
        <f t="shared" si="2"/>
        <v>1870</v>
      </c>
      <c r="AW21" s="218">
        <f t="shared" si="2"/>
        <v>1331</v>
      </c>
      <c r="AX21" s="218">
        <f t="shared" si="2"/>
        <v>1252</v>
      </c>
      <c r="AY21" s="218">
        <f t="shared" si="2"/>
        <v>1314</v>
      </c>
      <c r="AZ21" s="218">
        <f t="shared" si="2"/>
        <v>1064.0000000000002</v>
      </c>
      <c r="BA21" s="218">
        <f t="shared" si="2"/>
        <v>1564.9999999999998</v>
      </c>
      <c r="BB21" s="218">
        <f t="shared" si="2"/>
        <v>1319.9999999999998</v>
      </c>
      <c r="BC21" s="218">
        <f t="shared" si="2"/>
        <v>1186</v>
      </c>
      <c r="BD21" s="218">
        <f t="shared" si="2"/>
        <v>1231.9999999999998</v>
      </c>
      <c r="BE21" s="218">
        <f t="shared" si="2"/>
        <v>986</v>
      </c>
      <c r="BF21" s="218">
        <f t="shared" si="2"/>
        <v>1492</v>
      </c>
      <c r="BG21" s="218">
        <f t="shared" si="2"/>
        <v>1289.9999999999998</v>
      </c>
      <c r="BH21" s="218">
        <f t="shared" si="2"/>
        <v>1180.9999999999998</v>
      </c>
      <c r="BI21" s="218">
        <f t="shared" si="2"/>
        <v>1227</v>
      </c>
      <c r="BJ21" s="218">
        <f t="shared" si="2"/>
        <v>973.99999999999989</v>
      </c>
      <c r="BK21" s="218">
        <f t="shared" si="2"/>
        <v>1476</v>
      </c>
      <c r="BL21" s="218">
        <f t="shared" si="2"/>
        <v>1292.0000000000002</v>
      </c>
      <c r="BM21" s="218">
        <f t="shared" si="2"/>
        <v>1205.0000000000002</v>
      </c>
      <c r="BN21" s="218">
        <f t="shared" si="2"/>
        <v>1252.0000000000002</v>
      </c>
      <c r="BO21" s="218">
        <f t="shared" si="2"/>
        <v>991.00000000000011</v>
      </c>
      <c r="BP21" s="218">
        <f t="shared" si="2"/>
        <v>1500.0000000000002</v>
      </c>
      <c r="BQ21" s="218">
        <f t="shared" si="2"/>
        <v>1286.0000000000005</v>
      </c>
      <c r="BR21" s="218">
        <f t="shared" si="2"/>
        <v>1227.9999999999998</v>
      </c>
      <c r="BS21" s="218">
        <f t="shared" si="2"/>
        <v>1292.9999999999998</v>
      </c>
      <c r="BT21" s="218">
        <f t="shared" si="2"/>
        <v>1008</v>
      </c>
      <c r="BU21" s="218">
        <f t="shared" si="2"/>
        <v>1558.0000000000005</v>
      </c>
      <c r="BV21" s="218">
        <f t="shared" si="2"/>
        <v>1343.9999999999998</v>
      </c>
      <c r="BW21" s="218">
        <f t="shared" si="2"/>
        <v>1253</v>
      </c>
      <c r="BX21" s="218">
        <f t="shared" si="2"/>
        <v>1318.0000000000002</v>
      </c>
      <c r="BY21" s="218">
        <f t="shared" si="2"/>
        <v>1059.0000000000002</v>
      </c>
      <c r="BZ21" s="218">
        <f t="shared" si="2"/>
        <v>1568</v>
      </c>
      <c r="CA21" s="218">
        <f t="shared" si="2"/>
        <v>1349.9999999999998</v>
      </c>
      <c r="CB21" s="218">
        <f t="shared" si="2"/>
        <v>1270.0000000000002</v>
      </c>
      <c r="CC21" s="218">
        <f t="shared" si="2"/>
        <v>1347</v>
      </c>
      <c r="CD21" s="218">
        <f t="shared" si="2"/>
        <v>1098.0000000000002</v>
      </c>
      <c r="CE21" s="218">
        <f t="shared" si="2"/>
        <v>1567.0000000000005</v>
      </c>
      <c r="CF21" s="218">
        <f t="shared" si="2"/>
        <v>1435.9999999999998</v>
      </c>
      <c r="CG21" s="218">
        <f t="shared" si="2"/>
        <v>1345</v>
      </c>
      <c r="CH21" s="218">
        <f t="shared" si="2"/>
        <v>1412</v>
      </c>
      <c r="CI21" s="218">
        <f t="shared" si="2"/>
        <v>1088.0000000000002</v>
      </c>
      <c r="CJ21" s="218">
        <f t="shared" si="2"/>
        <v>1516.0000000000002</v>
      </c>
      <c r="CK21" s="218">
        <f t="shared" si="2"/>
        <v>1429</v>
      </c>
      <c r="CL21" s="218">
        <f t="shared" si="2"/>
        <v>1448</v>
      </c>
      <c r="CM21" s="218">
        <f t="shared" si="2"/>
        <v>1522.9999999999998</v>
      </c>
      <c r="CN21" s="218">
        <f t="shared" ref="CN21:EY21" si="3">SUM(CN3:CN20)</f>
        <v>1096.9745808862874</v>
      </c>
      <c r="CO21" s="218">
        <f t="shared" si="3"/>
        <v>1839.8155366957496</v>
      </c>
      <c r="CP21" s="218">
        <f t="shared" si="3"/>
        <v>1531.8494861683721</v>
      </c>
      <c r="CQ21" s="218">
        <f t="shared" si="3"/>
        <v>1404.1444686701718</v>
      </c>
      <c r="CR21" s="218">
        <f t="shared" si="3"/>
        <v>1374.6644891211506</v>
      </c>
      <c r="CS21" s="218">
        <f t="shared" si="3"/>
        <v>1141.2673222472158</v>
      </c>
      <c r="CT21" s="218">
        <f t="shared" si="3"/>
        <v>1650.3839195763248</v>
      </c>
      <c r="CU21" s="218">
        <f t="shared" si="3"/>
        <v>1417.2211960466548</v>
      </c>
      <c r="CV21" s="218">
        <f t="shared" si="3"/>
        <v>1330.1959494497539</v>
      </c>
      <c r="CW21" s="218">
        <f t="shared" si="3"/>
        <v>1291.5295381526312</v>
      </c>
      <c r="CX21" s="218">
        <f t="shared" si="3"/>
        <v>1054.0337369651816</v>
      </c>
      <c r="CY21" s="218">
        <f t="shared" si="3"/>
        <v>1481.7904419728811</v>
      </c>
      <c r="CZ21" s="218">
        <f t="shared" si="3"/>
        <v>1188.2318420493889</v>
      </c>
      <c r="DA21" s="218">
        <f t="shared" si="3"/>
        <v>1155.4990521856646</v>
      </c>
      <c r="DB21" s="218">
        <f t="shared" si="3"/>
        <v>892.75258955729601</v>
      </c>
      <c r="DC21" s="218">
        <f t="shared" si="3"/>
        <v>1334.4078133445553</v>
      </c>
      <c r="DD21" s="218">
        <f t="shared" si="3"/>
        <v>1192.4210018023855</v>
      </c>
      <c r="DE21" s="218">
        <f t="shared" si="3"/>
        <v>1135.7672367946875</v>
      </c>
      <c r="DF21" s="218">
        <f t="shared" si="3"/>
        <v>1144.3243219122087</v>
      </c>
      <c r="DG21" s="218">
        <f t="shared" si="3"/>
        <v>891.97731971487053</v>
      </c>
      <c r="DH21" s="218">
        <f t="shared" si="3"/>
        <v>1730.2747093749163</v>
      </c>
      <c r="DI21" s="218">
        <f t="shared" si="3"/>
        <v>1304.1078681577453</v>
      </c>
      <c r="DJ21" s="218">
        <f t="shared" si="3"/>
        <v>1224.3972020629246</v>
      </c>
      <c r="DK21" s="218">
        <f t="shared" si="3"/>
        <v>1220.954816403419</v>
      </c>
      <c r="DL21" s="218">
        <f t="shared" si="3"/>
        <v>951.89750277950429</v>
      </c>
      <c r="DM21" s="218">
        <f t="shared" si="3"/>
        <v>1817.6443281864497</v>
      </c>
      <c r="DN21" s="218">
        <f t="shared" si="3"/>
        <v>1493.780952349533</v>
      </c>
      <c r="DO21" s="218">
        <f t="shared" si="3"/>
        <v>1273.437892925255</v>
      </c>
      <c r="DP21" s="218">
        <f t="shared" si="3"/>
        <v>1271.8732952113937</v>
      </c>
      <c r="DQ21" s="218">
        <f t="shared" si="3"/>
        <v>1019.1566253958845</v>
      </c>
      <c r="DR21" s="218">
        <f t="shared" si="3"/>
        <v>1552.9366576458185</v>
      </c>
      <c r="DS21" s="218">
        <f t="shared" si="3"/>
        <v>1359.936144856862</v>
      </c>
      <c r="DT21" s="218">
        <f t="shared" si="3"/>
        <v>1268.9726854699795</v>
      </c>
      <c r="DU21" s="218">
        <f t="shared" si="3"/>
        <v>1271.8441541792781</v>
      </c>
      <c r="DV21" s="218">
        <f t="shared" si="3"/>
        <v>1021.2731460508746</v>
      </c>
      <c r="DW21" s="218">
        <f t="shared" si="3"/>
        <v>1430.5841139482218</v>
      </c>
      <c r="DX21" s="218">
        <f t="shared" si="3"/>
        <v>1292.195587684585</v>
      </c>
      <c r="DY21" s="218">
        <f t="shared" si="3"/>
        <v>1057.9455206677528</v>
      </c>
      <c r="DZ21" s="218">
        <f t="shared" si="3"/>
        <v>773.22958112377</v>
      </c>
      <c r="EA21" s="218">
        <f t="shared" si="3"/>
        <v>1546.5853695549235</v>
      </c>
      <c r="EB21" s="218">
        <f t="shared" si="3"/>
        <v>1271.6518084200759</v>
      </c>
      <c r="EC21" s="218">
        <f t="shared" si="3"/>
        <v>1393.3373297420503</v>
      </c>
      <c r="ED21" s="218">
        <f t="shared" si="3"/>
        <v>1362.8108834199541</v>
      </c>
      <c r="EE21" s="218">
        <f t="shared" si="3"/>
        <v>1115.3170609950919</v>
      </c>
      <c r="EF21" s="218">
        <f t="shared" si="3"/>
        <v>1729.7725267653418</v>
      </c>
      <c r="EG21" s="218">
        <f t="shared" si="3"/>
        <v>1423.5434599716848</v>
      </c>
      <c r="EH21" s="218">
        <f t="shared" si="3"/>
        <v>1431.1263745103843</v>
      </c>
      <c r="EI21" s="218">
        <f t="shared" si="3"/>
        <v>1132.8690895691436</v>
      </c>
      <c r="EJ21" s="218">
        <f t="shared" si="3"/>
        <v>1833.6408676624417</v>
      </c>
      <c r="EK21" s="218">
        <f t="shared" si="3"/>
        <v>1667.5355764230783</v>
      </c>
      <c r="EL21" s="218">
        <f t="shared" si="3"/>
        <v>1455.192117804276</v>
      </c>
      <c r="EM21" s="218">
        <f t="shared" si="3"/>
        <v>1419.7800226179604</v>
      </c>
      <c r="EN21" s="218">
        <f t="shared" si="3"/>
        <v>1173.3298736216375</v>
      </c>
      <c r="EO21" s="218">
        <f t="shared" si="3"/>
        <v>1827.7146324460336</v>
      </c>
      <c r="EP21" s="218">
        <f t="shared" si="3"/>
        <v>1650.1389221992927</v>
      </c>
      <c r="EQ21" s="218">
        <f t="shared" si="3"/>
        <v>1439.3027820662089</v>
      </c>
      <c r="ER21" s="218">
        <f t="shared" si="3"/>
        <v>1391.9308135280637</v>
      </c>
      <c r="ES21" s="218">
        <f t="shared" si="3"/>
        <v>1156.944932890849</v>
      </c>
      <c r="ET21" s="218">
        <f t="shared" si="3"/>
        <v>1800.4375725227005</v>
      </c>
      <c r="EU21" s="218">
        <f t="shared" si="3"/>
        <v>1641.5147132467393</v>
      </c>
      <c r="EV21" s="218">
        <f t="shared" si="3"/>
        <v>1548.9906941018642</v>
      </c>
      <c r="EW21" s="218">
        <f t="shared" si="3"/>
        <v>1615.4923819922142</v>
      </c>
      <c r="EX21" s="218">
        <f t="shared" si="3"/>
        <v>1305.5361416295657</v>
      </c>
      <c r="EY21" s="218">
        <f t="shared" si="3"/>
        <v>1948.1025495201757</v>
      </c>
      <c r="EZ21" s="218">
        <f t="shared" ref="EZ21:HK21" si="4">SUM(EZ3:EZ20)</f>
        <v>1639.3402507308178</v>
      </c>
      <c r="FA21" s="218">
        <f t="shared" si="4"/>
        <v>1447.1677789131013</v>
      </c>
      <c r="FB21" s="218">
        <f t="shared" si="4"/>
        <v>1459.622474178276</v>
      </c>
      <c r="FC21" s="218">
        <f t="shared" si="4"/>
        <v>1204.9685317615197</v>
      </c>
      <c r="FD21" s="218">
        <f t="shared" si="4"/>
        <v>1660.6827926984345</v>
      </c>
      <c r="FE21" s="218">
        <f t="shared" si="4"/>
        <v>1525.9681554013916</v>
      </c>
      <c r="FF21" s="218">
        <f t="shared" si="4"/>
        <v>1316.4576614984423</v>
      </c>
      <c r="FG21" s="218">
        <f t="shared" si="4"/>
        <v>1021.470664108874</v>
      </c>
      <c r="FH21" s="218">
        <f t="shared" si="4"/>
        <v>1793.3904852966284</v>
      </c>
      <c r="FI21" s="218">
        <f t="shared" si="4"/>
        <v>1589.0129933635351</v>
      </c>
      <c r="FJ21" s="218">
        <f t="shared" si="4"/>
        <v>1370.1696828425695</v>
      </c>
      <c r="FK21" s="218">
        <f t="shared" si="4"/>
        <v>1383.6029578252571</v>
      </c>
      <c r="FL21" s="218">
        <f t="shared" si="4"/>
        <v>1125.6196624252946</v>
      </c>
      <c r="FM21" s="218">
        <f t="shared" si="4"/>
        <v>1860.0821398483986</v>
      </c>
      <c r="FN21" s="218">
        <f t="shared" si="4"/>
        <v>1565.0338006801419</v>
      </c>
      <c r="FO21" s="218">
        <f t="shared" si="4"/>
        <v>1331.2231151988531</v>
      </c>
      <c r="FP21" s="218">
        <f t="shared" si="4"/>
        <v>1348.7201459332098</v>
      </c>
      <c r="FQ21" s="218">
        <f t="shared" si="4"/>
        <v>1100.3209020572954</v>
      </c>
      <c r="FR21" s="218">
        <f t="shared" si="4"/>
        <v>1896.7900688197408</v>
      </c>
      <c r="FS21" s="218">
        <f t="shared" si="4"/>
        <v>1600.4389261477543</v>
      </c>
      <c r="FT21" s="218">
        <f t="shared" si="4"/>
        <v>1393.4146713674302</v>
      </c>
      <c r="FU21" s="218">
        <f t="shared" si="4"/>
        <v>1367.2615101095907</v>
      </c>
      <c r="FV21" s="218">
        <f t="shared" si="4"/>
        <v>1121.9632952181228</v>
      </c>
      <c r="FW21" s="218">
        <f t="shared" si="4"/>
        <v>1858.5405975446322</v>
      </c>
      <c r="FX21" s="218">
        <f t="shared" si="4"/>
        <v>1528.4311250838982</v>
      </c>
      <c r="FY21" s="218">
        <f t="shared" si="4"/>
        <v>1316.1377883686141</v>
      </c>
      <c r="FZ21" s="218">
        <f t="shared" si="4"/>
        <v>1281.3731340817992</v>
      </c>
      <c r="GA21" s="218">
        <f t="shared" si="4"/>
        <v>1071.5212022394246</v>
      </c>
      <c r="GB21" s="218">
        <f t="shared" si="4"/>
        <v>1601.5241582857052</v>
      </c>
      <c r="GC21" s="218">
        <f t="shared" si="4"/>
        <v>1368.8181174160782</v>
      </c>
      <c r="GD21" s="218">
        <f t="shared" si="4"/>
        <v>1371.6532178089753</v>
      </c>
      <c r="GE21" s="218">
        <f t="shared" si="4"/>
        <v>1075.0156430081458</v>
      </c>
      <c r="GF21" s="218">
        <f t="shared" si="4"/>
        <v>1836.6080033869337</v>
      </c>
      <c r="GG21" s="218">
        <f t="shared" si="4"/>
        <v>1597.3680276154728</v>
      </c>
      <c r="GH21" s="218">
        <f t="shared" si="4"/>
        <v>1382.2967973991563</v>
      </c>
      <c r="GI21" s="218">
        <f t="shared" si="4"/>
        <v>1386.1452338594477</v>
      </c>
      <c r="GJ21" s="218">
        <f t="shared" si="4"/>
        <v>1134.7627004782616</v>
      </c>
      <c r="GK21" s="218">
        <f t="shared" si="4"/>
        <v>2028.5249999999996</v>
      </c>
      <c r="GL21" s="218">
        <f t="shared" si="4"/>
        <v>1625.4519470180926</v>
      </c>
      <c r="GM21" s="218">
        <f t="shared" si="4"/>
        <v>1483.8999999999999</v>
      </c>
      <c r="GN21" s="218">
        <f t="shared" si="4"/>
        <v>1455.8827155578354</v>
      </c>
      <c r="GO21" s="218">
        <f t="shared" si="4"/>
        <v>1209.436015389062</v>
      </c>
      <c r="GP21" s="218">
        <f t="shared" si="4"/>
        <v>1939.6236970076172</v>
      </c>
      <c r="GQ21" s="218">
        <f t="shared" si="4"/>
        <v>1629.2179978877787</v>
      </c>
      <c r="GR21" s="218">
        <f t="shared" si="4"/>
        <v>1461.2818368392932</v>
      </c>
      <c r="GS21" s="218">
        <f t="shared" si="4"/>
        <v>1447.7798497092847</v>
      </c>
      <c r="GT21" s="218">
        <f t="shared" si="4"/>
        <v>1194.415865882992</v>
      </c>
      <c r="GU21" s="218">
        <f t="shared" si="4"/>
        <v>1846.4804657198156</v>
      </c>
      <c r="GV21" s="218">
        <f t="shared" si="4"/>
        <v>1618.9555913555287</v>
      </c>
      <c r="GW21" s="218">
        <f t="shared" si="4"/>
        <v>1420.8862465533555</v>
      </c>
      <c r="GX21" s="218">
        <f t="shared" si="4"/>
        <v>1425.2806942097507</v>
      </c>
      <c r="GY21" s="218">
        <f t="shared" si="4"/>
        <v>1188.792555360181</v>
      </c>
      <c r="GZ21" s="218">
        <f t="shared" si="4"/>
        <v>1834.835087012832</v>
      </c>
      <c r="HA21" s="218">
        <f t="shared" si="4"/>
        <v>1574.2688071005564</v>
      </c>
      <c r="HB21" s="218">
        <f t="shared" si="4"/>
        <v>1374.4931219083849</v>
      </c>
      <c r="HC21" s="218">
        <f t="shared" si="4"/>
        <v>1367.4904472489477</v>
      </c>
      <c r="HD21" s="218">
        <f t="shared" si="4"/>
        <v>1178.8165187771565</v>
      </c>
      <c r="HE21" s="218">
        <f t="shared" si="4"/>
        <v>1866.9036031832973</v>
      </c>
      <c r="HF21" s="218">
        <f t="shared" si="4"/>
        <v>1816.2172627795994</v>
      </c>
      <c r="HG21" s="218">
        <f t="shared" si="4"/>
        <v>1777.5390518681543</v>
      </c>
      <c r="HH21" s="218">
        <f t="shared" si="4"/>
        <v>1993.7462922543191</v>
      </c>
      <c r="HI21" s="218">
        <f t="shared" si="4"/>
        <v>1596.365024778954</v>
      </c>
      <c r="HJ21" s="218">
        <f t="shared" si="4"/>
        <v>2213.0653415200004</v>
      </c>
      <c r="HK21" s="218">
        <f t="shared" si="4"/>
        <v>2000.7359866249997</v>
      </c>
      <c r="HL21" s="218">
        <f t="shared" ref="HL21:JW21" si="5">SUM(HL3:HL20)</f>
        <v>1813.7657736000001</v>
      </c>
      <c r="HM21" s="218">
        <f t="shared" si="5"/>
        <v>1819.3517881</v>
      </c>
      <c r="HN21" s="218">
        <f t="shared" si="5"/>
        <v>1348.8009007000005</v>
      </c>
      <c r="HO21" s="218">
        <f t="shared" si="5"/>
        <v>2101.5546092800005</v>
      </c>
      <c r="HP21" s="218">
        <f t="shared" si="5"/>
        <v>1976.1730439499997</v>
      </c>
      <c r="HQ21" s="218">
        <f t="shared" si="5"/>
        <v>1783.8121828999999</v>
      </c>
      <c r="HR21" s="218">
        <f t="shared" si="5"/>
        <v>1775.2471121000001</v>
      </c>
      <c r="HS21" s="218">
        <f t="shared" si="5"/>
        <v>1289.2265616999998</v>
      </c>
      <c r="HT21" s="218">
        <f t="shared" si="5"/>
        <v>1952.7777867</v>
      </c>
      <c r="HU21" s="218">
        <f t="shared" si="5"/>
        <v>1775.0550191000002</v>
      </c>
      <c r="HV21" s="218">
        <f t="shared" si="5"/>
        <v>1756.5441971</v>
      </c>
      <c r="HW21" s="218">
        <f t="shared" si="5"/>
        <v>1757.6907293000002</v>
      </c>
      <c r="HX21" s="218">
        <f t="shared" si="5"/>
        <v>1251.9038972000005</v>
      </c>
      <c r="HY21" s="218">
        <f t="shared" si="5"/>
        <v>1754.9572303999996</v>
      </c>
      <c r="HZ21" s="218">
        <f t="shared" si="5"/>
        <v>1511.0658849000004</v>
      </c>
      <c r="IA21" s="218">
        <f t="shared" si="5"/>
        <v>1513.4927026999999</v>
      </c>
      <c r="IB21" s="218">
        <f t="shared" si="5"/>
        <v>1511.2790495000002</v>
      </c>
      <c r="IC21" s="218">
        <f t="shared" si="5"/>
        <v>846.12771649999991</v>
      </c>
      <c r="ID21" s="218">
        <f t="shared" si="5"/>
        <v>1357.773747</v>
      </c>
      <c r="IE21" s="218">
        <f t="shared" si="5"/>
        <v>1209.4409569000004</v>
      </c>
      <c r="IF21" s="218">
        <f t="shared" si="5"/>
        <v>1122.7397016000002</v>
      </c>
      <c r="IG21" s="218">
        <f t="shared" si="5"/>
        <v>800.7027853000003</v>
      </c>
      <c r="IH21" s="218">
        <f t="shared" si="5"/>
        <v>1748.4547751</v>
      </c>
      <c r="II21" s="218">
        <f t="shared" si="5"/>
        <v>1465.1561540000002</v>
      </c>
      <c r="IJ21" s="218">
        <f t="shared" si="5"/>
        <v>1404.5521523000002</v>
      </c>
      <c r="IK21" s="218">
        <f t="shared" si="5"/>
        <v>1382.2837072000002</v>
      </c>
      <c r="IL21" s="218">
        <f t="shared" si="5"/>
        <v>1764.8945401999999</v>
      </c>
      <c r="IM21" s="218">
        <f t="shared" si="5"/>
        <v>1590.4540256</v>
      </c>
      <c r="IN21" s="218">
        <f t="shared" si="5"/>
        <v>1436.9569907</v>
      </c>
      <c r="IO21" s="218">
        <f t="shared" si="5"/>
        <v>1454.0791462999998</v>
      </c>
      <c r="IP21" s="218">
        <f t="shared" si="5"/>
        <v>1118.1719450000003</v>
      </c>
      <c r="IQ21" s="218">
        <f t="shared" si="5"/>
        <v>1733.4748211000003</v>
      </c>
      <c r="IR21" s="218">
        <f t="shared" si="5"/>
        <v>1596.4794285</v>
      </c>
      <c r="IS21" s="218">
        <f t="shared" si="5"/>
        <v>1432.9088367000002</v>
      </c>
      <c r="IT21" s="218">
        <f t="shared" si="5"/>
        <v>1444.9755386000002</v>
      </c>
      <c r="IU21" s="218">
        <f t="shared" si="5"/>
        <v>1123.5440304000003</v>
      </c>
      <c r="IV21" s="218">
        <f t="shared" si="5"/>
        <v>1725.9216699999997</v>
      </c>
      <c r="IW21" s="218">
        <f t="shared" si="5"/>
        <v>1588.0510041000002</v>
      </c>
      <c r="IX21" s="218">
        <f t="shared" si="5"/>
        <v>1491.4707962000002</v>
      </c>
      <c r="IY21" s="218">
        <f t="shared" si="5"/>
        <v>1402.4469635</v>
      </c>
      <c r="IZ21" s="218">
        <f t="shared" si="5"/>
        <v>1144.8967430999999</v>
      </c>
      <c r="JA21" s="218">
        <f t="shared" si="5"/>
        <v>1832.7561802000005</v>
      </c>
      <c r="JB21" s="218">
        <f t="shared" si="5"/>
        <v>1532.8905064000003</v>
      </c>
      <c r="JC21" s="218">
        <f t="shared" si="5"/>
        <v>1356.3896279999999</v>
      </c>
      <c r="JD21" s="218">
        <f t="shared" si="5"/>
        <v>1357.5065306000001</v>
      </c>
      <c r="JE21" s="218">
        <f t="shared" si="5"/>
        <v>1113.5464208000001</v>
      </c>
      <c r="JF21" s="218">
        <f t="shared" si="5"/>
        <v>1712.1706778</v>
      </c>
      <c r="JG21" s="218">
        <f t="shared" si="5"/>
        <v>1440.6702266000002</v>
      </c>
      <c r="JH21" s="218">
        <f t="shared" si="5"/>
        <v>1317.3193275000001</v>
      </c>
      <c r="JI21" s="218">
        <f t="shared" si="5"/>
        <v>1326.5991827000003</v>
      </c>
      <c r="JJ21" s="218">
        <f t="shared" si="5"/>
        <v>1130.0647291999999</v>
      </c>
      <c r="JK21" s="218">
        <f t="shared" si="5"/>
        <v>1362.3811476000001</v>
      </c>
      <c r="JL21" s="218">
        <f t="shared" si="5"/>
        <v>1119.4011059000002</v>
      </c>
      <c r="JM21" s="218">
        <f t="shared" si="5"/>
        <v>983.99923380000018</v>
      </c>
      <c r="JN21" s="218">
        <f t="shared" si="5"/>
        <v>915.67685000000006</v>
      </c>
      <c r="JO21" s="218">
        <f t="shared" si="5"/>
        <v>715.34427140000014</v>
      </c>
      <c r="JP21" s="218">
        <f t="shared" si="5"/>
        <v>1064.7385089000002</v>
      </c>
      <c r="JQ21" s="218">
        <f t="shared" si="5"/>
        <v>877.81999470000017</v>
      </c>
      <c r="JR21" s="218">
        <f t="shared" si="5"/>
        <v>843.81563860000028</v>
      </c>
      <c r="JS21" s="218">
        <f t="shared" si="5"/>
        <v>703.60544320000008</v>
      </c>
      <c r="JT21" s="218">
        <f t="shared" si="5"/>
        <v>1582.2269330000001</v>
      </c>
      <c r="JU21" s="218">
        <f t="shared" si="5"/>
        <v>1415.7591380000001</v>
      </c>
      <c r="JV21" s="218">
        <f t="shared" si="5"/>
        <v>1417.1171919999999</v>
      </c>
      <c r="JW21" s="218">
        <f t="shared" si="5"/>
        <v>1108.387551</v>
      </c>
      <c r="JX21" s="218">
        <f t="shared" ref="JX21:KN21" si="6">SUM(JX3:JX20)</f>
        <v>1744.4832140000005</v>
      </c>
      <c r="JY21" s="218">
        <f t="shared" si="6"/>
        <v>1533.8051529999998</v>
      </c>
      <c r="JZ21" s="218">
        <f t="shared" si="6"/>
        <v>1397.9400969999999</v>
      </c>
      <c r="KA21" s="218">
        <f t="shared" si="6"/>
        <v>1414.0478539999999</v>
      </c>
      <c r="KB21" s="218">
        <f t="shared" si="6"/>
        <v>1101.816644</v>
      </c>
      <c r="KC21" s="218">
        <f t="shared" si="6"/>
        <v>1640.1746100000003</v>
      </c>
      <c r="KD21" s="218">
        <f t="shared" si="6"/>
        <v>1468.5165860000002</v>
      </c>
      <c r="KE21" s="218">
        <f t="shared" si="6"/>
        <v>1337.4617360000002</v>
      </c>
      <c r="KF21" s="218">
        <f t="shared" si="6"/>
        <v>1328.0325319999999</v>
      </c>
      <c r="KG21" s="218">
        <f t="shared" si="6"/>
        <v>1100.5155689999999</v>
      </c>
      <c r="KH21" s="218">
        <f t="shared" si="6"/>
        <v>1593.9663190000003</v>
      </c>
      <c r="KI21" s="218">
        <f t="shared" si="6"/>
        <v>1399.82455</v>
      </c>
      <c r="KJ21" s="218">
        <f t="shared" si="6"/>
        <v>1282.0970810000001</v>
      </c>
      <c r="KK21" s="218">
        <f t="shared" si="6"/>
        <v>1254.9575170000001</v>
      </c>
      <c r="KL21" s="218">
        <f t="shared" si="6"/>
        <v>1080.1612379999999</v>
      </c>
      <c r="KM21" s="218">
        <f t="shared" si="6"/>
        <v>1545.89003</v>
      </c>
      <c r="KN21" s="218">
        <f t="shared" si="6"/>
        <v>1379.1961049999998</v>
      </c>
    </row>
    <row r="22" spans="1:300" x14ac:dyDescent="0.35">
      <c r="A22" s="216" t="str">
        <f t="shared" si="0"/>
        <v>jeudi</v>
      </c>
      <c r="B22" s="217">
        <v>44574</v>
      </c>
      <c r="C22" s="202">
        <v>0</v>
      </c>
      <c r="D22" s="202">
        <v>102.38323353293413</v>
      </c>
      <c r="E22" s="202">
        <v>103.61676646706586</v>
      </c>
      <c r="F22" s="202">
        <v>116.31578947368421</v>
      </c>
      <c r="G22" s="202">
        <v>117.68421052631578</v>
      </c>
      <c r="H22" s="202">
        <v>102</v>
      </c>
      <c r="I22" s="202">
        <v>102</v>
      </c>
      <c r="J22" s="202">
        <v>88.175675675675663</v>
      </c>
      <c r="K22" s="202">
        <v>85.824324324324337</v>
      </c>
      <c r="L22" s="202">
        <v>49.199999999999996</v>
      </c>
      <c r="M22" s="202">
        <v>46.800000000000004</v>
      </c>
      <c r="N22" s="202">
        <v>78.718309859154928</v>
      </c>
      <c r="O22" s="202">
        <v>83.281690140845072</v>
      </c>
      <c r="P22" s="202">
        <v>93.615894039735096</v>
      </c>
      <c r="Q22" s="202">
        <v>92.384105960264904</v>
      </c>
      <c r="R22" s="202">
        <v>85.067114093959745</v>
      </c>
      <c r="S22" s="202">
        <v>83.932885906040255</v>
      </c>
      <c r="T22" s="202">
        <v>62.848484848484858</v>
      </c>
      <c r="U22" s="202">
        <v>59.151515151515142</v>
      </c>
      <c r="V22" s="202">
        <v>0</v>
      </c>
      <c r="W22" s="203">
        <f t="shared" si="1"/>
        <v>1553</v>
      </c>
    </row>
    <row r="23" spans="1:300" x14ac:dyDescent="0.35">
      <c r="A23" s="216" t="str">
        <f t="shared" si="0"/>
        <v>vendredi</v>
      </c>
      <c r="B23" s="217">
        <v>44575</v>
      </c>
      <c r="C23" s="202">
        <v>0</v>
      </c>
      <c r="D23" s="202">
        <v>98</v>
      </c>
      <c r="E23" s="202">
        <v>98</v>
      </c>
      <c r="F23" s="202">
        <v>107.84242424242424</v>
      </c>
      <c r="G23" s="202">
        <v>109.15757575757576</v>
      </c>
      <c r="H23" s="202">
        <v>95.5</v>
      </c>
      <c r="I23" s="202">
        <v>95.5</v>
      </c>
      <c r="J23" s="202">
        <v>75.531034482758628</v>
      </c>
      <c r="K23" s="202">
        <v>72.468965517241372</v>
      </c>
      <c r="L23" s="202">
        <v>44.586666666666673</v>
      </c>
      <c r="M23" s="202">
        <v>43.413333333333327</v>
      </c>
      <c r="N23" s="202">
        <v>66.325396825396822</v>
      </c>
      <c r="O23" s="202">
        <v>70.674603174603178</v>
      </c>
      <c r="P23" s="202">
        <v>78</v>
      </c>
      <c r="Q23" s="202">
        <v>78</v>
      </c>
      <c r="R23" s="202">
        <v>71.541984732824432</v>
      </c>
      <c r="S23" s="202">
        <v>70.458015267175568</v>
      </c>
      <c r="T23" s="202">
        <v>52.211864406779668</v>
      </c>
      <c r="U23" s="202">
        <v>48.788135593220332</v>
      </c>
      <c r="V23" s="202">
        <v>0</v>
      </c>
      <c r="W23" s="203">
        <f t="shared" si="1"/>
        <v>1376</v>
      </c>
    </row>
    <row r="24" spans="1:300" x14ac:dyDescent="0.35">
      <c r="A24" s="216" t="str">
        <f t="shared" si="0"/>
        <v>samedi</v>
      </c>
      <c r="B24" s="217">
        <v>44576</v>
      </c>
      <c r="C24" s="202">
        <v>0</v>
      </c>
      <c r="D24" s="202"/>
      <c r="E24" s="202"/>
      <c r="F24" s="202"/>
      <c r="G24" s="202"/>
      <c r="H24" s="202"/>
      <c r="I24" s="202"/>
      <c r="J24" s="202"/>
      <c r="K24" s="202"/>
      <c r="L24" s="202"/>
      <c r="M24" s="202"/>
      <c r="N24" s="202"/>
      <c r="O24" s="202"/>
      <c r="P24" s="202"/>
      <c r="Q24" s="202"/>
      <c r="R24" s="202"/>
      <c r="S24" s="202"/>
      <c r="T24" s="202"/>
      <c r="U24" s="202"/>
      <c r="V24" s="202">
        <v>0</v>
      </c>
      <c r="W24" s="203">
        <f t="shared" si="1"/>
        <v>0</v>
      </c>
    </row>
    <row r="25" spans="1:300" x14ac:dyDescent="0.35">
      <c r="A25" s="216" t="str">
        <f t="shared" si="0"/>
        <v>dimanche</v>
      </c>
      <c r="B25" s="217">
        <v>44577</v>
      </c>
      <c r="C25" s="202">
        <v>0</v>
      </c>
      <c r="D25" s="202"/>
      <c r="E25" s="202"/>
      <c r="F25" s="202"/>
      <c r="G25" s="202"/>
      <c r="H25" s="202"/>
      <c r="I25" s="202"/>
      <c r="J25" s="202"/>
      <c r="K25" s="202"/>
      <c r="L25" s="202"/>
      <c r="M25" s="202"/>
      <c r="N25" s="202"/>
      <c r="O25" s="202"/>
      <c r="P25" s="202"/>
      <c r="Q25" s="202"/>
      <c r="R25" s="202"/>
      <c r="S25" s="202"/>
      <c r="T25" s="202"/>
      <c r="U25" s="202"/>
      <c r="V25" s="202">
        <v>0</v>
      </c>
      <c r="W25" s="203">
        <f t="shared" si="1"/>
        <v>0</v>
      </c>
    </row>
    <row r="26" spans="1:300" x14ac:dyDescent="0.35">
      <c r="A26" s="216" t="str">
        <f t="shared" si="0"/>
        <v>lundi</v>
      </c>
      <c r="B26" s="217">
        <v>44578</v>
      </c>
      <c r="C26" s="202">
        <v>0</v>
      </c>
      <c r="D26" s="202">
        <v>108</v>
      </c>
      <c r="E26" s="202">
        <v>139</v>
      </c>
      <c r="F26" s="202">
        <v>154</v>
      </c>
      <c r="G26" s="202">
        <v>160</v>
      </c>
      <c r="H26" s="202">
        <v>149</v>
      </c>
      <c r="I26" s="202">
        <v>166</v>
      </c>
      <c r="J26" s="202">
        <v>147</v>
      </c>
      <c r="K26" s="202">
        <v>96</v>
      </c>
      <c r="L26" s="202">
        <v>56</v>
      </c>
      <c r="M26" s="202">
        <v>44</v>
      </c>
      <c r="N26" s="202">
        <v>74</v>
      </c>
      <c r="O26" s="202">
        <v>143</v>
      </c>
      <c r="P26" s="202">
        <v>126</v>
      </c>
      <c r="Q26" s="202">
        <v>130</v>
      </c>
      <c r="R26" s="202">
        <v>136</v>
      </c>
      <c r="S26" s="202">
        <v>111</v>
      </c>
      <c r="T26" s="202">
        <v>67</v>
      </c>
      <c r="U26" s="202">
        <v>55</v>
      </c>
      <c r="V26" s="202">
        <v>0</v>
      </c>
      <c r="W26" s="203">
        <f t="shared" si="1"/>
        <v>2061</v>
      </c>
      <c r="AA26" s="219" t="s">
        <v>336</v>
      </c>
      <c r="AB26" s="220" t="s">
        <v>328</v>
      </c>
      <c r="AC26" s="220" t="s">
        <v>329</v>
      </c>
      <c r="AD26" s="220" t="s">
        <v>330</v>
      </c>
      <c r="AE26" s="220" t="s">
        <v>331</v>
      </c>
      <c r="AF26" s="220" t="s">
        <v>332</v>
      </c>
      <c r="AG26" s="220" t="s">
        <v>328</v>
      </c>
      <c r="AH26" s="220" t="s">
        <v>329</v>
      </c>
      <c r="AI26" s="220" t="s">
        <v>330</v>
      </c>
      <c r="AJ26" s="220" t="s">
        <v>331</v>
      </c>
      <c r="AK26" s="220" t="s">
        <v>332</v>
      </c>
      <c r="AL26" s="220" t="s">
        <v>328</v>
      </c>
      <c r="AM26" s="220" t="s">
        <v>329</v>
      </c>
      <c r="AN26" s="220" t="s">
        <v>330</v>
      </c>
      <c r="AO26" s="220" t="s">
        <v>331</v>
      </c>
      <c r="AP26" s="220" t="s">
        <v>332</v>
      </c>
      <c r="AQ26" s="220" t="s">
        <v>328</v>
      </c>
      <c r="AR26" s="220" t="s">
        <v>329</v>
      </c>
      <c r="AS26" s="220" t="s">
        <v>330</v>
      </c>
      <c r="AT26" s="220" t="s">
        <v>331</v>
      </c>
      <c r="AU26" s="220" t="s">
        <v>332</v>
      </c>
      <c r="AV26" s="220" t="s">
        <v>328</v>
      </c>
      <c r="AW26" s="220" t="s">
        <v>329</v>
      </c>
      <c r="AX26" s="220" t="s">
        <v>330</v>
      </c>
      <c r="AY26" s="220" t="s">
        <v>331</v>
      </c>
      <c r="AZ26" s="220" t="s">
        <v>332</v>
      </c>
      <c r="BA26" s="220" t="s">
        <v>328</v>
      </c>
      <c r="BB26" s="220" t="s">
        <v>329</v>
      </c>
      <c r="BC26" s="220" t="s">
        <v>330</v>
      </c>
      <c r="BD26" s="220" t="s">
        <v>331</v>
      </c>
      <c r="BE26" s="220" t="s">
        <v>332</v>
      </c>
      <c r="BF26" s="220" t="s">
        <v>328</v>
      </c>
      <c r="BG26" s="220" t="s">
        <v>329</v>
      </c>
      <c r="BH26" s="220" t="s">
        <v>330</v>
      </c>
      <c r="BI26" s="220" t="s">
        <v>331</v>
      </c>
      <c r="BJ26" s="220" t="s">
        <v>332</v>
      </c>
      <c r="BK26" s="220" t="s">
        <v>328</v>
      </c>
      <c r="BL26" s="220" t="s">
        <v>329</v>
      </c>
      <c r="BM26" s="220" t="s">
        <v>330</v>
      </c>
      <c r="BN26" s="220" t="s">
        <v>331</v>
      </c>
      <c r="BO26" s="220" t="s">
        <v>332</v>
      </c>
      <c r="BP26" s="220" t="s">
        <v>328</v>
      </c>
      <c r="BQ26" s="220" t="s">
        <v>329</v>
      </c>
      <c r="BR26" s="220" t="s">
        <v>330</v>
      </c>
      <c r="BS26" s="220" t="s">
        <v>331</v>
      </c>
      <c r="BT26" s="220" t="s">
        <v>332</v>
      </c>
      <c r="BU26" s="220" t="s">
        <v>328</v>
      </c>
      <c r="BV26" s="220" t="s">
        <v>329</v>
      </c>
      <c r="BW26" s="220" t="s">
        <v>330</v>
      </c>
      <c r="BX26" s="220" t="s">
        <v>331</v>
      </c>
      <c r="BY26" s="220" t="s">
        <v>332</v>
      </c>
      <c r="BZ26" s="220" t="s">
        <v>328</v>
      </c>
      <c r="CA26" s="220" t="s">
        <v>329</v>
      </c>
      <c r="CB26" s="220" t="s">
        <v>330</v>
      </c>
      <c r="CC26" s="220" t="s">
        <v>331</v>
      </c>
      <c r="CD26" s="220" t="s">
        <v>332</v>
      </c>
      <c r="CE26" s="220" t="s">
        <v>328</v>
      </c>
      <c r="CF26" s="220" t="s">
        <v>329</v>
      </c>
      <c r="CG26" s="220" t="s">
        <v>330</v>
      </c>
      <c r="CH26" s="220" t="s">
        <v>331</v>
      </c>
      <c r="CI26" s="220" t="s">
        <v>332</v>
      </c>
      <c r="CJ26" s="220" t="s">
        <v>328</v>
      </c>
      <c r="CK26" s="220" t="s">
        <v>329</v>
      </c>
      <c r="CL26" s="220" t="s">
        <v>330</v>
      </c>
      <c r="CM26" s="220" t="s">
        <v>331</v>
      </c>
      <c r="CN26" s="220" t="s">
        <v>182</v>
      </c>
      <c r="CO26" s="220" t="s">
        <v>178</v>
      </c>
      <c r="CP26" s="220" t="s">
        <v>179</v>
      </c>
      <c r="CQ26" s="220" t="s">
        <v>180</v>
      </c>
      <c r="CR26" s="220" t="s">
        <v>181</v>
      </c>
      <c r="CS26" s="220" t="s">
        <v>182</v>
      </c>
      <c r="CT26" s="220" t="s">
        <v>178</v>
      </c>
      <c r="CU26" s="220" t="s">
        <v>179</v>
      </c>
      <c r="CV26" s="220" t="s">
        <v>180</v>
      </c>
      <c r="CW26" s="220" t="s">
        <v>181</v>
      </c>
      <c r="CX26" s="220" t="s">
        <v>182</v>
      </c>
      <c r="CY26" s="220" t="s">
        <v>179</v>
      </c>
      <c r="CZ26" s="220" t="s">
        <v>180</v>
      </c>
      <c r="DA26" s="220" t="s">
        <v>181</v>
      </c>
      <c r="DB26" s="220" t="s">
        <v>182</v>
      </c>
      <c r="DC26" s="220" t="s">
        <v>178</v>
      </c>
      <c r="DD26" s="220" t="s">
        <v>179</v>
      </c>
      <c r="DE26" s="220" t="s">
        <v>180</v>
      </c>
      <c r="DF26" s="220" t="s">
        <v>181</v>
      </c>
      <c r="DG26" s="220" t="s">
        <v>182</v>
      </c>
      <c r="DH26" s="220" t="s">
        <v>178</v>
      </c>
      <c r="DI26" s="220" t="s">
        <v>179</v>
      </c>
      <c r="DJ26" s="220" t="s">
        <v>180</v>
      </c>
      <c r="DK26" s="220" t="s">
        <v>181</v>
      </c>
      <c r="DL26" s="220" t="s">
        <v>182</v>
      </c>
      <c r="DM26" s="220" t="s">
        <v>178</v>
      </c>
      <c r="DN26" s="220" t="s">
        <v>179</v>
      </c>
      <c r="DO26" s="220" t="s">
        <v>180</v>
      </c>
      <c r="DP26" s="220" t="s">
        <v>181</v>
      </c>
      <c r="DQ26" s="220" t="s">
        <v>182</v>
      </c>
      <c r="DR26" s="220" t="s">
        <v>178</v>
      </c>
      <c r="DS26" s="220" t="s">
        <v>179</v>
      </c>
      <c r="DT26" s="220" t="s">
        <v>180</v>
      </c>
      <c r="DU26" s="220" t="s">
        <v>181</v>
      </c>
      <c r="DV26" s="220" t="s">
        <v>182</v>
      </c>
      <c r="DW26" s="220" t="s">
        <v>178</v>
      </c>
      <c r="DX26" s="220" t="s">
        <v>179</v>
      </c>
      <c r="DY26" s="220" t="s">
        <v>180</v>
      </c>
      <c r="DZ26" s="220" t="s">
        <v>182</v>
      </c>
      <c r="EA26" s="220" t="s">
        <v>178</v>
      </c>
      <c r="EB26" s="220" t="s">
        <v>179</v>
      </c>
      <c r="EC26" s="220" t="s">
        <v>180</v>
      </c>
      <c r="ED26" s="220" t="s">
        <v>181</v>
      </c>
      <c r="EE26" s="220" t="s">
        <v>182</v>
      </c>
      <c r="EF26" s="220" t="s">
        <v>179</v>
      </c>
      <c r="EG26" s="220" t="s">
        <v>180</v>
      </c>
      <c r="EH26" s="220" t="s">
        <v>181</v>
      </c>
      <c r="EI26" s="220" t="s">
        <v>182</v>
      </c>
      <c r="EJ26" s="220" t="s">
        <v>178</v>
      </c>
      <c r="EK26" s="220" t="s">
        <v>179</v>
      </c>
      <c r="EL26" s="220" t="s">
        <v>180</v>
      </c>
      <c r="EM26" s="220" t="s">
        <v>181</v>
      </c>
      <c r="EN26" s="220" t="s">
        <v>182</v>
      </c>
      <c r="EO26" s="220" t="s">
        <v>178</v>
      </c>
      <c r="EP26" s="220" t="s">
        <v>179</v>
      </c>
      <c r="EQ26" s="220" t="s">
        <v>180</v>
      </c>
      <c r="ER26" s="220" t="s">
        <v>181</v>
      </c>
      <c r="ES26" s="220" t="s">
        <v>182</v>
      </c>
      <c r="ET26" s="220" t="s">
        <v>178</v>
      </c>
      <c r="EU26" s="220" t="s">
        <v>179</v>
      </c>
      <c r="EV26" s="220" t="s">
        <v>180</v>
      </c>
      <c r="EW26" s="220" t="s">
        <v>181</v>
      </c>
      <c r="EX26" s="220" t="s">
        <v>182</v>
      </c>
      <c r="EY26" s="220" t="s">
        <v>178</v>
      </c>
      <c r="EZ26" s="220" t="s">
        <v>179</v>
      </c>
      <c r="FA26" s="220" t="s">
        <v>180</v>
      </c>
      <c r="FB26" s="220" t="s">
        <v>181</v>
      </c>
      <c r="FC26" s="220" t="s">
        <v>182</v>
      </c>
      <c r="FD26" s="220" t="s">
        <v>178</v>
      </c>
      <c r="FE26" s="220" t="s">
        <v>179</v>
      </c>
      <c r="FF26" s="220" t="s">
        <v>180</v>
      </c>
      <c r="FG26" s="220" t="s">
        <v>182</v>
      </c>
      <c r="FH26" s="220" t="s">
        <v>178</v>
      </c>
      <c r="FI26" s="220" t="s">
        <v>179</v>
      </c>
      <c r="FJ26" s="220" t="s">
        <v>180</v>
      </c>
      <c r="FK26" s="220" t="s">
        <v>181</v>
      </c>
      <c r="FL26" s="220" t="s">
        <v>182</v>
      </c>
      <c r="FM26" s="220" t="s">
        <v>178</v>
      </c>
      <c r="FN26" s="220" t="s">
        <v>179</v>
      </c>
      <c r="FO26" s="220" t="s">
        <v>180</v>
      </c>
      <c r="FP26" s="220" t="s">
        <v>181</v>
      </c>
      <c r="FQ26" s="220" t="s">
        <v>182</v>
      </c>
      <c r="FR26" s="200" t="s">
        <v>178</v>
      </c>
      <c r="FS26" s="200" t="s">
        <v>179</v>
      </c>
      <c r="FT26" s="200" t="s">
        <v>180</v>
      </c>
      <c r="FU26" s="200" t="s">
        <v>181</v>
      </c>
      <c r="FV26" s="200" t="s">
        <v>182</v>
      </c>
      <c r="FW26" s="200" t="s">
        <v>178</v>
      </c>
      <c r="FX26" s="200" t="s">
        <v>179</v>
      </c>
      <c r="FY26" s="200" t="s">
        <v>180</v>
      </c>
      <c r="FZ26" s="200" t="s">
        <v>181</v>
      </c>
      <c r="GA26" s="200" t="s">
        <v>182</v>
      </c>
      <c r="GB26" s="200" t="s">
        <v>179</v>
      </c>
      <c r="GC26" s="200" t="s">
        <v>180</v>
      </c>
      <c r="GD26" s="200" t="s">
        <v>181</v>
      </c>
      <c r="GE26" s="200" t="s">
        <v>182</v>
      </c>
      <c r="GF26" s="200" t="s">
        <v>178</v>
      </c>
      <c r="GG26" s="200" t="s">
        <v>179</v>
      </c>
      <c r="GH26" s="200" t="s">
        <v>180</v>
      </c>
      <c r="GI26" s="200" t="s">
        <v>181</v>
      </c>
      <c r="GJ26" s="200" t="s">
        <v>182</v>
      </c>
      <c r="GK26" s="200" t="s">
        <v>178</v>
      </c>
      <c r="GL26" s="200" t="s">
        <v>179</v>
      </c>
      <c r="GM26" s="200" t="s">
        <v>180</v>
      </c>
      <c r="GN26" s="200" t="s">
        <v>181</v>
      </c>
      <c r="GO26" s="200" t="s">
        <v>182</v>
      </c>
      <c r="GP26" s="200" t="s">
        <v>178</v>
      </c>
      <c r="GQ26" s="200" t="s">
        <v>179</v>
      </c>
      <c r="GR26" s="200" t="s">
        <v>180</v>
      </c>
      <c r="GS26" s="200" t="s">
        <v>181</v>
      </c>
      <c r="GT26" s="200" t="s">
        <v>182</v>
      </c>
      <c r="GU26" s="200" t="s">
        <v>178</v>
      </c>
      <c r="GV26" s="200" t="s">
        <v>179</v>
      </c>
      <c r="GW26" s="200" t="s">
        <v>180</v>
      </c>
      <c r="GX26" s="200" t="s">
        <v>181</v>
      </c>
      <c r="GY26" s="200" t="s">
        <v>182</v>
      </c>
      <c r="GZ26" s="200" t="s">
        <v>178</v>
      </c>
      <c r="HA26" s="200" t="s">
        <v>179</v>
      </c>
      <c r="HB26" s="200" t="s">
        <v>180</v>
      </c>
      <c r="HC26" s="200" t="s">
        <v>181</v>
      </c>
      <c r="HD26" s="200" t="s">
        <v>182</v>
      </c>
      <c r="HE26" s="200" t="s">
        <v>178</v>
      </c>
      <c r="HF26" s="200" t="s">
        <v>179</v>
      </c>
      <c r="HG26" s="200" t="s">
        <v>180</v>
      </c>
      <c r="HH26" s="200" t="s">
        <v>181</v>
      </c>
      <c r="HI26" s="200" t="s">
        <v>182</v>
      </c>
      <c r="HJ26" s="200" t="s">
        <v>178</v>
      </c>
      <c r="HK26" s="200" t="s">
        <v>179</v>
      </c>
      <c r="HL26" s="200" t="s">
        <v>180</v>
      </c>
      <c r="HM26" s="200" t="s">
        <v>181</v>
      </c>
      <c r="HN26" s="200" t="s">
        <v>182</v>
      </c>
      <c r="HO26" s="200" t="s">
        <v>178</v>
      </c>
      <c r="HP26" s="200" t="s">
        <v>179</v>
      </c>
      <c r="HQ26" s="200" t="s">
        <v>180</v>
      </c>
      <c r="HR26" s="200" t="s">
        <v>181</v>
      </c>
      <c r="HS26" s="200" t="s">
        <v>182</v>
      </c>
      <c r="HT26" s="200" t="s">
        <v>178</v>
      </c>
      <c r="HU26" s="200" t="s">
        <v>179</v>
      </c>
      <c r="HV26" s="200" t="s">
        <v>180</v>
      </c>
      <c r="HW26" s="200" t="s">
        <v>181</v>
      </c>
      <c r="HX26" s="200" t="s">
        <v>182</v>
      </c>
      <c r="HY26" s="200" t="s">
        <v>178</v>
      </c>
      <c r="HZ26" s="200" t="s">
        <v>179</v>
      </c>
      <c r="IA26" s="200" t="s">
        <v>180</v>
      </c>
      <c r="IB26" s="200" t="s">
        <v>181</v>
      </c>
      <c r="IC26" s="200" t="s">
        <v>182</v>
      </c>
      <c r="ID26" s="200" t="s">
        <v>178</v>
      </c>
      <c r="IE26" s="200" t="s">
        <v>180</v>
      </c>
      <c r="IF26" s="200" t="s">
        <v>181</v>
      </c>
      <c r="IG26" s="200" t="s">
        <v>182</v>
      </c>
      <c r="IH26" s="200" t="s">
        <v>178</v>
      </c>
      <c r="II26" s="200" t="s">
        <v>179</v>
      </c>
      <c r="IJ26" s="200" t="s">
        <v>180</v>
      </c>
      <c r="IK26" s="200" t="s">
        <v>181</v>
      </c>
      <c r="IL26" s="200" t="s">
        <v>178</v>
      </c>
      <c r="IM26" s="200" t="s">
        <v>179</v>
      </c>
      <c r="IN26" s="200" t="s">
        <v>180</v>
      </c>
      <c r="IO26" s="200" t="s">
        <v>181</v>
      </c>
      <c r="IP26" s="200" t="s">
        <v>182</v>
      </c>
      <c r="IQ26" s="200" t="s">
        <v>178</v>
      </c>
      <c r="IR26" s="200" t="s">
        <v>179</v>
      </c>
      <c r="IS26" s="200" t="s">
        <v>180</v>
      </c>
      <c r="IT26" s="200" t="s">
        <v>181</v>
      </c>
      <c r="IU26" s="200" t="s">
        <v>182</v>
      </c>
      <c r="IV26" s="200" t="s">
        <v>178</v>
      </c>
      <c r="IW26" s="200" t="s">
        <v>179</v>
      </c>
      <c r="IX26" s="200" t="s">
        <v>180</v>
      </c>
      <c r="IY26" s="200" t="s">
        <v>181</v>
      </c>
      <c r="IZ26" s="200" t="s">
        <v>182</v>
      </c>
      <c r="JA26" s="200" t="s">
        <v>178</v>
      </c>
      <c r="JB26" s="200" t="s">
        <v>179</v>
      </c>
      <c r="JC26" s="200" t="s">
        <v>180</v>
      </c>
      <c r="JD26" s="200" t="s">
        <v>181</v>
      </c>
      <c r="JE26" s="200" t="s">
        <v>182</v>
      </c>
      <c r="JF26" s="200" t="s">
        <v>178</v>
      </c>
      <c r="JG26" s="200" t="s">
        <v>179</v>
      </c>
      <c r="JH26" s="200" t="s">
        <v>180</v>
      </c>
      <c r="JI26" s="200" t="s">
        <v>181</v>
      </c>
      <c r="JJ26" s="200" t="s">
        <v>182</v>
      </c>
      <c r="JK26" s="200" t="s">
        <v>178</v>
      </c>
      <c r="JL26" s="200" t="s">
        <v>179</v>
      </c>
      <c r="JM26" s="200" t="s">
        <v>180</v>
      </c>
      <c r="JN26" s="200" t="s">
        <v>181</v>
      </c>
      <c r="JO26" s="200" t="s">
        <v>182</v>
      </c>
      <c r="JP26" s="200" t="s">
        <v>179</v>
      </c>
      <c r="JQ26" s="200" t="s">
        <v>180</v>
      </c>
      <c r="JR26" s="200" t="s">
        <v>181</v>
      </c>
      <c r="JS26" s="200" t="s">
        <v>182</v>
      </c>
      <c r="JT26" s="200" t="s">
        <v>179</v>
      </c>
      <c r="JU26" s="200" t="s">
        <v>180</v>
      </c>
      <c r="JV26" s="200" t="s">
        <v>181</v>
      </c>
      <c r="JW26" s="200" t="s">
        <v>182</v>
      </c>
      <c r="JX26" s="200" t="s">
        <v>178</v>
      </c>
      <c r="JY26" s="200" t="s">
        <v>179</v>
      </c>
      <c r="JZ26" s="200" t="s">
        <v>180</v>
      </c>
      <c r="KA26" s="200" t="s">
        <v>181</v>
      </c>
      <c r="KB26" s="200" t="s">
        <v>182</v>
      </c>
      <c r="KC26" s="200" t="s">
        <v>178</v>
      </c>
      <c r="KD26" s="200" t="s">
        <v>179</v>
      </c>
      <c r="KE26" s="200" t="s">
        <v>180</v>
      </c>
      <c r="KF26" s="200" t="s">
        <v>181</v>
      </c>
      <c r="KG26" s="200" t="s">
        <v>182</v>
      </c>
      <c r="KH26" s="200" t="s">
        <v>178</v>
      </c>
      <c r="KI26" s="200" t="s">
        <v>179</v>
      </c>
      <c r="KJ26" s="200" t="s">
        <v>180</v>
      </c>
      <c r="KK26" s="200" t="s">
        <v>181</v>
      </c>
      <c r="KL26" s="200" t="s">
        <v>182</v>
      </c>
      <c r="KM26" s="200" t="s">
        <v>178</v>
      </c>
      <c r="KN26" s="200" t="s">
        <v>179</v>
      </c>
    </row>
    <row r="27" spans="1:300" x14ac:dyDescent="0.35">
      <c r="A27" s="216" t="str">
        <f t="shared" si="0"/>
        <v>mardi</v>
      </c>
      <c r="B27" s="217">
        <v>44579</v>
      </c>
      <c r="C27" s="202">
        <v>0</v>
      </c>
      <c r="D27" s="202">
        <v>108</v>
      </c>
      <c r="E27" s="202">
        <v>123</v>
      </c>
      <c r="F27" s="202">
        <v>159</v>
      </c>
      <c r="G27" s="202">
        <v>123</v>
      </c>
      <c r="H27" s="202">
        <v>120</v>
      </c>
      <c r="I27" s="202">
        <v>99</v>
      </c>
      <c r="J27" s="202">
        <v>98</v>
      </c>
      <c r="K27" s="202">
        <v>68</v>
      </c>
      <c r="L27" s="202">
        <v>37</v>
      </c>
      <c r="M27" s="202">
        <v>31</v>
      </c>
      <c r="N27" s="202">
        <v>57</v>
      </c>
      <c r="O27" s="202">
        <v>75</v>
      </c>
      <c r="P27" s="202">
        <v>77</v>
      </c>
      <c r="Q27" s="202">
        <v>78</v>
      </c>
      <c r="R27" s="202">
        <v>72</v>
      </c>
      <c r="S27" s="202">
        <v>70</v>
      </c>
      <c r="T27" s="202">
        <v>60</v>
      </c>
      <c r="U27" s="202">
        <v>48</v>
      </c>
      <c r="V27" s="202">
        <v>0</v>
      </c>
      <c r="W27" s="203">
        <f t="shared" si="1"/>
        <v>1503</v>
      </c>
      <c r="AA27" s="221" t="s">
        <v>333</v>
      </c>
      <c r="AB27" s="222">
        <v>44564</v>
      </c>
      <c r="AC27" s="222">
        <v>44565</v>
      </c>
      <c r="AD27" s="222">
        <v>44566</v>
      </c>
      <c r="AE27" s="222">
        <v>44567</v>
      </c>
      <c r="AF27" s="222">
        <v>44568</v>
      </c>
      <c r="AG27" s="222">
        <v>44571</v>
      </c>
      <c r="AH27" s="222">
        <v>44572</v>
      </c>
      <c r="AI27" s="222">
        <v>44573</v>
      </c>
      <c r="AJ27" s="222">
        <v>44574</v>
      </c>
      <c r="AK27" s="222">
        <v>44575</v>
      </c>
      <c r="AL27" s="222">
        <v>44578</v>
      </c>
      <c r="AM27" s="222">
        <v>44579</v>
      </c>
      <c r="AN27" s="222">
        <v>44580</v>
      </c>
      <c r="AO27" s="222">
        <v>44581</v>
      </c>
      <c r="AP27" s="222">
        <v>44582</v>
      </c>
      <c r="AQ27" s="222">
        <v>44585</v>
      </c>
      <c r="AR27" s="222">
        <v>44586</v>
      </c>
      <c r="AS27" s="222">
        <v>44587</v>
      </c>
      <c r="AT27" s="222">
        <v>44588</v>
      </c>
      <c r="AU27" s="222">
        <v>44589</v>
      </c>
      <c r="AV27" s="222">
        <v>44592</v>
      </c>
      <c r="AW27" s="222">
        <v>44593</v>
      </c>
      <c r="AX27" s="222">
        <v>44594</v>
      </c>
      <c r="AY27" s="222">
        <v>44595</v>
      </c>
      <c r="AZ27" s="222">
        <v>44596</v>
      </c>
      <c r="BA27" s="222">
        <v>44599</v>
      </c>
      <c r="BB27" s="222">
        <v>44600</v>
      </c>
      <c r="BC27" s="222">
        <v>44601</v>
      </c>
      <c r="BD27" s="222">
        <v>44602</v>
      </c>
      <c r="BE27" s="222">
        <v>44603</v>
      </c>
      <c r="BF27" s="222">
        <v>44606</v>
      </c>
      <c r="BG27" s="222">
        <v>44607</v>
      </c>
      <c r="BH27" s="222">
        <v>44608</v>
      </c>
      <c r="BI27" s="222">
        <v>44609</v>
      </c>
      <c r="BJ27" s="222">
        <v>44610</v>
      </c>
      <c r="BK27" s="222">
        <v>44613</v>
      </c>
      <c r="BL27" s="222">
        <v>44614</v>
      </c>
      <c r="BM27" s="222">
        <v>44615</v>
      </c>
      <c r="BN27" s="222">
        <v>44616</v>
      </c>
      <c r="BO27" s="222">
        <v>44617</v>
      </c>
      <c r="BP27" s="222">
        <v>44620</v>
      </c>
      <c r="BQ27" s="222">
        <v>44621</v>
      </c>
      <c r="BR27" s="222">
        <v>44622</v>
      </c>
      <c r="BS27" s="222">
        <v>44623</v>
      </c>
      <c r="BT27" s="222">
        <v>44624</v>
      </c>
      <c r="BU27" s="222">
        <v>44627</v>
      </c>
      <c r="BV27" s="222">
        <v>44628</v>
      </c>
      <c r="BW27" s="222">
        <v>44629</v>
      </c>
      <c r="BX27" s="222">
        <v>44630</v>
      </c>
      <c r="BY27" s="222">
        <v>44631</v>
      </c>
      <c r="BZ27" s="222">
        <v>44634</v>
      </c>
      <c r="CA27" s="222">
        <v>44635</v>
      </c>
      <c r="CB27" s="222">
        <v>44636</v>
      </c>
      <c r="CC27" s="222">
        <v>44637</v>
      </c>
      <c r="CD27" s="222">
        <v>44638</v>
      </c>
      <c r="CE27" s="222">
        <v>44641</v>
      </c>
      <c r="CF27" s="222">
        <v>44642</v>
      </c>
      <c r="CG27" s="222">
        <v>44643</v>
      </c>
      <c r="CH27" s="222">
        <v>44644</v>
      </c>
      <c r="CI27" s="222">
        <v>44645</v>
      </c>
      <c r="CJ27" s="222">
        <v>44648</v>
      </c>
      <c r="CK27" s="222">
        <v>44649</v>
      </c>
      <c r="CL27" s="222">
        <v>44650</v>
      </c>
      <c r="CM27" s="222">
        <v>44651</v>
      </c>
      <c r="CN27" s="222">
        <v>44652</v>
      </c>
      <c r="CO27" s="222">
        <v>44655</v>
      </c>
      <c r="CP27" s="222">
        <v>44656</v>
      </c>
      <c r="CQ27" s="222">
        <v>44657</v>
      </c>
      <c r="CR27" s="222">
        <v>44658</v>
      </c>
      <c r="CS27" s="222">
        <v>44659</v>
      </c>
      <c r="CT27" s="222">
        <v>44662</v>
      </c>
      <c r="CU27" s="222">
        <v>44663</v>
      </c>
      <c r="CV27" s="222">
        <v>44664</v>
      </c>
      <c r="CW27" s="222">
        <v>44665</v>
      </c>
      <c r="CX27" s="222">
        <v>44666</v>
      </c>
      <c r="CY27" s="222">
        <v>44670</v>
      </c>
      <c r="CZ27" s="222">
        <v>44671</v>
      </c>
      <c r="DA27" s="222">
        <v>44672</v>
      </c>
      <c r="DB27" s="222">
        <v>44673</v>
      </c>
      <c r="DC27" s="222">
        <v>44676</v>
      </c>
      <c r="DD27" s="222">
        <v>44677</v>
      </c>
      <c r="DE27" s="222">
        <v>44678</v>
      </c>
      <c r="DF27" s="222">
        <v>44679</v>
      </c>
      <c r="DG27" s="222">
        <v>44680</v>
      </c>
      <c r="DH27" s="222">
        <v>44683</v>
      </c>
      <c r="DI27" s="222">
        <v>44684</v>
      </c>
      <c r="DJ27" s="222">
        <v>44685</v>
      </c>
      <c r="DK27" s="222">
        <v>44686</v>
      </c>
      <c r="DL27" s="222">
        <v>44687</v>
      </c>
      <c r="DM27" s="222">
        <v>44690</v>
      </c>
      <c r="DN27" s="222">
        <v>44691</v>
      </c>
      <c r="DO27" s="222">
        <v>44692</v>
      </c>
      <c r="DP27" s="222">
        <v>44693</v>
      </c>
      <c r="DQ27" s="222">
        <v>44694</v>
      </c>
      <c r="DR27" s="222">
        <v>44697</v>
      </c>
      <c r="DS27" s="222">
        <v>44698</v>
      </c>
      <c r="DT27" s="222">
        <v>44699</v>
      </c>
      <c r="DU27" s="222">
        <v>44700</v>
      </c>
      <c r="DV27" s="222">
        <v>44701</v>
      </c>
      <c r="DW27" s="222">
        <v>44704</v>
      </c>
      <c r="DX27" s="222">
        <v>44705</v>
      </c>
      <c r="DY27" s="222">
        <v>44706</v>
      </c>
      <c r="DZ27" s="222">
        <v>44708</v>
      </c>
      <c r="EA27" s="222">
        <v>44711</v>
      </c>
      <c r="EB27" s="222">
        <v>44712</v>
      </c>
      <c r="EC27" s="222">
        <v>44713</v>
      </c>
      <c r="ED27" s="222">
        <v>44714</v>
      </c>
      <c r="EE27" s="222">
        <v>44715</v>
      </c>
      <c r="EF27" s="222">
        <v>44719</v>
      </c>
      <c r="EG27" s="222">
        <v>44720</v>
      </c>
      <c r="EH27" s="222">
        <v>44721</v>
      </c>
      <c r="EI27" s="222">
        <v>44722</v>
      </c>
      <c r="EJ27" s="222">
        <v>44725</v>
      </c>
      <c r="EK27" s="222">
        <v>44726</v>
      </c>
      <c r="EL27" s="222">
        <v>44727</v>
      </c>
      <c r="EM27" s="222">
        <v>44728</v>
      </c>
      <c r="EN27" s="222">
        <v>44729</v>
      </c>
      <c r="EO27" s="222">
        <v>44732</v>
      </c>
      <c r="EP27" s="222">
        <v>44733</v>
      </c>
      <c r="EQ27" s="222">
        <v>44734</v>
      </c>
      <c r="ER27" s="222">
        <v>44735</v>
      </c>
      <c r="ES27" s="222">
        <v>44736</v>
      </c>
      <c r="ET27" s="222">
        <v>44739</v>
      </c>
      <c r="EU27" s="222">
        <v>44740</v>
      </c>
      <c r="EV27" s="222">
        <v>44741</v>
      </c>
      <c r="EW27" s="222">
        <v>44742</v>
      </c>
      <c r="EX27" s="222">
        <v>44743</v>
      </c>
      <c r="EY27" s="222">
        <v>44746</v>
      </c>
      <c r="EZ27" s="222">
        <v>44747</v>
      </c>
      <c r="FA27" s="222">
        <v>44748</v>
      </c>
      <c r="FB27" s="222">
        <v>44749</v>
      </c>
      <c r="FC27" s="222">
        <v>44750</v>
      </c>
      <c r="FD27" s="222">
        <v>44753</v>
      </c>
      <c r="FE27" s="222">
        <v>44754</v>
      </c>
      <c r="FF27" s="222">
        <v>44755</v>
      </c>
      <c r="FG27" s="222">
        <v>44757</v>
      </c>
      <c r="FH27" s="222">
        <v>44760</v>
      </c>
      <c r="FI27" s="222">
        <v>44761</v>
      </c>
      <c r="FJ27" s="222">
        <v>44762</v>
      </c>
      <c r="FK27" s="222">
        <v>44763</v>
      </c>
      <c r="FL27" s="222">
        <v>44764</v>
      </c>
      <c r="FM27" s="222">
        <v>44767</v>
      </c>
      <c r="FN27" s="222">
        <v>44768</v>
      </c>
      <c r="FO27" s="222">
        <v>44769</v>
      </c>
      <c r="FP27" s="222">
        <v>44770</v>
      </c>
      <c r="FQ27" s="222">
        <v>44771</v>
      </c>
      <c r="FR27" s="205">
        <v>44774</v>
      </c>
      <c r="FS27" s="205">
        <v>44775</v>
      </c>
      <c r="FT27" s="205">
        <v>44776</v>
      </c>
      <c r="FU27" s="205">
        <v>44777</v>
      </c>
      <c r="FV27" s="205">
        <v>44778</v>
      </c>
      <c r="FW27" s="205">
        <v>44781</v>
      </c>
      <c r="FX27" s="205">
        <v>44782</v>
      </c>
      <c r="FY27" s="205">
        <v>44783</v>
      </c>
      <c r="FZ27" s="205">
        <v>44784</v>
      </c>
      <c r="GA27" s="205">
        <v>44785</v>
      </c>
      <c r="GB27" s="205">
        <v>44789</v>
      </c>
      <c r="GC27" s="205">
        <v>44790</v>
      </c>
      <c r="GD27" s="205">
        <v>44791</v>
      </c>
      <c r="GE27" s="205">
        <v>44792</v>
      </c>
      <c r="GF27" s="205">
        <v>44795</v>
      </c>
      <c r="GG27" s="205">
        <v>44796</v>
      </c>
      <c r="GH27" s="205">
        <v>44797</v>
      </c>
      <c r="GI27" s="205">
        <v>44798</v>
      </c>
      <c r="GJ27" s="205">
        <v>44799</v>
      </c>
      <c r="GK27" s="205">
        <v>44802</v>
      </c>
      <c r="GL27" s="205">
        <v>44803</v>
      </c>
      <c r="GM27" s="205">
        <v>44804</v>
      </c>
      <c r="GN27" s="205">
        <v>44805</v>
      </c>
      <c r="GO27" s="205">
        <v>44806</v>
      </c>
      <c r="GP27" s="205">
        <v>44809</v>
      </c>
      <c r="GQ27" s="205">
        <v>44810</v>
      </c>
      <c r="GR27" s="205">
        <v>44811</v>
      </c>
      <c r="GS27" s="205">
        <v>44812</v>
      </c>
      <c r="GT27" s="205">
        <v>44813</v>
      </c>
      <c r="GU27" s="205">
        <v>44816</v>
      </c>
      <c r="GV27" s="205">
        <v>44817</v>
      </c>
      <c r="GW27" s="205">
        <v>44818</v>
      </c>
      <c r="GX27" s="205">
        <v>44819</v>
      </c>
      <c r="GY27" s="205">
        <v>44820</v>
      </c>
      <c r="GZ27" s="205">
        <v>44823</v>
      </c>
      <c r="HA27" s="205">
        <v>44824</v>
      </c>
      <c r="HB27" s="205">
        <v>44825</v>
      </c>
      <c r="HC27" s="205">
        <v>44826</v>
      </c>
      <c r="HD27" s="205">
        <v>44827</v>
      </c>
      <c r="HE27" s="205">
        <v>44830</v>
      </c>
      <c r="HF27" s="205">
        <v>44831</v>
      </c>
      <c r="HG27" s="205">
        <v>44832</v>
      </c>
      <c r="HH27" s="205">
        <v>44833</v>
      </c>
      <c r="HI27" s="205">
        <v>44834</v>
      </c>
      <c r="HJ27" s="205">
        <v>44837</v>
      </c>
      <c r="HK27" s="205">
        <v>44838</v>
      </c>
      <c r="HL27" s="205">
        <v>44839</v>
      </c>
      <c r="HM27" s="205">
        <v>44840</v>
      </c>
      <c r="HN27" s="205">
        <v>44841</v>
      </c>
      <c r="HO27" s="205">
        <v>44844</v>
      </c>
      <c r="HP27" s="205">
        <v>44845</v>
      </c>
      <c r="HQ27" s="205">
        <v>44846</v>
      </c>
      <c r="HR27" s="205">
        <v>44847</v>
      </c>
      <c r="HS27" s="205">
        <v>44848</v>
      </c>
      <c r="HT27" s="205">
        <v>44851</v>
      </c>
      <c r="HU27" s="205">
        <v>44852</v>
      </c>
      <c r="HV27" s="205">
        <v>44853</v>
      </c>
      <c r="HW27" s="205">
        <v>44854</v>
      </c>
      <c r="HX27" s="205">
        <v>44855</v>
      </c>
      <c r="HY27" s="205">
        <v>44858</v>
      </c>
      <c r="HZ27" s="205">
        <v>44859</v>
      </c>
      <c r="IA27" s="205">
        <v>44860</v>
      </c>
      <c r="IB27" s="205">
        <v>44861</v>
      </c>
      <c r="IC27" s="205">
        <v>44862</v>
      </c>
      <c r="ID27" s="205">
        <v>44865</v>
      </c>
      <c r="IE27" s="205">
        <v>44867</v>
      </c>
      <c r="IF27" s="205">
        <v>44868</v>
      </c>
      <c r="IG27" s="205">
        <v>44869</v>
      </c>
      <c r="IH27" s="205">
        <v>44872</v>
      </c>
      <c r="II27" s="205">
        <v>44873</v>
      </c>
      <c r="IJ27" s="205">
        <v>44874</v>
      </c>
      <c r="IK27" s="205">
        <v>44875</v>
      </c>
      <c r="IL27" s="205">
        <v>44879</v>
      </c>
      <c r="IM27" s="205">
        <v>44880</v>
      </c>
      <c r="IN27" s="205">
        <v>44881</v>
      </c>
      <c r="IO27" s="205">
        <v>44882</v>
      </c>
      <c r="IP27" s="205">
        <v>44883</v>
      </c>
      <c r="IQ27" s="205">
        <v>44886</v>
      </c>
      <c r="IR27" s="205">
        <v>44887</v>
      </c>
      <c r="IS27" s="205">
        <v>44888</v>
      </c>
      <c r="IT27" s="205">
        <v>44889</v>
      </c>
      <c r="IU27" s="205">
        <v>44890</v>
      </c>
      <c r="IV27" s="205">
        <v>44893</v>
      </c>
      <c r="IW27" s="205">
        <v>44894</v>
      </c>
      <c r="IX27" s="205">
        <v>44895</v>
      </c>
      <c r="IY27" s="205">
        <v>44896</v>
      </c>
      <c r="IZ27" s="205">
        <v>44897</v>
      </c>
      <c r="JA27" s="205">
        <v>44900</v>
      </c>
      <c r="JB27" s="205">
        <v>44901</v>
      </c>
      <c r="JC27" s="205">
        <v>44902</v>
      </c>
      <c r="JD27" s="205">
        <v>44903</v>
      </c>
      <c r="JE27" s="205">
        <v>44904</v>
      </c>
      <c r="JF27" s="205">
        <v>44907</v>
      </c>
      <c r="JG27" s="205">
        <v>44908</v>
      </c>
      <c r="JH27" s="205">
        <v>44909</v>
      </c>
      <c r="JI27" s="205">
        <v>44910</v>
      </c>
      <c r="JJ27" s="205">
        <v>44911</v>
      </c>
      <c r="JK27" s="205">
        <v>44914</v>
      </c>
      <c r="JL27" s="205">
        <v>44915</v>
      </c>
      <c r="JM27" s="205">
        <v>44916</v>
      </c>
      <c r="JN27" s="205">
        <v>44917</v>
      </c>
      <c r="JO27" s="205">
        <v>44918</v>
      </c>
      <c r="JP27" s="205">
        <v>44922</v>
      </c>
      <c r="JQ27" s="205">
        <v>44923</v>
      </c>
      <c r="JR27" s="205">
        <v>44924</v>
      </c>
      <c r="JS27" s="205">
        <v>44925</v>
      </c>
      <c r="JT27" s="205">
        <v>44929</v>
      </c>
      <c r="JU27" s="205">
        <v>44930</v>
      </c>
      <c r="JV27" s="205">
        <v>44931</v>
      </c>
      <c r="JW27" s="205">
        <v>44932</v>
      </c>
      <c r="JX27" s="205">
        <v>44935</v>
      </c>
      <c r="JY27" s="205">
        <v>44936</v>
      </c>
      <c r="JZ27" s="205">
        <v>44937</v>
      </c>
      <c r="KA27" s="205">
        <v>44938</v>
      </c>
      <c r="KB27" s="205">
        <v>44939</v>
      </c>
      <c r="KC27" s="205">
        <v>44942</v>
      </c>
      <c r="KD27" s="205">
        <v>44943</v>
      </c>
      <c r="KE27" s="205">
        <v>44944</v>
      </c>
      <c r="KF27" s="205">
        <v>44945</v>
      </c>
      <c r="KG27" s="205">
        <v>44946</v>
      </c>
      <c r="KH27" s="205">
        <v>44949</v>
      </c>
      <c r="KI27" s="205">
        <v>44950</v>
      </c>
      <c r="KJ27" s="205">
        <v>44951</v>
      </c>
      <c r="KK27" s="205">
        <v>44952</v>
      </c>
      <c r="KL27" s="205">
        <v>44953</v>
      </c>
      <c r="KM27" s="205">
        <v>44956</v>
      </c>
      <c r="KN27" s="205">
        <v>44957</v>
      </c>
    </row>
    <row r="28" spans="1:300" x14ac:dyDescent="0.35">
      <c r="A28" s="216" t="str">
        <f t="shared" si="0"/>
        <v>mercredi</v>
      </c>
      <c r="B28" s="217">
        <v>44580</v>
      </c>
      <c r="C28" s="202">
        <v>0</v>
      </c>
      <c r="D28" s="202">
        <v>83</v>
      </c>
      <c r="E28" s="202">
        <v>126</v>
      </c>
      <c r="F28" s="202">
        <v>118</v>
      </c>
      <c r="G28" s="202">
        <v>116</v>
      </c>
      <c r="H28" s="202">
        <v>83</v>
      </c>
      <c r="I28" s="202">
        <v>89</v>
      </c>
      <c r="J28" s="202">
        <v>76</v>
      </c>
      <c r="K28" s="202">
        <v>74</v>
      </c>
      <c r="L28" s="202">
        <v>25</v>
      </c>
      <c r="M28" s="202">
        <v>23</v>
      </c>
      <c r="N28" s="202">
        <v>48</v>
      </c>
      <c r="O28" s="202">
        <v>70</v>
      </c>
      <c r="P28" s="202">
        <v>79</v>
      </c>
      <c r="Q28" s="202">
        <v>68</v>
      </c>
      <c r="R28" s="202">
        <v>68</v>
      </c>
      <c r="S28" s="202">
        <v>54</v>
      </c>
      <c r="T28" s="202">
        <v>52</v>
      </c>
      <c r="U28" s="202">
        <v>42</v>
      </c>
      <c r="V28" s="202">
        <v>0</v>
      </c>
      <c r="W28" s="203">
        <f t="shared" si="1"/>
        <v>1294</v>
      </c>
      <c r="AA28" s="196">
        <v>0.33333333333333298</v>
      </c>
      <c r="AB28" s="223">
        <v>14.420168067226891</v>
      </c>
      <c r="AC28" s="223">
        <v>8.6759581881533094</v>
      </c>
      <c r="AD28" s="223">
        <v>5.4816513761467887</v>
      </c>
      <c r="AE28" s="223">
        <v>6.7684729064039413</v>
      </c>
      <c r="AF28" s="223">
        <v>6.3842364532019706</v>
      </c>
      <c r="AG28" s="223">
        <v>7.213740458015268</v>
      </c>
      <c r="AH28" s="223">
        <v>5.4782608695652169</v>
      </c>
      <c r="AI28" s="223">
        <v>4.7487684729064039</v>
      </c>
      <c r="AJ28" s="223">
        <v>5.8883248730964466</v>
      </c>
      <c r="AK28" s="223">
        <v>5.644329896907216</v>
      </c>
      <c r="AL28" s="223">
        <v>6.525896414342629</v>
      </c>
      <c r="AM28" s="223">
        <v>5.6167400881057272</v>
      </c>
      <c r="AN28" s="223">
        <v>4.8756218905472632</v>
      </c>
      <c r="AO28" s="223">
        <v>4.8659793814432986</v>
      </c>
      <c r="AP28" s="223">
        <v>5.8072916666666661</v>
      </c>
      <c r="AQ28" s="223">
        <v>7.0042918454935625</v>
      </c>
      <c r="AR28" s="223">
        <v>6.8722466960352424</v>
      </c>
      <c r="AS28" s="223">
        <v>5.1546391752577323</v>
      </c>
      <c r="AT28" s="223">
        <v>5.1336898395721926</v>
      </c>
      <c r="AU28" s="223">
        <v>5.9424083769633507</v>
      </c>
      <c r="AV28" s="223">
        <v>7.0512820512820511</v>
      </c>
      <c r="AW28" s="223">
        <v>6</v>
      </c>
      <c r="AX28" s="223">
        <v>5</v>
      </c>
      <c r="AY28" s="223">
        <v>5</v>
      </c>
      <c r="AZ28" s="223">
        <v>6</v>
      </c>
      <c r="BA28" s="223">
        <v>7</v>
      </c>
      <c r="BB28" s="223">
        <v>6</v>
      </c>
      <c r="BC28" s="223">
        <v>5</v>
      </c>
      <c r="BD28" s="223">
        <v>4</v>
      </c>
      <c r="BE28" s="223">
        <v>5</v>
      </c>
      <c r="BF28" s="223">
        <v>5</v>
      </c>
      <c r="BG28" s="223">
        <v>4</v>
      </c>
      <c r="BH28" s="223">
        <v>4</v>
      </c>
      <c r="BI28" s="223">
        <v>4</v>
      </c>
      <c r="BJ28" s="223">
        <v>4</v>
      </c>
      <c r="BK28" s="223">
        <v>5</v>
      </c>
      <c r="BL28" s="223">
        <v>4</v>
      </c>
      <c r="BM28" s="223">
        <v>4</v>
      </c>
      <c r="BN28" s="223">
        <v>3</v>
      </c>
      <c r="BO28" s="223">
        <v>4</v>
      </c>
      <c r="BP28" s="223">
        <v>8</v>
      </c>
      <c r="BQ28" s="209">
        <v>6</v>
      </c>
      <c r="BR28" s="209">
        <v>2</v>
      </c>
      <c r="BS28" s="209">
        <v>2</v>
      </c>
      <c r="BT28" s="209">
        <v>5</v>
      </c>
      <c r="BU28" s="209">
        <v>4</v>
      </c>
      <c r="BV28" s="209">
        <v>2</v>
      </c>
      <c r="BW28" s="209">
        <v>0</v>
      </c>
      <c r="BX28" s="209">
        <v>2</v>
      </c>
      <c r="BY28" s="209">
        <v>0</v>
      </c>
      <c r="BZ28" s="209">
        <v>4</v>
      </c>
      <c r="CA28" s="209">
        <v>2</v>
      </c>
      <c r="CB28" s="209">
        <v>0</v>
      </c>
      <c r="CC28" s="209">
        <v>2</v>
      </c>
      <c r="CD28" s="209">
        <v>6</v>
      </c>
      <c r="CE28" s="209">
        <v>0</v>
      </c>
      <c r="CF28" s="209">
        <v>0</v>
      </c>
      <c r="CG28" s="209">
        <v>0</v>
      </c>
      <c r="CH28" s="209">
        <v>0</v>
      </c>
      <c r="CI28" s="209">
        <v>0</v>
      </c>
      <c r="CJ28" s="209">
        <v>0</v>
      </c>
      <c r="CK28" s="209">
        <v>2</v>
      </c>
      <c r="CL28" s="209">
        <v>0</v>
      </c>
      <c r="CM28" s="209">
        <v>2</v>
      </c>
      <c r="CN28" s="209">
        <v>8.1377973340537668</v>
      </c>
      <c r="CO28" s="209">
        <v>8.679439037396758</v>
      </c>
      <c r="CP28" s="209">
        <v>7.7986287635823306</v>
      </c>
      <c r="CQ28" s="209">
        <v>9.2536665292901397</v>
      </c>
      <c r="CR28" s="209">
        <v>9.2623814576476473</v>
      </c>
      <c r="CS28" s="209">
        <v>8.3080396657788267</v>
      </c>
      <c r="CT28" s="209">
        <v>9.6524656773380109</v>
      </c>
      <c r="CU28" s="209">
        <v>9.1606242451995534</v>
      </c>
      <c r="CV28" s="209">
        <v>8.4593931245112941</v>
      </c>
      <c r="CW28" s="209">
        <v>8.5477960769710783</v>
      </c>
      <c r="CX28" s="209">
        <v>8.1674397224388162</v>
      </c>
      <c r="CY28" s="209">
        <v>8.3210076004336919</v>
      </c>
      <c r="CZ28" s="209">
        <v>7.928584506001445</v>
      </c>
      <c r="DA28" s="209">
        <v>7.5561794570260483</v>
      </c>
      <c r="DB28" s="209">
        <v>6.9173201190547946</v>
      </c>
      <c r="DC28" s="209">
        <v>8.3749339154000868</v>
      </c>
      <c r="DD28" s="209">
        <v>8.65454566542628</v>
      </c>
      <c r="DE28" s="209">
        <v>6</v>
      </c>
      <c r="DF28" s="209">
        <v>8.3039600974543415</v>
      </c>
      <c r="DG28" s="209">
        <v>7.7010328012260141</v>
      </c>
      <c r="DH28" s="209">
        <v>12</v>
      </c>
      <c r="DI28" s="209">
        <v>9.529705152547848</v>
      </c>
      <c r="DJ28" s="209">
        <v>8.7502303266863635</v>
      </c>
      <c r="DK28" s="209">
        <v>8.8472961285772644</v>
      </c>
      <c r="DL28" s="209">
        <v>7.6505928835221697</v>
      </c>
      <c r="DM28" s="209">
        <v>10.03682684602823</v>
      </c>
      <c r="DN28" s="209">
        <v>9.1990098927293875</v>
      </c>
      <c r="DO28" s="209">
        <v>8.3087434577594514</v>
      </c>
      <c r="DP28" s="209">
        <v>6.7511749273456454</v>
      </c>
      <c r="DQ28" s="209">
        <v>4.9971754275417144</v>
      </c>
      <c r="DR28" s="209">
        <v>10.841199092160529</v>
      </c>
      <c r="DS28" s="209">
        <v>9.5335537552067482</v>
      </c>
      <c r="DT28" s="209">
        <v>9.1719802961181252</v>
      </c>
      <c r="DU28" s="209">
        <v>8.2931320947984588</v>
      </c>
      <c r="DV28" s="209">
        <v>7.3878866549360636</v>
      </c>
      <c r="DW28" s="209">
        <v>9.3705045508185574</v>
      </c>
      <c r="DX28" s="209">
        <v>6.0997166687625972</v>
      </c>
      <c r="DY28" s="209">
        <v>9.5146738066518477</v>
      </c>
      <c r="DZ28" s="210">
        <v>9.4646803572939699</v>
      </c>
      <c r="EA28" s="210">
        <v>12.067754840708711</v>
      </c>
      <c r="EB28" s="210">
        <v>10.943607380031786</v>
      </c>
      <c r="EC28" s="211">
        <v>8.9284435792477588</v>
      </c>
      <c r="ED28" s="211">
        <v>9.2580057194105265</v>
      </c>
      <c r="EE28" s="211">
        <v>9.0341454302399153</v>
      </c>
      <c r="EF28" s="211">
        <v>11.3538849766518</v>
      </c>
      <c r="EG28" s="211">
        <v>9.961916776946584</v>
      </c>
      <c r="EH28" s="211">
        <v>9.7468365401784904</v>
      </c>
      <c r="EI28" s="211">
        <v>8.9532901059554746</v>
      </c>
      <c r="EJ28" s="211">
        <v>11.617670094648835</v>
      </c>
      <c r="EK28" s="211">
        <v>10.737568333336183</v>
      </c>
      <c r="EL28" s="211">
        <v>9.7315048865862561</v>
      </c>
      <c r="EM28" s="211">
        <v>9.5016993798736671</v>
      </c>
      <c r="EN28" s="211">
        <v>8.3145973454996849</v>
      </c>
      <c r="EO28" s="211">
        <v>10.00126350353576</v>
      </c>
      <c r="EP28" s="211">
        <v>9.0529396197609753</v>
      </c>
      <c r="EQ28" s="211">
        <v>8.0228117288021892</v>
      </c>
      <c r="ER28" s="211">
        <v>7.7904164010600576</v>
      </c>
      <c r="ES28" s="211">
        <v>7.3384297474593074</v>
      </c>
      <c r="ET28" s="211">
        <v>10.153214069317672</v>
      </c>
      <c r="EU28" s="211">
        <v>9.4488626747381979</v>
      </c>
      <c r="EV28" s="211">
        <v>8.566000601298553</v>
      </c>
      <c r="EW28" s="211">
        <v>9.8638798096174263</v>
      </c>
      <c r="EX28" s="212">
        <v>8.2422978991771352</v>
      </c>
      <c r="EY28" s="212">
        <v>10.961685221884718</v>
      </c>
      <c r="EZ28" s="212">
        <v>10.079703698750146</v>
      </c>
      <c r="FA28" s="212">
        <v>9.0731777910019673</v>
      </c>
      <c r="FB28" s="212">
        <v>8.9850473003907627</v>
      </c>
      <c r="FC28" s="212">
        <v>8.7312466312648169</v>
      </c>
      <c r="FD28" s="212">
        <v>9.6012435590800553</v>
      </c>
      <c r="FE28" s="212">
        <v>8.7718573039904069</v>
      </c>
      <c r="FF28" s="212">
        <v>7.9067096420838867</v>
      </c>
      <c r="FG28" s="212">
        <v>7.7722880255718536</v>
      </c>
      <c r="FH28" s="212">
        <v>10.880764737205409</v>
      </c>
      <c r="FI28" s="212">
        <v>9.4669193850491489</v>
      </c>
      <c r="FJ28" s="212">
        <v>8.2778131527722163</v>
      </c>
      <c r="FK28" s="212">
        <v>7.5384957021841519</v>
      </c>
      <c r="FL28" s="212">
        <v>7.7332595844576062</v>
      </c>
      <c r="FM28" s="212">
        <v>10.015344211501185</v>
      </c>
      <c r="FN28" s="212">
        <v>8.9746095894592983</v>
      </c>
      <c r="FO28" s="212">
        <v>7.5723079475659567</v>
      </c>
      <c r="FP28" s="212">
        <v>7.7270618461871958</v>
      </c>
      <c r="FQ28" s="212">
        <v>7.3940423589770354</v>
      </c>
      <c r="FR28" s="213">
        <v>11.967301725055727</v>
      </c>
      <c r="FS28" s="213">
        <v>11.389727743920099</v>
      </c>
      <c r="FT28" s="213">
        <v>10.450240607799028</v>
      </c>
      <c r="FU28" s="213">
        <v>9.97041941534013</v>
      </c>
      <c r="FV28" s="213">
        <v>9.016640790689749</v>
      </c>
      <c r="FW28" s="213">
        <v>11.803736828397271</v>
      </c>
      <c r="FX28" s="213">
        <v>10.936343325338783</v>
      </c>
      <c r="FY28" s="213">
        <v>9.9677965194394673</v>
      </c>
      <c r="FZ28" s="213">
        <v>9.1574010387649274</v>
      </c>
      <c r="GA28" s="213">
        <v>8.2956488599890381</v>
      </c>
      <c r="GB28" s="213">
        <v>12.6162805525114</v>
      </c>
      <c r="GC28" s="213">
        <v>11.128133643326805</v>
      </c>
      <c r="GD28" s="213">
        <v>10.852344925301749</v>
      </c>
      <c r="GE28" s="213">
        <v>9.7323805058760744</v>
      </c>
      <c r="GF28" s="213">
        <v>13.200000000000001</v>
      </c>
      <c r="GG28" s="213">
        <v>14.399999999999999</v>
      </c>
      <c r="GH28" s="213">
        <v>12</v>
      </c>
      <c r="GI28" s="213">
        <v>12</v>
      </c>
      <c r="GJ28" s="213">
        <v>11.25</v>
      </c>
      <c r="GK28" s="213">
        <v>14.3</v>
      </c>
      <c r="GL28" s="213">
        <v>13.200000000000001</v>
      </c>
      <c r="GM28" s="213">
        <v>13.2</v>
      </c>
      <c r="GN28" s="213">
        <v>13.357551208152739</v>
      </c>
      <c r="GO28" s="213">
        <v>15.373919182859694</v>
      </c>
      <c r="GP28" s="213">
        <v>18.520751689838804</v>
      </c>
      <c r="GQ28" s="213">
        <v>15.167351508897834</v>
      </c>
      <c r="GR28" s="213">
        <v>15.765284112650825</v>
      </c>
      <c r="GS28" s="213">
        <v>12.686872401296814</v>
      </c>
      <c r="GT28" s="213">
        <v>15.004419514171383</v>
      </c>
      <c r="GU28" s="213">
        <v>18.30110949833227</v>
      </c>
      <c r="GV28" s="213">
        <v>14.478091283101778</v>
      </c>
      <c r="GW28" s="213">
        <v>15.711783781796088</v>
      </c>
      <c r="GX28" s="213">
        <v>11.918573942432094</v>
      </c>
      <c r="GY28" s="213">
        <v>14.850264519162774</v>
      </c>
      <c r="GZ28" s="213">
        <v>17.756808007685617</v>
      </c>
      <c r="HA28" s="213">
        <v>13.94124824320849</v>
      </c>
      <c r="HB28" s="213">
        <v>14.381946283023375</v>
      </c>
      <c r="HC28" s="213">
        <v>11.786912145556023</v>
      </c>
      <c r="HD28" s="213">
        <v>13.740142233683274</v>
      </c>
      <c r="HE28" s="213">
        <v>16.986979102654054</v>
      </c>
      <c r="HF28" s="213">
        <v>14.259126867646467</v>
      </c>
      <c r="HG28" s="213">
        <v>16.450582392225371</v>
      </c>
      <c r="HH28" s="213">
        <v>16.510036515938399</v>
      </c>
      <c r="HI28" s="213">
        <v>18.652754396041832</v>
      </c>
      <c r="HJ28" s="214">
        <v>15.125308</v>
      </c>
      <c r="HK28" s="214">
        <v>13.107618700000002</v>
      </c>
      <c r="HL28" s="214">
        <v>11.8706368</v>
      </c>
      <c r="HM28" s="214">
        <v>12.075093600000001</v>
      </c>
      <c r="HN28" s="214">
        <v>10.863686400000001</v>
      </c>
      <c r="HO28" s="214">
        <v>11.791672200000001</v>
      </c>
      <c r="HP28" s="214">
        <v>11.498628</v>
      </c>
      <c r="HQ28" s="214">
        <v>10.7158164</v>
      </c>
      <c r="HR28" s="214">
        <v>10.235200799999999</v>
      </c>
      <c r="HS28" s="214">
        <v>9.7132387499999986</v>
      </c>
      <c r="HT28" s="214">
        <v>11.1298902</v>
      </c>
      <c r="HU28" s="214">
        <v>10.5645156</v>
      </c>
      <c r="HV28" s="214">
        <v>9.548093999999999</v>
      </c>
      <c r="HW28" s="214">
        <v>9.6346895999999997</v>
      </c>
      <c r="HX28" s="214">
        <v>9.1999300000000002</v>
      </c>
      <c r="HY28" s="214">
        <v>10.922712900000001</v>
      </c>
      <c r="HZ28" s="214">
        <v>9.6390647999999981</v>
      </c>
      <c r="IA28" s="214">
        <v>8.0807925000000012</v>
      </c>
      <c r="IB28" s="214">
        <v>7.7823125000000006</v>
      </c>
      <c r="IC28" s="214">
        <v>6.40928875</v>
      </c>
      <c r="ID28" s="214">
        <v>7.2625887499999999</v>
      </c>
      <c r="IE28" s="214">
        <v>8.3661864000000001</v>
      </c>
      <c r="IF28" s="214">
        <v>8.6083312499999991</v>
      </c>
      <c r="IG28" s="214">
        <v>7.1501712500000005</v>
      </c>
      <c r="IH28" s="214">
        <v>10.73373</v>
      </c>
      <c r="II28" s="214">
        <v>8.162167199999999</v>
      </c>
      <c r="IJ28" s="214">
        <v>6.823606250000001</v>
      </c>
      <c r="IK28" s="214">
        <v>6.9096849999999996</v>
      </c>
      <c r="IL28" s="214">
        <v>11.988951700000001</v>
      </c>
      <c r="IM28" s="214">
        <v>11.184239999999999</v>
      </c>
      <c r="IN28" s="214">
        <v>9.4112363999999999</v>
      </c>
      <c r="IO28" s="214">
        <v>9.3839437500000003</v>
      </c>
      <c r="IP28" s="214">
        <v>8.5080062499999993</v>
      </c>
      <c r="IQ28" s="214">
        <v>10.9219682</v>
      </c>
      <c r="IR28" s="214">
        <v>9.8265372000000006</v>
      </c>
      <c r="IS28" s="214">
        <v>8.6838395999999989</v>
      </c>
      <c r="IT28" s="214">
        <v>8.8335275000000006</v>
      </c>
      <c r="IU28" s="214">
        <v>7.2010437500000002</v>
      </c>
      <c r="IV28" s="214">
        <v>8.5191767999999986</v>
      </c>
      <c r="IW28" s="214">
        <v>6.5712812499999993</v>
      </c>
      <c r="IX28" s="214">
        <v>5.2425862499999996</v>
      </c>
      <c r="IY28" s="214">
        <v>7.9232374999999999</v>
      </c>
      <c r="IZ28" s="214">
        <v>9.2945174999999995</v>
      </c>
      <c r="JA28" s="214">
        <v>7.2656887499999998</v>
      </c>
      <c r="JB28" s="214">
        <v>7.6700212499999996</v>
      </c>
      <c r="JC28" s="214">
        <v>7.0732249999999999</v>
      </c>
      <c r="JD28" s="214">
        <v>6.9234912499999997</v>
      </c>
      <c r="JE28" s="214">
        <v>8.8850925000000007</v>
      </c>
      <c r="JF28" s="214">
        <v>7.1410437499999997</v>
      </c>
      <c r="JG28" s="214">
        <v>7.3971887499999998</v>
      </c>
      <c r="JH28" s="214">
        <v>7.2433612499999995</v>
      </c>
      <c r="JI28" s="214">
        <v>8.4096762500000004</v>
      </c>
      <c r="JJ28" s="214">
        <v>8.8986437499999997</v>
      </c>
      <c r="JK28" s="214">
        <v>6.9317837500000001</v>
      </c>
      <c r="JL28" s="214">
        <v>6.9380462499999993</v>
      </c>
      <c r="JM28" s="214">
        <v>6.7041325000000001</v>
      </c>
      <c r="JN28" s="214">
        <v>7.7875449999999997</v>
      </c>
      <c r="JO28" s="214">
        <v>4.0198981076388893</v>
      </c>
      <c r="JP28" s="214">
        <v>5.9809893631944462</v>
      </c>
      <c r="JQ28" s="214">
        <v>3.8763647402777801</v>
      </c>
      <c r="JR28" s="214">
        <v>4.6765429458333321</v>
      </c>
      <c r="JS28" s="214">
        <v>3.8939137409722213</v>
      </c>
      <c r="JT28" s="214">
        <v>7.8384229999999997</v>
      </c>
      <c r="JU28" s="214">
        <v>7.8002260000000003</v>
      </c>
      <c r="JV28" s="214">
        <v>9.0655940000000008</v>
      </c>
      <c r="JW28" s="214">
        <v>6.0049060000000001</v>
      </c>
      <c r="JX28" s="214">
        <v>9.1162179999999999</v>
      </c>
      <c r="JY28" s="214">
        <v>7.3279120000000004</v>
      </c>
      <c r="JZ28" s="214">
        <v>7.3457239999999997</v>
      </c>
      <c r="KA28" s="214">
        <v>8.7110699999999994</v>
      </c>
      <c r="KB28" s="214">
        <v>5.7358010000000004</v>
      </c>
      <c r="KC28" s="214">
        <v>8.6425160000000005</v>
      </c>
      <c r="KD28" s="214">
        <v>7.1644069999999997</v>
      </c>
      <c r="KE28" s="214">
        <v>6.7416919999999996</v>
      </c>
      <c r="KF28" s="214">
        <v>7.998685</v>
      </c>
      <c r="KG28" s="214">
        <v>5.5514979999999996</v>
      </c>
      <c r="KH28" s="214">
        <v>8.2338430000000002</v>
      </c>
      <c r="KI28" s="214">
        <v>6.6019439999999996</v>
      </c>
      <c r="KJ28" s="214">
        <v>6.265422</v>
      </c>
      <c r="KK28" s="214">
        <v>7.3197229999999998</v>
      </c>
      <c r="KL28" s="214">
        <v>5.323531</v>
      </c>
      <c r="KM28" s="214">
        <v>7.587726</v>
      </c>
      <c r="KN28" s="214">
        <v>6.1500630000000003</v>
      </c>
    </row>
    <row r="29" spans="1:300" x14ac:dyDescent="0.35">
      <c r="A29" s="216" t="str">
        <f t="shared" si="0"/>
        <v>jeudi</v>
      </c>
      <c r="B29" s="217">
        <v>44581</v>
      </c>
      <c r="C29" s="202">
        <v>0</v>
      </c>
      <c r="D29" s="202">
        <v>76</v>
      </c>
      <c r="E29" s="202">
        <v>101</v>
      </c>
      <c r="F29" s="202">
        <v>126</v>
      </c>
      <c r="G29" s="202">
        <v>112</v>
      </c>
      <c r="H29" s="202">
        <v>92</v>
      </c>
      <c r="I29" s="202">
        <v>98</v>
      </c>
      <c r="J29" s="202">
        <v>86</v>
      </c>
      <c r="K29" s="202">
        <v>59</v>
      </c>
      <c r="L29" s="202">
        <v>23</v>
      </c>
      <c r="M29" s="202">
        <v>24</v>
      </c>
      <c r="N29" s="202">
        <v>47</v>
      </c>
      <c r="O29" s="202">
        <v>77</v>
      </c>
      <c r="P29" s="202">
        <v>84</v>
      </c>
      <c r="Q29" s="202">
        <v>74</v>
      </c>
      <c r="R29" s="202">
        <v>74</v>
      </c>
      <c r="S29" s="202">
        <v>45</v>
      </c>
      <c r="T29" s="202">
        <v>50</v>
      </c>
      <c r="U29" s="202">
        <v>45</v>
      </c>
      <c r="V29" s="202">
        <v>0</v>
      </c>
      <c r="W29" s="203">
        <f t="shared" si="1"/>
        <v>1293</v>
      </c>
      <c r="AA29" s="196">
        <v>0.35416666666666702</v>
      </c>
      <c r="AB29" s="223">
        <v>15.731092436974791</v>
      </c>
      <c r="AC29" s="223">
        <v>8.6759581881533094</v>
      </c>
      <c r="AD29" s="223">
        <v>5.4816513761467887</v>
      </c>
      <c r="AE29" s="223">
        <v>6.7684729064039413</v>
      </c>
      <c r="AF29" s="223">
        <v>6.3842364532019706</v>
      </c>
      <c r="AG29" s="223">
        <v>7.213740458015268</v>
      </c>
      <c r="AH29" s="223">
        <v>5.4782608695652169</v>
      </c>
      <c r="AI29" s="223">
        <v>5.9359605911330053</v>
      </c>
      <c r="AJ29" s="223">
        <v>5.8883248730964466</v>
      </c>
      <c r="AK29" s="223">
        <v>5.644329896907216</v>
      </c>
      <c r="AL29" s="223">
        <v>6.525896414342629</v>
      </c>
      <c r="AM29" s="223">
        <v>5.6167400881057272</v>
      </c>
      <c r="AN29" s="223">
        <v>4.8756218905472632</v>
      </c>
      <c r="AO29" s="223">
        <v>4.8659793814432986</v>
      </c>
      <c r="AP29" s="223">
        <v>5.8072916666666661</v>
      </c>
      <c r="AQ29" s="223">
        <v>7.0042918454935625</v>
      </c>
      <c r="AR29" s="223">
        <v>6.8722466960352424</v>
      </c>
      <c r="AS29" s="223">
        <v>5.1546391752577323</v>
      </c>
      <c r="AT29" s="223">
        <v>5.1336898395721926</v>
      </c>
      <c r="AU29" s="223">
        <v>5.9424083769633507</v>
      </c>
      <c r="AV29" s="223">
        <v>7.0512820512820511</v>
      </c>
      <c r="AW29" s="223">
        <v>6</v>
      </c>
      <c r="AX29" s="223">
        <v>5</v>
      </c>
      <c r="AY29" s="223">
        <v>5</v>
      </c>
      <c r="AZ29" s="223">
        <v>6</v>
      </c>
      <c r="BA29" s="223">
        <v>7</v>
      </c>
      <c r="BB29" s="223">
        <v>6</v>
      </c>
      <c r="BC29" s="223">
        <v>5</v>
      </c>
      <c r="BD29" s="223">
        <v>4</v>
      </c>
      <c r="BE29" s="223">
        <v>5</v>
      </c>
      <c r="BF29" s="223">
        <v>5</v>
      </c>
      <c r="BG29" s="223">
        <v>4</v>
      </c>
      <c r="BH29" s="223">
        <v>4</v>
      </c>
      <c r="BI29" s="223">
        <v>5</v>
      </c>
      <c r="BJ29" s="223">
        <v>4</v>
      </c>
      <c r="BK29" s="223">
        <v>5</v>
      </c>
      <c r="BL29" s="223">
        <v>4</v>
      </c>
      <c r="BM29" s="223">
        <v>5</v>
      </c>
      <c r="BN29" s="223">
        <v>4</v>
      </c>
      <c r="BO29" s="223">
        <v>4</v>
      </c>
      <c r="BP29" s="223">
        <v>8</v>
      </c>
      <c r="BQ29" s="209">
        <v>6</v>
      </c>
      <c r="BR29" s="209">
        <v>2</v>
      </c>
      <c r="BS29" s="209">
        <v>2</v>
      </c>
      <c r="BT29" s="209">
        <v>5</v>
      </c>
      <c r="BU29" s="209">
        <v>4</v>
      </c>
      <c r="BV29" s="209">
        <v>2</v>
      </c>
      <c r="BW29" s="209">
        <v>0</v>
      </c>
      <c r="BX29" s="209">
        <v>2</v>
      </c>
      <c r="BY29" s="209">
        <v>3</v>
      </c>
      <c r="BZ29" s="209">
        <v>4</v>
      </c>
      <c r="CA29" s="209">
        <v>2</v>
      </c>
      <c r="CB29" s="209">
        <v>0</v>
      </c>
      <c r="CC29" s="209">
        <v>2</v>
      </c>
      <c r="CD29" s="209">
        <v>6</v>
      </c>
      <c r="CE29" s="209">
        <v>0</v>
      </c>
      <c r="CF29" s="209">
        <v>0</v>
      </c>
      <c r="CG29" s="209">
        <v>0</v>
      </c>
      <c r="CH29" s="209">
        <v>0</v>
      </c>
      <c r="CI29" s="209">
        <v>0</v>
      </c>
      <c r="CJ29" s="209">
        <v>0</v>
      </c>
      <c r="CK29" s="209">
        <v>2</v>
      </c>
      <c r="CL29" s="209">
        <v>0</v>
      </c>
      <c r="CM29" s="209">
        <v>2</v>
      </c>
      <c r="CN29" s="209">
        <v>11.69863515351064</v>
      </c>
      <c r="CO29" s="209">
        <v>12.742593590376471</v>
      </c>
      <c r="CP29" s="209">
        <v>11.899582630904989</v>
      </c>
      <c r="CQ29" s="209">
        <v>13.358623696369071</v>
      </c>
      <c r="CR29" s="209">
        <v>13.014316724073581</v>
      </c>
      <c r="CS29" s="209">
        <v>11.8688774852357</v>
      </c>
      <c r="CT29" s="209">
        <v>13.71562099325717</v>
      </c>
      <c r="CU29" s="209">
        <v>13.261578112522219</v>
      </c>
      <c r="CV29" s="209">
        <v>12.56435029159022</v>
      </c>
      <c r="CW29" s="209">
        <v>12.299731343396999</v>
      </c>
      <c r="CX29" s="209">
        <v>11.741812895431041</v>
      </c>
      <c r="CY29" s="209">
        <v>12.425989245534129</v>
      </c>
      <c r="CZ29" s="209">
        <v>12.037569450858159</v>
      </c>
      <c r="DA29" s="209">
        <v>11.308114723451981</v>
      </c>
      <c r="DB29" s="209">
        <v>10.491692815209859</v>
      </c>
      <c r="DC29" s="209">
        <v>12.442116818362161</v>
      </c>
      <c r="DD29" s="209">
        <v>12.759527310526719</v>
      </c>
      <c r="DE29" s="209">
        <v>14</v>
      </c>
      <c r="DF29" s="209">
        <v>12.055895363880269</v>
      </c>
      <c r="DG29" s="209">
        <v>11.27540597421824</v>
      </c>
      <c r="DH29" s="209">
        <v>16</v>
      </c>
      <c r="DI29" s="209">
        <v>13.630659210605369</v>
      </c>
      <c r="DJ29" s="209">
        <v>12.855187493765291</v>
      </c>
      <c r="DK29" s="209">
        <v>12.599231395003191</v>
      </c>
      <c r="DL29" s="209">
        <v>11.2249660565144</v>
      </c>
      <c r="DM29" s="209">
        <v>14.10669493417549</v>
      </c>
      <c r="DN29" s="209">
        <v>13.306676723015009</v>
      </c>
      <c r="DO29" s="209">
        <v>12.42041358780134</v>
      </c>
      <c r="DP29" s="209">
        <v>10.503110193771571</v>
      </c>
      <c r="DQ29" s="209">
        <v>8.5715486005339407</v>
      </c>
      <c r="DR29" s="209">
        <v>14.911067180307789</v>
      </c>
      <c r="DS29" s="209">
        <v>13.63644071127854</v>
      </c>
      <c r="DT29" s="209">
        <v>13.278870551946181</v>
      </c>
      <c r="DU29" s="209">
        <v>12.04028748701055</v>
      </c>
      <c r="DV29" s="209">
        <v>10.95748014444932</v>
      </c>
      <c r="DW29" s="209">
        <v>13.44774701270722</v>
      </c>
      <c r="DX29" s="209">
        <v>10.20997780784092</v>
      </c>
      <c r="DY29" s="209">
        <v>13.721799445577661</v>
      </c>
      <c r="DZ29" s="210">
        <v>13.863641442212016</v>
      </c>
      <c r="EA29" s="210">
        <v>16.654868659078222</v>
      </c>
      <c r="EB29" s="210">
        <v>15.567041953118283</v>
      </c>
      <c r="EC29" s="211">
        <v>11.598902679039959</v>
      </c>
      <c r="ED29" s="211">
        <v>11.924703276463893</v>
      </c>
      <c r="EE29" s="211">
        <v>11.685725120717258</v>
      </c>
      <c r="EF29" s="211">
        <v>14.807534771879745</v>
      </c>
      <c r="EG29" s="211">
        <v>13.367830934356412</v>
      </c>
      <c r="EH29" s="211">
        <v>13.020241128005139</v>
      </c>
      <c r="EI29" s="211">
        <v>12.060980646652883</v>
      </c>
      <c r="EJ29" s="211">
        <v>15.035565875421717</v>
      </c>
      <c r="EK29" s="211">
        <v>14.140450148318232</v>
      </c>
      <c r="EL29" s="211">
        <v>12.823865359987117</v>
      </c>
      <c r="EM29" s="211">
        <v>12.570999909134573</v>
      </c>
      <c r="EN29" s="211">
        <v>11.179217720744791</v>
      </c>
      <c r="EO29" s="211">
        <v>12.821924252725841</v>
      </c>
      <c r="EP29" s="211">
        <v>12.340256939943337</v>
      </c>
      <c r="EQ29" s="211">
        <v>11.017323924548084</v>
      </c>
      <c r="ER29" s="211">
        <v>10.739696947366532</v>
      </c>
      <c r="ES29" s="211">
        <v>10.312964547417616</v>
      </c>
      <c r="ET29" s="211">
        <v>13.315516054473445</v>
      </c>
      <c r="EU29" s="211">
        <v>12.6356794573445</v>
      </c>
      <c r="EV29" s="211">
        <v>11.316601936612669</v>
      </c>
      <c r="EW29" s="211">
        <v>12.109454898316477</v>
      </c>
      <c r="EX29" s="212">
        <v>10.974543890165316</v>
      </c>
      <c r="EY29" s="212">
        <v>14.469191047780043</v>
      </c>
      <c r="EZ29" s="212">
        <v>13.698323657107515</v>
      </c>
      <c r="FA29" s="212">
        <v>12.49575807876213</v>
      </c>
      <c r="FB29" s="212">
        <v>12.067486356116479</v>
      </c>
      <c r="FC29" s="212">
        <v>11.908693998667555</v>
      </c>
      <c r="FD29" s="212">
        <v>13.050128767814337</v>
      </c>
      <c r="FE29" s="212">
        <v>12.263034787446047</v>
      </c>
      <c r="FF29" s="212">
        <v>11.260706737192908</v>
      </c>
      <c r="FG29" s="212">
        <v>10.563355128131978</v>
      </c>
      <c r="FH29" s="212">
        <v>14.017019347249354</v>
      </c>
      <c r="FI29" s="212">
        <v>12.450330417453053</v>
      </c>
      <c r="FJ29" s="212">
        <v>11.005372156186862</v>
      </c>
      <c r="FK29" s="212">
        <v>9.9361885476313283</v>
      </c>
      <c r="FL29" s="212">
        <v>10.210728377680084</v>
      </c>
      <c r="FM29" s="212">
        <v>13.107400392605811</v>
      </c>
      <c r="FN29" s="212">
        <v>12.096406493192191</v>
      </c>
      <c r="FO29" s="212">
        <v>10.358553199101362</v>
      </c>
      <c r="FP29" s="212">
        <v>10.589280137709787</v>
      </c>
      <c r="FQ29" s="212">
        <v>9.953487634639421</v>
      </c>
      <c r="FR29" s="213">
        <v>17.858964554447226</v>
      </c>
      <c r="FS29" s="213">
        <v>16.997042456140452</v>
      </c>
      <c r="FT29" s="213">
        <v>15.59503263016823</v>
      </c>
      <c r="FU29" s="213">
        <v>14.878988476240755</v>
      </c>
      <c r="FV29" s="213">
        <v>13.455651481292435</v>
      </c>
      <c r="FW29" s="213">
        <v>17.614870764517878</v>
      </c>
      <c r="FX29" s="213">
        <v>16.320447414963724</v>
      </c>
      <c r="FY29" s="213">
        <v>14.875071790941274</v>
      </c>
      <c r="FZ29" s="213">
        <v>13.665707548691708</v>
      </c>
      <c r="GA29" s="213">
        <v>12.379703149194427</v>
      </c>
      <c r="GB29" s="213">
        <v>18.827436425104576</v>
      </c>
      <c r="GC29" s="213">
        <v>16.60665510834761</v>
      </c>
      <c r="GD29" s="213">
        <v>16.195091421968172</v>
      </c>
      <c r="GE29" s="213">
        <v>14.523753760144544</v>
      </c>
      <c r="GF29" s="213">
        <v>19.8</v>
      </c>
      <c r="GG29" s="213">
        <v>20.399999999999999</v>
      </c>
      <c r="GH29" s="213">
        <v>19.2</v>
      </c>
      <c r="GI29" s="213">
        <v>18</v>
      </c>
      <c r="GJ29" s="213">
        <v>16.25</v>
      </c>
      <c r="GK29" s="213">
        <v>20.900000000000002</v>
      </c>
      <c r="GL29" s="213">
        <v>19.8</v>
      </c>
      <c r="GM29" s="213">
        <v>19.2</v>
      </c>
      <c r="GN29" s="213">
        <v>21.737871576955342</v>
      </c>
      <c r="GO29" s="213">
        <v>23.350272113948709</v>
      </c>
      <c r="GP29" s="213">
        <v>26.031489516740169</v>
      </c>
      <c r="GQ29" s="213">
        <v>23.854100192644676</v>
      </c>
      <c r="GR29" s="213">
        <v>23.575048529142283</v>
      </c>
      <c r="GS29" s="213">
        <v>21.30592919631631</v>
      </c>
      <c r="GT29" s="213">
        <v>22.988737018877742</v>
      </c>
      <c r="GU29" s="213">
        <v>25.739153750843133</v>
      </c>
      <c r="GV29" s="213">
        <v>22.889357136496937</v>
      </c>
      <c r="GW29" s="213">
        <v>23.146264638943926</v>
      </c>
      <c r="GX29" s="213">
        <v>20.102022198832689</v>
      </c>
      <c r="GY29" s="213">
        <v>22.752551364574206</v>
      </c>
      <c r="GZ29" s="213">
        <v>24.461701708684728</v>
      </c>
      <c r="HA29" s="213">
        <v>21.925774727969809</v>
      </c>
      <c r="HB29" s="213">
        <v>21.187176409315441</v>
      </c>
      <c r="HC29" s="213">
        <v>18.939449231125671</v>
      </c>
      <c r="HD29" s="213">
        <v>20.983666370492539</v>
      </c>
      <c r="HE29" s="213">
        <v>23.619726472835843</v>
      </c>
      <c r="HF29" s="213">
        <v>22.42571095955218</v>
      </c>
      <c r="HG29" s="213">
        <v>24.234646988737527</v>
      </c>
      <c r="HH29" s="213">
        <v>26.528661157073188</v>
      </c>
      <c r="HI29" s="213">
        <v>28.578464170728168</v>
      </c>
      <c r="HJ29" s="214">
        <v>18.894751700000004</v>
      </c>
      <c r="HK29" s="214">
        <v>17.604841100000002</v>
      </c>
      <c r="HL29" s="214">
        <v>14.465081400000001</v>
      </c>
      <c r="HM29" s="214">
        <v>14.350850400000001</v>
      </c>
      <c r="HN29" s="214">
        <v>15.339444</v>
      </c>
      <c r="HO29" s="214">
        <v>15.561117000000003</v>
      </c>
      <c r="HP29" s="214">
        <v>16.404688799999999</v>
      </c>
      <c r="HQ29" s="214">
        <v>13.546119599999999</v>
      </c>
      <c r="HR29" s="214">
        <v>12.510958799999999</v>
      </c>
      <c r="HS29" s="214">
        <v>14.37548625</v>
      </c>
      <c r="HT29" s="214">
        <v>14.899335000000001</v>
      </c>
      <c r="HU29" s="214">
        <v>15.470576399999999</v>
      </c>
      <c r="HV29" s="214">
        <v>12.3783972</v>
      </c>
      <c r="HW29" s="214">
        <v>11.9104464</v>
      </c>
      <c r="HX29" s="214">
        <v>13.8621775</v>
      </c>
      <c r="HY29" s="214">
        <v>14.692157700000001</v>
      </c>
      <c r="HZ29" s="214">
        <v>14.5451256</v>
      </c>
      <c r="IA29" s="214">
        <v>11.029024999999999</v>
      </c>
      <c r="IB29" s="214">
        <v>10.1528925</v>
      </c>
      <c r="IC29" s="214">
        <v>11.071536250000001</v>
      </c>
      <c r="ID29" s="214">
        <v>11.546048750000001</v>
      </c>
      <c r="IE29" s="214">
        <v>11.196488399999998</v>
      </c>
      <c r="IF29" s="214">
        <v>10.9789125</v>
      </c>
      <c r="IG29" s="214">
        <v>11.812418749999999</v>
      </c>
      <c r="IH29" s="214">
        <v>14.8458516</v>
      </c>
      <c r="II29" s="214">
        <v>13.068228</v>
      </c>
      <c r="IJ29" s="214">
        <v>9.7718387500000006</v>
      </c>
      <c r="IK29" s="214">
        <v>9.2802662500000004</v>
      </c>
      <c r="IL29" s="214">
        <v>15.758396500000002</v>
      </c>
      <c r="IM29" s="214">
        <v>16.090300799999998</v>
      </c>
      <c r="IN29" s="214">
        <v>12.241539599999999</v>
      </c>
      <c r="IO29" s="214">
        <v>11.754525000000001</v>
      </c>
      <c r="IP29" s="214">
        <v>13.170253750000001</v>
      </c>
      <c r="IQ29" s="214">
        <v>14.6914119</v>
      </c>
      <c r="IR29" s="214">
        <v>14.732597999999999</v>
      </c>
      <c r="IS29" s="214">
        <v>11.5141428</v>
      </c>
      <c r="IT29" s="214">
        <v>11.20410875</v>
      </c>
      <c r="IU29" s="214">
        <v>11.863291250000001</v>
      </c>
      <c r="IV29" s="214">
        <v>12.631297199999999</v>
      </c>
      <c r="IW29" s="214">
        <v>11.681761250000001</v>
      </c>
      <c r="IX29" s="214">
        <v>8.19081875</v>
      </c>
      <c r="IY29" s="214">
        <v>10.29381875</v>
      </c>
      <c r="IZ29" s="214">
        <v>13.956765000000001</v>
      </c>
      <c r="JA29" s="214">
        <v>11.549148750000001</v>
      </c>
      <c r="JB29" s="214">
        <v>12.78050125</v>
      </c>
      <c r="JC29" s="214">
        <v>10.02145625</v>
      </c>
      <c r="JD29" s="214">
        <v>9.29407125</v>
      </c>
      <c r="JE29" s="214">
        <v>13.547340000000002</v>
      </c>
      <c r="JF29" s="214">
        <v>11.424502499999999</v>
      </c>
      <c r="JG29" s="214">
        <v>12.507668750000001</v>
      </c>
      <c r="JH29" s="214">
        <v>10.191593750000001</v>
      </c>
      <c r="JI29" s="214">
        <v>10.780257499999999</v>
      </c>
      <c r="JJ29" s="214">
        <v>13.560891250000001</v>
      </c>
      <c r="JK29" s="214">
        <v>11.215243749999999</v>
      </c>
      <c r="JL29" s="214">
        <v>12.04852625</v>
      </c>
      <c r="JM29" s="214">
        <v>9.6523649999999996</v>
      </c>
      <c r="JN29" s="214">
        <v>10.158126249999999</v>
      </c>
      <c r="JO29" s="214">
        <v>8.6821456076388888</v>
      </c>
      <c r="JP29" s="214">
        <v>11.091469363194445</v>
      </c>
      <c r="JQ29" s="214">
        <v>6.8245972402777797</v>
      </c>
      <c r="JR29" s="214">
        <v>7.0471229458333333</v>
      </c>
      <c r="JS29" s="214">
        <v>8.556161240972223</v>
      </c>
      <c r="JT29" s="214">
        <v>12.744989</v>
      </c>
      <c r="JU29" s="214">
        <v>10.423963000000001</v>
      </c>
      <c r="JV29" s="214">
        <v>10.613574</v>
      </c>
      <c r="JW29" s="214">
        <v>10.009957</v>
      </c>
      <c r="JX29" s="214">
        <v>12.474803</v>
      </c>
      <c r="JY29" s="214">
        <v>12.234477999999999</v>
      </c>
      <c r="JZ29" s="214">
        <v>9.9694610000000008</v>
      </c>
      <c r="KA29" s="214">
        <v>10.25905</v>
      </c>
      <c r="KB29" s="214">
        <v>9.7408509999999993</v>
      </c>
      <c r="KC29" s="214">
        <v>12.001101999999999</v>
      </c>
      <c r="KD29" s="214">
        <v>12.070971999999999</v>
      </c>
      <c r="KE29" s="214">
        <v>9.3654299999999999</v>
      </c>
      <c r="KF29" s="214">
        <v>9.5466639999999998</v>
      </c>
      <c r="KG29" s="214">
        <v>9.5565490000000004</v>
      </c>
      <c r="KH29" s="214">
        <v>11.592428999999999</v>
      </c>
      <c r="KI29" s="214">
        <v>11.508509999999999</v>
      </c>
      <c r="KJ29" s="214">
        <v>8.8891589999999994</v>
      </c>
      <c r="KK29" s="214">
        <v>8.8677019999999995</v>
      </c>
      <c r="KL29" s="214">
        <v>9.3285809999999998</v>
      </c>
      <c r="KM29" s="214">
        <v>10.946311</v>
      </c>
      <c r="KN29" s="214">
        <v>11.056628999999999</v>
      </c>
    </row>
    <row r="30" spans="1:300" x14ac:dyDescent="0.35">
      <c r="A30" s="216" t="str">
        <f t="shared" si="0"/>
        <v>vendredi</v>
      </c>
      <c r="B30" s="217">
        <v>44582</v>
      </c>
      <c r="C30" s="202">
        <v>0</v>
      </c>
      <c r="D30" s="202">
        <v>84</v>
      </c>
      <c r="E30" s="202">
        <v>111</v>
      </c>
      <c r="F30" s="202">
        <v>114</v>
      </c>
      <c r="G30" s="202">
        <v>77</v>
      </c>
      <c r="H30" s="202">
        <v>78</v>
      </c>
      <c r="I30" s="202">
        <v>84</v>
      </c>
      <c r="J30" s="202">
        <v>81</v>
      </c>
      <c r="K30" s="202">
        <v>39</v>
      </c>
      <c r="L30" s="202">
        <v>31</v>
      </c>
      <c r="M30" s="202">
        <v>25</v>
      </c>
      <c r="N30" s="202">
        <v>30</v>
      </c>
      <c r="O30" s="202">
        <v>52</v>
      </c>
      <c r="P30" s="202">
        <v>68</v>
      </c>
      <c r="Q30" s="202">
        <v>41</v>
      </c>
      <c r="R30" s="202">
        <v>56</v>
      </c>
      <c r="S30" s="202">
        <v>48</v>
      </c>
      <c r="T30" s="202">
        <v>39</v>
      </c>
      <c r="U30" s="202">
        <v>25</v>
      </c>
      <c r="V30" s="202">
        <v>0</v>
      </c>
      <c r="W30" s="203">
        <f t="shared" si="1"/>
        <v>1083</v>
      </c>
      <c r="AA30" s="196">
        <v>0.375</v>
      </c>
      <c r="AB30" s="223">
        <v>27.529411764705884</v>
      </c>
      <c r="AC30" s="223">
        <v>15.616724738675957</v>
      </c>
      <c r="AD30" s="223">
        <v>13.155963302752294</v>
      </c>
      <c r="AE30" s="223">
        <v>11.280788177339902</v>
      </c>
      <c r="AF30" s="223">
        <v>10.64039408866995</v>
      </c>
      <c r="AG30" s="223">
        <v>14.427480916030536</v>
      </c>
      <c r="AH30" s="223">
        <v>12.052173913043477</v>
      </c>
      <c r="AI30" s="223">
        <v>11.871921182266011</v>
      </c>
      <c r="AJ30" s="223">
        <v>10.598984771573605</v>
      </c>
      <c r="AK30" s="223">
        <v>11.288659793814432</v>
      </c>
      <c r="AL30" s="223">
        <v>15.227091633466134</v>
      </c>
      <c r="AM30" s="223">
        <v>11.233480176211454</v>
      </c>
      <c r="AN30" s="223">
        <v>10.970149253731343</v>
      </c>
      <c r="AO30" s="223">
        <v>10.948453608247421</v>
      </c>
      <c r="AP30" s="223">
        <v>10.453125</v>
      </c>
      <c r="AQ30" s="223">
        <v>12.841201716738198</v>
      </c>
      <c r="AR30" s="223">
        <v>11.453744493392071</v>
      </c>
      <c r="AS30" s="223">
        <v>11.597938144329898</v>
      </c>
      <c r="AT30" s="223">
        <v>11.550802139037433</v>
      </c>
      <c r="AU30" s="223">
        <v>10.69633507853403</v>
      </c>
      <c r="AV30" s="223">
        <v>14.102564102564102</v>
      </c>
      <c r="AW30" s="223">
        <v>12</v>
      </c>
      <c r="AX30" s="223">
        <v>12</v>
      </c>
      <c r="AY30" s="223">
        <v>10</v>
      </c>
      <c r="AZ30" s="223">
        <v>10</v>
      </c>
      <c r="BA30" s="223">
        <v>14</v>
      </c>
      <c r="BB30" s="223">
        <v>12</v>
      </c>
      <c r="BC30" s="223">
        <v>11</v>
      </c>
      <c r="BD30" s="223">
        <v>10</v>
      </c>
      <c r="BE30" s="223">
        <v>10</v>
      </c>
      <c r="BF30" s="223">
        <v>13</v>
      </c>
      <c r="BG30" s="223">
        <v>12</v>
      </c>
      <c r="BH30" s="223">
        <v>10</v>
      </c>
      <c r="BI30" s="223">
        <v>10</v>
      </c>
      <c r="BJ30" s="223">
        <v>9</v>
      </c>
      <c r="BK30" s="223">
        <v>12</v>
      </c>
      <c r="BL30" s="223">
        <v>10</v>
      </c>
      <c r="BM30" s="223">
        <v>8</v>
      </c>
      <c r="BN30" s="223">
        <v>8</v>
      </c>
      <c r="BO30" s="223">
        <v>7</v>
      </c>
      <c r="BP30" s="223">
        <v>13</v>
      </c>
      <c r="BQ30" s="209">
        <v>10</v>
      </c>
      <c r="BR30" s="209">
        <v>7</v>
      </c>
      <c r="BS30" s="209">
        <v>7</v>
      </c>
      <c r="BT30" s="209">
        <v>6</v>
      </c>
      <c r="BU30" s="209">
        <v>14</v>
      </c>
      <c r="BV30" s="209">
        <v>9</v>
      </c>
      <c r="BW30" s="209">
        <v>9</v>
      </c>
      <c r="BX30" s="209">
        <v>7</v>
      </c>
      <c r="BY30" s="209">
        <v>5</v>
      </c>
      <c r="BZ30" s="209">
        <v>11</v>
      </c>
      <c r="CA30" s="209">
        <v>9</v>
      </c>
      <c r="CB30" s="209">
        <v>10</v>
      </c>
      <c r="CC30" s="209">
        <v>7</v>
      </c>
      <c r="CD30" s="209">
        <v>8</v>
      </c>
      <c r="CE30" s="209">
        <v>16</v>
      </c>
      <c r="CF30" s="209">
        <v>14</v>
      </c>
      <c r="CG30" s="209">
        <v>15</v>
      </c>
      <c r="CH30" s="209">
        <v>5</v>
      </c>
      <c r="CI30" s="209">
        <v>2</v>
      </c>
      <c r="CJ30" s="209">
        <v>18</v>
      </c>
      <c r="CK30" s="209">
        <v>11</v>
      </c>
      <c r="CL30" s="209">
        <v>13</v>
      </c>
      <c r="CM30" s="209">
        <v>11</v>
      </c>
      <c r="CN30" s="209">
        <v>16.893336471175171</v>
      </c>
      <c r="CO30" s="209">
        <v>20.165973481417868</v>
      </c>
      <c r="CP30" s="209">
        <v>18.51482427829286</v>
      </c>
      <c r="CQ30" s="209">
        <v>19.21010024478182</v>
      </c>
      <c r="CR30" s="209">
        <v>18.534757799722769</v>
      </c>
      <c r="CS30" s="209">
        <v>17.037623173912628</v>
      </c>
      <c r="CT30" s="209">
        <v>19.43690002971567</v>
      </c>
      <c r="CU30" s="209">
        <v>19.254961044272811</v>
      </c>
      <c r="CV30" s="209">
        <v>17.448996456425071</v>
      </c>
      <c r="CW30" s="209">
        <v>16.265447331453132</v>
      </c>
      <c r="CX30" s="209">
        <v>15.668396200086789</v>
      </c>
      <c r="CY30" s="209">
        <v>17.721306932034281</v>
      </c>
      <c r="CZ30" s="209">
        <v>16.340299504945879</v>
      </c>
      <c r="DA30" s="209">
        <v>15.265551476033851</v>
      </c>
      <c r="DB30" s="209">
        <v>14.3948043999443</v>
      </c>
      <c r="DC30" s="209">
        <v>18.711013453529361</v>
      </c>
      <c r="DD30" s="209">
        <v>18.005838751378992</v>
      </c>
      <c r="DE30" s="209">
        <v>18</v>
      </c>
      <c r="DF30" s="209">
        <v>15.96001087862558</v>
      </c>
      <c r="DG30" s="209">
        <v>15.26295562891405</v>
      </c>
      <c r="DH30" s="209">
        <v>24</v>
      </c>
      <c r="DI30" s="209">
        <v>20.354573836510539</v>
      </c>
      <c r="DJ30" s="209">
        <v>18.293472386201191</v>
      </c>
      <c r="DK30" s="209">
        <v>17.329689244427382</v>
      </c>
      <c r="DL30" s="209">
        <v>15.750981727502261</v>
      </c>
      <c r="DM30" s="209">
        <v>22.27946534352348</v>
      </c>
      <c r="DN30" s="209">
        <v>19.695235752033671</v>
      </c>
      <c r="DO30" s="209">
        <v>17.34761802205248</v>
      </c>
      <c r="DP30" s="209">
        <v>14.821013149626451</v>
      </c>
      <c r="DQ30" s="209">
        <v>12.06835100820048</v>
      </c>
      <c r="DR30" s="209">
        <v>23.00968266655223</v>
      </c>
      <c r="DS30" s="209">
        <v>19.909574482309779</v>
      </c>
      <c r="DT30" s="209">
        <v>17.86007188823913</v>
      </c>
      <c r="DU30" s="209">
        <v>16.264515313805429</v>
      </c>
      <c r="DV30" s="209">
        <v>15.354775096841861</v>
      </c>
      <c r="DW30" s="209">
        <v>23.043256132406341</v>
      </c>
      <c r="DX30" s="209">
        <v>14.589954014475991</v>
      </c>
      <c r="DY30" s="209">
        <v>19.819948102741272</v>
      </c>
      <c r="DZ30" s="210">
        <v>20.665940942546879</v>
      </c>
      <c r="EA30" s="210">
        <v>25.526362280697708</v>
      </c>
      <c r="EB30" s="210">
        <v>23.503219083355642</v>
      </c>
      <c r="EC30" s="211">
        <v>17.096161695918532</v>
      </c>
      <c r="ED30" s="211">
        <v>16.769953314343752</v>
      </c>
      <c r="EE30" s="211">
        <v>16.661059792950379</v>
      </c>
      <c r="EF30" s="211">
        <v>21.569517897525323</v>
      </c>
      <c r="EG30" s="211">
        <v>19.557728942118917</v>
      </c>
      <c r="EH30" s="211">
        <v>18.53868560614761</v>
      </c>
      <c r="EI30" s="211">
        <v>17.247229766381281</v>
      </c>
      <c r="EJ30" s="211">
        <v>23.655274507796378</v>
      </c>
      <c r="EK30" s="211">
        <v>20.466721207362369</v>
      </c>
      <c r="EL30" s="211">
        <v>18.513143733062044</v>
      </c>
      <c r="EM30" s="211">
        <v>17.769045856065986</v>
      </c>
      <c r="EN30" s="211">
        <v>15.953452829175799</v>
      </c>
      <c r="EO30" s="211">
        <v>20.65116299538585</v>
      </c>
      <c r="EP30" s="211">
        <v>18.343205895990383</v>
      </c>
      <c r="EQ30" s="211">
        <v>16.533333183489326</v>
      </c>
      <c r="ER30" s="211">
        <v>15.704301237624518</v>
      </c>
      <c r="ES30" s="211">
        <v>14.911242717833311</v>
      </c>
      <c r="ET30" s="211">
        <v>18.897214554479778</v>
      </c>
      <c r="EU30" s="211">
        <v>16.910745732181617</v>
      </c>
      <c r="EV30" s="211">
        <v>15.23470318478708</v>
      </c>
      <c r="EW30" s="211">
        <v>15.663798317724337</v>
      </c>
      <c r="EX30" s="212">
        <v>16.448517038361217</v>
      </c>
      <c r="EY30" s="212">
        <v>21.145442083721164</v>
      </c>
      <c r="EZ30" s="212">
        <v>19.250952664106663</v>
      </c>
      <c r="FA30" s="212">
        <v>17.708452678550234</v>
      </c>
      <c r="FB30" s="212">
        <v>17.836862695577981</v>
      </c>
      <c r="FC30" s="212">
        <v>17.259011331842878</v>
      </c>
      <c r="FD30" s="212">
        <v>20.988106051786396</v>
      </c>
      <c r="FE30" s="212">
        <v>18.569028973100089</v>
      </c>
      <c r="FF30" s="212">
        <v>17.144587385757852</v>
      </c>
      <c r="FG30" s="212">
        <v>15.957018553241909</v>
      </c>
      <c r="FH30" s="212">
        <v>22.682373166739435</v>
      </c>
      <c r="FI30" s="212">
        <v>18.688182516061978</v>
      </c>
      <c r="FJ30" s="212">
        <v>16.380208365502423</v>
      </c>
      <c r="FK30" s="212">
        <v>14.049259564566698</v>
      </c>
      <c r="FL30" s="212">
        <v>14.492190995957765</v>
      </c>
      <c r="FM30" s="212">
        <v>20.484630853228065</v>
      </c>
      <c r="FN30" s="212">
        <v>17.536490838583127</v>
      </c>
      <c r="FO30" s="212">
        <v>15.149761400930293</v>
      </c>
      <c r="FP30" s="212">
        <v>13.944152621417903</v>
      </c>
      <c r="FQ30" s="212">
        <v>12.970179303202148</v>
      </c>
      <c r="FR30" s="213">
        <v>25.421105159831651</v>
      </c>
      <c r="FS30" s="213">
        <v>24.194213017380878</v>
      </c>
      <c r="FT30" s="213">
        <v>22.198540296039564</v>
      </c>
      <c r="FU30" s="213">
        <v>21.179296298439066</v>
      </c>
      <c r="FV30" s="213">
        <v>19.15326588374613</v>
      </c>
      <c r="FW30" s="213">
        <v>25.073649919774407</v>
      </c>
      <c r="FX30" s="213">
        <v>23.231119892121455</v>
      </c>
      <c r="FY30" s="213">
        <v>21.173718992423343</v>
      </c>
      <c r="FZ30" s="213">
        <v>19.45226538600728</v>
      </c>
      <c r="GA30" s="213">
        <v>17.621719481311018</v>
      </c>
      <c r="GB30" s="213">
        <v>26.799656728716187</v>
      </c>
      <c r="GC30" s="213">
        <v>23.638515353544779</v>
      </c>
      <c r="GD30" s="213">
        <v>23.052680085250415</v>
      </c>
      <c r="GE30" s="213">
        <v>20.673636957957932</v>
      </c>
      <c r="GF30" s="213">
        <v>28.6</v>
      </c>
      <c r="GG30" s="213">
        <v>28.799999999999997</v>
      </c>
      <c r="GH30" s="213">
        <v>26.4</v>
      </c>
      <c r="GI30" s="213">
        <v>26.4</v>
      </c>
      <c r="GJ30" s="213">
        <v>22.5</v>
      </c>
      <c r="GK30" s="213">
        <v>29.700000000000003</v>
      </c>
      <c r="GL30" s="213">
        <v>28.6</v>
      </c>
      <c r="GM30" s="213">
        <v>27.599999999999998</v>
      </c>
      <c r="GN30" s="213">
        <v>32.208871808189933</v>
      </c>
      <c r="GO30" s="213">
        <v>33.917823992518471</v>
      </c>
      <c r="GP30" s="213">
        <v>38.423283240424148</v>
      </c>
      <c r="GQ30" s="213">
        <v>32.890567699985475</v>
      </c>
      <c r="GR30" s="213">
        <v>33.863003267209798</v>
      </c>
      <c r="GS30" s="213">
        <v>32.075224607700235</v>
      </c>
      <c r="GT30" s="213">
        <v>33.566840843383098</v>
      </c>
      <c r="GU30" s="213">
        <v>38.011012016833746</v>
      </c>
      <c r="GV30" s="213">
        <v>31.639251181667579</v>
      </c>
      <c r="GW30" s="213">
        <v>32.93985103674305</v>
      </c>
      <c r="GX30" s="213">
        <v>30.327035660616403</v>
      </c>
      <c r="GY30" s="213">
        <v>33.221976040197653</v>
      </c>
      <c r="GZ30" s="213">
        <v>35.523951729504184</v>
      </c>
      <c r="HA30" s="213">
        <v>30.231749352980653</v>
      </c>
      <c r="HB30" s="213">
        <v>30.151838566548502</v>
      </c>
      <c r="HC30" s="213">
        <v>27.876365026817943</v>
      </c>
      <c r="HD30" s="213">
        <v>30.580322606835043</v>
      </c>
      <c r="HE30" s="213">
        <v>34.562943920556172</v>
      </c>
      <c r="HF30" s="213">
        <v>30.921072628130055</v>
      </c>
      <c r="HG30" s="213">
        <v>34.488746853517803</v>
      </c>
      <c r="HH30" s="213">
        <v>39.046681509195352</v>
      </c>
      <c r="HI30" s="213">
        <v>41.728641185438597</v>
      </c>
      <c r="HJ30" s="214">
        <v>22.153084800000002</v>
      </c>
      <c r="HK30" s="214">
        <v>20.490951800000001</v>
      </c>
      <c r="HL30" s="214">
        <v>17.476191700000001</v>
      </c>
      <c r="HM30" s="214">
        <v>19.0387296</v>
      </c>
      <c r="HN30" s="214">
        <v>16.7606568</v>
      </c>
      <c r="HO30" s="214">
        <v>18.819450100000001</v>
      </c>
      <c r="HP30" s="214">
        <v>19.5531732</v>
      </c>
      <c r="HQ30" s="214">
        <v>16.8309672</v>
      </c>
      <c r="HR30" s="214">
        <v>17.198837999999999</v>
      </c>
      <c r="HS30" s="214">
        <v>15.85591625</v>
      </c>
      <c r="HT30" s="214">
        <v>18.157668100000002</v>
      </c>
      <c r="HU30" s="214">
        <v>18.6190608</v>
      </c>
      <c r="HV30" s="214">
        <v>15.663244799999999</v>
      </c>
      <c r="HW30" s="214">
        <v>16.598325599999999</v>
      </c>
      <c r="HX30" s="214">
        <v>15.342606249999999</v>
      </c>
      <c r="HY30" s="214">
        <v>17.950490800000001</v>
      </c>
      <c r="HZ30" s="214">
        <v>17.693611199999999</v>
      </c>
      <c r="IA30" s="214">
        <v>14.4507425</v>
      </c>
      <c r="IB30" s="214">
        <v>15.036099999999999</v>
      </c>
      <c r="IC30" s="214">
        <v>12.55196625</v>
      </c>
      <c r="ID30" s="214">
        <v>15.248699999999999</v>
      </c>
      <c r="IE30" s="214">
        <v>14.481337199999999</v>
      </c>
      <c r="IF30" s="214">
        <v>15.86211875</v>
      </c>
      <c r="IG30" s="214">
        <v>13.292848749999999</v>
      </c>
      <c r="IH30" s="214">
        <v>18.400396799999999</v>
      </c>
      <c r="II30" s="214">
        <v>16.216712399999999</v>
      </c>
      <c r="IJ30" s="214">
        <v>13.193555</v>
      </c>
      <c r="IK30" s="214">
        <v>14.16347375</v>
      </c>
      <c r="IL30" s="214">
        <v>19.016729600000001</v>
      </c>
      <c r="IM30" s="214">
        <v>19.238786399999999</v>
      </c>
      <c r="IN30" s="214">
        <v>15.526388399999998</v>
      </c>
      <c r="IO30" s="214">
        <v>16.637732499999998</v>
      </c>
      <c r="IP30" s="214">
        <v>14.6506825</v>
      </c>
      <c r="IQ30" s="214">
        <v>17.949745</v>
      </c>
      <c r="IR30" s="214">
        <v>17.8810824</v>
      </c>
      <c r="IS30" s="214">
        <v>14.798990399999999</v>
      </c>
      <c r="IT30" s="214">
        <v>16.087316250000001</v>
      </c>
      <c r="IU30" s="214">
        <v>13.343719999999999</v>
      </c>
      <c r="IV30" s="214">
        <v>16.185843599999998</v>
      </c>
      <c r="IW30" s="214">
        <v>14.961433749999999</v>
      </c>
      <c r="IX30" s="214">
        <v>11.612536250000002</v>
      </c>
      <c r="IY30" s="214">
        <v>15.177026250000001</v>
      </c>
      <c r="IZ30" s="214">
        <v>15.437194999999999</v>
      </c>
      <c r="JA30" s="214">
        <v>15.251799999999999</v>
      </c>
      <c r="JB30" s="214">
        <v>16.060173750000001</v>
      </c>
      <c r="JC30" s="214">
        <v>13.44317375</v>
      </c>
      <c r="JD30" s="214">
        <v>14.177278749999999</v>
      </c>
      <c r="JE30" s="214">
        <v>15.02776875</v>
      </c>
      <c r="JF30" s="214">
        <v>15.127155000000002</v>
      </c>
      <c r="JG30" s="214">
        <v>15.78734</v>
      </c>
      <c r="JH30" s="214">
        <v>13.613311249999999</v>
      </c>
      <c r="JI30" s="214">
        <v>15.66346375</v>
      </c>
      <c r="JJ30" s="214">
        <v>15.041320000000001</v>
      </c>
      <c r="JK30" s="214">
        <v>14.917895000000001</v>
      </c>
      <c r="JL30" s="214">
        <v>15.3281975</v>
      </c>
      <c r="JM30" s="214">
        <v>13.074082499999999</v>
      </c>
      <c r="JN30" s="214">
        <v>15.041332499999999</v>
      </c>
      <c r="JO30" s="214">
        <v>10.162575607638891</v>
      </c>
      <c r="JP30" s="214">
        <v>14.371141863194445</v>
      </c>
      <c r="JQ30" s="214">
        <v>10.246314740277779</v>
      </c>
      <c r="JR30" s="214">
        <v>11.930330445833333</v>
      </c>
      <c r="JS30" s="214">
        <v>10.036589990972223</v>
      </c>
      <c r="JT30" s="214">
        <v>16.012664999999998</v>
      </c>
      <c r="JU30" s="214">
        <v>13.333054000000001</v>
      </c>
      <c r="JV30" s="214">
        <v>14.42923</v>
      </c>
      <c r="JW30" s="214">
        <v>14.009957</v>
      </c>
      <c r="JX30" s="214">
        <v>17.186924999999999</v>
      </c>
      <c r="JY30" s="214">
        <v>15.502154000000001</v>
      </c>
      <c r="JZ30" s="214">
        <v>12.878552000000001</v>
      </c>
      <c r="KA30" s="214">
        <v>14.074706000000001</v>
      </c>
      <c r="KB30" s="214">
        <v>13.740850999999999</v>
      </c>
      <c r="KC30" s="214">
        <v>16.713222999999999</v>
      </c>
      <c r="KD30" s="214">
        <v>15.338649</v>
      </c>
      <c r="KE30" s="214">
        <v>12.274520000000001</v>
      </c>
      <c r="KF30" s="214">
        <v>13.362321</v>
      </c>
      <c r="KG30" s="214">
        <v>13.556549</v>
      </c>
      <c r="KH30" s="214">
        <v>16.304549999999999</v>
      </c>
      <c r="KI30" s="214">
        <v>14.776187</v>
      </c>
      <c r="KJ30" s="214">
        <v>11.798249999999999</v>
      </c>
      <c r="KK30" s="214">
        <v>12.683358999999999</v>
      </c>
      <c r="KL30" s="214">
        <v>13.328581</v>
      </c>
      <c r="KM30" s="214">
        <v>15.658433</v>
      </c>
      <c r="KN30" s="214">
        <v>14.324306</v>
      </c>
    </row>
    <row r="31" spans="1:300" x14ac:dyDescent="0.35">
      <c r="A31" s="216" t="str">
        <f t="shared" si="0"/>
        <v>samedi</v>
      </c>
      <c r="B31" s="217">
        <v>44583</v>
      </c>
      <c r="C31" s="202">
        <v>0</v>
      </c>
      <c r="D31" s="202"/>
      <c r="E31" s="202"/>
      <c r="F31" s="202"/>
      <c r="G31" s="202"/>
      <c r="H31" s="202"/>
      <c r="I31" s="202"/>
      <c r="J31" s="202"/>
      <c r="K31" s="202"/>
      <c r="L31" s="202"/>
      <c r="M31" s="202"/>
      <c r="N31" s="202"/>
      <c r="O31" s="202"/>
      <c r="P31" s="202"/>
      <c r="Q31" s="202"/>
      <c r="R31" s="202"/>
      <c r="S31" s="202"/>
      <c r="T31" s="202"/>
      <c r="U31" s="202"/>
      <c r="V31" s="202">
        <v>0</v>
      </c>
      <c r="W31" s="203">
        <f t="shared" si="1"/>
        <v>0</v>
      </c>
      <c r="AA31" s="196">
        <v>0.39583333333333298</v>
      </c>
      <c r="AB31" s="223">
        <v>28.840336134453782</v>
      </c>
      <c r="AC31" s="223">
        <v>16.484320557491287</v>
      </c>
      <c r="AD31" s="223">
        <v>15.348623853211009</v>
      </c>
      <c r="AE31" s="223">
        <v>13.536945812807883</v>
      </c>
      <c r="AF31" s="223">
        <v>12.768472906403941</v>
      </c>
      <c r="AG31" s="223">
        <v>15.458015267175574</v>
      </c>
      <c r="AH31" s="223">
        <v>13.14782608695652</v>
      </c>
      <c r="AI31" s="223">
        <v>14.246305418719212</v>
      </c>
      <c r="AJ31" s="223">
        <v>12.954314720812182</v>
      </c>
      <c r="AK31" s="223">
        <v>12.417525773195877</v>
      </c>
      <c r="AL31" s="223">
        <v>16.314741035856571</v>
      </c>
      <c r="AM31" s="223">
        <v>12.3568281938326</v>
      </c>
      <c r="AN31" s="223">
        <v>13.407960199004973</v>
      </c>
      <c r="AO31" s="223">
        <v>13.381443298969071</v>
      </c>
      <c r="AP31" s="223">
        <v>12.776041666666666</v>
      </c>
      <c r="AQ31" s="223">
        <v>14.008583690987125</v>
      </c>
      <c r="AR31" s="223">
        <v>12.599118942731277</v>
      </c>
      <c r="AS31" s="223">
        <v>12.88659793814433</v>
      </c>
      <c r="AT31" s="223">
        <v>12.834224598930481</v>
      </c>
      <c r="AU31" s="223">
        <v>13.073298429319372</v>
      </c>
      <c r="AV31" s="223">
        <v>15.277777777777779</v>
      </c>
      <c r="AW31" s="223">
        <v>14</v>
      </c>
      <c r="AX31" s="223">
        <v>13</v>
      </c>
      <c r="AY31" s="223">
        <v>11</v>
      </c>
      <c r="AZ31" s="223">
        <v>11</v>
      </c>
      <c r="BA31" s="223">
        <v>15</v>
      </c>
      <c r="BB31" s="223">
        <v>13</v>
      </c>
      <c r="BC31" s="223">
        <v>12</v>
      </c>
      <c r="BD31" s="223">
        <v>12</v>
      </c>
      <c r="BE31" s="223">
        <v>11</v>
      </c>
      <c r="BF31" s="223">
        <v>15</v>
      </c>
      <c r="BG31" s="223">
        <v>14</v>
      </c>
      <c r="BH31" s="223">
        <v>13</v>
      </c>
      <c r="BI31" s="223">
        <v>11</v>
      </c>
      <c r="BJ31" s="223">
        <v>10</v>
      </c>
      <c r="BK31" s="223">
        <v>13</v>
      </c>
      <c r="BL31" s="223">
        <v>12</v>
      </c>
      <c r="BM31" s="223">
        <v>10</v>
      </c>
      <c r="BN31" s="223">
        <v>9</v>
      </c>
      <c r="BO31" s="223">
        <v>8</v>
      </c>
      <c r="BP31" s="223">
        <v>14</v>
      </c>
      <c r="BQ31" s="209">
        <v>12</v>
      </c>
      <c r="BR31" s="209">
        <v>9</v>
      </c>
      <c r="BS31" s="209">
        <v>9</v>
      </c>
      <c r="BT31" s="209">
        <v>9</v>
      </c>
      <c r="BU31" s="209">
        <v>16</v>
      </c>
      <c r="BV31" s="209">
        <v>13</v>
      </c>
      <c r="BW31" s="209">
        <v>12</v>
      </c>
      <c r="BX31" s="209">
        <v>9</v>
      </c>
      <c r="BY31" s="209">
        <v>8</v>
      </c>
      <c r="BZ31" s="209">
        <v>13</v>
      </c>
      <c r="CA31" s="209">
        <v>12</v>
      </c>
      <c r="CB31" s="209">
        <v>12</v>
      </c>
      <c r="CC31" s="209">
        <v>10</v>
      </c>
      <c r="CD31" s="209">
        <v>9</v>
      </c>
      <c r="CE31" s="209">
        <v>18</v>
      </c>
      <c r="CF31" s="209">
        <v>16</v>
      </c>
      <c r="CG31" s="209">
        <v>17</v>
      </c>
      <c r="CH31" s="209">
        <v>7</v>
      </c>
      <c r="CI31" s="209">
        <v>4</v>
      </c>
      <c r="CJ31" s="209">
        <v>18</v>
      </c>
      <c r="CK31" s="209">
        <v>11</v>
      </c>
      <c r="CL31" s="209">
        <v>13</v>
      </c>
      <c r="CM31" s="209">
        <v>11</v>
      </c>
      <c r="CN31" s="209">
        <v>17.224188737021219</v>
      </c>
      <c r="CO31" s="209">
        <v>20.268716029105661</v>
      </c>
      <c r="CP31" s="209">
        <v>18.61756682598066</v>
      </c>
      <c r="CQ31" s="209">
        <v>19.440826558331981</v>
      </c>
      <c r="CR31" s="209">
        <v>18.940191413129501</v>
      </c>
      <c r="CS31" s="209">
        <v>17.49645920562104</v>
      </c>
      <c r="CT31" s="209">
        <v>19.66762634326583</v>
      </c>
      <c r="CU31" s="209">
        <v>19.485687357822972</v>
      </c>
      <c r="CV31" s="209">
        <v>17.679722769975239</v>
      </c>
      <c r="CW31" s="209">
        <v>16.670880944859871</v>
      </c>
      <c r="CX31" s="209">
        <v>16.127232231795201</v>
      </c>
      <c r="CY31" s="209">
        <v>18.476426295320771</v>
      </c>
      <c r="CZ31" s="209">
        <v>17.095418868232368</v>
      </c>
      <c r="DA31" s="209">
        <v>15.822825650742081</v>
      </c>
      <c r="DB31" s="209">
        <v>15.002592104065309</v>
      </c>
      <c r="DC31" s="209">
        <v>19.08355708399553</v>
      </c>
      <c r="DD31" s="209">
        <v>18.378382381845149</v>
      </c>
      <c r="DE31" s="209">
        <v>18</v>
      </c>
      <c r="DF31" s="209">
        <v>16.348776731313968</v>
      </c>
      <c r="DG31" s="209">
        <v>15.702235011015221</v>
      </c>
      <c r="DH31" s="209">
        <v>25</v>
      </c>
      <c r="DI31" s="209">
        <v>20.722580339662819</v>
      </c>
      <c r="DJ31" s="209">
        <v>18.661478889353472</v>
      </c>
      <c r="DK31" s="209">
        <v>17.713251303135209</v>
      </c>
      <c r="DL31" s="209">
        <v>16.185057315622871</v>
      </c>
      <c r="DM31" s="209">
        <v>22.647471846675749</v>
      </c>
      <c r="DN31" s="209">
        <v>20.063242255185951</v>
      </c>
      <c r="DO31" s="209">
        <v>17.71562452520476</v>
      </c>
      <c r="DP31" s="209">
        <v>15.20457520833428</v>
      </c>
      <c r="DQ31" s="209">
        <v>12.502426596321101</v>
      </c>
      <c r="DR31" s="209">
        <v>23.377022503037839</v>
      </c>
      <c r="DS31" s="209">
        <v>20.276914318795392</v>
      </c>
      <c r="DT31" s="209">
        <v>18.446682929505791</v>
      </c>
      <c r="DU31" s="209">
        <v>16.867348577294312</v>
      </c>
      <c r="DV31" s="209">
        <v>15.754621953653</v>
      </c>
      <c r="DW31" s="209">
        <v>23.41579976287251</v>
      </c>
      <c r="DX31" s="209">
        <v>14.962497644942159</v>
      </c>
      <c r="DY31" s="209">
        <v>20.152026907494779</v>
      </c>
      <c r="DZ31" s="210">
        <v>21.000309717869111</v>
      </c>
      <c r="EA31" s="210">
        <v>25.89164896592656</v>
      </c>
      <c r="EB31" s="210">
        <v>23.868505768584491</v>
      </c>
      <c r="EC31" s="211">
        <v>16.992393944843137</v>
      </c>
      <c r="ED31" s="211">
        <v>16.87895959352112</v>
      </c>
      <c r="EE31" s="211">
        <v>16.50141928831335</v>
      </c>
      <c r="EF31" s="211">
        <v>21.986350158504859</v>
      </c>
      <c r="EG31" s="211">
        <v>19.980692706159505</v>
      </c>
      <c r="EH31" s="211">
        <v>19.005621057334633</v>
      </c>
      <c r="EI31" s="211">
        <v>17.500302909726841</v>
      </c>
      <c r="EJ31" s="211">
        <v>24.161043872455153</v>
      </c>
      <c r="EK31" s="211">
        <v>20.976579428410531</v>
      </c>
      <c r="EL31" s="211">
        <v>19.022026696377047</v>
      </c>
      <c r="EM31" s="211">
        <v>18.353403436630526</v>
      </c>
      <c r="EN31" s="211">
        <v>16.32586902509443</v>
      </c>
      <c r="EO31" s="211">
        <v>20.972342571459063</v>
      </c>
      <c r="EP31" s="211">
        <v>18.960798663181336</v>
      </c>
      <c r="EQ31" s="211">
        <v>17.097707381886639</v>
      </c>
      <c r="ER31" s="211">
        <v>16.301004639571673</v>
      </c>
      <c r="ES31" s="211">
        <v>15.310684345805976</v>
      </c>
      <c r="ET31" s="211">
        <v>19.461674725769669</v>
      </c>
      <c r="EU31" s="211">
        <v>17.49675832452176</v>
      </c>
      <c r="EV31" s="211">
        <v>15.793977620513848</v>
      </c>
      <c r="EW31" s="211">
        <v>15.958824853794003</v>
      </c>
      <c r="EX31" s="212">
        <v>15.985939434195098</v>
      </c>
      <c r="EY31" s="212">
        <v>21.700460786926055</v>
      </c>
      <c r="EZ31" s="212">
        <v>19.801347717410685</v>
      </c>
      <c r="FA31" s="212">
        <v>18.329379126467515</v>
      </c>
      <c r="FB31" s="212">
        <v>18.507832556566736</v>
      </c>
      <c r="FC31" s="212">
        <v>17.75974852041923</v>
      </c>
      <c r="FD31" s="212">
        <v>21.709253244302804</v>
      </c>
      <c r="FE31" s="212">
        <v>19.378546338749604</v>
      </c>
      <c r="FF31" s="212">
        <v>17.960240006125726</v>
      </c>
      <c r="FG31" s="212">
        <v>16.170336741597144</v>
      </c>
      <c r="FH31" s="212">
        <v>23.305612633846604</v>
      </c>
      <c r="FI31" s="212">
        <v>19.233840826304895</v>
      </c>
      <c r="FJ31" s="212">
        <v>16.988687428070236</v>
      </c>
      <c r="FK31" s="212">
        <v>14.583012812788619</v>
      </c>
      <c r="FL31" s="212">
        <v>14.640182790923877</v>
      </c>
      <c r="FM31" s="212">
        <v>21.122467403014131</v>
      </c>
      <c r="FN31" s="212">
        <v>18.16329759061011</v>
      </c>
      <c r="FO31" s="212">
        <v>15.690514152605557</v>
      </c>
      <c r="FP31" s="212">
        <v>14.511187315975928</v>
      </c>
      <c r="FQ31" s="212">
        <v>13.303472681580327</v>
      </c>
      <c r="FR31" s="213">
        <v>26.363869187412391</v>
      </c>
      <c r="FS31" s="213">
        <v>25.09147661767275</v>
      </c>
      <c r="FT31" s="213">
        <v>23.021792574475704</v>
      </c>
      <c r="FU31" s="213">
        <v>21.9647489747917</v>
      </c>
      <c r="FV31" s="213">
        <v>19.86358141237233</v>
      </c>
      <c r="FW31" s="213">
        <v>26.00352798528381</v>
      </c>
      <c r="FX31" s="213">
        <v>24.092666080937054</v>
      </c>
      <c r="FY31" s="213">
        <v>21.958964640957209</v>
      </c>
      <c r="FZ31" s="213">
        <v>20.17366939807394</v>
      </c>
      <c r="GA31" s="213">
        <v>18.275236082998042</v>
      </c>
      <c r="GB31" s="213">
        <v>27.793544956190072</v>
      </c>
      <c r="GC31" s="213">
        <v>24.515169892528977</v>
      </c>
      <c r="GD31" s="213">
        <v>23.907608371440272</v>
      </c>
      <c r="GE31" s="213">
        <v>21.44033635635228</v>
      </c>
      <c r="GF31" s="213">
        <v>29.700000000000003</v>
      </c>
      <c r="GG31" s="213">
        <v>30</v>
      </c>
      <c r="GH31" s="213">
        <v>27.599999999999998</v>
      </c>
      <c r="GI31" s="213">
        <v>26.4</v>
      </c>
      <c r="GJ31" s="213">
        <v>23.75</v>
      </c>
      <c r="GK31" s="213">
        <v>30.800000000000004</v>
      </c>
      <c r="GL31" s="213">
        <v>29.700000000000003</v>
      </c>
      <c r="GM31" s="213">
        <v>28.799999999999997</v>
      </c>
      <c r="GN31" s="213">
        <v>34.818919078878992</v>
      </c>
      <c r="GO31" s="213">
        <v>33.045921870518796</v>
      </c>
      <c r="GP31" s="213">
        <v>40.074606114246556</v>
      </c>
      <c r="GQ31" s="213">
        <v>34.482796644660958</v>
      </c>
      <c r="GR31" s="213">
        <v>35.996463710188934</v>
      </c>
      <c r="GS31" s="213">
        <v>34.75962623839456</v>
      </c>
      <c r="GT31" s="213">
        <v>32.694068106868528</v>
      </c>
      <c r="GU31" s="213">
        <v>39.646352364712961</v>
      </c>
      <c r="GV31" s="213">
        <v>33.18098577543963</v>
      </c>
      <c r="GW31" s="213">
        <v>34.970792045580311</v>
      </c>
      <c r="GX31" s="213">
        <v>32.875767194312573</v>
      </c>
      <c r="GY31" s="213">
        <v>32.358170146866449</v>
      </c>
      <c r="GZ31" s="213">
        <v>36.998100420375934</v>
      </c>
      <c r="HA31" s="213">
        <v>31.69526517937399</v>
      </c>
      <c r="HB31" s="213">
        <v>32.01088174705157</v>
      </c>
      <c r="HC31" s="213">
        <v>30.104019707919438</v>
      </c>
      <c r="HD31" s="213">
        <v>29.788526641911808</v>
      </c>
      <c r="HE31" s="213">
        <v>36.021230403335089</v>
      </c>
      <c r="HF31" s="213">
        <v>32.417958522226172</v>
      </c>
      <c r="HG31" s="213">
        <v>36.615186655874055</v>
      </c>
      <c r="HH31" s="213">
        <v>42.166977959674391</v>
      </c>
      <c r="HI31" s="213">
        <v>40.643653160250949</v>
      </c>
      <c r="HJ31" s="214">
        <v>27.003084900000005</v>
      </c>
      <c r="HK31" s="214">
        <v>21.488174400000002</v>
      </c>
      <c r="HL31" s="214">
        <v>21.615081400000001</v>
      </c>
      <c r="HM31" s="214">
        <v>21.375093599999996</v>
      </c>
      <c r="HN31" s="214">
        <v>21.121262399999999</v>
      </c>
      <c r="HO31" s="214">
        <v>23.669450200000004</v>
      </c>
      <c r="HP31" s="214">
        <v>20.641052399999996</v>
      </c>
      <c r="HQ31" s="214">
        <v>21.346119600000002</v>
      </c>
      <c r="HR31" s="214">
        <v>19.535200799999998</v>
      </c>
      <c r="HS31" s="214">
        <v>20.398213749999996</v>
      </c>
      <c r="HT31" s="214">
        <v>23.007668200000001</v>
      </c>
      <c r="HU31" s="214">
        <v>19.706939999999999</v>
      </c>
      <c r="HV31" s="214">
        <v>20.178397199999999</v>
      </c>
      <c r="HW31" s="214">
        <v>18.934689599999999</v>
      </c>
      <c r="HX31" s="214">
        <v>19.884905</v>
      </c>
      <c r="HY31" s="214">
        <v>22.800490900000003</v>
      </c>
      <c r="HZ31" s="214">
        <v>18.781489199999999</v>
      </c>
      <c r="IA31" s="214">
        <v>19.154024999999997</v>
      </c>
      <c r="IB31" s="214">
        <v>17.4698125</v>
      </c>
      <c r="IC31" s="214">
        <v>17.09426375</v>
      </c>
      <c r="ID31" s="214">
        <v>20.76006375</v>
      </c>
      <c r="IE31" s="214">
        <v>18.996488399999997</v>
      </c>
      <c r="IF31" s="214">
        <v>18.295831249999999</v>
      </c>
      <c r="IG31" s="214">
        <v>17.835146250000001</v>
      </c>
      <c r="IH31" s="214">
        <v>23.691305999999997</v>
      </c>
      <c r="II31" s="214">
        <v>17.304591599999998</v>
      </c>
      <c r="IJ31" s="214">
        <v>17.896838750000001</v>
      </c>
      <c r="IK31" s="214">
        <v>16.597185</v>
      </c>
      <c r="IL31" s="214">
        <v>23.8667297</v>
      </c>
      <c r="IM31" s="214">
        <v>20.326664400000002</v>
      </c>
      <c r="IN31" s="214">
        <v>20.0415396</v>
      </c>
      <c r="IO31" s="214">
        <v>19.07144375</v>
      </c>
      <c r="IP31" s="214">
        <v>19.192981250000003</v>
      </c>
      <c r="IQ31" s="214">
        <v>22.799745100000003</v>
      </c>
      <c r="IR31" s="214">
        <v>18.9689616</v>
      </c>
      <c r="IS31" s="214">
        <v>19.314142799999999</v>
      </c>
      <c r="IT31" s="214">
        <v>18.521027499999999</v>
      </c>
      <c r="IU31" s="214">
        <v>17.886017500000001</v>
      </c>
      <c r="IV31" s="214">
        <v>21.476752799999996</v>
      </c>
      <c r="IW31" s="214">
        <v>16.094639999999998</v>
      </c>
      <c r="IX31" s="214">
        <v>16.315818749999998</v>
      </c>
      <c r="IY31" s="214">
        <v>17.610737499999999</v>
      </c>
      <c r="IZ31" s="214">
        <v>19.979492499999999</v>
      </c>
      <c r="JA31" s="214">
        <v>20.763163750000004</v>
      </c>
      <c r="JB31" s="214">
        <v>17.193380000000001</v>
      </c>
      <c r="JC31" s="214">
        <v>18.14645625</v>
      </c>
      <c r="JD31" s="214">
        <v>16.610991250000001</v>
      </c>
      <c r="JE31" s="214">
        <v>19.57006625</v>
      </c>
      <c r="JF31" s="214">
        <v>20.638518750000003</v>
      </c>
      <c r="JG31" s="214">
        <v>16.920547500000001</v>
      </c>
      <c r="JH31" s="214">
        <v>18.316593750000003</v>
      </c>
      <c r="JI31" s="214">
        <v>18.09717625</v>
      </c>
      <c r="JJ31" s="214">
        <v>19.583618749999999</v>
      </c>
      <c r="JK31" s="214">
        <v>20.429258749999999</v>
      </c>
      <c r="JL31" s="214">
        <v>16.461404999999999</v>
      </c>
      <c r="JM31" s="214">
        <v>17.777365</v>
      </c>
      <c r="JN31" s="214">
        <v>17.475045000000001</v>
      </c>
      <c r="JO31" s="214">
        <v>14.704873107638889</v>
      </c>
      <c r="JP31" s="214">
        <v>15.504348113194446</v>
      </c>
      <c r="JQ31" s="214">
        <v>14.949597240277779</v>
      </c>
      <c r="JR31" s="214">
        <v>14.364042945833333</v>
      </c>
      <c r="JS31" s="214">
        <v>14.578888740972221</v>
      </c>
      <c r="JT31" s="214">
        <v>20.376301999999999</v>
      </c>
      <c r="JU31" s="214">
        <v>18.057801000000001</v>
      </c>
      <c r="JV31" s="214">
        <v>16.434280999999999</v>
      </c>
      <c r="JW31" s="214">
        <v>13.919048</v>
      </c>
      <c r="JX31" s="214">
        <v>20.825814000000001</v>
      </c>
      <c r="JY31" s="214">
        <v>19.865791000000002</v>
      </c>
      <c r="JZ31" s="214">
        <v>17.603300000000001</v>
      </c>
      <c r="KA31" s="214">
        <v>16.079757000000001</v>
      </c>
      <c r="KB31" s="214">
        <v>13.649941999999999</v>
      </c>
      <c r="KC31" s="214">
        <v>20.352112000000002</v>
      </c>
      <c r="KD31" s="214">
        <v>19.702285</v>
      </c>
      <c r="KE31" s="214">
        <v>16.999268000000001</v>
      </c>
      <c r="KF31" s="214">
        <v>15.367372</v>
      </c>
      <c r="KG31" s="214">
        <v>13.46564</v>
      </c>
      <c r="KH31" s="214">
        <v>19.943439000000001</v>
      </c>
      <c r="KI31" s="214">
        <v>19.139823</v>
      </c>
      <c r="KJ31" s="214">
        <v>16.522998000000001</v>
      </c>
      <c r="KK31" s="214">
        <v>14.688409999999999</v>
      </c>
      <c r="KL31" s="214">
        <v>13.237672</v>
      </c>
      <c r="KM31" s="214">
        <v>19.297321</v>
      </c>
      <c r="KN31" s="214">
        <v>18.687942</v>
      </c>
    </row>
    <row r="32" spans="1:300" x14ac:dyDescent="0.35">
      <c r="A32" s="216" t="str">
        <f t="shared" si="0"/>
        <v>dimanche</v>
      </c>
      <c r="B32" s="217">
        <v>44584</v>
      </c>
      <c r="C32" s="202">
        <v>0</v>
      </c>
      <c r="D32" s="202"/>
      <c r="E32" s="202"/>
      <c r="F32" s="202"/>
      <c r="G32" s="202"/>
      <c r="H32" s="202"/>
      <c r="I32" s="202"/>
      <c r="J32" s="202"/>
      <c r="K32" s="202"/>
      <c r="L32" s="202"/>
      <c r="M32" s="202"/>
      <c r="N32" s="202"/>
      <c r="O32" s="202"/>
      <c r="P32" s="202"/>
      <c r="Q32" s="202"/>
      <c r="R32" s="202"/>
      <c r="S32" s="202"/>
      <c r="T32" s="202"/>
      <c r="U32" s="202"/>
      <c r="V32" s="202">
        <v>0</v>
      </c>
      <c r="W32" s="203">
        <f t="shared" si="1"/>
        <v>0</v>
      </c>
      <c r="AA32" s="196">
        <v>0.41666666666666702</v>
      </c>
      <c r="AB32" s="223">
        <v>38.016806722689076</v>
      </c>
      <c r="AC32" s="223">
        <v>20.822299651567945</v>
      </c>
      <c r="AD32" s="223">
        <v>19.73394495412844</v>
      </c>
      <c r="AE32" s="223">
        <v>16.921182266009854</v>
      </c>
      <c r="AF32" s="223">
        <v>17.024630541871922</v>
      </c>
      <c r="AG32" s="223">
        <v>21.641221374045802</v>
      </c>
      <c r="AH32" s="223">
        <v>19.721739130434781</v>
      </c>
      <c r="AI32" s="223">
        <v>18.995073891625616</v>
      </c>
      <c r="AJ32" s="223">
        <v>17.664974619289339</v>
      </c>
      <c r="AK32" s="223">
        <v>16.932989690721648</v>
      </c>
      <c r="AL32" s="223">
        <v>21.752988047808763</v>
      </c>
      <c r="AM32" s="223">
        <v>20.220264317180618</v>
      </c>
      <c r="AN32" s="223">
        <v>19.502487562189053</v>
      </c>
      <c r="AO32" s="223">
        <v>18.24742268041237</v>
      </c>
      <c r="AP32" s="223">
        <v>17.421875</v>
      </c>
      <c r="AQ32" s="223">
        <v>21.012875536480689</v>
      </c>
      <c r="AR32" s="223">
        <v>19.471365638766521</v>
      </c>
      <c r="AS32" s="223">
        <v>18.041237113402062</v>
      </c>
      <c r="AT32" s="223">
        <v>17.967914438502675</v>
      </c>
      <c r="AU32" s="223">
        <v>17.827225130890053</v>
      </c>
      <c r="AV32" s="223">
        <v>21.153846153846153</v>
      </c>
      <c r="AW32" s="223">
        <v>17</v>
      </c>
      <c r="AX32" s="223">
        <v>17</v>
      </c>
      <c r="AY32" s="223">
        <v>16</v>
      </c>
      <c r="AZ32" s="223">
        <v>14</v>
      </c>
      <c r="BA32" s="223">
        <v>21</v>
      </c>
      <c r="BB32" s="223">
        <v>19</v>
      </c>
      <c r="BC32" s="223">
        <v>18</v>
      </c>
      <c r="BD32" s="223">
        <v>16</v>
      </c>
      <c r="BE32" s="223">
        <v>15</v>
      </c>
      <c r="BF32" s="223">
        <v>20</v>
      </c>
      <c r="BG32" s="223">
        <v>18</v>
      </c>
      <c r="BH32" s="223">
        <v>17</v>
      </c>
      <c r="BI32" s="223">
        <v>15</v>
      </c>
      <c r="BJ32" s="223">
        <v>13</v>
      </c>
      <c r="BK32" s="223">
        <v>18</v>
      </c>
      <c r="BL32" s="223">
        <v>16</v>
      </c>
      <c r="BM32" s="223">
        <v>14</v>
      </c>
      <c r="BN32" s="223">
        <v>13</v>
      </c>
      <c r="BO32" s="223">
        <v>11</v>
      </c>
      <c r="BP32" s="223">
        <v>19</v>
      </c>
      <c r="BQ32" s="209">
        <v>14</v>
      </c>
      <c r="BR32" s="209">
        <v>16</v>
      </c>
      <c r="BS32" s="209">
        <v>14</v>
      </c>
      <c r="BT32" s="209">
        <v>12</v>
      </c>
      <c r="BU32" s="209">
        <v>21</v>
      </c>
      <c r="BV32" s="209">
        <v>19</v>
      </c>
      <c r="BW32" s="209">
        <v>19</v>
      </c>
      <c r="BX32" s="209">
        <v>18</v>
      </c>
      <c r="BY32" s="209">
        <v>19</v>
      </c>
      <c r="BZ32" s="209">
        <v>24</v>
      </c>
      <c r="CA32" s="209">
        <v>21</v>
      </c>
      <c r="CB32" s="209">
        <v>20</v>
      </c>
      <c r="CC32" s="209">
        <v>19</v>
      </c>
      <c r="CD32" s="209">
        <v>15</v>
      </c>
      <c r="CE32" s="209">
        <v>25</v>
      </c>
      <c r="CF32" s="209">
        <v>23</v>
      </c>
      <c r="CG32" s="209">
        <v>22</v>
      </c>
      <c r="CH32" s="209">
        <v>28</v>
      </c>
      <c r="CI32" s="209">
        <v>18</v>
      </c>
      <c r="CJ32" s="209">
        <v>29</v>
      </c>
      <c r="CK32" s="209">
        <v>16</v>
      </c>
      <c r="CL32" s="209">
        <v>18</v>
      </c>
      <c r="CM32" s="209">
        <v>15</v>
      </c>
      <c r="CN32" s="209">
        <v>18.25087731052529</v>
      </c>
      <c r="CO32" s="209">
        <v>20.706054273332889</v>
      </c>
      <c r="CP32" s="209">
        <v>19.057289549925699</v>
      </c>
      <c r="CQ32" s="209">
        <v>19.75397786209367</v>
      </c>
      <c r="CR32" s="209">
        <v>19.07773868500847</v>
      </c>
      <c r="CS32" s="209">
        <v>17.53962443274014</v>
      </c>
      <c r="CT32" s="209">
        <v>19.68570308442731</v>
      </c>
      <c r="CU32" s="209">
        <v>19.506148578702259</v>
      </c>
      <c r="CV32" s="209">
        <v>17.754649720852569</v>
      </c>
      <c r="CW32" s="209">
        <v>16.570203863854481</v>
      </c>
      <c r="CX32" s="209">
        <v>15.98522649034898</v>
      </c>
      <c r="CY32" s="209">
        <v>18.040964517449421</v>
      </c>
      <c r="CZ32" s="209">
        <v>16.66136943604003</v>
      </c>
      <c r="DA32" s="209">
        <v>15.55241585157245</v>
      </c>
      <c r="DB32" s="209">
        <v>14.69751564258744</v>
      </c>
      <c r="DC32" s="209">
        <v>19.01286989256003</v>
      </c>
      <c r="DD32" s="209">
        <v>18.325496336794139</v>
      </c>
      <c r="DE32" s="209">
        <v>18</v>
      </c>
      <c r="DF32" s="209">
        <v>16.246875254164181</v>
      </c>
      <c r="DG32" s="209">
        <v>15.56566687155718</v>
      </c>
      <c r="DH32" s="209">
        <v>25</v>
      </c>
      <c r="DI32" s="209">
        <v>20.658814755259019</v>
      </c>
      <c r="DJ32" s="209">
        <v>18.599125650628689</v>
      </c>
      <c r="DK32" s="209">
        <v>17.644445776828729</v>
      </c>
      <c r="DL32" s="209">
        <v>16.07781201776444</v>
      </c>
      <c r="DM32" s="209">
        <v>22.581321782554149</v>
      </c>
      <c r="DN32" s="209">
        <v>19.999476670782151</v>
      </c>
      <c r="DO32" s="209">
        <v>17.653271286479971</v>
      </c>
      <c r="DP32" s="209">
        <v>15.135769682027799</v>
      </c>
      <c r="DQ32" s="209">
        <v>11.85117504438999</v>
      </c>
      <c r="DR32" s="209">
        <v>23.565931865535632</v>
      </c>
      <c r="DS32" s="209">
        <v>20.483624827677659</v>
      </c>
      <c r="DT32" s="209">
        <v>18.435534579286021</v>
      </c>
      <c r="DU32" s="209">
        <v>16.833664606159509</v>
      </c>
      <c r="DV32" s="209">
        <v>15.66004289342264</v>
      </c>
      <c r="DW32" s="209">
        <v>23.41175092205005</v>
      </c>
      <c r="DX32" s="209">
        <v>15.155650018107179</v>
      </c>
      <c r="DY32" s="209">
        <v>20.253730426247579</v>
      </c>
      <c r="DZ32" s="210">
        <v>21.040119441300948</v>
      </c>
      <c r="EA32" s="210">
        <v>25.991577771195171</v>
      </c>
      <c r="EB32" s="210">
        <v>23.978826058965669</v>
      </c>
      <c r="EC32" s="211">
        <v>17.18896569542019</v>
      </c>
      <c r="ED32" s="211">
        <v>16.89626660099864</v>
      </c>
      <c r="EE32" s="211">
        <v>16.555874443886438</v>
      </c>
      <c r="EF32" s="211">
        <v>21.956257885784975</v>
      </c>
      <c r="EG32" s="211">
        <v>19.908063536886079</v>
      </c>
      <c r="EH32" s="211">
        <v>18.869385187158429</v>
      </c>
      <c r="EI32" s="211">
        <v>17.349689848761351</v>
      </c>
      <c r="EJ32" s="211">
        <v>24.11964077099444</v>
      </c>
      <c r="EK32" s="211">
        <v>20.852983632508092</v>
      </c>
      <c r="EL32" s="211">
        <v>18.881706516044623</v>
      </c>
      <c r="EM32" s="211">
        <v>18.129341513816069</v>
      </c>
      <c r="EN32" s="211">
        <v>16.094160232107846</v>
      </c>
      <c r="EO32" s="211">
        <v>21.076737601402456</v>
      </c>
      <c r="EP32" s="211">
        <v>18.742818747174837</v>
      </c>
      <c r="EQ32" s="211">
        <v>16.791241512581124</v>
      </c>
      <c r="ER32" s="211">
        <v>15.952735253177558</v>
      </c>
      <c r="ES32" s="211">
        <v>15.030125955123722</v>
      </c>
      <c r="ET32" s="211">
        <v>19.045734626173992</v>
      </c>
      <c r="EU32" s="211">
        <v>17.092276173688894</v>
      </c>
      <c r="EV32" s="211">
        <v>15.397674457805607</v>
      </c>
      <c r="EW32" s="211">
        <v>15.697772433172721</v>
      </c>
      <c r="EX32" s="212">
        <v>16.622691388754632</v>
      </c>
      <c r="EY32" s="212">
        <v>22.125264617317175</v>
      </c>
      <c r="EZ32" s="212">
        <v>19.747074981934016</v>
      </c>
      <c r="FA32" s="212">
        <v>18.150787316834915</v>
      </c>
      <c r="FB32" s="212">
        <v>18.258133759432596</v>
      </c>
      <c r="FC32" s="212">
        <v>17.279442877814276</v>
      </c>
      <c r="FD32" s="212">
        <v>21.675807787358924</v>
      </c>
      <c r="FE32" s="212">
        <v>19.11006812625989</v>
      </c>
      <c r="FF32" s="212">
        <v>17.631071621904169</v>
      </c>
      <c r="FG32" s="212">
        <v>16.060679016498309</v>
      </c>
      <c r="FH32" s="212">
        <v>23.225320384907221</v>
      </c>
      <c r="FI32" s="212">
        <v>19.119017533522655</v>
      </c>
      <c r="FJ32" s="212">
        <v>16.777657250317052</v>
      </c>
      <c r="FK32" s="212">
        <v>14.400129365727635</v>
      </c>
      <c r="FL32" s="212">
        <v>14.729088900599383</v>
      </c>
      <c r="FM32" s="212">
        <v>20.971525096672913</v>
      </c>
      <c r="FN32" s="212">
        <v>17.852799493253478</v>
      </c>
      <c r="FO32" s="212">
        <v>15.440930549541269</v>
      </c>
      <c r="FP32" s="212">
        <v>14.338072783746254</v>
      </c>
      <c r="FQ32" s="212">
        <v>13.009482481728885</v>
      </c>
      <c r="FR32" s="213">
        <v>24.426475490394605</v>
      </c>
      <c r="FS32" s="213">
        <v>23.247586956089243</v>
      </c>
      <c r="FT32" s="213">
        <v>21.329997248565157</v>
      </c>
      <c r="FU32" s="213">
        <v>20.350632377262716</v>
      </c>
      <c r="FV32" s="213">
        <v>18.403872738945672</v>
      </c>
      <c r="FW32" s="213">
        <v>24.092615126489235</v>
      </c>
      <c r="FX32" s="213">
        <v>22.322176215955349</v>
      </c>
      <c r="FY32" s="213">
        <v>20.345273488586773</v>
      </c>
      <c r="FZ32" s="213">
        <v>18.691173730979141</v>
      </c>
      <c r="GA32" s="213">
        <v>16.932250025019197</v>
      </c>
      <c r="GB32" s="213">
        <v>25.751090289788216</v>
      </c>
      <c r="GC32" s="213">
        <v>22.713632149676815</v>
      </c>
      <c r="GD32" s="213">
        <v>22.150718391964908</v>
      </c>
      <c r="GE32" s="213">
        <v>19.86475801596071</v>
      </c>
      <c r="GF32" s="213">
        <v>27.500000000000004</v>
      </c>
      <c r="GG32" s="213">
        <v>28.799999999999997</v>
      </c>
      <c r="GH32" s="213">
        <v>25.2</v>
      </c>
      <c r="GI32" s="213">
        <v>25.2</v>
      </c>
      <c r="GJ32" s="213">
        <v>22.5</v>
      </c>
      <c r="GK32" s="213">
        <v>28.6</v>
      </c>
      <c r="GL32" s="213">
        <v>27.500000000000004</v>
      </c>
      <c r="GM32" s="213">
        <v>26.4</v>
      </c>
      <c r="GN32" s="213">
        <v>32.575656016194316</v>
      </c>
      <c r="GO32" s="213">
        <v>31.004302248523217</v>
      </c>
      <c r="GP32" s="213">
        <v>36.654223108089354</v>
      </c>
      <c r="GQ32" s="213">
        <v>33.02458347152713</v>
      </c>
      <c r="GR32" s="213">
        <v>31.971824818489942</v>
      </c>
      <c r="GS32" s="213">
        <v>32.45245767054049</v>
      </c>
      <c r="GT32" s="213">
        <v>30.650409880272761</v>
      </c>
      <c r="GU32" s="213">
        <v>36.259073944580784</v>
      </c>
      <c r="GV32" s="213">
        <v>31.76901691151928</v>
      </c>
      <c r="GW32" s="213">
        <v>31.139549616028138</v>
      </c>
      <c r="GX32" s="213">
        <v>30.685203302827624</v>
      </c>
      <c r="GY32" s="213">
        <v>30.335508408900093</v>
      </c>
      <c r="GZ32" s="213">
        <v>33.944698078085786</v>
      </c>
      <c r="HA32" s="213">
        <v>30.354931514247991</v>
      </c>
      <c r="HB32" s="213">
        <v>28.503913755110396</v>
      </c>
      <c r="HC32" s="213">
        <v>28.189412444422512</v>
      </c>
      <c r="HD32" s="213">
        <v>27.934481173027407</v>
      </c>
      <c r="HE32" s="213">
        <v>33.000683432856803</v>
      </c>
      <c r="HF32" s="213">
        <v>31.047063503172208</v>
      </c>
      <c r="HG32" s="213">
        <v>32.603791760982439</v>
      </c>
      <c r="HH32" s="213">
        <v>39.485169913286853</v>
      </c>
      <c r="HI32" s="213">
        <v>38.103078036092519</v>
      </c>
      <c r="HJ32" s="214">
        <v>26.958640500000001</v>
      </c>
      <c r="HK32" s="214">
        <v>23.202063500000001</v>
      </c>
      <c r="HL32" s="214">
        <v>20.345636300000002</v>
      </c>
      <c r="HM32" s="214">
        <v>20.208427199999999</v>
      </c>
      <c r="HN32" s="214">
        <v>20.775807599999997</v>
      </c>
      <c r="HO32" s="214">
        <v>23.6250058</v>
      </c>
      <c r="HP32" s="214">
        <v>22.5107496</v>
      </c>
      <c r="HQ32" s="214">
        <v>19.961270399999997</v>
      </c>
      <c r="HR32" s="214">
        <v>18.368534399999998</v>
      </c>
      <c r="HS32" s="214">
        <v>20.038364999999999</v>
      </c>
      <c r="HT32" s="214">
        <v>22.963223800000005</v>
      </c>
      <c r="HU32" s="214">
        <v>21.576637199999997</v>
      </c>
      <c r="HV32" s="214">
        <v>18.793547999999998</v>
      </c>
      <c r="HW32" s="214">
        <v>17.768021999999998</v>
      </c>
      <c r="HX32" s="214">
        <v>19.525056249999999</v>
      </c>
      <c r="HY32" s="214">
        <v>22.756046500000004</v>
      </c>
      <c r="HZ32" s="214">
        <v>20.6511864</v>
      </c>
      <c r="IA32" s="214">
        <v>17.711475</v>
      </c>
      <c r="IB32" s="214">
        <v>16.25453375</v>
      </c>
      <c r="IC32" s="214">
        <v>16.734414999999998</v>
      </c>
      <c r="ID32" s="214">
        <v>20.709558749999999</v>
      </c>
      <c r="IE32" s="214">
        <v>17.611640399999999</v>
      </c>
      <c r="IF32" s="214">
        <v>17.08055375</v>
      </c>
      <c r="IG32" s="214">
        <v>17.4752975</v>
      </c>
      <c r="IH32" s="214">
        <v>23.6428212</v>
      </c>
      <c r="II32" s="214">
        <v>19.174288799999999</v>
      </c>
      <c r="IJ32" s="214">
        <v>16.4542875</v>
      </c>
      <c r="IK32" s="214">
        <v>15.381907500000001</v>
      </c>
      <c r="IL32" s="214">
        <v>23.822285300000001</v>
      </c>
      <c r="IM32" s="214">
        <v>22.196361599999999</v>
      </c>
      <c r="IN32" s="214">
        <v>18.656691599999998</v>
      </c>
      <c r="IO32" s="214">
        <v>17.856166250000001</v>
      </c>
      <c r="IP32" s="214">
        <v>18.833132500000001</v>
      </c>
      <c r="IQ32" s="214">
        <v>22.755300700000003</v>
      </c>
      <c r="IR32" s="214">
        <v>20.838658800000001</v>
      </c>
      <c r="IS32" s="214">
        <v>17.929293599999998</v>
      </c>
      <c r="IT32" s="214">
        <v>17.30575</v>
      </c>
      <c r="IU32" s="214">
        <v>17.52617</v>
      </c>
      <c r="IV32" s="214">
        <v>21.428267999999999</v>
      </c>
      <c r="IW32" s="214">
        <v>18.04224125</v>
      </c>
      <c r="IX32" s="214">
        <v>14.873268749999999</v>
      </c>
      <c r="IY32" s="214">
        <v>16.39546</v>
      </c>
      <c r="IZ32" s="214">
        <v>19.619643750000002</v>
      </c>
      <c r="JA32" s="214">
        <v>20.712658749999999</v>
      </c>
      <c r="JB32" s="214">
        <v>19.140981249999999</v>
      </c>
      <c r="JC32" s="214">
        <v>16.703906249999999</v>
      </c>
      <c r="JD32" s="214">
        <v>15.3957125</v>
      </c>
      <c r="JE32" s="214">
        <v>19.210218750000003</v>
      </c>
      <c r="JF32" s="214">
        <v>20.588012500000001</v>
      </c>
      <c r="JG32" s="214">
        <v>18.86814875</v>
      </c>
      <c r="JH32" s="214">
        <v>16.874043750000002</v>
      </c>
      <c r="JI32" s="214">
        <v>16.881898749999998</v>
      </c>
      <c r="JJ32" s="214">
        <v>19.223770000000002</v>
      </c>
      <c r="JK32" s="214">
        <v>20.378753750000001</v>
      </c>
      <c r="JL32" s="214">
        <v>18.409005000000001</v>
      </c>
      <c r="JM32" s="214">
        <v>16.334814999999999</v>
      </c>
      <c r="JN32" s="214">
        <v>16.259767499999999</v>
      </c>
      <c r="JO32" s="214">
        <v>14.34502435763889</v>
      </c>
      <c r="JP32" s="214">
        <v>17.451949363194444</v>
      </c>
      <c r="JQ32" s="214">
        <v>13.507047240277782</v>
      </c>
      <c r="JR32" s="214">
        <v>13.148765445833332</v>
      </c>
      <c r="JS32" s="214">
        <v>14.219039990972222</v>
      </c>
      <c r="JT32" s="214">
        <v>17.916706000000001</v>
      </c>
      <c r="JU32" s="214">
        <v>15.762347</v>
      </c>
      <c r="JV32" s="214">
        <v>14.813069</v>
      </c>
      <c r="JW32" s="214">
        <v>15.105916000000001</v>
      </c>
      <c r="JX32" s="214">
        <v>18.310662000000001</v>
      </c>
      <c r="JY32" s="214">
        <v>17.406195</v>
      </c>
      <c r="JZ32" s="214">
        <v>15.307845</v>
      </c>
      <c r="KA32" s="214">
        <v>14.458545000000001</v>
      </c>
      <c r="KB32" s="214">
        <v>14.836811000000001</v>
      </c>
      <c r="KC32" s="214">
        <v>17.836960000000001</v>
      </c>
      <c r="KD32" s="214">
        <v>17.242688999999999</v>
      </c>
      <c r="KE32" s="214">
        <v>14.703813</v>
      </c>
      <c r="KF32" s="214">
        <v>13.746159</v>
      </c>
      <c r="KG32" s="214">
        <v>14.652507999999999</v>
      </c>
      <c r="KH32" s="214">
        <v>17.428287999999998</v>
      </c>
      <c r="KI32" s="214">
        <v>16.680226999999999</v>
      </c>
      <c r="KJ32" s="214">
        <v>14.227543000000001</v>
      </c>
      <c r="KK32" s="214">
        <v>13.067197</v>
      </c>
      <c r="KL32" s="214">
        <v>14.424541</v>
      </c>
      <c r="KM32" s="214">
        <v>16.782170000000001</v>
      </c>
      <c r="KN32" s="214">
        <v>16.228345999999998</v>
      </c>
    </row>
    <row r="33" spans="1:300" x14ac:dyDescent="0.35">
      <c r="A33" s="216" t="str">
        <f t="shared" si="0"/>
        <v>lundi</v>
      </c>
      <c r="B33" s="217">
        <v>44585</v>
      </c>
      <c r="C33" s="202">
        <v>0</v>
      </c>
      <c r="D33" s="202">
        <v>77</v>
      </c>
      <c r="E33" s="202">
        <v>131</v>
      </c>
      <c r="F33" s="202">
        <v>128</v>
      </c>
      <c r="G33" s="202">
        <v>142</v>
      </c>
      <c r="H33" s="202">
        <v>123</v>
      </c>
      <c r="I33" s="202">
        <v>110</v>
      </c>
      <c r="J33" s="202">
        <v>102</v>
      </c>
      <c r="K33" s="202">
        <v>100</v>
      </c>
      <c r="L33" s="202">
        <v>26</v>
      </c>
      <c r="M33" s="202">
        <v>26</v>
      </c>
      <c r="N33" s="202">
        <v>50</v>
      </c>
      <c r="O33" s="202">
        <v>69</v>
      </c>
      <c r="P33" s="202">
        <v>104</v>
      </c>
      <c r="Q33" s="202">
        <v>77</v>
      </c>
      <c r="R33" s="202">
        <v>74</v>
      </c>
      <c r="S33" s="202">
        <v>83</v>
      </c>
      <c r="T33" s="202">
        <v>70</v>
      </c>
      <c r="U33" s="202">
        <v>49</v>
      </c>
      <c r="V33" s="202">
        <v>0</v>
      </c>
      <c r="W33" s="203">
        <f t="shared" si="1"/>
        <v>1541</v>
      </c>
      <c r="AA33" s="196">
        <v>0.4375</v>
      </c>
      <c r="AB33" s="223">
        <v>38.016806722689076</v>
      </c>
      <c r="AC33" s="223">
        <v>20.822299651567945</v>
      </c>
      <c r="AD33" s="223">
        <v>19.73394495412844</v>
      </c>
      <c r="AE33" s="223">
        <v>16.921182266009854</v>
      </c>
      <c r="AF33" s="223">
        <v>17.024630541871922</v>
      </c>
      <c r="AG33" s="223">
        <v>21.641221374045802</v>
      </c>
      <c r="AH33" s="223">
        <v>19.721739130434781</v>
      </c>
      <c r="AI33" s="223">
        <v>18.995073891625616</v>
      </c>
      <c r="AJ33" s="223">
        <v>17.664974619289339</v>
      </c>
      <c r="AK33" s="223">
        <v>16.932989690721648</v>
      </c>
      <c r="AL33" s="223">
        <v>21.752988047808763</v>
      </c>
      <c r="AM33" s="223">
        <v>20.220264317180618</v>
      </c>
      <c r="AN33" s="223">
        <v>19.502487562189053</v>
      </c>
      <c r="AO33" s="223">
        <v>18.24742268041237</v>
      </c>
      <c r="AP33" s="223">
        <v>17.421875</v>
      </c>
      <c r="AQ33" s="223">
        <v>21.012875536480689</v>
      </c>
      <c r="AR33" s="223">
        <v>19.471365638766521</v>
      </c>
      <c r="AS33" s="223">
        <v>18.041237113402062</v>
      </c>
      <c r="AT33" s="223">
        <v>17.967914438502675</v>
      </c>
      <c r="AU33" s="223">
        <v>17.827225130890053</v>
      </c>
      <c r="AV33" s="223">
        <v>21.153846153846153</v>
      </c>
      <c r="AW33" s="223">
        <v>17</v>
      </c>
      <c r="AX33" s="223">
        <v>17</v>
      </c>
      <c r="AY33" s="223">
        <v>16</v>
      </c>
      <c r="AZ33" s="223">
        <v>14</v>
      </c>
      <c r="BA33" s="223">
        <v>21</v>
      </c>
      <c r="BB33" s="223">
        <v>19</v>
      </c>
      <c r="BC33" s="223">
        <v>18</v>
      </c>
      <c r="BD33" s="223">
        <v>16</v>
      </c>
      <c r="BE33" s="223">
        <v>15</v>
      </c>
      <c r="BF33" s="223">
        <v>20</v>
      </c>
      <c r="BG33" s="223">
        <v>18</v>
      </c>
      <c r="BH33" s="223">
        <v>17</v>
      </c>
      <c r="BI33" s="223">
        <v>16</v>
      </c>
      <c r="BJ33" s="223">
        <v>14</v>
      </c>
      <c r="BK33" s="223">
        <v>18</v>
      </c>
      <c r="BL33" s="223">
        <v>16</v>
      </c>
      <c r="BM33" s="223">
        <v>15</v>
      </c>
      <c r="BN33" s="223">
        <v>13</v>
      </c>
      <c r="BO33" s="223">
        <v>11</v>
      </c>
      <c r="BP33" s="223">
        <v>19</v>
      </c>
      <c r="BQ33" s="209">
        <v>14</v>
      </c>
      <c r="BR33" s="209">
        <v>16</v>
      </c>
      <c r="BS33" s="209">
        <v>14</v>
      </c>
      <c r="BT33" s="209">
        <v>12</v>
      </c>
      <c r="BU33" s="209">
        <v>21</v>
      </c>
      <c r="BV33" s="209">
        <v>19</v>
      </c>
      <c r="BW33" s="209">
        <v>19</v>
      </c>
      <c r="BX33" s="209">
        <v>18</v>
      </c>
      <c r="BY33" s="209">
        <v>19</v>
      </c>
      <c r="BZ33" s="209">
        <v>24</v>
      </c>
      <c r="CA33" s="209">
        <v>21</v>
      </c>
      <c r="CB33" s="209">
        <v>20</v>
      </c>
      <c r="CC33" s="209">
        <v>19</v>
      </c>
      <c r="CD33" s="209">
        <v>15</v>
      </c>
      <c r="CE33" s="209">
        <v>25</v>
      </c>
      <c r="CF33" s="209">
        <v>23</v>
      </c>
      <c r="CG33" s="209">
        <v>22</v>
      </c>
      <c r="CH33" s="209">
        <v>28</v>
      </c>
      <c r="CI33" s="209">
        <v>18</v>
      </c>
      <c r="CJ33" s="209">
        <v>29</v>
      </c>
      <c r="CK33" s="209">
        <v>16</v>
      </c>
      <c r="CL33" s="209">
        <v>18</v>
      </c>
      <c r="CM33" s="209">
        <v>15</v>
      </c>
      <c r="CN33" s="209">
        <v>17.38961872987019</v>
      </c>
      <c r="CO33" s="209">
        <v>20.51370715292548</v>
      </c>
      <c r="CP33" s="209">
        <v>18.86494242951828</v>
      </c>
      <c r="CQ33" s="209">
        <v>19.561630741686251</v>
      </c>
      <c r="CR33" s="209">
        <v>18.803965071901839</v>
      </c>
      <c r="CS33" s="209">
        <v>17.265850819633521</v>
      </c>
      <c r="CT33" s="209">
        <v>19.642221457055289</v>
      </c>
      <c r="CU33" s="209">
        <v>19.373035487693841</v>
      </c>
      <c r="CV33" s="209">
        <v>17.621536629844151</v>
      </c>
      <c r="CW33" s="209">
        <v>16.445023139995811</v>
      </c>
      <c r="CX33" s="209">
        <v>15.86004576649032</v>
      </c>
      <c r="CY33" s="209">
        <v>17.907851426440999</v>
      </c>
      <c r="CZ33" s="209">
        <v>16.450603436676289</v>
      </c>
      <c r="DA33" s="209">
        <v>15.352471108247361</v>
      </c>
      <c r="DB33" s="209">
        <v>14.451200373683861</v>
      </c>
      <c r="DC33" s="209">
        <v>18.75862225650668</v>
      </c>
      <c r="DD33" s="209">
        <v>18.071248700740789</v>
      </c>
      <c r="DE33" s="209">
        <v>18</v>
      </c>
      <c r="DF33" s="209">
        <v>16.003448874149491</v>
      </c>
      <c r="DG33" s="209">
        <v>15.319351602653599</v>
      </c>
      <c r="DH33" s="209">
        <v>24</v>
      </c>
      <c r="DI33" s="209">
        <v>20.48288669422767</v>
      </c>
      <c r="DJ33" s="209">
        <v>18.42319758959734</v>
      </c>
      <c r="DK33" s="209">
        <v>17.478672305169361</v>
      </c>
      <c r="DL33" s="209">
        <v>15.909149657216171</v>
      </c>
      <c r="DM33" s="209">
        <v>22.405393721522799</v>
      </c>
      <c r="DN33" s="209">
        <v>19.823548609750802</v>
      </c>
      <c r="DO33" s="209">
        <v>17.477343225448621</v>
      </c>
      <c r="DP33" s="209">
        <v>14.969996210368439</v>
      </c>
      <c r="DQ33" s="209">
        <v>11.68251268384174</v>
      </c>
      <c r="DR33" s="209">
        <v>23.134944377884882</v>
      </c>
      <c r="DS33" s="209">
        <v>20.052637340026909</v>
      </c>
      <c r="DT33" s="209">
        <v>18.004547091635271</v>
      </c>
      <c r="DU33" s="209">
        <v>16.413498374547409</v>
      </c>
      <c r="DV33" s="209">
        <v>15.15933486456632</v>
      </c>
      <c r="DW33" s="209">
        <v>22.903110526043971</v>
      </c>
      <c r="DX33" s="209">
        <v>14.647009622101111</v>
      </c>
      <c r="DY33" s="209">
        <v>19.745090030241499</v>
      </c>
      <c r="DZ33" s="210">
        <v>20.439269806673362</v>
      </c>
      <c r="EA33" s="210">
        <v>25.43207333558848</v>
      </c>
      <c r="EB33" s="210">
        <v>23.419321623358982</v>
      </c>
      <c r="EC33" s="211">
        <v>17.196318052042756</v>
      </c>
      <c r="ED33" s="211">
        <v>17.015567820241579</v>
      </c>
      <c r="EE33" s="211">
        <v>16.596445947235253</v>
      </c>
      <c r="EF33" s="211">
        <v>21.956708150448868</v>
      </c>
      <c r="EG33" s="211">
        <v>19.977096875445866</v>
      </c>
      <c r="EH33" s="211">
        <v>18.995081297784516</v>
      </c>
      <c r="EI33" s="211">
        <v>17.449002068912101</v>
      </c>
      <c r="EJ33" s="211">
        <v>24.166476051440664</v>
      </c>
      <c r="EK33" s="211">
        <v>20.919049529618079</v>
      </c>
      <c r="EL33" s="211">
        <v>18.992203682725631</v>
      </c>
      <c r="EM33" s="211">
        <v>18.295115422678865</v>
      </c>
      <c r="EN33" s="211">
        <v>16.276886326771439</v>
      </c>
      <c r="EO33" s="211">
        <v>20.888036214761545</v>
      </c>
      <c r="EP33" s="211">
        <v>18.801514160710195</v>
      </c>
      <c r="EQ33" s="211">
        <v>16.953923605911722</v>
      </c>
      <c r="ER33" s="211">
        <v>16.169691603395222</v>
      </c>
      <c r="ES33" s="211">
        <v>15.226273350246624</v>
      </c>
      <c r="ET33" s="211">
        <v>19.240032474622755</v>
      </c>
      <c r="EU33" s="211">
        <v>17.302411530353869</v>
      </c>
      <c r="EV33" s="211">
        <v>15.584861632391485</v>
      </c>
      <c r="EW33" s="211">
        <v>15.793320308757586</v>
      </c>
      <c r="EX33" s="212">
        <v>16.241473189553123</v>
      </c>
      <c r="EY33" s="212">
        <v>22.249967346965409</v>
      </c>
      <c r="EZ33" s="212">
        <v>20.044676422296195</v>
      </c>
      <c r="FA33" s="212">
        <v>18.481430475500133</v>
      </c>
      <c r="FB33" s="212">
        <v>18.650097928753556</v>
      </c>
      <c r="FC33" s="212">
        <v>17.679109752612444</v>
      </c>
      <c r="FD33" s="212">
        <v>22.138213976244796</v>
      </c>
      <c r="FE33" s="212">
        <v>19.637574350662451</v>
      </c>
      <c r="FF33" s="212">
        <v>18.065492874652442</v>
      </c>
      <c r="FG33" s="212">
        <v>16.256915085588457</v>
      </c>
      <c r="FH33" s="212">
        <v>23.477510833710493</v>
      </c>
      <c r="FI33" s="212">
        <v>19.350947159532371</v>
      </c>
      <c r="FJ33" s="212">
        <v>16.909679236871</v>
      </c>
      <c r="FK33" s="212">
        <v>14.54407549860241</v>
      </c>
      <c r="FL33" s="212">
        <v>14.637181533615619</v>
      </c>
      <c r="FM33" s="212">
        <v>21.063541262485774</v>
      </c>
      <c r="FN33" s="212">
        <v>18.175939083181166</v>
      </c>
      <c r="FO33" s="212">
        <v>15.719013992882376</v>
      </c>
      <c r="FP33" s="212">
        <v>14.53313990627346</v>
      </c>
      <c r="FQ33" s="212">
        <v>13.197508998655891</v>
      </c>
      <c r="FR33" s="213">
        <v>22.385193322554482</v>
      </c>
      <c r="FS33" s="213">
        <v>21.304822771685782</v>
      </c>
      <c r="FT33" s="213">
        <v>19.547483123670293</v>
      </c>
      <c r="FU33" s="213">
        <v>18.649962331508753</v>
      </c>
      <c r="FV33" s="213">
        <v>16.865890402214639</v>
      </c>
      <c r="FW33" s="213">
        <v>22.079233773510705</v>
      </c>
      <c r="FX33" s="213">
        <v>20.456747730618627</v>
      </c>
      <c r="FY33" s="213">
        <v>18.645051701551139</v>
      </c>
      <c r="FZ33" s="213">
        <v>17.12918249822193</v>
      </c>
      <c r="GA33" s="213">
        <v>15.517249296963794</v>
      </c>
      <c r="GB33" s="213">
        <v>23.599113489427197</v>
      </c>
      <c r="GC33" s="213">
        <v>20.815490912386881</v>
      </c>
      <c r="GD33" s="213">
        <v>20.299619056047572</v>
      </c>
      <c r="GE33" s="213">
        <v>18.204692756521133</v>
      </c>
      <c r="GF33" s="213">
        <v>25.3</v>
      </c>
      <c r="GG33" s="213">
        <v>26.4</v>
      </c>
      <c r="GH33" s="213">
        <v>22.8</v>
      </c>
      <c r="GI33" s="213">
        <v>22.8</v>
      </c>
      <c r="GJ33" s="213">
        <v>20</v>
      </c>
      <c r="GK33" s="213">
        <v>26.400000000000002</v>
      </c>
      <c r="GL33" s="213">
        <v>25.3</v>
      </c>
      <c r="GM33" s="213">
        <v>24</v>
      </c>
      <c r="GN33" s="213">
        <v>28.850580084135899</v>
      </c>
      <c r="GO33" s="213">
        <v>28.643332540801516</v>
      </c>
      <c r="GP33" s="213">
        <v>33.412538726450343</v>
      </c>
      <c r="GQ33" s="213">
        <v>31.19559229662838</v>
      </c>
      <c r="GR33" s="213">
        <v>30.071648872891547</v>
      </c>
      <c r="GS33" s="213">
        <v>28.62126272676543</v>
      </c>
      <c r="GT33" s="213">
        <v>28.287082689474779</v>
      </c>
      <c r="GU33" s="213">
        <v>33.048764592955891</v>
      </c>
      <c r="GV33" s="213">
        <v>29.998028527295492</v>
      </c>
      <c r="GW33" s="213">
        <v>29.330683056246489</v>
      </c>
      <c r="GX33" s="213">
        <v>27.047637577459199</v>
      </c>
      <c r="GY33" s="213">
        <v>27.996461976911682</v>
      </c>
      <c r="GZ33" s="213">
        <v>31.050821378884635</v>
      </c>
      <c r="HA33" s="213">
        <v>28.673792919356021</v>
      </c>
      <c r="HB33" s="213">
        <v>26.848148753680171</v>
      </c>
      <c r="HC33" s="213">
        <v>25.01008962881783</v>
      </c>
      <c r="HD33" s="213">
        <v>25.790425962343203</v>
      </c>
      <c r="HE33" s="213">
        <v>30.137945569705202</v>
      </c>
      <c r="HF33" s="213">
        <v>29.327592757908114</v>
      </c>
      <c r="HG33" s="213">
        <v>30.709868779894443</v>
      </c>
      <c r="HH33" s="213">
        <v>35.031863132563991</v>
      </c>
      <c r="HI33" s="213">
        <v>35.165106220134753</v>
      </c>
      <c r="HJ33" s="214">
        <v>25.278084700000004</v>
      </c>
      <c r="HK33" s="214">
        <v>22.090952400000003</v>
      </c>
      <c r="HL33" s="214">
        <v>21.890081400000003</v>
      </c>
      <c r="HM33" s="214">
        <v>18.4750932</v>
      </c>
      <c r="HN33" s="214">
        <v>18.154596000000002</v>
      </c>
      <c r="HO33" s="214">
        <v>21.944450000000003</v>
      </c>
      <c r="HP33" s="214">
        <v>21.298628400000002</v>
      </c>
      <c r="HQ33" s="214">
        <v>21.646119600000002</v>
      </c>
      <c r="HR33" s="214">
        <v>16.635201599999998</v>
      </c>
      <c r="HS33" s="214">
        <v>17.307936250000001</v>
      </c>
      <c r="HT33" s="214">
        <v>21.282668000000001</v>
      </c>
      <c r="HU33" s="214">
        <v>20.364515999999998</v>
      </c>
      <c r="HV33" s="214">
        <v>20.4783972</v>
      </c>
      <c r="HW33" s="214">
        <v>16.034689199999999</v>
      </c>
      <c r="HX33" s="214">
        <v>16.79462625</v>
      </c>
      <c r="HY33" s="214">
        <v>21.075490700000003</v>
      </c>
      <c r="HZ33" s="214">
        <v>19.439065200000002</v>
      </c>
      <c r="IA33" s="214">
        <v>19.466524999999997</v>
      </c>
      <c r="IB33" s="214">
        <v>14.448978750000002</v>
      </c>
      <c r="IC33" s="214">
        <v>14.003986250000001</v>
      </c>
      <c r="ID33" s="214">
        <v>18.799836249999998</v>
      </c>
      <c r="IE33" s="214">
        <v>19.296488400000001</v>
      </c>
      <c r="IF33" s="214">
        <v>15.274997500000001</v>
      </c>
      <c r="IG33" s="214">
        <v>14.74486875</v>
      </c>
      <c r="IH33" s="214">
        <v>21.809487599999997</v>
      </c>
      <c r="II33" s="214">
        <v>17.962167599999997</v>
      </c>
      <c r="IJ33" s="214">
        <v>18.209338750000001</v>
      </c>
      <c r="IK33" s="214">
        <v>13.576352499999999</v>
      </c>
      <c r="IL33" s="214">
        <v>22.1417295</v>
      </c>
      <c r="IM33" s="214">
        <v>20.984240400000001</v>
      </c>
      <c r="IN33" s="214">
        <v>20.341539600000001</v>
      </c>
      <c r="IO33" s="214">
        <v>16.050611249999999</v>
      </c>
      <c r="IP33" s="214">
        <v>16.102702499999999</v>
      </c>
      <c r="IQ33" s="214">
        <v>21.074746000000001</v>
      </c>
      <c r="IR33" s="214">
        <v>19.626537599999999</v>
      </c>
      <c r="IS33" s="214">
        <v>19.6141428</v>
      </c>
      <c r="IT33" s="214">
        <v>15.500195000000001</v>
      </c>
      <c r="IU33" s="214">
        <v>14.795739999999999</v>
      </c>
      <c r="IV33" s="214">
        <v>19.594934399999996</v>
      </c>
      <c r="IW33" s="214">
        <v>16.779615</v>
      </c>
      <c r="IX33" s="214">
        <v>16.628318749999998</v>
      </c>
      <c r="IY33" s="214">
        <v>14.589905000000002</v>
      </c>
      <c r="IZ33" s="214">
        <v>16.889215</v>
      </c>
      <c r="JA33" s="214">
        <v>18.802936249999998</v>
      </c>
      <c r="JB33" s="214">
        <v>17.878354999999999</v>
      </c>
      <c r="JC33" s="214">
        <v>18.45895625</v>
      </c>
      <c r="JD33" s="214">
        <v>13.5901575</v>
      </c>
      <c r="JE33" s="214">
        <v>16.479788750000001</v>
      </c>
      <c r="JF33" s="214">
        <v>18.678291250000001</v>
      </c>
      <c r="JG33" s="214">
        <v>17.605522499999999</v>
      </c>
      <c r="JH33" s="214">
        <v>18.629093750000003</v>
      </c>
      <c r="JI33" s="214">
        <v>15.076342499999999</v>
      </c>
      <c r="JJ33" s="214">
        <v>16.49334125</v>
      </c>
      <c r="JK33" s="214">
        <v>18.46903125</v>
      </c>
      <c r="JL33" s="214">
        <v>17.14637875</v>
      </c>
      <c r="JM33" s="214">
        <v>18.089865</v>
      </c>
      <c r="JN33" s="214">
        <v>14.45421125</v>
      </c>
      <c r="JO33" s="214">
        <v>11.61459560763889</v>
      </c>
      <c r="JP33" s="214">
        <v>16.189323113194444</v>
      </c>
      <c r="JQ33" s="214">
        <v>15.262097240277779</v>
      </c>
      <c r="JR33" s="214">
        <v>11.343209195833332</v>
      </c>
      <c r="JS33" s="214">
        <v>11.48860999097222</v>
      </c>
      <c r="JT33" s="214">
        <v>18.537918000000001</v>
      </c>
      <c r="JU33" s="214">
        <v>17.487093999999999</v>
      </c>
      <c r="JV33" s="214">
        <v>14.861048</v>
      </c>
      <c r="JW33" s="214">
        <v>13.477128</v>
      </c>
      <c r="JX33" s="214">
        <v>19.131368999999999</v>
      </c>
      <c r="JY33" s="214">
        <v>18.027407</v>
      </c>
      <c r="JZ33" s="214">
        <v>17.032592999999999</v>
      </c>
      <c r="KA33" s="214">
        <v>14.506524000000001</v>
      </c>
      <c r="KB33" s="214">
        <v>13.208023000000001</v>
      </c>
      <c r="KC33" s="214">
        <v>18.657667</v>
      </c>
      <c r="KD33" s="214">
        <v>17.863902</v>
      </c>
      <c r="KE33" s="214">
        <v>16.428560999999998</v>
      </c>
      <c r="KF33" s="214">
        <v>13.794138999999999</v>
      </c>
      <c r="KG33" s="214">
        <v>13.023721</v>
      </c>
      <c r="KH33" s="214">
        <v>18.248995000000001</v>
      </c>
      <c r="KI33" s="214">
        <v>17.301438999999998</v>
      </c>
      <c r="KJ33" s="214">
        <v>15.95229</v>
      </c>
      <c r="KK33" s="214">
        <v>13.115176999999999</v>
      </c>
      <c r="KL33" s="214">
        <v>12.795752999999999</v>
      </c>
      <c r="KM33" s="214">
        <v>17.602876999999999</v>
      </c>
      <c r="KN33" s="214">
        <v>16.849557999999998</v>
      </c>
    </row>
    <row r="34" spans="1:300" x14ac:dyDescent="0.35">
      <c r="A34" s="216" t="str">
        <f t="shared" si="0"/>
        <v>mardi</v>
      </c>
      <c r="B34" s="217">
        <v>44586</v>
      </c>
      <c r="C34" s="202">
        <v>0</v>
      </c>
      <c r="D34" s="202">
        <v>73</v>
      </c>
      <c r="E34" s="202">
        <v>108</v>
      </c>
      <c r="F34" s="202">
        <v>124</v>
      </c>
      <c r="G34" s="202">
        <v>90</v>
      </c>
      <c r="H34" s="202">
        <v>118</v>
      </c>
      <c r="I34" s="202">
        <v>85</v>
      </c>
      <c r="J34" s="202">
        <v>104</v>
      </c>
      <c r="K34" s="202">
        <v>88</v>
      </c>
      <c r="L34" s="202">
        <v>27</v>
      </c>
      <c r="M34" s="202">
        <v>31</v>
      </c>
      <c r="N34" s="202">
        <v>53</v>
      </c>
      <c r="O34" s="202">
        <v>93</v>
      </c>
      <c r="P34" s="202">
        <v>89</v>
      </c>
      <c r="Q34" s="202">
        <v>85</v>
      </c>
      <c r="R34" s="202">
        <v>75</v>
      </c>
      <c r="S34" s="202">
        <v>74</v>
      </c>
      <c r="T34" s="202">
        <v>70</v>
      </c>
      <c r="U34" s="202">
        <v>34</v>
      </c>
      <c r="V34" s="202">
        <v>0</v>
      </c>
      <c r="W34" s="203">
        <f t="shared" si="1"/>
        <v>1421</v>
      </c>
      <c r="AA34" s="196">
        <v>0.45833333333333298</v>
      </c>
      <c r="AB34" s="223">
        <v>34.084033613445378</v>
      </c>
      <c r="AC34" s="223">
        <v>18.219512195121951</v>
      </c>
      <c r="AD34" s="223">
        <v>18.637614678899084</v>
      </c>
      <c r="AE34" s="223">
        <v>16.921182266009854</v>
      </c>
      <c r="AF34" s="223">
        <v>15.960591133004927</v>
      </c>
      <c r="AG34" s="223">
        <v>19.580152671755727</v>
      </c>
      <c r="AH34" s="223">
        <v>18.626086956521739</v>
      </c>
      <c r="AI34" s="223">
        <v>17.807881773399014</v>
      </c>
      <c r="AJ34" s="223">
        <v>17.664974619289339</v>
      </c>
      <c r="AK34" s="223">
        <v>16.932989690721648</v>
      </c>
      <c r="AL34" s="223">
        <v>19.577689243027887</v>
      </c>
      <c r="AM34" s="223">
        <v>19.096916299559474</v>
      </c>
      <c r="AN34" s="223">
        <v>18.283582089552237</v>
      </c>
      <c r="AO34" s="223">
        <v>17.030927835051546</v>
      </c>
      <c r="AP34" s="223">
        <v>16.260416666666664</v>
      </c>
      <c r="AQ34" s="223">
        <v>19.845493562231759</v>
      </c>
      <c r="AR34" s="223">
        <v>18.325991189427313</v>
      </c>
      <c r="AS34" s="223">
        <v>18.041237113402062</v>
      </c>
      <c r="AT34" s="223">
        <v>16.684491978609625</v>
      </c>
      <c r="AU34" s="223">
        <v>16.638743455497384</v>
      </c>
      <c r="AV34" s="223">
        <v>19.97863247863248</v>
      </c>
      <c r="AW34" s="223">
        <v>17</v>
      </c>
      <c r="AX34" s="223">
        <v>17</v>
      </c>
      <c r="AY34" s="223">
        <v>16</v>
      </c>
      <c r="AZ34" s="223">
        <v>14</v>
      </c>
      <c r="BA34" s="223">
        <v>20</v>
      </c>
      <c r="BB34" s="223">
        <v>18</v>
      </c>
      <c r="BC34" s="223">
        <v>17</v>
      </c>
      <c r="BD34" s="223">
        <v>16</v>
      </c>
      <c r="BE34" s="223">
        <v>14</v>
      </c>
      <c r="BF34" s="223">
        <v>18</v>
      </c>
      <c r="BG34" s="223">
        <v>16</v>
      </c>
      <c r="BH34" s="223">
        <v>16</v>
      </c>
      <c r="BI34" s="223">
        <v>14</v>
      </c>
      <c r="BJ34" s="223">
        <v>12</v>
      </c>
      <c r="BK34" s="223">
        <v>16</v>
      </c>
      <c r="BL34" s="223">
        <v>15</v>
      </c>
      <c r="BM34" s="223">
        <v>13</v>
      </c>
      <c r="BN34" s="223">
        <v>12</v>
      </c>
      <c r="BO34" s="223">
        <v>10</v>
      </c>
      <c r="BP34" s="223">
        <v>18</v>
      </c>
      <c r="BQ34" s="209">
        <v>13</v>
      </c>
      <c r="BR34" s="209">
        <v>16</v>
      </c>
      <c r="BS34" s="209">
        <v>15</v>
      </c>
      <c r="BT34" s="209">
        <v>12</v>
      </c>
      <c r="BU34" s="209">
        <v>21</v>
      </c>
      <c r="BV34" s="209">
        <v>21</v>
      </c>
      <c r="BW34" s="209">
        <v>21</v>
      </c>
      <c r="BX34" s="209">
        <v>18</v>
      </c>
      <c r="BY34" s="209">
        <v>19</v>
      </c>
      <c r="BZ34" s="209">
        <v>22</v>
      </c>
      <c r="CA34" s="209">
        <v>21</v>
      </c>
      <c r="CB34" s="209">
        <v>22</v>
      </c>
      <c r="CC34" s="209">
        <v>19</v>
      </c>
      <c r="CD34" s="209">
        <v>15</v>
      </c>
      <c r="CE34" s="209">
        <v>25</v>
      </c>
      <c r="CF34" s="209">
        <v>23</v>
      </c>
      <c r="CG34" s="209">
        <v>24</v>
      </c>
      <c r="CH34" s="209">
        <v>30</v>
      </c>
      <c r="CI34" s="209">
        <v>18</v>
      </c>
      <c r="CJ34" s="209">
        <v>28</v>
      </c>
      <c r="CK34" s="209">
        <v>18</v>
      </c>
      <c r="CL34" s="209">
        <v>21</v>
      </c>
      <c r="CM34" s="209">
        <v>17</v>
      </c>
      <c r="CN34" s="209">
        <v>15.71056686671441</v>
      </c>
      <c r="CO34" s="209">
        <v>19.775903583214841</v>
      </c>
      <c r="CP34" s="209">
        <v>17.152354734512549</v>
      </c>
      <c r="CQ34" s="209">
        <v>18.05322484531143</v>
      </c>
      <c r="CR34" s="209">
        <v>17.541048242110762</v>
      </c>
      <c r="CS34" s="209">
        <v>15.48665534170029</v>
      </c>
      <c r="CT34" s="209">
        <v>18.500014440953858</v>
      </c>
      <c r="CU34" s="209">
        <v>17.733049789079949</v>
      </c>
      <c r="CV34" s="209">
        <v>16.052349237130329</v>
      </c>
      <c r="CW34" s="209">
        <v>15.1088085099891</v>
      </c>
      <c r="CX34" s="209">
        <v>14.37399416429974</v>
      </c>
      <c r="CY34" s="209">
        <v>16.500138524959048</v>
      </c>
      <c r="CZ34" s="209">
        <v>15.290367539829161</v>
      </c>
      <c r="DA34" s="209">
        <v>14.43772186479182</v>
      </c>
      <c r="DB34" s="209">
        <v>13.08584335591226</v>
      </c>
      <c r="DC34" s="209">
        <v>17.003252043105409</v>
      </c>
      <c r="DD34" s="209">
        <v>16.718390009047759</v>
      </c>
      <c r="DE34" s="209">
        <v>18</v>
      </c>
      <c r="DF34" s="209">
        <v>15.0352727789278</v>
      </c>
      <c r="DG34" s="209">
        <v>13.93260016169447</v>
      </c>
      <c r="DH34" s="209">
        <v>22</v>
      </c>
      <c r="DI34" s="209">
        <v>19.331931124038011</v>
      </c>
      <c r="DJ34" s="209">
        <v>17.185961516280251</v>
      </c>
      <c r="DK34" s="209">
        <v>16.435906369196779</v>
      </c>
      <c r="DL34" s="209">
        <v>14.476150779977189</v>
      </c>
      <c r="DM34" s="209">
        <v>20.029095397526469</v>
      </c>
      <c r="DN34" s="209">
        <v>18.562389896410011</v>
      </c>
      <c r="DO34" s="209">
        <v>16.114591102308871</v>
      </c>
      <c r="DP34" s="209">
        <v>13.84039594372549</v>
      </c>
      <c r="DQ34" s="209">
        <v>10.15264698517011</v>
      </c>
      <c r="DR34" s="209">
        <v>19.561398187281871</v>
      </c>
      <c r="DS34" s="209">
        <v>18.052405627492</v>
      </c>
      <c r="DT34" s="209">
        <v>16.288263389949218</v>
      </c>
      <c r="DU34" s="209">
        <v>14.97981701070047</v>
      </c>
      <c r="DV34" s="209">
        <v>13.2781102446656</v>
      </c>
      <c r="DW34" s="209">
        <v>17.922146521918251</v>
      </c>
      <c r="DX34" s="209">
        <v>13.141783141799509</v>
      </c>
      <c r="DY34" s="209">
        <v>17.661814222851241</v>
      </c>
      <c r="DZ34" s="210">
        <v>17.644231042532446</v>
      </c>
      <c r="EA34" s="210">
        <v>22.163833161511768</v>
      </c>
      <c r="EB34" s="210">
        <v>20.45814989490249</v>
      </c>
      <c r="EC34" s="211">
        <v>16.21230460903649</v>
      </c>
      <c r="ED34" s="211">
        <v>15.277451287772585</v>
      </c>
      <c r="EE34" s="211">
        <v>14.709755701982342</v>
      </c>
      <c r="EF34" s="211">
        <v>19.128683102873001</v>
      </c>
      <c r="EG34" s="211">
        <v>17.404904722704199</v>
      </c>
      <c r="EH34" s="211">
        <v>16.751391918778733</v>
      </c>
      <c r="EI34" s="211">
        <v>15.05722838947495</v>
      </c>
      <c r="EJ34" s="211">
        <v>20.91540197959522</v>
      </c>
      <c r="EK34" s="211">
        <v>18.432770316442543</v>
      </c>
      <c r="EL34" s="211">
        <v>16.551117710124043</v>
      </c>
      <c r="EM34" s="211">
        <v>16.247959100160386</v>
      </c>
      <c r="EN34" s="211">
        <v>14.002510549404777</v>
      </c>
      <c r="EO34" s="211">
        <v>18.498202135780144</v>
      </c>
      <c r="EP34" s="211">
        <v>16.785259649434479</v>
      </c>
      <c r="EQ34" s="211">
        <v>14.599581579921509</v>
      </c>
      <c r="ER34" s="211">
        <v>14.259813730409734</v>
      </c>
      <c r="ES34" s="211">
        <v>13.105137279171068</v>
      </c>
      <c r="ET34" s="211">
        <v>16.970444579054011</v>
      </c>
      <c r="EU34" s="211">
        <v>15.306460670213507</v>
      </c>
      <c r="EV34" s="211">
        <v>14.05180346056499</v>
      </c>
      <c r="EW34" s="211">
        <v>14.877710949745703</v>
      </c>
      <c r="EX34" s="212">
        <v>16.570428599183202</v>
      </c>
      <c r="EY34" s="212">
        <v>20.763544466677484</v>
      </c>
      <c r="EZ34" s="212">
        <v>18.627435438630439</v>
      </c>
      <c r="FA34" s="212">
        <v>16.877230647911635</v>
      </c>
      <c r="FB34" s="212">
        <v>17.583781054549966</v>
      </c>
      <c r="FC34" s="212">
        <v>16.134563235753898</v>
      </c>
      <c r="FD34" s="212">
        <v>19.975697055444538</v>
      </c>
      <c r="FE34" s="212">
        <v>17.632057973235348</v>
      </c>
      <c r="FF34" s="212">
        <v>16.007557593286013</v>
      </c>
      <c r="FG34" s="212">
        <v>14.70533693310758</v>
      </c>
      <c r="FH34" s="212">
        <v>21.104071484770792</v>
      </c>
      <c r="FI34" s="212">
        <v>17.878436088215491</v>
      </c>
      <c r="FJ34" s="212">
        <v>15.499665346364154</v>
      </c>
      <c r="FK34" s="212">
        <v>13.626297168159482</v>
      </c>
      <c r="FL34" s="212">
        <v>13.459033870142211</v>
      </c>
      <c r="FM34" s="212">
        <v>19.340931701690916</v>
      </c>
      <c r="FN34" s="212">
        <v>16.641008761021226</v>
      </c>
      <c r="FO34" s="212">
        <v>14.244680780077545</v>
      </c>
      <c r="FP34" s="212">
        <v>13.565998049991601</v>
      </c>
      <c r="FQ34" s="212">
        <v>11.936980268468078</v>
      </c>
      <c r="FR34" s="213">
        <v>19.973025880179634</v>
      </c>
      <c r="FS34" s="213">
        <v>19.009073272835998</v>
      </c>
      <c r="FT34" s="213">
        <v>17.441099887983569</v>
      </c>
      <c r="FU34" s="213">
        <v>16.64029361484598</v>
      </c>
      <c r="FV34" s="213">
        <v>15.048468500402986</v>
      </c>
      <c r="FW34" s="213">
        <v>19.700036509529209</v>
      </c>
      <c r="FX34" s="213">
        <v>18.252385232723967</v>
      </c>
      <c r="FY34" s="213">
        <v>16.635912688769167</v>
      </c>
      <c r="FZ34" s="213">
        <v>15.283389468579882</v>
      </c>
      <c r="GA34" s="213">
        <v>13.845153816521972</v>
      </c>
      <c r="GB34" s="213">
        <v>21.056139050930348</v>
      </c>
      <c r="GC34" s="213">
        <v>18.572472007036549</v>
      </c>
      <c r="GD34" s="213">
        <v>18.112189203845372</v>
      </c>
      <c r="GE34" s="213">
        <v>16.243006403637001</v>
      </c>
      <c r="GF34" s="213">
        <v>23.1</v>
      </c>
      <c r="GG34" s="213">
        <v>22.8</v>
      </c>
      <c r="GH34" s="213">
        <v>20.399999999999999</v>
      </c>
      <c r="GI34" s="213">
        <v>20.399999999999999</v>
      </c>
      <c r="GJ34" s="213">
        <v>17.5</v>
      </c>
      <c r="GK34" s="213">
        <v>23.1</v>
      </c>
      <c r="GL34" s="213">
        <v>23.1</v>
      </c>
      <c r="GM34" s="213">
        <v>21.599999999999998</v>
      </c>
      <c r="GN34" s="213">
        <v>25.707227883631983</v>
      </c>
      <c r="GO34" s="213">
        <v>24.708628815443731</v>
      </c>
      <c r="GP34" s="213">
        <v>29.43633520151236</v>
      </c>
      <c r="GQ34" s="213">
        <v>28.36531525409108</v>
      </c>
      <c r="GR34" s="213">
        <v>26.848615406709062</v>
      </c>
      <c r="GS34" s="213">
        <v>25.38836351162913</v>
      </c>
      <c r="GT34" s="213">
        <v>24.348450071081057</v>
      </c>
      <c r="GU34" s="213">
        <v>29.11104522941368</v>
      </c>
      <c r="GV34" s="213">
        <v>27.25750805061999</v>
      </c>
      <c r="GW34" s="213">
        <v>26.262526409205744</v>
      </c>
      <c r="GX34" s="213">
        <v>23.978129616853373</v>
      </c>
      <c r="GY34" s="213">
        <v>24.098294762131598</v>
      </c>
      <c r="GZ34" s="213">
        <v>27.501233764102178</v>
      </c>
      <c r="HA34" s="213">
        <v>26.072310727562758</v>
      </c>
      <c r="HB34" s="213">
        <v>24.039679346357612</v>
      </c>
      <c r="HC34" s="213">
        <v>22.327263412434942</v>
      </c>
      <c r="HD34" s="213">
        <v>22.217223816944756</v>
      </c>
      <c r="HE34" s="213">
        <v>26.626552404192392</v>
      </c>
      <c r="HF34" s="213">
        <v>26.666793382588619</v>
      </c>
      <c r="HG34" s="213">
        <v>27.497441444121375</v>
      </c>
      <c r="HH34" s="213">
        <v>31.274003715999296</v>
      </c>
      <c r="HI34" s="213">
        <v>30.268792382885028</v>
      </c>
      <c r="HJ34" s="214">
        <v>23.864196400000004</v>
      </c>
      <c r="HK34" s="214">
        <v>23.271507600000003</v>
      </c>
      <c r="HL34" s="214">
        <v>20.840080800000003</v>
      </c>
      <c r="HM34" s="214">
        <v>19.162971599999999</v>
      </c>
      <c r="HN34" s="214">
        <v>18.384898799999998</v>
      </c>
      <c r="HO34" s="214">
        <v>20.5305617</v>
      </c>
      <c r="HP34" s="214">
        <v>22.586506799999999</v>
      </c>
      <c r="HQ34" s="214">
        <v>20.500664400000002</v>
      </c>
      <c r="HR34" s="214">
        <v>17.323080000000001</v>
      </c>
      <c r="HS34" s="214">
        <v>17.547834999999999</v>
      </c>
      <c r="HT34" s="214">
        <v>19.868779700000001</v>
      </c>
      <c r="HU34" s="214">
        <v>21.652394400000002</v>
      </c>
      <c r="HV34" s="214">
        <v>19.332941999999999</v>
      </c>
      <c r="HW34" s="214">
        <v>16.722567599999998</v>
      </c>
      <c r="HX34" s="214">
        <v>17.034526249999999</v>
      </c>
      <c r="HY34" s="214">
        <v>19.6616024</v>
      </c>
      <c r="HZ34" s="214">
        <v>20.726943599999998</v>
      </c>
      <c r="IA34" s="214">
        <v>18.273343749999999</v>
      </c>
      <c r="IB34" s="214">
        <v>15.16551875</v>
      </c>
      <c r="IC34" s="214">
        <v>14.243885000000001</v>
      </c>
      <c r="ID34" s="214">
        <v>17.193145000000001</v>
      </c>
      <c r="IE34" s="214">
        <v>18.1510344</v>
      </c>
      <c r="IF34" s="214">
        <v>15.99153875</v>
      </c>
      <c r="IG34" s="214">
        <v>14.9847675</v>
      </c>
      <c r="IH34" s="214">
        <v>20.267064000000001</v>
      </c>
      <c r="II34" s="214">
        <v>19.250046000000001</v>
      </c>
      <c r="IJ34" s="214">
        <v>17.016156250000002</v>
      </c>
      <c r="IK34" s="214">
        <v>14.292892500000001</v>
      </c>
      <c r="IL34" s="214">
        <v>20.727840100000002</v>
      </c>
      <c r="IM34" s="214">
        <v>22.272118800000001</v>
      </c>
      <c r="IN34" s="214">
        <v>19.1960856</v>
      </c>
      <c r="IO34" s="214">
        <v>16.767151250000001</v>
      </c>
      <c r="IP34" s="214">
        <v>16.342602500000002</v>
      </c>
      <c r="IQ34" s="214">
        <v>19.660856599999999</v>
      </c>
      <c r="IR34" s="214">
        <v>20.914415999999999</v>
      </c>
      <c r="IS34" s="214">
        <v>18.468687599999999</v>
      </c>
      <c r="IT34" s="214">
        <v>16.216735</v>
      </c>
      <c r="IU34" s="214">
        <v>15.03563875</v>
      </c>
      <c r="IV34" s="214">
        <v>18.0525096</v>
      </c>
      <c r="IW34" s="214">
        <v>18.121155000000002</v>
      </c>
      <c r="IX34" s="214">
        <v>15.4351375</v>
      </c>
      <c r="IY34" s="214">
        <v>15.306445</v>
      </c>
      <c r="IZ34" s="214">
        <v>17.129113750000002</v>
      </c>
      <c r="JA34" s="214">
        <v>17.196244999999998</v>
      </c>
      <c r="JB34" s="214">
        <v>19.219895000000001</v>
      </c>
      <c r="JC34" s="214">
        <v>17.265775000000001</v>
      </c>
      <c r="JD34" s="214">
        <v>14.3066975</v>
      </c>
      <c r="JE34" s="214">
        <v>16.719687499999999</v>
      </c>
      <c r="JF34" s="214">
        <v>17.07159875</v>
      </c>
      <c r="JG34" s="214">
        <v>18.947062500000001</v>
      </c>
      <c r="JH34" s="214">
        <v>17.435912500000001</v>
      </c>
      <c r="JI34" s="214">
        <v>15.79288375</v>
      </c>
      <c r="JJ34" s="214">
        <v>16.733240000000002</v>
      </c>
      <c r="JK34" s="214">
        <v>16.86234</v>
      </c>
      <c r="JL34" s="214">
        <v>18.487919999999999</v>
      </c>
      <c r="JM34" s="214">
        <v>16.896682500000001</v>
      </c>
      <c r="JN34" s="214">
        <v>15.170752499999999</v>
      </c>
      <c r="JO34" s="214">
        <v>11.85449435763889</v>
      </c>
      <c r="JP34" s="214">
        <v>17.530863113194446</v>
      </c>
      <c r="JQ34" s="214">
        <v>14.06891599027778</v>
      </c>
      <c r="JR34" s="214">
        <v>12.059749195833334</v>
      </c>
      <c r="JS34" s="214">
        <v>11.728509990972222</v>
      </c>
      <c r="JT34" s="214">
        <v>16.633877999999999</v>
      </c>
      <c r="JU34" s="214">
        <v>17.055275999999999</v>
      </c>
      <c r="JV34" s="214">
        <v>13.363574</v>
      </c>
      <c r="JW34" s="214">
        <v>12.855916000000001</v>
      </c>
      <c r="JX34" s="214">
        <v>18.505106000000001</v>
      </c>
      <c r="JY34" s="214">
        <v>16.123366000000001</v>
      </c>
      <c r="JZ34" s="214">
        <v>16.600774999999999</v>
      </c>
      <c r="KA34" s="214">
        <v>13.00905</v>
      </c>
      <c r="KB34" s="214">
        <v>12.586811000000001</v>
      </c>
      <c r="KC34" s="214">
        <v>18.031404999999999</v>
      </c>
      <c r="KD34" s="214">
        <v>15.959861</v>
      </c>
      <c r="KE34" s="214">
        <v>15.996743</v>
      </c>
      <c r="KF34" s="214">
        <v>12.296664</v>
      </c>
      <c r="KG34" s="214">
        <v>12.402507999999999</v>
      </c>
      <c r="KH34" s="214">
        <v>17.622731999999999</v>
      </c>
      <c r="KI34" s="214">
        <v>15.397399</v>
      </c>
      <c r="KJ34" s="214">
        <v>15.520472</v>
      </c>
      <c r="KK34" s="214">
        <v>11.617702</v>
      </c>
      <c r="KL34" s="214">
        <v>12.174541</v>
      </c>
      <c r="KM34" s="214">
        <v>16.976614000000001</v>
      </c>
      <c r="KN34" s="214">
        <v>14.945518</v>
      </c>
    </row>
    <row r="35" spans="1:300" x14ac:dyDescent="0.35">
      <c r="A35" s="216" t="str">
        <f t="shared" si="0"/>
        <v>mercredi</v>
      </c>
      <c r="B35" s="217">
        <v>44587</v>
      </c>
      <c r="C35" s="202">
        <v>0</v>
      </c>
      <c r="D35" s="202">
        <v>68</v>
      </c>
      <c r="E35" s="202">
        <v>106</v>
      </c>
      <c r="F35" s="202">
        <v>120</v>
      </c>
      <c r="G35" s="202">
        <v>109</v>
      </c>
      <c r="H35" s="202">
        <v>90</v>
      </c>
      <c r="I35" s="202">
        <v>95</v>
      </c>
      <c r="J35" s="202">
        <v>76</v>
      </c>
      <c r="K35" s="202">
        <v>48</v>
      </c>
      <c r="L35" s="202">
        <v>29</v>
      </c>
      <c r="M35" s="202">
        <v>20</v>
      </c>
      <c r="N35" s="202">
        <v>38</v>
      </c>
      <c r="O35" s="202">
        <v>52</v>
      </c>
      <c r="P35" s="202">
        <v>84</v>
      </c>
      <c r="Q35" s="202">
        <v>75</v>
      </c>
      <c r="R35" s="202">
        <v>76</v>
      </c>
      <c r="S35" s="202">
        <v>47</v>
      </c>
      <c r="T35" s="202">
        <v>39</v>
      </c>
      <c r="U35" s="202">
        <v>24</v>
      </c>
      <c r="V35" s="202">
        <v>0</v>
      </c>
      <c r="W35" s="203">
        <f t="shared" si="1"/>
        <v>1196</v>
      </c>
      <c r="AA35" s="196">
        <v>0.47916666666666702</v>
      </c>
      <c r="AB35" s="223">
        <v>32.773109243697476</v>
      </c>
      <c r="AC35" s="223">
        <v>18.219512195121951</v>
      </c>
      <c r="AD35" s="223">
        <v>17.541284403669724</v>
      </c>
      <c r="AE35" s="223">
        <v>15.793103448275863</v>
      </c>
      <c r="AF35" s="223">
        <v>15.960591133004927</v>
      </c>
      <c r="AG35" s="223">
        <v>19.580152671755727</v>
      </c>
      <c r="AH35" s="223">
        <v>18.626086956521739</v>
      </c>
      <c r="AI35" s="223">
        <v>17.807881773399014</v>
      </c>
      <c r="AJ35" s="223">
        <v>16.487309644670049</v>
      </c>
      <c r="AK35" s="223">
        <v>15.804123711340207</v>
      </c>
      <c r="AL35" s="223">
        <v>19.577689243027887</v>
      </c>
      <c r="AM35" s="223">
        <v>17.973568281938327</v>
      </c>
      <c r="AN35" s="223">
        <v>17.06467661691542</v>
      </c>
      <c r="AO35" s="223">
        <v>15.814432989690721</v>
      </c>
      <c r="AP35" s="223">
        <v>16.260416666666664</v>
      </c>
      <c r="AQ35" s="223">
        <v>18.678111587982833</v>
      </c>
      <c r="AR35" s="223">
        <v>17.180616740088105</v>
      </c>
      <c r="AS35" s="223">
        <v>16.75257731958763</v>
      </c>
      <c r="AT35" s="223">
        <v>15.401069518716579</v>
      </c>
      <c r="AU35" s="223">
        <v>16.638743455497384</v>
      </c>
      <c r="AV35" s="223">
        <v>18.803418803418804</v>
      </c>
      <c r="AW35" s="223">
        <v>16</v>
      </c>
      <c r="AX35" s="223">
        <v>16</v>
      </c>
      <c r="AY35" s="223">
        <v>15</v>
      </c>
      <c r="AZ35" s="223">
        <v>13</v>
      </c>
      <c r="BA35" s="223">
        <v>19</v>
      </c>
      <c r="BB35" s="223">
        <v>18</v>
      </c>
      <c r="BC35" s="223">
        <v>17</v>
      </c>
      <c r="BD35" s="223">
        <v>15</v>
      </c>
      <c r="BE35" s="223">
        <v>14</v>
      </c>
      <c r="BF35" s="223">
        <v>17</v>
      </c>
      <c r="BG35" s="223">
        <v>16</v>
      </c>
      <c r="BH35" s="223">
        <v>15</v>
      </c>
      <c r="BI35" s="223">
        <v>13</v>
      </c>
      <c r="BJ35" s="223">
        <v>11</v>
      </c>
      <c r="BK35" s="223">
        <v>15</v>
      </c>
      <c r="BL35" s="223">
        <v>14</v>
      </c>
      <c r="BM35" s="223">
        <v>12</v>
      </c>
      <c r="BN35" s="223">
        <v>11</v>
      </c>
      <c r="BO35" s="223">
        <v>9</v>
      </c>
      <c r="BP35" s="223">
        <v>17</v>
      </c>
      <c r="BQ35" s="209">
        <v>13</v>
      </c>
      <c r="BR35" s="209">
        <v>15</v>
      </c>
      <c r="BS35" s="209">
        <v>14</v>
      </c>
      <c r="BT35" s="209">
        <v>12</v>
      </c>
      <c r="BU35" s="209">
        <v>21</v>
      </c>
      <c r="BV35" s="209">
        <v>19</v>
      </c>
      <c r="BW35" s="209">
        <v>19</v>
      </c>
      <c r="BX35" s="209">
        <v>18</v>
      </c>
      <c r="BY35" s="209">
        <v>19</v>
      </c>
      <c r="BZ35" s="209">
        <v>22</v>
      </c>
      <c r="CA35" s="209">
        <v>21</v>
      </c>
      <c r="CB35" s="209">
        <v>20</v>
      </c>
      <c r="CC35" s="209">
        <v>17</v>
      </c>
      <c r="CD35" s="209">
        <v>14</v>
      </c>
      <c r="CE35" s="209">
        <v>25</v>
      </c>
      <c r="CF35" s="209">
        <v>23</v>
      </c>
      <c r="CG35" s="209">
        <v>24</v>
      </c>
      <c r="CH35" s="209">
        <v>28</v>
      </c>
      <c r="CI35" s="209">
        <v>18</v>
      </c>
      <c r="CJ35" s="209">
        <v>27</v>
      </c>
      <c r="CK35" s="209">
        <v>16</v>
      </c>
      <c r="CL35" s="209">
        <v>18</v>
      </c>
      <c r="CM35" s="209">
        <v>15</v>
      </c>
      <c r="CN35" s="209">
        <v>15.40261169127916</v>
      </c>
      <c r="CO35" s="209">
        <v>19.305502816871819</v>
      </c>
      <c r="CP35" s="209">
        <v>16.48333605349185</v>
      </c>
      <c r="CQ35" s="209">
        <v>17.35661185576906</v>
      </c>
      <c r="CR35" s="209">
        <v>16.86193525256839</v>
      </c>
      <c r="CS35" s="209">
        <v>14.838072105423519</v>
      </c>
      <c r="CT35" s="209">
        <v>17.811750476914291</v>
      </c>
      <c r="CU35" s="209">
        <v>17.06403110805925</v>
      </c>
      <c r="CV35" s="209">
        <v>15.35573624758795</v>
      </c>
      <c r="CW35" s="209">
        <v>14.429695520446741</v>
      </c>
      <c r="CX35" s="209">
        <v>13.725410928022979</v>
      </c>
      <c r="CY35" s="209">
        <v>15.83111984393835</v>
      </c>
      <c r="CZ35" s="209">
        <v>14.593754550286789</v>
      </c>
      <c r="DA35" s="209">
        <v>13.76149776413834</v>
      </c>
      <c r="DB35" s="209">
        <v>12.437260119635489</v>
      </c>
      <c r="DC35" s="209">
        <v>16.314988079065841</v>
      </c>
      <c r="DD35" s="209">
        <v>16.04937132802706</v>
      </c>
      <c r="DE35" s="209">
        <v>15</v>
      </c>
      <c r="DF35" s="209">
        <v>14.359048678274331</v>
      </c>
      <c r="DG35" s="209">
        <v>13.284016925417699</v>
      </c>
      <c r="DH35" s="209">
        <v>21</v>
      </c>
      <c r="DI35" s="209">
        <v>18.66357910968398</v>
      </c>
      <c r="DJ35" s="209">
        <v>16.490015193404549</v>
      </c>
      <c r="DK35" s="209">
        <v>15.75968226854329</v>
      </c>
      <c r="DL35" s="209">
        <v>13.827567543700431</v>
      </c>
      <c r="DM35" s="209">
        <v>19.341498100153569</v>
      </c>
      <c r="DN35" s="209">
        <v>17.894037882055979</v>
      </c>
      <c r="DO35" s="209">
        <v>15.418644779433169</v>
      </c>
      <c r="DP35" s="209">
        <v>13.164171843072021</v>
      </c>
      <c r="DQ35" s="209">
        <v>9.5040637488933424</v>
      </c>
      <c r="DR35" s="209">
        <v>18.8731342232423</v>
      </c>
      <c r="DS35" s="209">
        <v>17.383386946471312</v>
      </c>
      <c r="DT35" s="209">
        <v>15.59165040040685</v>
      </c>
      <c r="DU35" s="209">
        <v>14.303592910046991</v>
      </c>
      <c r="DV35" s="209">
        <v>12.629527008388839</v>
      </c>
      <c r="DW35" s="209">
        <v>17.244376385039178</v>
      </c>
      <c r="DX35" s="209">
        <v>12.4832582879393</v>
      </c>
      <c r="DY35" s="209">
        <v>16.97569506046937</v>
      </c>
      <c r="DZ35" s="210">
        <v>16.865931159000322</v>
      </c>
      <c r="EA35" s="210">
        <v>21.418286010944783</v>
      </c>
      <c r="EB35" s="210">
        <v>19.733772555656259</v>
      </c>
      <c r="EC35" s="211">
        <v>15.587956353313492</v>
      </c>
      <c r="ED35" s="211">
        <v>14.998119709278765</v>
      </c>
      <c r="EE35" s="211">
        <v>14.35243090533918</v>
      </c>
      <c r="EF35" s="211">
        <v>18.470662567492464</v>
      </c>
      <c r="EG35" s="211">
        <v>16.883667856720557</v>
      </c>
      <c r="EH35" s="211">
        <v>16.420390179802137</v>
      </c>
      <c r="EI35" s="211">
        <v>14.802245756304252</v>
      </c>
      <c r="EJ35" s="211">
        <v>20.291811902862428</v>
      </c>
      <c r="EK35" s="211">
        <v>17.887688220923266</v>
      </c>
      <c r="EL35" s="211">
        <v>16.166237798661747</v>
      </c>
      <c r="EM35" s="211">
        <v>16.076434659022528</v>
      </c>
      <c r="EN35" s="211">
        <v>13.868361338797371</v>
      </c>
      <c r="EO35" s="211">
        <v>17.951667471829555</v>
      </c>
      <c r="EP35" s="211">
        <v>16.502005074050857</v>
      </c>
      <c r="EQ35" s="211">
        <v>14.368827055255933</v>
      </c>
      <c r="ER35" s="211">
        <v>14.12755252947446</v>
      </c>
      <c r="ES35" s="211">
        <v>13.01616055689275</v>
      </c>
      <c r="ET35" s="211">
        <v>16.818494022576431</v>
      </c>
      <c r="EU35" s="211">
        <v>15.203501641539054</v>
      </c>
      <c r="EV35" s="211">
        <v>14.069043189671316</v>
      </c>
      <c r="EW35" s="211">
        <v>14.817149947764682</v>
      </c>
      <c r="EX35" s="212">
        <v>15.504826757955874</v>
      </c>
      <c r="EY35" s="212">
        <v>20.647173056306304</v>
      </c>
      <c r="EZ35" s="212">
        <v>18.724719271007192</v>
      </c>
      <c r="FA35" s="212">
        <v>17.026955631391576</v>
      </c>
      <c r="FB35" s="212">
        <v>17.832387553055582</v>
      </c>
      <c r="FC35" s="212">
        <v>16.397402883474655</v>
      </c>
      <c r="FD35" s="212">
        <v>20.310028658170065</v>
      </c>
      <c r="FE35" s="212">
        <v>18.016410213779881</v>
      </c>
      <c r="FF35" s="212">
        <v>16.349228538193117</v>
      </c>
      <c r="FG35" s="212">
        <v>14.53619488638898</v>
      </c>
      <c r="FH35" s="212">
        <v>20.790245428501304</v>
      </c>
      <c r="FI35" s="212">
        <v>17.642927993922129</v>
      </c>
      <c r="FJ35" s="212">
        <v>15.401952031758565</v>
      </c>
      <c r="FK35" s="212">
        <v>13.569629247768685</v>
      </c>
      <c r="FL35" s="212">
        <v>13.250733233901615</v>
      </c>
      <c r="FM35" s="212">
        <v>19.116982916386632</v>
      </c>
      <c r="FN35" s="212">
        <v>16.640497546091858</v>
      </c>
      <c r="FO35" s="212">
        <v>14.31659328166057</v>
      </c>
      <c r="FP35" s="212">
        <v>13.551646176074097</v>
      </c>
      <c r="FQ35" s="212">
        <v>12.124574183436396</v>
      </c>
      <c r="FR35" s="213">
        <v>16.502282610389074</v>
      </c>
      <c r="FS35" s="213">
        <v>15.705837775049305</v>
      </c>
      <c r="FT35" s="213">
        <v>14.410333735339652</v>
      </c>
      <c r="FU35" s="213">
        <v>13.748684993348785</v>
      </c>
      <c r="FV35" s="213">
        <v>12.433473901241781</v>
      </c>
      <c r="FW35" s="213">
        <v>16.276732328233216</v>
      </c>
      <c r="FX35" s="213">
        <v>15.080641775224109</v>
      </c>
      <c r="FY35" s="213">
        <v>13.745066230854396</v>
      </c>
      <c r="FZ35" s="213">
        <v>12.627573117477285</v>
      </c>
      <c r="GA35" s="213">
        <v>11.439261906515494</v>
      </c>
      <c r="GB35" s="213">
        <v>17.397184343800689</v>
      </c>
      <c r="GC35" s="213">
        <v>15.345107839442472</v>
      </c>
      <c r="GD35" s="213">
        <v>14.964809256541553</v>
      </c>
      <c r="GE35" s="213">
        <v>13.420437129586347</v>
      </c>
      <c r="GF35" s="213">
        <v>18.700000000000003</v>
      </c>
      <c r="GG35" s="213">
        <v>19.2</v>
      </c>
      <c r="GH35" s="213">
        <v>16.8</v>
      </c>
      <c r="GI35" s="213">
        <v>16.8</v>
      </c>
      <c r="GJ35" s="213">
        <v>15</v>
      </c>
      <c r="GK35" s="213">
        <v>19.8</v>
      </c>
      <c r="GL35" s="213">
        <v>18.700000000000003</v>
      </c>
      <c r="GM35" s="213">
        <v>18</v>
      </c>
      <c r="GN35" s="213">
        <v>21.974813932895451</v>
      </c>
      <c r="GO35" s="213">
        <v>20.096602939032582</v>
      </c>
      <c r="GP35" s="213">
        <v>23.931329195214612</v>
      </c>
      <c r="GQ35" s="213">
        <v>23.171898609200849</v>
      </c>
      <c r="GR35" s="213">
        <v>22.147663943616553</v>
      </c>
      <c r="GS35" s="213">
        <v>21.549621505574088</v>
      </c>
      <c r="GT35" s="213">
        <v>19.731818979738328</v>
      </c>
      <c r="GU35" s="213">
        <v>23.659320082182219</v>
      </c>
      <c r="GV35" s="213">
        <v>22.228790209461334</v>
      </c>
      <c r="GW35" s="213">
        <v>21.787470338507607</v>
      </c>
      <c r="GX35" s="213">
        <v>20.333398258965644</v>
      </c>
      <c r="GY35" s="213">
        <v>19.529094812138279</v>
      </c>
      <c r="GZ35" s="213">
        <v>22.586872359636025</v>
      </c>
      <c r="HA35" s="213">
        <v>21.298721176720537</v>
      </c>
      <c r="HB35" s="213">
        <v>19.943389776941132</v>
      </c>
      <c r="HC35" s="213">
        <v>19.141677655985518</v>
      </c>
      <c r="HD35" s="213">
        <v>18.028928609348927</v>
      </c>
      <c r="HE35" s="213">
        <v>21.765070755834778</v>
      </c>
      <c r="HF35" s="213">
        <v>21.784359770326542</v>
      </c>
      <c r="HG35" s="213">
        <v>22.811959539377874</v>
      </c>
      <c r="HH35" s="213">
        <v>26.81192437629177</v>
      </c>
      <c r="HI35" s="213">
        <v>24.529624279606224</v>
      </c>
      <c r="HJ35" s="214">
        <v>24.264196000000002</v>
      </c>
      <c r="HK35" s="214">
        <v>20.179841000000003</v>
      </c>
      <c r="HL35" s="214">
        <v>19.2317477</v>
      </c>
      <c r="HM35" s="214">
        <v>16.575093599999999</v>
      </c>
      <c r="HN35" s="214">
        <v>17.193989999999999</v>
      </c>
      <c r="HO35" s="214">
        <v>20.930561300000001</v>
      </c>
      <c r="HP35" s="214">
        <v>19.213779599999999</v>
      </c>
      <c r="HQ35" s="214">
        <v>18.746119199999999</v>
      </c>
      <c r="HR35" s="214">
        <v>14.735200799999999</v>
      </c>
      <c r="HS35" s="214">
        <v>16.307304999999999</v>
      </c>
      <c r="HT35" s="214">
        <v>20.268779300000002</v>
      </c>
      <c r="HU35" s="214">
        <v>18.279667199999999</v>
      </c>
      <c r="HV35" s="214">
        <v>17.5783968</v>
      </c>
      <c r="HW35" s="214">
        <v>14.1346896</v>
      </c>
      <c r="HX35" s="214">
        <v>15.793995000000001</v>
      </c>
      <c r="HY35" s="214">
        <v>20.061602000000001</v>
      </c>
      <c r="HZ35" s="214">
        <v>17.354216399999999</v>
      </c>
      <c r="IA35" s="214">
        <v>16.445691249999999</v>
      </c>
      <c r="IB35" s="214">
        <v>12.4698125</v>
      </c>
      <c r="IC35" s="214">
        <v>13.003355000000001</v>
      </c>
      <c r="ID35" s="214">
        <v>17.647690000000001</v>
      </c>
      <c r="IE35" s="214">
        <v>16.396489199999998</v>
      </c>
      <c r="IF35" s="214">
        <v>13.295831250000001</v>
      </c>
      <c r="IG35" s="214">
        <v>13.744237500000001</v>
      </c>
      <c r="IH35" s="214">
        <v>20.7034272</v>
      </c>
      <c r="II35" s="214">
        <v>15.877318799999999</v>
      </c>
      <c r="IJ35" s="214">
        <v>15.188505000000001</v>
      </c>
      <c r="IK35" s="214">
        <v>11.597185000000001</v>
      </c>
      <c r="IL35" s="214">
        <v>21.127840800000001</v>
      </c>
      <c r="IM35" s="214">
        <v>18.899391599999998</v>
      </c>
      <c r="IN35" s="214">
        <v>17.441539199999998</v>
      </c>
      <c r="IO35" s="214">
        <v>14.071443749999998</v>
      </c>
      <c r="IP35" s="214">
        <v>15.10207125</v>
      </c>
      <c r="IQ35" s="214">
        <v>20.0608562</v>
      </c>
      <c r="IR35" s="214">
        <v>17.541688799999999</v>
      </c>
      <c r="IS35" s="214">
        <v>16.7141424</v>
      </c>
      <c r="IT35" s="214">
        <v>13.521027500000001</v>
      </c>
      <c r="IU35" s="214">
        <v>13.795108750000001</v>
      </c>
      <c r="IV35" s="214">
        <v>18.488873999999999</v>
      </c>
      <c r="IW35" s="214">
        <v>14.6078975</v>
      </c>
      <c r="IX35" s="214">
        <v>13.607484999999999</v>
      </c>
      <c r="IY35" s="214">
        <v>12.610737499999999</v>
      </c>
      <c r="IZ35" s="214">
        <v>15.88858375</v>
      </c>
      <c r="JA35" s="214">
        <v>17.650790000000001</v>
      </c>
      <c r="JB35" s="214">
        <v>15.706637499999999</v>
      </c>
      <c r="JC35" s="214">
        <v>15.438123749999999</v>
      </c>
      <c r="JD35" s="214">
        <v>11.61099125</v>
      </c>
      <c r="JE35" s="214">
        <v>15.479157499999999</v>
      </c>
      <c r="JF35" s="214">
        <v>17.526145</v>
      </c>
      <c r="JG35" s="214">
        <v>15.433805</v>
      </c>
      <c r="JH35" s="214">
        <v>15.60826125</v>
      </c>
      <c r="JI35" s="214">
        <v>13.09717625</v>
      </c>
      <c r="JJ35" s="214">
        <v>15.492710000000001</v>
      </c>
      <c r="JK35" s="214">
        <v>17.316884999999999</v>
      </c>
      <c r="JL35" s="214">
        <v>14.974662500000001</v>
      </c>
      <c r="JM35" s="214">
        <v>15.06903125</v>
      </c>
      <c r="JN35" s="214">
        <v>12.475045</v>
      </c>
      <c r="JO35" s="214">
        <v>10.61396435763889</v>
      </c>
      <c r="JP35" s="214">
        <v>14.017605613194446</v>
      </c>
      <c r="JQ35" s="214">
        <v>12.241263490277777</v>
      </c>
      <c r="JR35" s="214">
        <v>9.364042945833333</v>
      </c>
      <c r="JS35" s="214">
        <v>10.48797874097222</v>
      </c>
      <c r="JT35" s="214">
        <v>16.553069000000001</v>
      </c>
      <c r="JU35" s="214">
        <v>14.322953</v>
      </c>
      <c r="JV35" s="214">
        <v>11.661553</v>
      </c>
      <c r="JW35" s="214">
        <v>11.866016999999999</v>
      </c>
      <c r="JX35" s="214">
        <v>16.449551</v>
      </c>
      <c r="JY35" s="214">
        <v>16.042558</v>
      </c>
      <c r="JZ35" s="214">
        <v>13.868451</v>
      </c>
      <c r="KA35" s="214">
        <v>11.307029</v>
      </c>
      <c r="KB35" s="214">
        <v>11.596912</v>
      </c>
      <c r="KC35" s="214">
        <v>15.975849</v>
      </c>
      <c r="KD35" s="214">
        <v>15.879053000000001</v>
      </c>
      <c r="KE35" s="214">
        <v>13.264419</v>
      </c>
      <c r="KF35" s="214">
        <v>10.594644000000001</v>
      </c>
      <c r="KG35" s="214">
        <v>11.412609</v>
      </c>
      <c r="KH35" s="214">
        <v>15.567176999999999</v>
      </c>
      <c r="KI35" s="214">
        <v>15.316591000000001</v>
      </c>
      <c r="KJ35" s="214">
        <v>12.788149000000001</v>
      </c>
      <c r="KK35" s="214">
        <v>9.9156820000000003</v>
      </c>
      <c r="KL35" s="214">
        <v>11.184642</v>
      </c>
      <c r="KM35" s="214">
        <v>14.921059</v>
      </c>
      <c r="KN35" s="214">
        <v>14.864710000000001</v>
      </c>
    </row>
    <row r="36" spans="1:300" x14ac:dyDescent="0.35">
      <c r="A36" s="216" t="str">
        <f t="shared" si="0"/>
        <v>jeudi</v>
      </c>
      <c r="B36" s="217">
        <v>44588</v>
      </c>
      <c r="C36" s="202">
        <v>0</v>
      </c>
      <c r="D36" s="202">
        <v>52</v>
      </c>
      <c r="E36" s="202">
        <v>76</v>
      </c>
      <c r="F36" s="202">
        <v>112</v>
      </c>
      <c r="G36" s="202">
        <v>99</v>
      </c>
      <c r="H36" s="202">
        <v>73</v>
      </c>
      <c r="I36" s="202">
        <v>73</v>
      </c>
      <c r="J36" s="202">
        <v>67</v>
      </c>
      <c r="K36" s="202">
        <v>64</v>
      </c>
      <c r="L36" s="202">
        <v>30</v>
      </c>
      <c r="M36" s="202">
        <v>19</v>
      </c>
      <c r="N36" s="202">
        <v>41</v>
      </c>
      <c r="O36" s="202">
        <v>75</v>
      </c>
      <c r="P36" s="202">
        <v>107</v>
      </c>
      <c r="Q36" s="202">
        <v>65</v>
      </c>
      <c r="R36" s="202">
        <v>69</v>
      </c>
      <c r="S36" s="202">
        <v>65</v>
      </c>
      <c r="T36" s="202">
        <v>69</v>
      </c>
      <c r="U36" s="202">
        <v>37</v>
      </c>
      <c r="V36" s="202">
        <v>0</v>
      </c>
      <c r="W36" s="203">
        <f t="shared" si="1"/>
        <v>1193</v>
      </c>
      <c r="AA36" s="196">
        <v>0.5</v>
      </c>
      <c r="AB36" s="223">
        <v>30.15126050420168</v>
      </c>
      <c r="AC36" s="223">
        <v>15.616724738675957</v>
      </c>
      <c r="AD36" s="223">
        <v>16.444954128440365</v>
      </c>
      <c r="AE36" s="223">
        <v>15.793103448275863</v>
      </c>
      <c r="AF36" s="223">
        <v>14.896551724137932</v>
      </c>
      <c r="AG36" s="223">
        <v>18.549618320610687</v>
      </c>
      <c r="AH36" s="223">
        <v>18.626086956521739</v>
      </c>
      <c r="AI36" s="223">
        <v>17.807881773399014</v>
      </c>
      <c r="AJ36" s="223">
        <v>16.487309644670049</v>
      </c>
      <c r="AK36" s="223">
        <v>14.675257731958762</v>
      </c>
      <c r="AL36" s="223">
        <v>19.577689243027887</v>
      </c>
      <c r="AM36" s="223">
        <v>19.096916299559474</v>
      </c>
      <c r="AN36" s="223">
        <v>17.06467661691542</v>
      </c>
      <c r="AO36" s="223">
        <v>17.030927835051546</v>
      </c>
      <c r="AP36" s="223">
        <v>15.098958333333332</v>
      </c>
      <c r="AQ36" s="223">
        <v>19.845493562231759</v>
      </c>
      <c r="AR36" s="223">
        <v>18.325991189427313</v>
      </c>
      <c r="AS36" s="223">
        <v>18.041237113402062</v>
      </c>
      <c r="AT36" s="223">
        <v>16.684491978609625</v>
      </c>
      <c r="AU36" s="223">
        <v>14.261780104712042</v>
      </c>
      <c r="AV36" s="223">
        <v>17.628205128205128</v>
      </c>
      <c r="AW36" s="223">
        <v>17</v>
      </c>
      <c r="AX36" s="223">
        <v>16</v>
      </c>
      <c r="AY36" s="223">
        <v>15</v>
      </c>
      <c r="AZ36" s="223">
        <v>12</v>
      </c>
      <c r="BA36" s="223">
        <v>19</v>
      </c>
      <c r="BB36" s="223">
        <v>18</v>
      </c>
      <c r="BC36" s="223">
        <v>16</v>
      </c>
      <c r="BD36" s="223">
        <v>15</v>
      </c>
      <c r="BE36" s="223">
        <v>13</v>
      </c>
      <c r="BF36" s="223">
        <v>16</v>
      </c>
      <c r="BG36" s="223">
        <v>16</v>
      </c>
      <c r="BH36" s="223">
        <v>15</v>
      </c>
      <c r="BI36" s="223">
        <v>13</v>
      </c>
      <c r="BJ36" s="223">
        <v>11</v>
      </c>
      <c r="BK36" s="223">
        <v>14</v>
      </c>
      <c r="BL36" s="223">
        <v>14</v>
      </c>
      <c r="BM36" s="223">
        <v>12</v>
      </c>
      <c r="BN36" s="223">
        <v>11</v>
      </c>
      <c r="BO36" s="223">
        <v>9</v>
      </c>
      <c r="BP36" s="223">
        <v>16</v>
      </c>
      <c r="BQ36" s="209">
        <v>14</v>
      </c>
      <c r="BR36" s="209">
        <v>16</v>
      </c>
      <c r="BS36" s="209">
        <v>15</v>
      </c>
      <c r="BT36" s="209">
        <v>11</v>
      </c>
      <c r="BU36" s="209">
        <v>21</v>
      </c>
      <c r="BV36" s="209">
        <v>21</v>
      </c>
      <c r="BW36" s="209">
        <v>19</v>
      </c>
      <c r="BX36" s="209">
        <v>18</v>
      </c>
      <c r="BY36" s="209">
        <v>16</v>
      </c>
      <c r="BZ36" s="209">
        <v>24</v>
      </c>
      <c r="CA36" s="209">
        <v>23</v>
      </c>
      <c r="CB36" s="209">
        <v>20</v>
      </c>
      <c r="CC36" s="209">
        <v>19</v>
      </c>
      <c r="CD36" s="209">
        <v>14</v>
      </c>
      <c r="CE36" s="209">
        <v>23</v>
      </c>
      <c r="CF36" s="209">
        <v>22</v>
      </c>
      <c r="CG36" s="209">
        <v>20</v>
      </c>
      <c r="CH36" s="209">
        <v>21</v>
      </c>
      <c r="CI36" s="209">
        <v>18</v>
      </c>
      <c r="CJ36" s="209">
        <v>13</v>
      </c>
      <c r="CK36" s="209">
        <v>11</v>
      </c>
      <c r="CL36" s="209">
        <v>10</v>
      </c>
      <c r="CM36" s="209">
        <v>9</v>
      </c>
      <c r="CN36" s="209">
        <v>8.4788072339256697</v>
      </c>
      <c r="CO36" s="209">
        <v>10.437789581519301</v>
      </c>
      <c r="CP36" s="209">
        <v>8.6471472046775126</v>
      </c>
      <c r="CQ36" s="209">
        <v>10.3180003366595</v>
      </c>
      <c r="CR36" s="209">
        <v>10.22176396223372</v>
      </c>
      <c r="CS36" s="209">
        <v>8.3216986306087648</v>
      </c>
      <c r="CT36" s="209">
        <v>10.443734113675671</v>
      </c>
      <c r="CU36" s="209">
        <v>9.7540719211678741</v>
      </c>
      <c r="CV36" s="209">
        <v>9.0242797205340182</v>
      </c>
      <c r="CW36" s="209">
        <v>8.911017910059293</v>
      </c>
      <c r="CX36" s="209">
        <v>8.0587778250511111</v>
      </c>
      <c r="CY36" s="209">
        <v>9.0418481030988662</v>
      </c>
      <c r="CZ36" s="209">
        <v>8.5692905819968175</v>
      </c>
      <c r="DA36" s="209">
        <v>8.1961279911179314</v>
      </c>
      <c r="DB36" s="209">
        <v>6.7578334183104731</v>
      </c>
      <c r="DC36" s="209">
        <v>8.9334091277431487</v>
      </c>
      <c r="DD36" s="209">
        <v>9.3021680267143854</v>
      </c>
      <c r="DE36" s="209">
        <v>10</v>
      </c>
      <c r="DF36" s="209">
        <v>8.8710067264922117</v>
      </c>
      <c r="DG36" s="209">
        <v>7.649262347063563</v>
      </c>
      <c r="DH36" s="209">
        <v>12</v>
      </c>
      <c r="DI36" s="209">
        <v>10.971114878609511</v>
      </c>
      <c r="DJ36" s="209">
        <v>9.9399050719297524</v>
      </c>
      <c r="DK36" s="209">
        <v>9.6504515095743191</v>
      </c>
      <c r="DL36" s="209">
        <v>7.6928061365933811</v>
      </c>
      <c r="DM36" s="209">
        <v>11.079419135641499</v>
      </c>
      <c r="DN36" s="209">
        <v>10.512645140972131</v>
      </c>
      <c r="DO36" s="209">
        <v>9.3070176046485571</v>
      </c>
      <c r="DP36" s="209">
        <v>7.7606942913908377</v>
      </c>
      <c r="DQ36" s="209">
        <v>4.23836579074315</v>
      </c>
      <c r="DR36" s="209">
        <v>10.421926919827481</v>
      </c>
      <c r="DS36" s="209">
        <v>9.8934109076970618</v>
      </c>
      <c r="DT36" s="209">
        <v>9.5953686499847688</v>
      </c>
      <c r="DU36" s="209">
        <v>8.7711187268822481</v>
      </c>
      <c r="DV36" s="209">
        <v>6.9545294883643631</v>
      </c>
      <c r="DW36" s="209">
        <v>7.7047917987122814</v>
      </c>
      <c r="DX36" s="209">
        <v>6.7269214072236734</v>
      </c>
      <c r="DY36" s="209">
        <v>9.983022719291748</v>
      </c>
      <c r="DZ36" s="210">
        <v>9.0342140292098296</v>
      </c>
      <c r="EA36" s="210">
        <v>12.060173249689797</v>
      </c>
      <c r="EB36" s="210">
        <v>11.033533925584129</v>
      </c>
      <c r="EC36" s="211">
        <v>10.318299347136007</v>
      </c>
      <c r="ED36" s="211">
        <v>9.8376805644510075</v>
      </c>
      <c r="EE36" s="211">
        <v>8.7921148780646927</v>
      </c>
      <c r="EF36" s="211">
        <v>11.528045830977161</v>
      </c>
      <c r="EG36" s="211">
        <v>10.408576940507652</v>
      </c>
      <c r="EH36" s="211">
        <v>10.159345983256614</v>
      </c>
      <c r="EI36" s="211">
        <v>8.4377241170297985</v>
      </c>
      <c r="EJ36" s="211">
        <v>11.052993983229422</v>
      </c>
      <c r="EK36" s="211">
        <v>10.618028862426875</v>
      </c>
      <c r="EL36" s="211">
        <v>9.3988983886429374</v>
      </c>
      <c r="EM36" s="211">
        <v>9.6693290770345524</v>
      </c>
      <c r="EN36" s="211">
        <v>8.207716328405855</v>
      </c>
      <c r="EO36" s="211">
        <v>9.6483994461087743</v>
      </c>
      <c r="EP36" s="211">
        <v>9.74666793944359</v>
      </c>
      <c r="EQ36" s="211">
        <v>8.199744297695748</v>
      </c>
      <c r="ER36" s="211">
        <v>8.1566733460873415</v>
      </c>
      <c r="ES36" s="211">
        <v>7.4580133007848195</v>
      </c>
      <c r="ET36" s="211">
        <v>10.428353361954073</v>
      </c>
      <c r="EU36" s="211">
        <v>9.9994848180882219</v>
      </c>
      <c r="EV36" s="211">
        <v>9.3810070070632676</v>
      </c>
      <c r="EW36" s="211">
        <v>10.994914272409371</v>
      </c>
      <c r="EX36" s="212">
        <v>10.223730138334208</v>
      </c>
      <c r="EY36" s="212">
        <v>13.14416016153236</v>
      </c>
      <c r="EZ36" s="212">
        <v>12.04567096293419</v>
      </c>
      <c r="FA36" s="212">
        <v>10.91986849750557</v>
      </c>
      <c r="FB36" s="212">
        <v>9.8660070169646801</v>
      </c>
      <c r="FC36" s="212">
        <v>8.6007679330576163</v>
      </c>
      <c r="FD36" s="212">
        <v>10.460899895673423</v>
      </c>
      <c r="FE36" s="212">
        <v>10.043912216884184</v>
      </c>
      <c r="FF36" s="212">
        <v>8.8618682474865267</v>
      </c>
      <c r="FG36" s="212">
        <v>7.7770074980226447</v>
      </c>
      <c r="FH36" s="212">
        <v>10.22896963633535</v>
      </c>
      <c r="FI36" s="212">
        <v>9.6977826852371205</v>
      </c>
      <c r="FJ36" s="212">
        <v>8.2278507463748376</v>
      </c>
      <c r="FK36" s="212">
        <v>7.6261494649151773</v>
      </c>
      <c r="FL36" s="212">
        <v>7.1689282611296061</v>
      </c>
      <c r="FM36" s="212">
        <v>9.7479116701713089</v>
      </c>
      <c r="FN36" s="212">
        <v>9.164668243253697</v>
      </c>
      <c r="FO36" s="212">
        <v>7.6657320361599748</v>
      </c>
      <c r="FP36" s="212">
        <v>7.9068138574914411</v>
      </c>
      <c r="FQ36" s="212">
        <v>6.7568163312393859</v>
      </c>
      <c r="FR36" s="213">
        <v>6.318525028050554</v>
      </c>
      <c r="FS36" s="213">
        <v>6.0135768003950476</v>
      </c>
      <c r="FT36" s="213">
        <v>5.5175446731440587</v>
      </c>
      <c r="FU36" s="213">
        <v>5.2642080570571341</v>
      </c>
      <c r="FV36" s="213">
        <v>4.760630073012095</v>
      </c>
      <c r="FW36" s="213">
        <v>6.2321691891601301</v>
      </c>
      <c r="FX36" s="213">
        <v>5.7742010581335874</v>
      </c>
      <c r="FY36" s="213">
        <v>5.2628256135751688</v>
      </c>
      <c r="FZ36" s="213">
        <v>4.8349512493459166</v>
      </c>
      <c r="GA36" s="213">
        <v>4.3799613255497798</v>
      </c>
      <c r="GB36" s="213">
        <v>6.6611820394834904</v>
      </c>
      <c r="GC36" s="213">
        <v>5.8754663944020402</v>
      </c>
      <c r="GD36" s="213">
        <v>5.7298552679137416</v>
      </c>
      <c r="GE36" s="213">
        <v>5.1385335107042689</v>
      </c>
      <c r="GF36" s="213">
        <v>6.6000000000000005</v>
      </c>
      <c r="GG36" s="213">
        <v>7.1999999999999993</v>
      </c>
      <c r="GH36" s="213">
        <v>6</v>
      </c>
      <c r="GI36" s="213">
        <v>6</v>
      </c>
      <c r="GJ36" s="213">
        <v>6.25</v>
      </c>
      <c r="GK36" s="213">
        <v>7.7000000000000011</v>
      </c>
      <c r="GL36" s="213">
        <v>7.7000000000000011</v>
      </c>
      <c r="GM36" s="213">
        <v>7.1999999999999993</v>
      </c>
      <c r="GN36" s="213">
        <v>9.0162747538157042</v>
      </c>
      <c r="GO36" s="213">
        <v>8.6838847270403043</v>
      </c>
      <c r="GP36" s="213">
        <v>7.8579766986120809</v>
      </c>
      <c r="GQ36" s="213">
        <v>8.0753853373317472</v>
      </c>
      <c r="GR36" s="213">
        <v>8.7474316738339688</v>
      </c>
      <c r="GS36" s="213">
        <v>8.2219227721505881</v>
      </c>
      <c r="GT36" s="213">
        <v>8.3077049036012784</v>
      </c>
      <c r="GU36" s="213">
        <v>7.7415354501950029</v>
      </c>
      <c r="GV36" s="213">
        <v>7.6110326097066583</v>
      </c>
      <c r="GW36" s="213">
        <v>9.0311610597458571</v>
      </c>
      <c r="GX36" s="213">
        <v>7.6792835970352531</v>
      </c>
      <c r="GY36" s="213">
        <v>8.222351771030036</v>
      </c>
      <c r="GZ36" s="213">
        <v>8.2380663711742468</v>
      </c>
      <c r="HA36" s="213">
        <v>7.4225847262300793</v>
      </c>
      <c r="HB36" s="213">
        <v>8.2667681173849203</v>
      </c>
      <c r="HC36" s="213">
        <v>8.0816670628083589</v>
      </c>
      <c r="HD36" s="213">
        <v>7.664755841496989</v>
      </c>
      <c r="HE36" s="213">
        <v>7.5706615035245282</v>
      </c>
      <c r="HF36" s="213">
        <v>7.5918293291082897</v>
      </c>
      <c r="HG36" s="213">
        <v>9.4558238055019324</v>
      </c>
      <c r="HH36" s="213">
        <v>11.320065566699652</v>
      </c>
      <c r="HI36" s="213">
        <v>10.327729041120774</v>
      </c>
      <c r="HJ36" s="214">
        <v>19.261419100000001</v>
      </c>
      <c r="HK36" s="214">
        <v>14.307618600000001</v>
      </c>
      <c r="HL36" s="214">
        <v>14.631747900000001</v>
      </c>
      <c r="HM36" s="214">
        <v>14.826608399999998</v>
      </c>
      <c r="HN36" s="214">
        <v>11.312170800000001</v>
      </c>
      <c r="HO36" s="214">
        <v>15.927783300000002</v>
      </c>
      <c r="HP36" s="214">
        <v>12.8077188</v>
      </c>
      <c r="HQ36" s="214">
        <v>13.727937599999999</v>
      </c>
      <c r="HR36" s="214">
        <v>12.9867168</v>
      </c>
      <c r="HS36" s="214">
        <v>10.180411250000001</v>
      </c>
      <c r="HT36" s="214">
        <v>15.266001300000001</v>
      </c>
      <c r="HU36" s="214">
        <v>11.8736064</v>
      </c>
      <c r="HV36" s="214">
        <v>12.5602152</v>
      </c>
      <c r="HW36" s="214">
        <v>12.3862044</v>
      </c>
      <c r="HX36" s="214">
        <v>9.66710125</v>
      </c>
      <c r="HY36" s="214">
        <v>15.058824000000001</v>
      </c>
      <c r="HZ36" s="214">
        <v>10.948155599999998</v>
      </c>
      <c r="IA36" s="214">
        <v>11.218418750000001</v>
      </c>
      <c r="IB36" s="214">
        <v>10.648473750000001</v>
      </c>
      <c r="IC36" s="214">
        <v>6.8764612500000002</v>
      </c>
      <c r="ID36" s="214">
        <v>11.962714999999999</v>
      </c>
      <c r="IE36" s="214">
        <v>11.378307599999999</v>
      </c>
      <c r="IF36" s="214">
        <v>11.4744925</v>
      </c>
      <c r="IG36" s="214">
        <v>7.6173437499999999</v>
      </c>
      <c r="IH36" s="214">
        <v>15.245851200000001</v>
      </c>
      <c r="II36" s="214">
        <v>9.4712579999999988</v>
      </c>
      <c r="IJ36" s="214">
        <v>9.9612324999999995</v>
      </c>
      <c r="IK36" s="214">
        <v>9.7758474999999994</v>
      </c>
      <c r="IL36" s="214">
        <v>16.125062800000002</v>
      </c>
      <c r="IM36" s="214">
        <v>12.493330799999999</v>
      </c>
      <c r="IN36" s="214">
        <v>12.423357599999999</v>
      </c>
      <c r="IO36" s="214">
        <v>12.250106249999998</v>
      </c>
      <c r="IP36" s="214">
        <v>8.9751775000000009</v>
      </c>
      <c r="IQ36" s="214">
        <v>15.058079300000001</v>
      </c>
      <c r="IR36" s="214">
        <v>11.135628000000001</v>
      </c>
      <c r="IS36" s="214">
        <v>11.6959608</v>
      </c>
      <c r="IT36" s="214">
        <v>11.69969</v>
      </c>
      <c r="IU36" s="214">
        <v>7.668215</v>
      </c>
      <c r="IV36" s="214">
        <v>13.031298</v>
      </c>
      <c r="IW36" s="214">
        <v>7.9349187499999996</v>
      </c>
      <c r="IX36" s="214">
        <v>8.3802125000000007</v>
      </c>
      <c r="IY36" s="214">
        <v>10.789400000000001</v>
      </c>
      <c r="IZ36" s="214">
        <v>9.7616899999999998</v>
      </c>
      <c r="JA36" s="214">
        <v>11.965814999999999</v>
      </c>
      <c r="JB36" s="214">
        <v>9.0336587500000007</v>
      </c>
      <c r="JC36" s="214">
        <v>10.210851249999999</v>
      </c>
      <c r="JD36" s="214">
        <v>9.7896525000000008</v>
      </c>
      <c r="JE36" s="214">
        <v>9.3522637500000005</v>
      </c>
      <c r="JF36" s="214">
        <v>11.841170000000002</v>
      </c>
      <c r="JG36" s="214">
        <v>8.7608250000000005</v>
      </c>
      <c r="JH36" s="214">
        <v>10.3809875</v>
      </c>
      <c r="JI36" s="214">
        <v>11.275837500000002</v>
      </c>
      <c r="JJ36" s="214">
        <v>9.3658149999999996</v>
      </c>
      <c r="JK36" s="214">
        <v>11.631910000000001</v>
      </c>
      <c r="JL36" s="214">
        <v>8.3016825000000001</v>
      </c>
      <c r="JM36" s="214">
        <v>9.8417587500000003</v>
      </c>
      <c r="JN36" s="214">
        <v>10.653706249999999</v>
      </c>
      <c r="JO36" s="214">
        <v>4.4870706076388895</v>
      </c>
      <c r="JP36" s="214">
        <v>7.344625613194447</v>
      </c>
      <c r="JQ36" s="214">
        <v>7.0139909902777795</v>
      </c>
      <c r="JR36" s="214">
        <v>7.5427041958333323</v>
      </c>
      <c r="JS36" s="214">
        <v>4.3610849909722216</v>
      </c>
      <c r="JT36" s="214">
        <v>8.9040800000000004</v>
      </c>
      <c r="JU36" s="214">
        <v>9.2295189999999998</v>
      </c>
      <c r="JV36" s="214">
        <v>10.580745</v>
      </c>
      <c r="JW36" s="214">
        <v>6.6059159999999997</v>
      </c>
      <c r="JX36" s="214">
        <v>12.098541000000001</v>
      </c>
      <c r="JY36" s="214">
        <v>8.3935680000000001</v>
      </c>
      <c r="JZ36" s="214">
        <v>8.7750170000000001</v>
      </c>
      <c r="KA36" s="214">
        <v>10.226221000000001</v>
      </c>
      <c r="KB36" s="214">
        <v>6.336811</v>
      </c>
      <c r="KC36" s="214">
        <v>11.624839</v>
      </c>
      <c r="KD36" s="214">
        <v>8.2300629999999995</v>
      </c>
      <c r="KE36" s="214">
        <v>8.1709849999999999</v>
      </c>
      <c r="KF36" s="214">
        <v>9.5138359999999995</v>
      </c>
      <c r="KG36" s="214">
        <v>6.1525080000000001</v>
      </c>
      <c r="KH36" s="214">
        <v>11.216165999999999</v>
      </c>
      <c r="KI36" s="214">
        <v>7.6676010000000003</v>
      </c>
      <c r="KJ36" s="214">
        <v>7.6947150000000004</v>
      </c>
      <c r="KK36" s="214">
        <v>8.8348739999999992</v>
      </c>
      <c r="KL36" s="214">
        <v>5.9245409999999996</v>
      </c>
      <c r="KM36" s="214">
        <v>10.570048999999999</v>
      </c>
      <c r="KN36" s="214">
        <v>7.2157200000000001</v>
      </c>
    </row>
    <row r="37" spans="1:300" x14ac:dyDescent="0.35">
      <c r="A37" s="216" t="str">
        <f t="shared" si="0"/>
        <v>vendredi</v>
      </c>
      <c r="B37" s="217">
        <v>44589</v>
      </c>
      <c r="C37" s="202">
        <v>0</v>
      </c>
      <c r="D37" s="202">
        <v>58</v>
      </c>
      <c r="E37" s="202">
        <v>92</v>
      </c>
      <c r="F37" s="202">
        <v>96</v>
      </c>
      <c r="G37" s="202">
        <v>92</v>
      </c>
      <c r="H37" s="202">
        <v>90</v>
      </c>
      <c r="I37" s="202">
        <v>92</v>
      </c>
      <c r="J37" s="202">
        <v>62</v>
      </c>
      <c r="K37" s="202">
        <v>44</v>
      </c>
      <c r="L37" s="202">
        <v>22</v>
      </c>
      <c r="M37" s="202">
        <v>15</v>
      </c>
      <c r="N37" s="202">
        <v>25</v>
      </c>
      <c r="O37" s="202">
        <v>49</v>
      </c>
      <c r="P37" s="202">
        <v>58</v>
      </c>
      <c r="Q37" s="202">
        <v>48</v>
      </c>
      <c r="R37" s="202">
        <v>73</v>
      </c>
      <c r="S37" s="202">
        <v>49</v>
      </c>
      <c r="T37" s="202">
        <v>42</v>
      </c>
      <c r="U37" s="202">
        <v>29</v>
      </c>
      <c r="V37" s="202">
        <v>0</v>
      </c>
      <c r="W37" s="203">
        <f t="shared" si="1"/>
        <v>1036</v>
      </c>
      <c r="AA37" s="196">
        <v>0.52083333333333304</v>
      </c>
      <c r="AB37" s="223">
        <v>30.15126050420168</v>
      </c>
      <c r="AC37" s="223">
        <v>15.616724738675957</v>
      </c>
      <c r="AD37" s="223">
        <v>16.444954128440365</v>
      </c>
      <c r="AE37" s="223">
        <v>15.793103448275863</v>
      </c>
      <c r="AF37" s="223">
        <v>14.896551724137932</v>
      </c>
      <c r="AG37" s="223">
        <v>18.549618320610687</v>
      </c>
      <c r="AH37" s="223">
        <v>18.626086956521739</v>
      </c>
      <c r="AI37" s="223">
        <v>16.620689655172413</v>
      </c>
      <c r="AJ37" s="223">
        <v>16.487309644670049</v>
      </c>
      <c r="AK37" s="223">
        <v>15.804123711340207</v>
      </c>
      <c r="AL37" s="223">
        <v>19.577689243027887</v>
      </c>
      <c r="AM37" s="223">
        <v>19.096916299559474</v>
      </c>
      <c r="AN37" s="223">
        <v>17.06467661691542</v>
      </c>
      <c r="AO37" s="223">
        <v>17.030927835051546</v>
      </c>
      <c r="AP37" s="223">
        <v>15.098958333333332</v>
      </c>
      <c r="AQ37" s="223">
        <v>18.678111587982833</v>
      </c>
      <c r="AR37" s="223">
        <v>18.325991189427313</v>
      </c>
      <c r="AS37" s="223">
        <v>18.041237113402062</v>
      </c>
      <c r="AT37" s="223">
        <v>16.684491978609625</v>
      </c>
      <c r="AU37" s="223">
        <v>15.450261780104711</v>
      </c>
      <c r="AV37" s="223">
        <v>17.628205128205128</v>
      </c>
      <c r="AW37" s="223">
        <v>17</v>
      </c>
      <c r="AX37" s="223">
        <v>16</v>
      </c>
      <c r="AY37" s="223">
        <v>15</v>
      </c>
      <c r="AZ37" s="223">
        <v>12</v>
      </c>
      <c r="BA37" s="223">
        <v>19</v>
      </c>
      <c r="BB37" s="223">
        <v>18</v>
      </c>
      <c r="BC37" s="223">
        <v>16</v>
      </c>
      <c r="BD37" s="223">
        <v>15</v>
      </c>
      <c r="BE37" s="223">
        <v>13</v>
      </c>
      <c r="BF37" s="223">
        <v>16</v>
      </c>
      <c r="BG37" s="223">
        <v>16</v>
      </c>
      <c r="BH37" s="223">
        <v>14</v>
      </c>
      <c r="BI37" s="223">
        <v>13</v>
      </c>
      <c r="BJ37" s="223">
        <v>11</v>
      </c>
      <c r="BK37" s="223">
        <v>14</v>
      </c>
      <c r="BL37" s="223">
        <v>14</v>
      </c>
      <c r="BM37" s="223">
        <v>12</v>
      </c>
      <c r="BN37" s="223">
        <v>10</v>
      </c>
      <c r="BO37" s="223">
        <v>9</v>
      </c>
      <c r="BP37" s="223">
        <v>16</v>
      </c>
      <c r="BQ37" s="209">
        <v>14</v>
      </c>
      <c r="BR37" s="209">
        <v>15</v>
      </c>
      <c r="BS37" s="209">
        <v>14</v>
      </c>
      <c r="BT37" s="209">
        <v>11</v>
      </c>
      <c r="BU37" s="209">
        <v>20</v>
      </c>
      <c r="BV37" s="209">
        <v>21</v>
      </c>
      <c r="BW37" s="209">
        <v>19</v>
      </c>
      <c r="BX37" s="209">
        <v>16</v>
      </c>
      <c r="BY37" s="209">
        <v>16</v>
      </c>
      <c r="BZ37" s="209">
        <v>22</v>
      </c>
      <c r="CA37" s="209">
        <v>23</v>
      </c>
      <c r="CB37" s="209">
        <v>20</v>
      </c>
      <c r="CC37" s="209">
        <v>17</v>
      </c>
      <c r="CD37" s="209">
        <v>14</v>
      </c>
      <c r="CE37" s="209">
        <v>22</v>
      </c>
      <c r="CF37" s="209">
        <v>22</v>
      </c>
      <c r="CG37" s="209">
        <v>19</v>
      </c>
      <c r="CH37" s="209">
        <v>19</v>
      </c>
      <c r="CI37" s="209">
        <v>18</v>
      </c>
      <c r="CJ37" s="209">
        <v>10</v>
      </c>
      <c r="CK37" s="209">
        <v>7</v>
      </c>
      <c r="CL37" s="209">
        <v>5</v>
      </c>
      <c r="CM37" s="209">
        <v>4</v>
      </c>
      <c r="CN37" s="209">
        <v>7.4385583017275634</v>
      </c>
      <c r="CO37" s="209">
        <v>8.6514316939791325</v>
      </c>
      <c r="CP37" s="209">
        <v>6.8607893171373471</v>
      </c>
      <c r="CQ37" s="209">
        <v>8.5591159288533945</v>
      </c>
      <c r="CR37" s="209">
        <v>8.451000138064197</v>
      </c>
      <c r="CS37" s="209">
        <v>7.1396030911315478</v>
      </c>
      <c r="CT37" s="209">
        <v>8.6226147756699891</v>
      </c>
      <c r="CU37" s="209">
        <v>7.9329525831621881</v>
      </c>
      <c r="CV37" s="209">
        <v>7.2306338622623949</v>
      </c>
      <c r="CW37" s="209">
        <v>7.1202121435759809</v>
      </c>
      <c r="CX37" s="209">
        <v>6.8566390081160664</v>
      </c>
      <c r="CY37" s="209">
        <v>7.2290582670088872</v>
      </c>
      <c r="CZ37" s="209">
        <v>6.7740898357416599</v>
      </c>
      <c r="DA37" s="209">
        <v>6.4037659061396122</v>
      </c>
      <c r="DB37" s="209">
        <v>5.554139427289603</v>
      </c>
      <c r="DC37" s="209">
        <v>7.1264789724722002</v>
      </c>
      <c r="DD37" s="209">
        <v>7.4952378714434378</v>
      </c>
      <c r="DE37" s="209">
        <v>6</v>
      </c>
      <c r="DF37" s="209">
        <v>7.0845051806398063</v>
      </c>
      <c r="DG37" s="209">
        <v>6.4514280368617207</v>
      </c>
      <c r="DH37" s="209">
        <v>11</v>
      </c>
      <c r="DI37" s="209">
        <v>9.0476331013780378</v>
      </c>
      <c r="DJ37" s="209">
        <v>8.043896774432346</v>
      </c>
      <c r="DK37" s="209">
        <v>7.8972142554530986</v>
      </c>
      <c r="DL37" s="209">
        <v>6.5282370717970446</v>
      </c>
      <c r="DM37" s="209">
        <v>9.276786851966067</v>
      </c>
      <c r="DN37" s="209">
        <v>8.695829928229923</v>
      </c>
      <c r="DO37" s="209">
        <v>7.517676443844997</v>
      </c>
      <c r="DP37" s="209">
        <v>5.974192745538434</v>
      </c>
      <c r="DQ37" s="209">
        <v>3.0405314805413108</v>
      </c>
      <c r="DR37" s="209">
        <v>8.6051117070852694</v>
      </c>
      <c r="DS37" s="209">
        <v>8.086480752426116</v>
      </c>
      <c r="DT37" s="209">
        <v>7.8060274891812123</v>
      </c>
      <c r="DU37" s="209">
        <v>6.9846172763972731</v>
      </c>
      <c r="DV37" s="209">
        <v>5.7566951781625244</v>
      </c>
      <c r="DW37" s="209">
        <v>5.7349204851161266</v>
      </c>
      <c r="DX37" s="209">
        <v>4.7534613327623489</v>
      </c>
      <c r="DY37" s="209">
        <v>8.0201174181337151</v>
      </c>
      <c r="DZ37" s="210">
        <v>7.3885365751877572</v>
      </c>
      <c r="EA37" s="210">
        <v>9.8893671677823392</v>
      </c>
      <c r="EB37" s="210">
        <v>8.8627278436766659</v>
      </c>
      <c r="EC37" s="211">
        <v>8.2413681606403024</v>
      </c>
      <c r="ED37" s="211">
        <v>7.9245343868183582</v>
      </c>
      <c r="EE37" s="211">
        <v>7.1758789552902202</v>
      </c>
      <c r="EF37" s="211">
        <v>9.3301046204144331</v>
      </c>
      <c r="EG37" s="211">
        <v>8.401622117034929</v>
      </c>
      <c r="EH37" s="211">
        <v>8.4258794859929012</v>
      </c>
      <c r="EI37" s="211">
        <v>7.275268190633839</v>
      </c>
      <c r="EJ37" s="211">
        <v>8.8878074855213303</v>
      </c>
      <c r="EK37" s="211">
        <v>8.4786712667395943</v>
      </c>
      <c r="EL37" s="211">
        <v>7.6297895232725672</v>
      </c>
      <c r="EM37" s="211">
        <v>7.9923292628560834</v>
      </c>
      <c r="EN37" s="211">
        <v>7.0442624589053988</v>
      </c>
      <c r="EO37" s="211">
        <v>7.7322082421786522</v>
      </c>
      <c r="EP37" s="211">
        <v>8.0530532460300179</v>
      </c>
      <c r="EQ37" s="211">
        <v>6.7479665645389897</v>
      </c>
      <c r="ER37" s="211">
        <v>6.8231732450291362</v>
      </c>
      <c r="ES37" s="211">
        <v>6.3582154899927348</v>
      </c>
      <c r="ET37" s="211">
        <v>8.9321169611108768</v>
      </c>
      <c r="EU37" s="211">
        <v>8.4328780927846267</v>
      </c>
      <c r="EV37" s="211">
        <v>8.1318844200508842</v>
      </c>
      <c r="EW37" s="211">
        <v>9.7635927710856549</v>
      </c>
      <c r="EX37" s="212">
        <v>8.0586513225747254</v>
      </c>
      <c r="EY37" s="212">
        <v>11.185425137410594</v>
      </c>
      <c r="EZ37" s="212">
        <v>9.9358288178632694</v>
      </c>
      <c r="FA37" s="212">
        <v>9.0649272050402221</v>
      </c>
      <c r="FB37" s="212">
        <v>8.4078497476737084</v>
      </c>
      <c r="FC37" s="212">
        <v>7.3912593321368725</v>
      </c>
      <c r="FD37" s="212">
        <v>9.0222519301846589</v>
      </c>
      <c r="FE37" s="212">
        <v>8.3879469890036358</v>
      </c>
      <c r="FF37" s="212">
        <v>7.341521707716927</v>
      </c>
      <c r="FG37" s="212">
        <v>6.583840590591854</v>
      </c>
      <c r="FH37" s="212">
        <v>8.5378625982070062</v>
      </c>
      <c r="FI37" s="212">
        <v>7.9803749402067741</v>
      </c>
      <c r="FJ37" s="212">
        <v>6.888918493935714</v>
      </c>
      <c r="FK37" s="212">
        <v>6.5062435421043006</v>
      </c>
      <c r="FL37" s="212">
        <v>6.146514924660023</v>
      </c>
      <c r="FM37" s="212">
        <v>8.2636139794750019</v>
      </c>
      <c r="FN37" s="212">
        <v>7.6015206551662438</v>
      </c>
      <c r="FO37" s="212">
        <v>6.3457155656201127</v>
      </c>
      <c r="FP37" s="212">
        <v>6.6037393559414026</v>
      </c>
      <c r="FQ37" s="212">
        <v>5.8917903476783522</v>
      </c>
      <c r="FR37" s="213">
        <v>1.7843728087422768</v>
      </c>
      <c r="FS37" s="213">
        <v>1.6982554415521587</v>
      </c>
      <c r="FT37" s="213">
        <v>1.5581751637870362</v>
      </c>
      <c r="FU37" s="213">
        <v>1.4866328723262776</v>
      </c>
      <c r="FV37" s="213">
        <v>1.3444213120623292</v>
      </c>
      <c r="FW37" s="213">
        <v>1.7599910289105549</v>
      </c>
      <c r="FX37" s="213">
        <v>1.6306598858222989</v>
      </c>
      <c r="FY37" s="213">
        <v>1.4862461134657567</v>
      </c>
      <c r="FZ37" s="213">
        <v>1.3654132667357213</v>
      </c>
      <c r="GA37" s="213">
        <v>1.2369227037879436</v>
      </c>
      <c r="GB37" s="213">
        <v>1.8811518511136276</v>
      </c>
      <c r="GC37" s="213">
        <v>1.6592627557227264</v>
      </c>
      <c r="GD37" s="213">
        <v>1.6181423972769187</v>
      </c>
      <c r="GE37" s="213">
        <v>1.451150796609024</v>
      </c>
      <c r="GF37" s="213">
        <v>2.2000000000000002</v>
      </c>
      <c r="GG37" s="213">
        <v>2.4</v>
      </c>
      <c r="GH37" s="213">
        <v>2.4</v>
      </c>
      <c r="GI37" s="213">
        <v>2.4</v>
      </c>
      <c r="GJ37" s="213">
        <v>1.25</v>
      </c>
      <c r="GK37" s="213">
        <v>2.2000000000000002</v>
      </c>
      <c r="GL37" s="213">
        <v>2.2000000000000002</v>
      </c>
      <c r="GM37" s="213">
        <v>2.4</v>
      </c>
      <c r="GN37" s="213">
        <v>1.7920615847151184</v>
      </c>
      <c r="GO37" s="213">
        <v>2.7105317644105367</v>
      </c>
      <c r="GP37" s="213">
        <v>1.8503419536758685</v>
      </c>
      <c r="GQ37" s="213">
        <v>2.0676659961684738</v>
      </c>
      <c r="GR37" s="213">
        <v>1.4284601153868508</v>
      </c>
      <c r="GS37" s="213">
        <v>0.79190806345247966</v>
      </c>
      <c r="GT37" s="213">
        <v>2.3283874093335157</v>
      </c>
      <c r="GU37" s="213">
        <v>1.7920463166896352</v>
      </c>
      <c r="GV37" s="213">
        <v>1.7938360508081514</v>
      </c>
      <c r="GW37" s="213">
        <v>2.0638889317436191</v>
      </c>
      <c r="GX37" s="213">
        <v>0.62478304564530351</v>
      </c>
      <c r="GY37" s="213">
        <v>2.3044656208814658</v>
      </c>
      <c r="GZ37" s="213">
        <v>2.8750044074145014</v>
      </c>
      <c r="HA37" s="213">
        <v>1.9005193437835977</v>
      </c>
      <c r="HB37" s="213">
        <v>1.8892024077402387</v>
      </c>
      <c r="HC37" s="213">
        <v>1.9158583189792191</v>
      </c>
      <c r="HD37" s="213">
        <v>2.2402057073315453</v>
      </c>
      <c r="HE37" s="213">
        <v>2.2653074259574555</v>
      </c>
      <c r="HF37" s="213">
        <v>1.9438536610685655</v>
      </c>
      <c r="HG37" s="213">
        <v>2.1609370006343851</v>
      </c>
      <c r="HH37" s="213">
        <v>2.6835604113361367</v>
      </c>
      <c r="HI37" s="213">
        <v>2.8945364026988627</v>
      </c>
      <c r="HJ37" s="214">
        <v>13.747529400000001</v>
      </c>
      <c r="HK37" s="214">
        <v>11.8020639</v>
      </c>
      <c r="HL37" s="214">
        <v>11.4234142</v>
      </c>
      <c r="HM37" s="214">
        <v>11.6296392</v>
      </c>
      <c r="HN37" s="214">
        <v>8.5515647999999995</v>
      </c>
      <c r="HO37" s="214">
        <v>10.4138947</v>
      </c>
      <c r="HP37" s="214">
        <v>10.0743864</v>
      </c>
      <c r="HQ37" s="214">
        <v>10.227937200000001</v>
      </c>
      <c r="HR37" s="214">
        <v>9.7897464000000003</v>
      </c>
      <c r="HS37" s="214">
        <v>7.3047799999999992</v>
      </c>
      <c r="HT37" s="214">
        <v>9.7521127000000014</v>
      </c>
      <c r="HU37" s="214">
        <v>9.1402728</v>
      </c>
      <c r="HV37" s="214">
        <v>9.0602147999999989</v>
      </c>
      <c r="HW37" s="214">
        <v>9.1892340000000008</v>
      </c>
      <c r="HX37" s="214">
        <v>6.7914699999999995</v>
      </c>
      <c r="HY37" s="214">
        <v>9.5449354</v>
      </c>
      <c r="HZ37" s="214">
        <v>8.2148231999999997</v>
      </c>
      <c r="IA37" s="214">
        <v>7.5725862499999996</v>
      </c>
      <c r="IB37" s="214">
        <v>7.3182962500000004</v>
      </c>
      <c r="IC37" s="214">
        <v>4.0008300000000006</v>
      </c>
      <c r="ID37" s="214">
        <v>5.6969325000000008</v>
      </c>
      <c r="IE37" s="214">
        <v>7.8783071999999992</v>
      </c>
      <c r="IF37" s="214">
        <v>8.1443162499999993</v>
      </c>
      <c r="IG37" s="214">
        <v>4.7417125000000002</v>
      </c>
      <c r="IH37" s="214">
        <v>9.2306999999999988</v>
      </c>
      <c r="II37" s="214">
        <v>6.7379243999999998</v>
      </c>
      <c r="IJ37" s="214">
        <v>6.3153987499999999</v>
      </c>
      <c r="IK37" s="214">
        <v>6.4456699999999998</v>
      </c>
      <c r="IL37" s="214">
        <v>10.611174200000001</v>
      </c>
      <c r="IM37" s="214">
        <v>9.7599983999999989</v>
      </c>
      <c r="IN37" s="214">
        <v>8.9233571999999999</v>
      </c>
      <c r="IO37" s="214">
        <v>8.9199287500000004</v>
      </c>
      <c r="IP37" s="214">
        <v>6.0995462499999995</v>
      </c>
      <c r="IQ37" s="214">
        <v>9.5441896000000011</v>
      </c>
      <c r="IR37" s="214">
        <v>8.4022943999999988</v>
      </c>
      <c r="IS37" s="214">
        <v>8.1959603999999988</v>
      </c>
      <c r="IT37" s="214">
        <v>8.3695125000000008</v>
      </c>
      <c r="IU37" s="214">
        <v>4.7925837500000004</v>
      </c>
      <c r="IV37" s="214">
        <v>7.0161455999999998</v>
      </c>
      <c r="IW37" s="214">
        <v>5.0876962500000005</v>
      </c>
      <c r="IX37" s="214">
        <v>4.7343799999999998</v>
      </c>
      <c r="IY37" s="214">
        <v>7.4592225000000001</v>
      </c>
      <c r="IZ37" s="214">
        <v>6.8860587500000001</v>
      </c>
      <c r="JA37" s="214">
        <v>5.7000324999999998</v>
      </c>
      <c r="JB37" s="214">
        <v>6.1864362499999999</v>
      </c>
      <c r="JC37" s="214">
        <v>6.5650174999999997</v>
      </c>
      <c r="JD37" s="214">
        <v>6.4594762499999998</v>
      </c>
      <c r="JE37" s="214">
        <v>6.4766325</v>
      </c>
      <c r="JF37" s="214">
        <v>5.5753862499999993</v>
      </c>
      <c r="JG37" s="214">
        <v>5.9136025000000005</v>
      </c>
      <c r="JH37" s="214">
        <v>6.7351550000000007</v>
      </c>
      <c r="JI37" s="214">
        <v>7.9456612500000006</v>
      </c>
      <c r="JJ37" s="214">
        <v>6.4901837499999999</v>
      </c>
      <c r="JK37" s="214">
        <v>5.3661274999999993</v>
      </c>
      <c r="JL37" s="214">
        <v>5.4544600000000001</v>
      </c>
      <c r="JM37" s="214">
        <v>6.1959249999999999</v>
      </c>
      <c r="JN37" s="214">
        <v>7.3235299999999999</v>
      </c>
      <c r="JO37" s="214">
        <v>1.611439357638889</v>
      </c>
      <c r="JP37" s="214">
        <v>4.4974043631944474</v>
      </c>
      <c r="JQ37" s="214">
        <v>3.3681584902777795</v>
      </c>
      <c r="JR37" s="214">
        <v>4.2125279458333322</v>
      </c>
      <c r="JS37" s="214">
        <v>1.4854537409722213</v>
      </c>
      <c r="JT37" s="214">
        <v>7.6187259999999997</v>
      </c>
      <c r="JU37" s="214">
        <v>6.9593170000000004</v>
      </c>
      <c r="JV37" s="214">
        <v>7.8256949999999996</v>
      </c>
      <c r="JW37" s="214">
        <v>5.9291489999999998</v>
      </c>
      <c r="JX37" s="214">
        <v>8.2854089999999996</v>
      </c>
      <c r="JY37" s="214">
        <v>7.1082150000000004</v>
      </c>
      <c r="JZ37" s="214">
        <v>6.5048149999999998</v>
      </c>
      <c r="KA37" s="214">
        <v>7.471171</v>
      </c>
      <c r="KB37" s="214">
        <v>5.6600429999999999</v>
      </c>
      <c r="KC37" s="214">
        <v>7.8117080000000003</v>
      </c>
      <c r="KD37" s="214">
        <v>6.9447099999999997</v>
      </c>
      <c r="KE37" s="214">
        <v>5.9007829999999997</v>
      </c>
      <c r="KF37" s="214">
        <v>6.7587859999999997</v>
      </c>
      <c r="KG37" s="214">
        <v>5.4757410000000002</v>
      </c>
      <c r="KH37" s="214">
        <v>7.403035</v>
      </c>
      <c r="KI37" s="214">
        <v>6.3822469999999996</v>
      </c>
      <c r="KJ37" s="214">
        <v>5.4245130000000001</v>
      </c>
      <c r="KK37" s="214">
        <v>6.0798240000000003</v>
      </c>
      <c r="KL37" s="214">
        <v>5.2477729999999996</v>
      </c>
      <c r="KM37" s="214">
        <v>6.7569169999999996</v>
      </c>
      <c r="KN37" s="214">
        <v>5.9303660000000002</v>
      </c>
    </row>
    <row r="38" spans="1:300" x14ac:dyDescent="0.35">
      <c r="A38" s="216" t="str">
        <f t="shared" si="0"/>
        <v>samedi</v>
      </c>
      <c r="B38" s="217">
        <v>44590</v>
      </c>
      <c r="C38" s="202">
        <v>0</v>
      </c>
      <c r="D38" s="202"/>
      <c r="E38" s="202"/>
      <c r="F38" s="202"/>
      <c r="G38" s="202"/>
      <c r="H38" s="202"/>
      <c r="I38" s="202"/>
      <c r="J38" s="202"/>
      <c r="K38" s="202"/>
      <c r="L38" s="202"/>
      <c r="M38" s="202"/>
      <c r="N38" s="202"/>
      <c r="O38" s="202"/>
      <c r="P38" s="202"/>
      <c r="Q38" s="202"/>
      <c r="R38" s="202"/>
      <c r="S38" s="202"/>
      <c r="T38" s="202"/>
      <c r="U38" s="202"/>
      <c r="V38" s="202">
        <v>0</v>
      </c>
      <c r="W38" s="203">
        <f t="shared" si="1"/>
        <v>0</v>
      </c>
      <c r="AA38" s="196">
        <v>0.54166666666666696</v>
      </c>
      <c r="AB38" s="223">
        <v>17.042016806722689</v>
      </c>
      <c r="AC38" s="223">
        <v>7.8083623693379787</v>
      </c>
      <c r="AD38" s="223">
        <v>7.6743119266055047</v>
      </c>
      <c r="AE38" s="223">
        <v>7.8965517241379315</v>
      </c>
      <c r="AF38" s="223">
        <v>8.5123152709359609</v>
      </c>
      <c r="AG38" s="223">
        <v>9.2748091603053435</v>
      </c>
      <c r="AH38" s="223">
        <v>7.6695652173913036</v>
      </c>
      <c r="AI38" s="223">
        <v>8.3103448275862064</v>
      </c>
      <c r="AJ38" s="223">
        <v>8.2436548223350243</v>
      </c>
      <c r="AK38" s="223">
        <v>9.0309278350515463</v>
      </c>
      <c r="AL38" s="223">
        <v>8.7011952191235054</v>
      </c>
      <c r="AM38" s="223">
        <v>7.8634361233480181</v>
      </c>
      <c r="AN38" s="223">
        <v>8.5323383084577102</v>
      </c>
      <c r="AO38" s="223">
        <v>8.5154639175257731</v>
      </c>
      <c r="AP38" s="223">
        <v>9.2916666666666661</v>
      </c>
      <c r="AQ38" s="223">
        <v>9.3390557939914167</v>
      </c>
      <c r="AR38" s="223">
        <v>9.1629955947136565</v>
      </c>
      <c r="AS38" s="223">
        <v>9.0206185567010309</v>
      </c>
      <c r="AT38" s="223">
        <v>8.9839572192513373</v>
      </c>
      <c r="AU38" s="223">
        <v>9.5078534031413611</v>
      </c>
      <c r="AV38" s="223">
        <v>9.4017094017094021</v>
      </c>
      <c r="AW38" s="223">
        <v>8</v>
      </c>
      <c r="AX38" s="223">
        <v>8</v>
      </c>
      <c r="AY38" s="223">
        <v>7</v>
      </c>
      <c r="AZ38" s="223">
        <v>8</v>
      </c>
      <c r="BA38" s="223">
        <v>9</v>
      </c>
      <c r="BB38" s="223">
        <v>8</v>
      </c>
      <c r="BC38" s="223">
        <v>8</v>
      </c>
      <c r="BD38" s="223">
        <v>8</v>
      </c>
      <c r="BE38" s="223">
        <v>8</v>
      </c>
      <c r="BF38" s="223">
        <v>7</v>
      </c>
      <c r="BG38" s="223">
        <v>6</v>
      </c>
      <c r="BH38" s="223">
        <v>6</v>
      </c>
      <c r="BI38" s="223">
        <v>6</v>
      </c>
      <c r="BJ38" s="223">
        <v>6</v>
      </c>
      <c r="BK38" s="223">
        <v>7</v>
      </c>
      <c r="BL38" s="223">
        <v>6</v>
      </c>
      <c r="BM38" s="223">
        <v>6</v>
      </c>
      <c r="BN38" s="223">
        <v>5</v>
      </c>
      <c r="BO38" s="223">
        <v>5</v>
      </c>
      <c r="BP38" s="223">
        <v>10</v>
      </c>
      <c r="BQ38" s="209">
        <v>8</v>
      </c>
      <c r="BR38" s="209">
        <v>4</v>
      </c>
      <c r="BS38" s="209">
        <v>3</v>
      </c>
      <c r="BT38" s="209">
        <v>5</v>
      </c>
      <c r="BU38" s="209">
        <v>6</v>
      </c>
      <c r="BV38" s="209">
        <v>4</v>
      </c>
      <c r="BW38" s="209">
        <v>2</v>
      </c>
      <c r="BX38" s="209">
        <v>2</v>
      </c>
      <c r="BY38" s="209">
        <v>3</v>
      </c>
      <c r="BZ38" s="209">
        <v>4</v>
      </c>
      <c r="CA38" s="209">
        <v>2</v>
      </c>
      <c r="CB38" s="209">
        <v>2</v>
      </c>
      <c r="CC38" s="209">
        <v>2</v>
      </c>
      <c r="CD38" s="209">
        <v>8</v>
      </c>
      <c r="CE38" s="209">
        <v>4</v>
      </c>
      <c r="CF38" s="209">
        <v>4</v>
      </c>
      <c r="CG38" s="209">
        <v>3</v>
      </c>
      <c r="CH38" s="209">
        <v>0</v>
      </c>
      <c r="CI38" s="209">
        <v>4</v>
      </c>
      <c r="CJ38" s="209">
        <v>4</v>
      </c>
      <c r="CK38" s="209">
        <v>9</v>
      </c>
      <c r="CL38" s="209">
        <v>8</v>
      </c>
      <c r="CM38" s="209">
        <v>11</v>
      </c>
      <c r="CN38" s="209">
        <v>6.3723828558672118</v>
      </c>
      <c r="CO38" s="209">
        <v>8.6329354251898334</v>
      </c>
      <c r="CP38" s="209">
        <v>6.7567939492146074</v>
      </c>
      <c r="CQ38" s="209">
        <v>7.4853535600284964</v>
      </c>
      <c r="CR38" s="209">
        <v>7.625381599876996</v>
      </c>
      <c r="CS38" s="209">
        <v>6.1758124190646031</v>
      </c>
      <c r="CT38" s="209">
        <v>8.4656188825776724</v>
      </c>
      <c r="CU38" s="209">
        <v>7.6203040950484411</v>
      </c>
      <c r="CV38" s="209">
        <v>6.4500611985277709</v>
      </c>
      <c r="CW38" s="209">
        <v>6.5815295351716561</v>
      </c>
      <c r="CX38" s="209">
        <v>6.1090767924719866</v>
      </c>
      <c r="CY38" s="209">
        <v>7.4029319455729592</v>
      </c>
      <c r="CZ38" s="209">
        <v>6.7676555025987666</v>
      </c>
      <c r="DA38" s="209">
        <v>6.434287773927398</v>
      </c>
      <c r="DB38" s="209">
        <v>5.4379738394939441</v>
      </c>
      <c r="DC38" s="209">
        <v>7.5163279222035388</v>
      </c>
      <c r="DD38" s="209">
        <v>7.7294342261533471</v>
      </c>
      <c r="DE38" s="209">
        <v>6</v>
      </c>
      <c r="DF38" s="209">
        <v>7.1673654068544419</v>
      </c>
      <c r="DG38" s="209">
        <v>6.2276486722633324</v>
      </c>
      <c r="DH38" s="209">
        <v>10</v>
      </c>
      <c r="DI38" s="209">
        <v>8.3068062682360448</v>
      </c>
      <c r="DJ38" s="209">
        <v>7.1677238421116014</v>
      </c>
      <c r="DK38" s="209">
        <v>7.0717640761492042</v>
      </c>
      <c r="DL38" s="209">
        <v>5.6983152701891804</v>
      </c>
      <c r="DM38" s="209">
        <v>8.971118631035317</v>
      </c>
      <c r="DN38" s="209">
        <v>8.2685780552046015</v>
      </c>
      <c r="DO38" s="209">
        <v>7.0376496765700924</v>
      </c>
      <c r="DP38" s="209">
        <v>5.5419862813576382</v>
      </c>
      <c r="DQ38" s="209">
        <v>2.5499812682657979</v>
      </c>
      <c r="DR38" s="209">
        <v>8.5048648785813832</v>
      </c>
      <c r="DS38" s="209">
        <v>7.8305813289007977</v>
      </c>
      <c r="DT38" s="209">
        <v>6.8890219805122488</v>
      </c>
      <c r="DU38" s="209">
        <v>6.6945541278324789</v>
      </c>
      <c r="DV38" s="209">
        <v>5.4077184568396772</v>
      </c>
      <c r="DW38" s="209">
        <v>5.6409970467091579</v>
      </c>
      <c r="DX38" s="209">
        <v>4.3161310807291224</v>
      </c>
      <c r="DY38" s="209">
        <v>7.7722080146719259</v>
      </c>
      <c r="DZ38" s="210">
        <v>6.9554168461122279</v>
      </c>
      <c r="EA38" s="210">
        <v>9.9533251610146856</v>
      </c>
      <c r="EB38" s="210">
        <v>8.7571734087420303</v>
      </c>
      <c r="EC38" s="211">
        <v>7.4147036477106347</v>
      </c>
      <c r="ED38" s="211">
        <v>7.0121547394859398</v>
      </c>
      <c r="EE38" s="211">
        <v>6.1842861094499888</v>
      </c>
      <c r="EF38" s="211">
        <v>8.6965088855811299</v>
      </c>
      <c r="EG38" s="211">
        <v>7.808063028129304</v>
      </c>
      <c r="EH38" s="211">
        <v>7.8085934094835183</v>
      </c>
      <c r="EI38" s="211">
        <v>6.37301535537829</v>
      </c>
      <c r="EJ38" s="211">
        <v>8.9894462166912188</v>
      </c>
      <c r="EK38" s="211">
        <v>8.7743554970664484</v>
      </c>
      <c r="EL38" s="211">
        <v>7.996578059836831</v>
      </c>
      <c r="EM38" s="211">
        <v>8.3141965655975785</v>
      </c>
      <c r="EN38" s="211">
        <v>6.4551875547240396</v>
      </c>
      <c r="EO38" s="211">
        <v>7.753493901109124</v>
      </c>
      <c r="EP38" s="211">
        <v>7.4042863528565919</v>
      </c>
      <c r="EQ38" s="211">
        <v>6.3344964889934001</v>
      </c>
      <c r="ER38" s="211">
        <v>6.1578451852159706</v>
      </c>
      <c r="ES38" s="211">
        <v>5.3056320394917558</v>
      </c>
      <c r="ET38" s="211">
        <v>8.3518922642364846</v>
      </c>
      <c r="EU38" s="211">
        <v>7.934638230692185</v>
      </c>
      <c r="EV38" s="211">
        <v>7.4324460472340963</v>
      </c>
      <c r="EW38" s="211">
        <v>9.2337528718974902</v>
      </c>
      <c r="EX38" s="212">
        <v>7.5550722867682394</v>
      </c>
      <c r="EY38" s="212">
        <v>9.8367380221427894</v>
      </c>
      <c r="EZ38" s="212">
        <v>9.2163140659211926</v>
      </c>
      <c r="FA38" s="212">
        <v>8.6378884540078023</v>
      </c>
      <c r="FB38" s="212">
        <v>7.6184410169523842</v>
      </c>
      <c r="FC38" s="212">
        <v>6.2617017339167358</v>
      </c>
      <c r="FD38" s="212">
        <v>8.2800430852855698</v>
      </c>
      <c r="FE38" s="212">
        <v>7.7958711112503476</v>
      </c>
      <c r="FF38" s="212">
        <v>6.7867345508011088</v>
      </c>
      <c r="FG38" s="212">
        <v>5.3906367218042899</v>
      </c>
      <c r="FH38" s="212">
        <v>7.5454747937852202</v>
      </c>
      <c r="FI38" s="212">
        <v>7.2532583750042239</v>
      </c>
      <c r="FJ38" s="212">
        <v>6.3699507014149228</v>
      </c>
      <c r="FK38" s="212">
        <v>5.6966169987938597</v>
      </c>
      <c r="FL38" s="212">
        <v>4.9171847085138918</v>
      </c>
      <c r="FM38" s="212">
        <v>7.3853150983621489</v>
      </c>
      <c r="FN38" s="212">
        <v>6.9073563454651126</v>
      </c>
      <c r="FO38" s="212">
        <v>5.7737075627839252</v>
      </c>
      <c r="FP38" s="212">
        <v>5.9931356962622884</v>
      </c>
      <c r="FQ38" s="212">
        <v>4.6945775288161613</v>
      </c>
      <c r="FR38" s="213">
        <v>5.1120040825239341</v>
      </c>
      <c r="FS38" s="213">
        <v>4.8652859282997474</v>
      </c>
      <c r="FT38" s="213">
        <v>4.4639712567563121</v>
      </c>
      <c r="FU38" s="213">
        <v>4.2590094304493391</v>
      </c>
      <c r="FV38" s="213">
        <v>3.8515897000785548</v>
      </c>
      <c r="FW38" s="213">
        <v>5.0421393089345861</v>
      </c>
      <c r="FX38" s="213">
        <v>4.6716202511292346</v>
      </c>
      <c r="FY38" s="213">
        <v>4.2578919349207727</v>
      </c>
      <c r="FZ38" s="213">
        <v>3.9117201700069009</v>
      </c>
      <c r="GA38" s="213">
        <v>3.5436105048591382</v>
      </c>
      <c r="GB38" s="213">
        <v>5.3892338860980207</v>
      </c>
      <c r="GC38" s="213">
        <v>4.7535503768916723</v>
      </c>
      <c r="GD38" s="213">
        <v>4.6357438529309576</v>
      </c>
      <c r="GE38" s="213">
        <v>4.1573347631669781</v>
      </c>
      <c r="GF38" s="213">
        <v>5.5</v>
      </c>
      <c r="GG38" s="213">
        <v>6</v>
      </c>
      <c r="GH38" s="213">
        <v>4.8</v>
      </c>
      <c r="GI38" s="213">
        <v>4.8</v>
      </c>
      <c r="GJ38" s="213">
        <v>5</v>
      </c>
      <c r="GK38" s="213">
        <v>5.5</v>
      </c>
      <c r="GL38" s="213">
        <v>5.5</v>
      </c>
      <c r="GM38" s="213">
        <v>6</v>
      </c>
      <c r="GN38" s="213">
        <v>7.3767404998043844</v>
      </c>
      <c r="GO38" s="213">
        <v>5.6151423542349965</v>
      </c>
      <c r="GP38" s="213">
        <v>6.9369893449314057</v>
      </c>
      <c r="GQ38" s="213">
        <v>7.2636341408979801</v>
      </c>
      <c r="GR38" s="213">
        <v>5.1658230242192973</v>
      </c>
      <c r="GS38" s="213">
        <v>6.5356818850706864</v>
      </c>
      <c r="GT38" s="213">
        <v>5.2358983202787011</v>
      </c>
      <c r="GU38" s="213">
        <v>6.8294619827729726</v>
      </c>
      <c r="GV38" s="213">
        <v>6.8250244761006842</v>
      </c>
      <c r="GW38" s="213">
        <v>5.6216598861729699</v>
      </c>
      <c r="GX38" s="213">
        <v>6.0782655998897521</v>
      </c>
      <c r="GY38" s="213">
        <v>5.1821048443854316</v>
      </c>
      <c r="GZ38" s="213">
        <v>7.4158938431603092</v>
      </c>
      <c r="HA38" s="213">
        <v>6.6764541354960469</v>
      </c>
      <c r="HB38" s="213">
        <v>5.1458454130486091</v>
      </c>
      <c r="HC38" s="213">
        <v>6.6823375576341704</v>
      </c>
      <c r="HD38" s="213">
        <v>4.8779547007869706</v>
      </c>
      <c r="HE38" s="213">
        <v>6.7573357572554196</v>
      </c>
      <c r="HF38" s="213">
        <v>6.8286859887484015</v>
      </c>
      <c r="HG38" s="213">
        <v>5.8860012601309473</v>
      </c>
      <c r="HH38" s="213">
        <v>9.3600118271826123</v>
      </c>
      <c r="HI38" s="213">
        <v>6.5090105830861997</v>
      </c>
      <c r="HJ38" s="214">
        <v>12.761419000000002</v>
      </c>
      <c r="HK38" s="214">
        <v>11.502063100000001</v>
      </c>
      <c r="HL38" s="214">
        <v>11.342859000000001</v>
      </c>
      <c r="HM38" s="214">
        <v>10.111456799999999</v>
      </c>
      <c r="HN38" s="214">
        <v>9.0970199999999988</v>
      </c>
      <c r="HO38" s="214">
        <v>9.4277843000000008</v>
      </c>
      <c r="HP38" s="214">
        <v>9.7471127999999982</v>
      </c>
      <c r="HQ38" s="214">
        <v>10.1400588</v>
      </c>
      <c r="HR38" s="214">
        <v>8.2715651999999995</v>
      </c>
      <c r="HS38" s="214">
        <v>7.8729612500000004</v>
      </c>
      <c r="HT38" s="214">
        <v>8.7660011999999998</v>
      </c>
      <c r="HU38" s="214">
        <v>8.8130004</v>
      </c>
      <c r="HV38" s="214">
        <v>8.9723363999999997</v>
      </c>
      <c r="HW38" s="214">
        <v>7.6710528</v>
      </c>
      <c r="HX38" s="214">
        <v>7.3596525000000002</v>
      </c>
      <c r="HY38" s="214">
        <v>8.5588239000000002</v>
      </c>
      <c r="HZ38" s="214">
        <v>7.8875495999999998</v>
      </c>
      <c r="IA38" s="214">
        <v>7.4810449999999999</v>
      </c>
      <c r="IB38" s="214">
        <v>5.7368575000000002</v>
      </c>
      <c r="IC38" s="214">
        <v>4.56901125</v>
      </c>
      <c r="ID38" s="214">
        <v>4.5763512500000001</v>
      </c>
      <c r="IE38" s="214">
        <v>7.790428799999999</v>
      </c>
      <c r="IF38" s="214">
        <v>6.5628762500000004</v>
      </c>
      <c r="IG38" s="214">
        <v>5.3098937499999996</v>
      </c>
      <c r="IH38" s="214">
        <v>8.1549431999999999</v>
      </c>
      <c r="II38" s="214">
        <v>6.4106519999999998</v>
      </c>
      <c r="IJ38" s="214">
        <v>6.2238587499999998</v>
      </c>
      <c r="IK38" s="214">
        <v>4.8642312500000005</v>
      </c>
      <c r="IL38" s="214">
        <v>9.6250627000000009</v>
      </c>
      <c r="IM38" s="214">
        <v>9.4327248000000008</v>
      </c>
      <c r="IN38" s="214">
        <v>8.8354787999999989</v>
      </c>
      <c r="IO38" s="214">
        <v>7.3384900000000002</v>
      </c>
      <c r="IP38" s="214">
        <v>6.6677287500000002</v>
      </c>
      <c r="IQ38" s="214">
        <v>8.5580791999999999</v>
      </c>
      <c r="IR38" s="214">
        <v>8.0750220000000006</v>
      </c>
      <c r="IS38" s="214">
        <v>8.1080819999999996</v>
      </c>
      <c r="IT38" s="214">
        <v>6.7880737499999997</v>
      </c>
      <c r="IU38" s="214">
        <v>5.3607649999999998</v>
      </c>
      <c r="IV38" s="214">
        <v>5.9403888</v>
      </c>
      <c r="IW38" s="214">
        <v>4.7467862500000004</v>
      </c>
      <c r="IX38" s="214">
        <v>4.6428387500000001</v>
      </c>
      <c r="IY38" s="214">
        <v>5.8777837499999999</v>
      </c>
      <c r="IZ38" s="214">
        <v>7.4542399999999995</v>
      </c>
      <c r="JA38" s="214">
        <v>4.57945125</v>
      </c>
      <c r="JB38" s="214">
        <v>5.8455262500000007</v>
      </c>
      <c r="JC38" s="214">
        <v>6.4734774999999996</v>
      </c>
      <c r="JD38" s="214">
        <v>4.8780362500000001</v>
      </c>
      <c r="JE38" s="214">
        <v>7.0448137499999994</v>
      </c>
      <c r="JF38" s="214">
        <v>4.4548062499999999</v>
      </c>
      <c r="JG38" s="214">
        <v>5.5726937499999991</v>
      </c>
      <c r="JH38" s="214">
        <v>6.6436137500000001</v>
      </c>
      <c r="JI38" s="214">
        <v>6.3642212499999999</v>
      </c>
      <c r="JJ38" s="214">
        <v>7.0583662499999997</v>
      </c>
      <c r="JK38" s="214">
        <v>4.2455474999999998</v>
      </c>
      <c r="JL38" s="214">
        <v>5.1135512500000004</v>
      </c>
      <c r="JM38" s="214">
        <v>6.1043849999999997</v>
      </c>
      <c r="JN38" s="214">
        <v>5.7420899999999993</v>
      </c>
      <c r="JO38" s="214">
        <v>2.1796206076388898</v>
      </c>
      <c r="JP38" s="214">
        <v>4.1564943631944464</v>
      </c>
      <c r="JQ38" s="214">
        <v>3.2766172402777793</v>
      </c>
      <c r="JR38" s="214">
        <v>2.6310879458333321</v>
      </c>
      <c r="JS38" s="214">
        <v>2.0536362409722217</v>
      </c>
      <c r="JT38" s="214">
        <v>7.6641810000000001</v>
      </c>
      <c r="JU38" s="214">
        <v>7.4189119999999997</v>
      </c>
      <c r="JV38" s="214">
        <v>7.6312499999999996</v>
      </c>
      <c r="JW38" s="214">
        <v>5.5049060000000001</v>
      </c>
      <c r="JX38" s="214">
        <v>8.2702580000000001</v>
      </c>
      <c r="JY38" s="214">
        <v>7.1536689999999998</v>
      </c>
      <c r="JZ38" s="214">
        <v>6.9644110000000001</v>
      </c>
      <c r="KA38" s="214">
        <v>7.276726</v>
      </c>
      <c r="KB38" s="214">
        <v>5.2358010000000004</v>
      </c>
      <c r="KC38" s="214">
        <v>7.7965559999999998</v>
      </c>
      <c r="KD38" s="214">
        <v>6.990164</v>
      </c>
      <c r="KE38" s="214">
        <v>6.360379</v>
      </c>
      <c r="KF38" s="214">
        <v>6.5643409999999998</v>
      </c>
      <c r="KG38" s="214">
        <v>5.0514979999999996</v>
      </c>
      <c r="KH38" s="214">
        <v>7.3878839999999997</v>
      </c>
      <c r="KI38" s="214">
        <v>6.427702</v>
      </c>
      <c r="KJ38" s="214">
        <v>5.8841089999999996</v>
      </c>
      <c r="KK38" s="214">
        <v>5.8853790000000004</v>
      </c>
      <c r="KL38" s="214">
        <v>4.823531</v>
      </c>
      <c r="KM38" s="214">
        <v>6.7417660000000001</v>
      </c>
      <c r="KN38" s="214">
        <v>5.9758209999999998</v>
      </c>
    </row>
    <row r="39" spans="1:300" x14ac:dyDescent="0.35">
      <c r="A39" s="216" t="str">
        <f t="shared" si="0"/>
        <v>dimanche</v>
      </c>
      <c r="B39" s="217">
        <v>44591</v>
      </c>
      <c r="C39" s="202">
        <v>0</v>
      </c>
      <c r="D39" s="202"/>
      <c r="E39" s="202"/>
      <c r="F39" s="202"/>
      <c r="G39" s="202"/>
      <c r="H39" s="202"/>
      <c r="I39" s="202"/>
      <c r="J39" s="202"/>
      <c r="K39" s="202"/>
      <c r="L39" s="202"/>
      <c r="M39" s="202"/>
      <c r="N39" s="202"/>
      <c r="O39" s="202"/>
      <c r="P39" s="202"/>
      <c r="Q39" s="202"/>
      <c r="R39" s="202"/>
      <c r="S39" s="202"/>
      <c r="T39" s="202"/>
      <c r="U39" s="202"/>
      <c r="V39" s="202">
        <v>0</v>
      </c>
      <c r="W39" s="203">
        <f t="shared" si="1"/>
        <v>0</v>
      </c>
      <c r="AA39" s="196">
        <v>0.5625</v>
      </c>
      <c r="AB39" s="223">
        <v>18.352941176470587</v>
      </c>
      <c r="AC39" s="223">
        <v>8.6759581881533094</v>
      </c>
      <c r="AD39" s="223">
        <v>8.7706422018348622</v>
      </c>
      <c r="AE39" s="223">
        <v>9.0246305418719217</v>
      </c>
      <c r="AF39" s="223">
        <v>9.5763546798029555</v>
      </c>
      <c r="AG39" s="223">
        <v>9.2748091603053435</v>
      </c>
      <c r="AH39" s="223">
        <v>8.765217391304347</v>
      </c>
      <c r="AI39" s="223">
        <v>8.3103448275862064</v>
      </c>
      <c r="AJ39" s="223">
        <v>8.2436548223350243</v>
      </c>
      <c r="AK39" s="223">
        <v>9.0309278350515463</v>
      </c>
      <c r="AL39" s="223">
        <v>8.7011952191235054</v>
      </c>
      <c r="AM39" s="223">
        <v>8.9867841409691636</v>
      </c>
      <c r="AN39" s="223">
        <v>8.5323383084577102</v>
      </c>
      <c r="AO39" s="223">
        <v>8.5154639175257731</v>
      </c>
      <c r="AP39" s="223">
        <v>9.2916666666666661</v>
      </c>
      <c r="AQ39" s="223">
        <v>9.3390557939914167</v>
      </c>
      <c r="AR39" s="223">
        <v>9.1629955947136565</v>
      </c>
      <c r="AS39" s="223">
        <v>9.0206185567010309</v>
      </c>
      <c r="AT39" s="223">
        <v>8.9839572192513373</v>
      </c>
      <c r="AU39" s="223">
        <v>9.5078534031413611</v>
      </c>
      <c r="AV39" s="223">
        <v>10.576923076923077</v>
      </c>
      <c r="AW39" s="223">
        <v>9</v>
      </c>
      <c r="AX39" s="223">
        <v>9</v>
      </c>
      <c r="AY39" s="223">
        <v>8</v>
      </c>
      <c r="AZ39" s="223">
        <v>9</v>
      </c>
      <c r="BA39" s="223">
        <v>10</v>
      </c>
      <c r="BB39" s="223">
        <v>9</v>
      </c>
      <c r="BC39" s="223">
        <v>8</v>
      </c>
      <c r="BD39" s="223">
        <v>8</v>
      </c>
      <c r="BE39" s="223">
        <v>8</v>
      </c>
      <c r="BF39" s="223">
        <v>7</v>
      </c>
      <c r="BG39" s="223">
        <v>7</v>
      </c>
      <c r="BH39" s="223">
        <v>7</v>
      </c>
      <c r="BI39" s="223">
        <v>6</v>
      </c>
      <c r="BJ39" s="223">
        <v>6</v>
      </c>
      <c r="BK39" s="223">
        <v>7</v>
      </c>
      <c r="BL39" s="223">
        <v>7</v>
      </c>
      <c r="BM39" s="223">
        <v>7</v>
      </c>
      <c r="BN39" s="223">
        <v>5</v>
      </c>
      <c r="BO39" s="223">
        <v>5</v>
      </c>
      <c r="BP39" s="223">
        <v>10</v>
      </c>
      <c r="BQ39" s="209">
        <v>8</v>
      </c>
      <c r="BR39" s="209">
        <v>4</v>
      </c>
      <c r="BS39" s="209">
        <v>3</v>
      </c>
      <c r="BT39" s="209">
        <v>6</v>
      </c>
      <c r="BU39" s="209">
        <v>6</v>
      </c>
      <c r="BV39" s="209">
        <v>4</v>
      </c>
      <c r="BW39" s="209">
        <v>5</v>
      </c>
      <c r="BX39" s="209">
        <v>5</v>
      </c>
      <c r="BY39" s="209">
        <v>5</v>
      </c>
      <c r="BZ39" s="209">
        <v>7</v>
      </c>
      <c r="CA39" s="209">
        <v>5</v>
      </c>
      <c r="CB39" s="209">
        <v>5</v>
      </c>
      <c r="CC39" s="209">
        <v>2</v>
      </c>
      <c r="CD39" s="209">
        <v>8</v>
      </c>
      <c r="CE39" s="209">
        <v>5</v>
      </c>
      <c r="CF39" s="209">
        <v>4</v>
      </c>
      <c r="CG39" s="209">
        <v>3</v>
      </c>
      <c r="CH39" s="209">
        <v>0</v>
      </c>
      <c r="CI39" s="209">
        <v>4</v>
      </c>
      <c r="CJ39" s="209">
        <v>6</v>
      </c>
      <c r="CK39" s="209">
        <v>11</v>
      </c>
      <c r="CL39" s="209">
        <v>10</v>
      </c>
      <c r="CM39" s="209">
        <v>11</v>
      </c>
      <c r="CN39" s="209">
        <v>8.6208166076277326</v>
      </c>
      <c r="CO39" s="209">
        <v>10.91866441554286</v>
      </c>
      <c r="CP39" s="209">
        <v>9.0333518421436505</v>
      </c>
      <c r="CQ39" s="209">
        <v>9.7120405075758356</v>
      </c>
      <c r="CR39" s="209">
        <v>9.8325154273009456</v>
      </c>
      <c r="CS39" s="209">
        <v>8.1716653699348978</v>
      </c>
      <c r="CT39" s="209">
        <v>10.491448994400219</v>
      </c>
      <c r="CU39" s="209">
        <v>9.636963109446997</v>
      </c>
      <c r="CV39" s="209">
        <v>8.6272861233113023</v>
      </c>
      <c r="CW39" s="209">
        <v>8.7392016259340899</v>
      </c>
      <c r="CX39" s="209">
        <v>8.1160216810576955</v>
      </c>
      <c r="CY39" s="209">
        <v>8.9330687932936961</v>
      </c>
      <c r="CZ39" s="209">
        <v>8.4521943456698825</v>
      </c>
      <c r="DA39" s="209">
        <v>8.099274641284298</v>
      </c>
      <c r="DB39" s="209">
        <v>6.9606108784741396</v>
      </c>
      <c r="DC39" s="209">
        <v>8.9496965447098784</v>
      </c>
      <c r="DD39" s="209">
        <v>9.1596592031099391</v>
      </c>
      <c r="DE39" s="209">
        <v>10</v>
      </c>
      <c r="DF39" s="209">
        <v>8.7324405941820569</v>
      </c>
      <c r="DG39" s="209">
        <v>7.6503740312142448</v>
      </c>
      <c r="DH39" s="209">
        <v>12</v>
      </c>
      <c r="DI39" s="209">
        <v>10.393550779519501</v>
      </c>
      <c r="DJ39" s="209">
        <v>9.4150355989240779</v>
      </c>
      <c r="DK39" s="209">
        <v>9.2995223313685624</v>
      </c>
      <c r="DL39" s="209">
        <v>7.777560640304122</v>
      </c>
      <c r="DM39" s="209">
        <v>10.90435571267343</v>
      </c>
      <c r="DN39" s="209">
        <v>10.188684783144801</v>
      </c>
      <c r="DO39" s="209">
        <v>9.1772658481557361</v>
      </c>
      <c r="DP39" s="209">
        <v>7.6586910836581454</v>
      </c>
      <c r="DQ39" s="209">
        <v>4.5181730900944501</v>
      </c>
      <c r="DR39" s="209">
        <v>10.437904323538261</v>
      </c>
      <c r="DS39" s="209">
        <v>9.7604771283079224</v>
      </c>
      <c r="DT39" s="209">
        <v>8.9733197752697524</v>
      </c>
      <c r="DU39" s="209">
        <v>8.6421259347348798</v>
      </c>
      <c r="DV39" s="209">
        <v>7.2129403399979406</v>
      </c>
      <c r="DW39" s="209">
        <v>7.4602216823612073</v>
      </c>
      <c r="DX39" s="209">
        <v>6.1322118800965564</v>
      </c>
      <c r="DY39" s="209">
        <v>9.7426913815943266</v>
      </c>
      <c r="DZ39" s="210">
        <v>9.1216829914612259</v>
      </c>
      <c r="EA39" s="210">
        <v>11.989549828201364</v>
      </c>
      <c r="EB39" s="210">
        <v>10.789940065823988</v>
      </c>
      <c r="EC39" s="211">
        <v>8.3976431828287641</v>
      </c>
      <c r="ED39" s="211">
        <v>8.3010143677910868</v>
      </c>
      <c r="EE39" s="211">
        <v>7.3928599496740759</v>
      </c>
      <c r="EF39" s="211">
        <v>10.408362589064154</v>
      </c>
      <c r="EG39" s="211">
        <v>9.3190965264097727</v>
      </c>
      <c r="EH39" s="211">
        <v>9.2473644647369824</v>
      </c>
      <c r="EI39" s="211">
        <v>7.6869695917744636</v>
      </c>
      <c r="EJ39" s="211">
        <v>10.83887344154158</v>
      </c>
      <c r="EK39" s="211">
        <v>10.423774067191532</v>
      </c>
      <c r="EL39" s="211">
        <v>9.3126659381173571</v>
      </c>
      <c r="EM39" s="211">
        <v>9.6462783294056713</v>
      </c>
      <c r="EN39" s="211">
        <v>7.6450683699875812</v>
      </c>
      <c r="EO39" s="211">
        <v>9.4705962388454061</v>
      </c>
      <c r="EP39" s="211">
        <v>9.1177433936707448</v>
      </c>
      <c r="EQ39" s="211">
        <v>7.7868954324468387</v>
      </c>
      <c r="ER39" s="211">
        <v>7.670308602493253</v>
      </c>
      <c r="ES39" s="211">
        <v>6.6109422746003617</v>
      </c>
      <c r="ET39" s="211">
        <v>10.452394395527575</v>
      </c>
      <c r="EU39" s="211">
        <v>9.8539034999477675</v>
      </c>
      <c r="EV39" s="211">
        <v>8.9962044578085525</v>
      </c>
      <c r="EW39" s="211">
        <v>10.56338945420195</v>
      </c>
      <c r="EX39" s="212">
        <v>7.9028535600602154</v>
      </c>
      <c r="EY39" s="212">
        <v>11.69687130566715</v>
      </c>
      <c r="EZ39" s="212">
        <v>11.098573576096101</v>
      </c>
      <c r="FA39" s="212">
        <v>10.231424591643524</v>
      </c>
      <c r="FB39" s="212">
        <v>9.1506454194518767</v>
      </c>
      <c r="FC39" s="212">
        <v>7.8054131653082637</v>
      </c>
      <c r="FD39" s="212">
        <v>10.186414093726331</v>
      </c>
      <c r="FE39" s="212">
        <v>9.7234184997195321</v>
      </c>
      <c r="FF39" s="212">
        <v>8.4637474671508439</v>
      </c>
      <c r="FG39" s="212">
        <v>6.8412633846404685</v>
      </c>
      <c r="FH39" s="212">
        <v>9.5084261503488214</v>
      </c>
      <c r="FI39" s="212">
        <v>8.9595858557677346</v>
      </c>
      <c r="FJ39" s="212">
        <v>7.7851471331694411</v>
      </c>
      <c r="FK39" s="212">
        <v>6.9500191393516966</v>
      </c>
      <c r="FL39" s="212">
        <v>6.2130659442524827</v>
      </c>
      <c r="FM39" s="212">
        <v>9.2742617254312201</v>
      </c>
      <c r="FN39" s="212">
        <v>8.9026383892498444</v>
      </c>
      <c r="FO39" s="212">
        <v>7.5700037005765974</v>
      </c>
      <c r="FP39" s="212">
        <v>7.8758845049648984</v>
      </c>
      <c r="FQ39" s="212">
        <v>6.1809052997464562</v>
      </c>
      <c r="FR39" s="213">
        <v>11.277160274133754</v>
      </c>
      <c r="FS39" s="213">
        <v>10.732894448579001</v>
      </c>
      <c r="FT39" s="213">
        <v>9.8475865975768624</v>
      </c>
      <c r="FU39" s="213">
        <v>9.3954362447586366</v>
      </c>
      <c r="FV39" s="213">
        <v>8.4966610553614323</v>
      </c>
      <c r="FW39" s="213">
        <v>11.123028423603785</v>
      </c>
      <c r="FX39" s="213">
        <v>10.305656621783404</v>
      </c>
      <c r="FY39" s="213">
        <v>9.3929649016061099</v>
      </c>
      <c r="FZ39" s="213">
        <v>8.629304084465323</v>
      </c>
      <c r="GA39" s="213">
        <v>7.8172482395843197</v>
      </c>
      <c r="GB39" s="213">
        <v>11.888714116694723</v>
      </c>
      <c r="GC39" s="213">
        <v>10.486387015547169</v>
      </c>
      <c r="GD39" s="213">
        <v>10.226502794499016</v>
      </c>
      <c r="GE39" s="213">
        <v>9.1711254942835154</v>
      </c>
      <c r="GF39" s="213">
        <v>13.200000000000001</v>
      </c>
      <c r="GG39" s="213">
        <v>13.2</v>
      </c>
      <c r="GH39" s="213">
        <v>12</v>
      </c>
      <c r="GI39" s="213">
        <v>12</v>
      </c>
      <c r="GJ39" s="213">
        <v>10</v>
      </c>
      <c r="GK39" s="213">
        <v>13.200000000000001</v>
      </c>
      <c r="GL39" s="213">
        <v>13.200000000000001</v>
      </c>
      <c r="GM39" s="213">
        <v>12</v>
      </c>
      <c r="GN39" s="213">
        <v>17.712031157706861</v>
      </c>
      <c r="GO39" s="213">
        <v>11.405794558748063</v>
      </c>
      <c r="GP39" s="213">
        <v>15.908398212116229</v>
      </c>
      <c r="GQ39" s="213">
        <v>15.55663305366247</v>
      </c>
      <c r="GR39" s="213">
        <v>14.247217767018711</v>
      </c>
      <c r="GS39" s="213">
        <v>17.165401663459519</v>
      </c>
      <c r="GT39" s="213">
        <v>11.032332625480363</v>
      </c>
      <c r="GU39" s="213">
        <v>15.714039996198208</v>
      </c>
      <c r="GV39" s="213">
        <v>14.855027543611087</v>
      </c>
      <c r="GW39" s="213">
        <v>14.266665262900665</v>
      </c>
      <c r="GX39" s="213">
        <v>16.170757603974089</v>
      </c>
      <c r="GY39" s="213">
        <v>10.918986742341868</v>
      </c>
      <c r="GZ39" s="213">
        <v>15.424739869875051</v>
      </c>
      <c r="HA39" s="213">
        <v>14.299060920581971</v>
      </c>
      <c r="HB39" s="213">
        <v>13.059141870742923</v>
      </c>
      <c r="HC39" s="213">
        <v>15.503426306935921</v>
      </c>
      <c r="HD39" s="213">
        <v>10.136589740338993</v>
      </c>
      <c r="HE39" s="213">
        <v>14.680004600456826</v>
      </c>
      <c r="HF39" s="213">
        <v>14.625098140269506</v>
      </c>
      <c r="HG39" s="213">
        <v>14.937511591877184</v>
      </c>
      <c r="HH39" s="213">
        <v>21.715792167516629</v>
      </c>
      <c r="HI39" s="213">
        <v>13.714851859758129</v>
      </c>
      <c r="HJ39" s="214">
        <v>16.914196200000003</v>
      </c>
      <c r="HK39" s="214">
        <v>15.599285900000002</v>
      </c>
      <c r="HL39" s="214">
        <v>14.859526000000002</v>
      </c>
      <c r="HM39" s="214">
        <v>14.259942000000001</v>
      </c>
      <c r="HN39" s="214">
        <v>10.8667164</v>
      </c>
      <c r="HO39" s="214">
        <v>13.5805615</v>
      </c>
      <c r="HP39" s="214">
        <v>14.216810399999998</v>
      </c>
      <c r="HQ39" s="214">
        <v>13.976421599999998</v>
      </c>
      <c r="HR39" s="214">
        <v>12.420049199999999</v>
      </c>
      <c r="HS39" s="214">
        <v>9.7163950000000003</v>
      </c>
      <c r="HT39" s="214">
        <v>12.918779499999999</v>
      </c>
      <c r="HU39" s="214">
        <v>13.282696799999998</v>
      </c>
      <c r="HV39" s="214">
        <v>12.808700399999999</v>
      </c>
      <c r="HW39" s="214">
        <v>11.819538</v>
      </c>
      <c r="HX39" s="214">
        <v>9.2030862500000001</v>
      </c>
      <c r="HY39" s="214">
        <v>12.7116022</v>
      </c>
      <c r="HZ39" s="214">
        <v>12.3572472</v>
      </c>
      <c r="IA39" s="214">
        <v>11.4772575</v>
      </c>
      <c r="IB39" s="214">
        <v>10.05819625</v>
      </c>
      <c r="IC39" s="214">
        <v>6.4124462500000003</v>
      </c>
      <c r="ID39" s="214">
        <v>9.295417500000001</v>
      </c>
      <c r="IE39" s="214">
        <v>11.626791599999999</v>
      </c>
      <c r="IF39" s="214">
        <v>10.884214999999999</v>
      </c>
      <c r="IG39" s="214">
        <v>7.15332875</v>
      </c>
      <c r="IH39" s="214">
        <v>12.6852456</v>
      </c>
      <c r="II39" s="214">
        <v>10.880349599999999</v>
      </c>
      <c r="IJ39" s="214">
        <v>10.220070000000002</v>
      </c>
      <c r="IK39" s="214">
        <v>9.1855687499999998</v>
      </c>
      <c r="IL39" s="214">
        <v>13.777841</v>
      </c>
      <c r="IM39" s="214">
        <v>13.902422400000001</v>
      </c>
      <c r="IN39" s="214">
        <v>12.6718428</v>
      </c>
      <c r="IO39" s="214">
        <v>11.659827499999999</v>
      </c>
      <c r="IP39" s="214">
        <v>8.5111625000000011</v>
      </c>
      <c r="IQ39" s="214">
        <v>12.710856400000001</v>
      </c>
      <c r="IR39" s="214">
        <v>12.544719599999999</v>
      </c>
      <c r="IS39" s="214">
        <v>11.944445999999999</v>
      </c>
      <c r="IT39" s="214">
        <v>11.109411250000001</v>
      </c>
      <c r="IU39" s="214">
        <v>7.2041999999999993</v>
      </c>
      <c r="IV39" s="214">
        <v>10.470691199999999</v>
      </c>
      <c r="IW39" s="214">
        <v>9.4027212500000008</v>
      </c>
      <c r="IX39" s="214">
        <v>8.6390512500000014</v>
      </c>
      <c r="IY39" s="214">
        <v>10.199121250000001</v>
      </c>
      <c r="IZ39" s="214">
        <v>9.2976749999999999</v>
      </c>
      <c r="JA39" s="214">
        <v>9.2985174999999991</v>
      </c>
      <c r="JB39" s="214">
        <v>10.501461249999998</v>
      </c>
      <c r="JC39" s="214">
        <v>10.46968875</v>
      </c>
      <c r="JD39" s="214">
        <v>9.1993749999999999</v>
      </c>
      <c r="JE39" s="214">
        <v>8.8882487499999989</v>
      </c>
      <c r="JF39" s="214">
        <v>9.1738712499999995</v>
      </c>
      <c r="JG39" s="214">
        <v>10.2286275</v>
      </c>
      <c r="JH39" s="214">
        <v>10.639826249999999</v>
      </c>
      <c r="JI39" s="214">
        <v>10.685560000000001</v>
      </c>
      <c r="JJ39" s="214">
        <v>8.9017999999999997</v>
      </c>
      <c r="JK39" s="214">
        <v>8.9646124999999994</v>
      </c>
      <c r="JL39" s="214">
        <v>9.7694849999999995</v>
      </c>
      <c r="JM39" s="214">
        <v>10.100597499999999</v>
      </c>
      <c r="JN39" s="214">
        <v>10.06342875</v>
      </c>
      <c r="JO39" s="214">
        <v>4.0230556076388897</v>
      </c>
      <c r="JP39" s="214">
        <v>8.8124293631944468</v>
      </c>
      <c r="JQ39" s="214">
        <v>7.2728297402777802</v>
      </c>
      <c r="JR39" s="214">
        <v>6.9524266958333314</v>
      </c>
      <c r="JS39" s="214">
        <v>3.8970699909722217</v>
      </c>
      <c r="JT39" s="214">
        <v>10.851049</v>
      </c>
      <c r="JU39" s="214">
        <v>9.6739630000000005</v>
      </c>
      <c r="JV39" s="214">
        <v>9.8080180000000006</v>
      </c>
      <c r="JW39" s="214">
        <v>8.0756130000000006</v>
      </c>
      <c r="JX39" s="214">
        <v>10.247531</v>
      </c>
      <c r="JY39" s="214">
        <v>10.340538</v>
      </c>
      <c r="JZ39" s="214">
        <v>9.2194610000000008</v>
      </c>
      <c r="KA39" s="214">
        <v>9.4534939999999992</v>
      </c>
      <c r="KB39" s="214">
        <v>7.806508</v>
      </c>
      <c r="KC39" s="214">
        <v>9.7738289999999992</v>
      </c>
      <c r="KD39" s="214">
        <v>10.177033</v>
      </c>
      <c r="KE39" s="214">
        <v>8.6154299999999999</v>
      </c>
      <c r="KF39" s="214">
        <v>8.7411089999999998</v>
      </c>
      <c r="KG39" s="214">
        <v>7.6222050000000001</v>
      </c>
      <c r="KH39" s="214">
        <v>9.3651560000000007</v>
      </c>
      <c r="KI39" s="214">
        <v>9.6145700000000005</v>
      </c>
      <c r="KJ39" s="214">
        <v>8.1391589999999994</v>
      </c>
      <c r="KK39" s="214">
        <v>8.0621469999999995</v>
      </c>
      <c r="KL39" s="214">
        <v>7.3942379999999996</v>
      </c>
      <c r="KM39" s="214">
        <v>8.7190390000000004</v>
      </c>
      <c r="KN39" s="214">
        <v>9.1626899999999996</v>
      </c>
    </row>
    <row r="40" spans="1:300" x14ac:dyDescent="0.35">
      <c r="A40" s="216" t="str">
        <f t="shared" si="0"/>
        <v>lundi</v>
      </c>
      <c r="B40" s="217">
        <v>44592</v>
      </c>
      <c r="C40" s="202">
        <v>0</v>
      </c>
      <c r="D40" s="202">
        <v>86</v>
      </c>
      <c r="E40" s="202">
        <v>119</v>
      </c>
      <c r="F40" s="202">
        <v>158</v>
      </c>
      <c r="G40" s="202">
        <v>134</v>
      </c>
      <c r="H40" s="202">
        <v>127</v>
      </c>
      <c r="I40" s="202">
        <v>86</v>
      </c>
      <c r="J40" s="202">
        <v>98</v>
      </c>
      <c r="K40" s="202">
        <v>68</v>
      </c>
      <c r="L40" s="202">
        <v>24</v>
      </c>
      <c r="M40" s="202">
        <v>18</v>
      </c>
      <c r="N40" s="202">
        <v>52</v>
      </c>
      <c r="O40" s="202">
        <v>86</v>
      </c>
      <c r="P40" s="202">
        <v>97</v>
      </c>
      <c r="Q40" s="202">
        <v>109</v>
      </c>
      <c r="R40" s="202">
        <v>76</v>
      </c>
      <c r="S40" s="202">
        <v>75</v>
      </c>
      <c r="T40" s="202">
        <v>54</v>
      </c>
      <c r="U40" s="202">
        <v>58</v>
      </c>
      <c r="V40" s="202">
        <v>0</v>
      </c>
      <c r="W40" s="203">
        <f t="shared" si="1"/>
        <v>1525</v>
      </c>
      <c r="AA40" s="196">
        <v>0.58333333333333304</v>
      </c>
      <c r="AB40" s="223">
        <v>20.974789915966387</v>
      </c>
      <c r="AC40" s="223">
        <v>9.5435540069686411</v>
      </c>
      <c r="AD40" s="223">
        <v>9.8669724770642198</v>
      </c>
      <c r="AE40" s="223">
        <v>10.152709359605911</v>
      </c>
      <c r="AF40" s="223">
        <v>8.5123152709359609</v>
      </c>
      <c r="AG40" s="223">
        <v>11.335877862595421</v>
      </c>
      <c r="AH40" s="223">
        <v>9.8608695652173903</v>
      </c>
      <c r="AI40" s="223">
        <v>9.4975369458128078</v>
      </c>
      <c r="AJ40" s="223">
        <v>9.4213197969543145</v>
      </c>
      <c r="AK40" s="223">
        <v>9.0309278350515463</v>
      </c>
      <c r="AL40" s="223">
        <v>10.876494023904382</v>
      </c>
      <c r="AM40" s="223">
        <v>10.110132158590309</v>
      </c>
      <c r="AN40" s="223">
        <v>10.970149253731343</v>
      </c>
      <c r="AO40" s="223">
        <v>10.948453608247421</v>
      </c>
      <c r="AP40" s="223">
        <v>9.2916666666666661</v>
      </c>
      <c r="AQ40" s="223">
        <v>10.506437768240344</v>
      </c>
      <c r="AR40" s="223">
        <v>11.453744493392071</v>
      </c>
      <c r="AS40" s="223">
        <v>11.597938144329898</v>
      </c>
      <c r="AT40" s="223">
        <v>11.550802139037433</v>
      </c>
      <c r="AU40" s="223">
        <v>9.5078534031413611</v>
      </c>
      <c r="AV40" s="223">
        <v>11.752136752136753</v>
      </c>
      <c r="AW40" s="223">
        <v>10</v>
      </c>
      <c r="AX40" s="223">
        <v>10</v>
      </c>
      <c r="AY40" s="223">
        <v>9</v>
      </c>
      <c r="AZ40" s="223">
        <v>9</v>
      </c>
      <c r="BA40" s="223">
        <v>11</v>
      </c>
      <c r="BB40" s="223">
        <v>10</v>
      </c>
      <c r="BC40" s="223">
        <v>10</v>
      </c>
      <c r="BD40" s="223">
        <v>9</v>
      </c>
      <c r="BE40" s="223">
        <v>8</v>
      </c>
      <c r="BF40" s="223">
        <v>9</v>
      </c>
      <c r="BG40" s="223">
        <v>8</v>
      </c>
      <c r="BH40" s="223">
        <v>8</v>
      </c>
      <c r="BI40" s="223">
        <v>8</v>
      </c>
      <c r="BJ40" s="223">
        <v>7</v>
      </c>
      <c r="BK40" s="223">
        <v>8</v>
      </c>
      <c r="BL40" s="223">
        <v>8</v>
      </c>
      <c r="BM40" s="223">
        <v>7</v>
      </c>
      <c r="BN40" s="223">
        <v>7</v>
      </c>
      <c r="BO40" s="223">
        <v>6</v>
      </c>
      <c r="BP40" s="223">
        <v>11</v>
      </c>
      <c r="BQ40" s="209">
        <v>10</v>
      </c>
      <c r="BR40" s="209">
        <v>7</v>
      </c>
      <c r="BS40" s="209">
        <v>5</v>
      </c>
      <c r="BT40" s="209">
        <v>5</v>
      </c>
      <c r="BU40" s="209">
        <v>8</v>
      </c>
      <c r="BV40" s="209">
        <v>6</v>
      </c>
      <c r="BW40" s="209">
        <v>7</v>
      </c>
      <c r="BX40" s="209">
        <v>7</v>
      </c>
      <c r="BY40" s="209">
        <v>3</v>
      </c>
      <c r="BZ40" s="209">
        <v>9</v>
      </c>
      <c r="CA40" s="209">
        <v>5</v>
      </c>
      <c r="CB40" s="209">
        <v>5</v>
      </c>
      <c r="CC40" s="209">
        <v>5</v>
      </c>
      <c r="CD40" s="209">
        <v>6</v>
      </c>
      <c r="CE40" s="209">
        <v>7</v>
      </c>
      <c r="CF40" s="209">
        <v>7</v>
      </c>
      <c r="CG40" s="209">
        <v>5</v>
      </c>
      <c r="CH40" s="209">
        <v>2</v>
      </c>
      <c r="CI40" s="209">
        <v>7</v>
      </c>
      <c r="CJ40" s="209">
        <v>15</v>
      </c>
      <c r="CK40" s="209">
        <v>20</v>
      </c>
      <c r="CL40" s="209">
        <v>16</v>
      </c>
      <c r="CM40" s="209">
        <v>17</v>
      </c>
      <c r="CN40" s="209">
        <v>11.46890984966276</v>
      </c>
      <c r="CO40" s="209">
        <v>14.84257268602145</v>
      </c>
      <c r="CP40" s="209">
        <v>13.051722357316059</v>
      </c>
      <c r="CQ40" s="209">
        <v>14.147320093522859</v>
      </c>
      <c r="CR40" s="209">
        <v>13.51333593608865</v>
      </c>
      <c r="CS40" s="209">
        <v>11.30146077855178</v>
      </c>
      <c r="CT40" s="209">
        <v>14.850159500016449</v>
      </c>
      <c r="CU40" s="209">
        <v>14.165554847191199</v>
      </c>
      <c r="CV40" s="209">
        <v>12.6152172958538</v>
      </c>
      <c r="CW40" s="209">
        <v>12.33958564787476</v>
      </c>
      <c r="CX40" s="209">
        <v>11.18521082318717</v>
      </c>
      <c r="CY40" s="209">
        <v>13.006068166224001</v>
      </c>
      <c r="CZ40" s="209">
        <v>12.35939213840466</v>
      </c>
      <c r="DA40" s="209">
        <v>11.62905959318152</v>
      </c>
      <c r="DB40" s="209">
        <v>9.8712586912326863</v>
      </c>
      <c r="DC40" s="209">
        <v>12.85570596355638</v>
      </c>
      <c r="DD40" s="209">
        <v>13.2347426403054</v>
      </c>
      <c r="DE40" s="209">
        <v>12</v>
      </c>
      <c r="DF40" s="209">
        <v>12.272099423451969</v>
      </c>
      <c r="DG40" s="209">
        <v>10.56344476310977</v>
      </c>
      <c r="DH40" s="209">
        <v>17</v>
      </c>
      <c r="DI40" s="209">
        <v>14.831431226275431</v>
      </c>
      <c r="DJ40" s="209">
        <v>13.688068582596809</v>
      </c>
      <c r="DK40" s="209">
        <v>13.109430621981961</v>
      </c>
      <c r="DL40" s="209">
        <v>10.73256531186297</v>
      </c>
      <c r="DM40" s="209">
        <v>14.87503769157107</v>
      </c>
      <c r="DN40" s="209">
        <v>14.309310176096931</v>
      </c>
      <c r="DO40" s="209">
        <v>12.9465985413095</v>
      </c>
      <c r="DP40" s="209">
        <v>10.85387341542004</v>
      </c>
      <c r="DQ40" s="209">
        <v>7.0802214054546431</v>
      </c>
      <c r="DR40" s="209">
        <v>14.619940591593631</v>
      </c>
      <c r="DS40" s="209">
        <v>13.923444625193291</v>
      </c>
      <c r="DT40" s="209">
        <v>13.469277872465639</v>
      </c>
      <c r="DU40" s="209">
        <v>12.34947470153403</v>
      </c>
      <c r="DV40" s="209">
        <v>10.300059486487759</v>
      </c>
      <c r="DW40" s="209">
        <v>11.45905805194584</v>
      </c>
      <c r="DX40" s="209">
        <v>10.3086778235857</v>
      </c>
      <c r="DY40" s="209">
        <v>13.871936604177041</v>
      </c>
      <c r="DZ40" s="210">
        <v>12.842519481523558</v>
      </c>
      <c r="EA40" s="210">
        <v>16.480165433433296</v>
      </c>
      <c r="EB40" s="210">
        <v>15.484476834277386</v>
      </c>
      <c r="EC40" s="211">
        <v>13.528879785914199</v>
      </c>
      <c r="ED40" s="211">
        <v>12.208260492981688</v>
      </c>
      <c r="EE40" s="211">
        <v>11.336219229748497</v>
      </c>
      <c r="EF40" s="211">
        <v>16.037850213760862</v>
      </c>
      <c r="EG40" s="211">
        <v>14.58448880821534</v>
      </c>
      <c r="EH40" s="211">
        <v>13.710893731023228</v>
      </c>
      <c r="EI40" s="211">
        <v>11.56194037184269</v>
      </c>
      <c r="EJ40" s="211">
        <v>16.346198084283071</v>
      </c>
      <c r="EK40" s="211">
        <v>15.915865203200809</v>
      </c>
      <c r="EL40" s="211">
        <v>14.449720939742472</v>
      </c>
      <c r="EM40" s="211">
        <v>14.005199690503481</v>
      </c>
      <c r="EN40" s="211">
        <v>11.132876680698409</v>
      </c>
      <c r="EO40" s="211">
        <v>14.516118389830355</v>
      </c>
      <c r="EP40" s="211">
        <v>14.21972930480818</v>
      </c>
      <c r="EQ40" s="211">
        <v>12.553273458154095</v>
      </c>
      <c r="ER40" s="211">
        <v>11.819966665270892</v>
      </c>
      <c r="ES40" s="211">
        <v>10.408126010822478</v>
      </c>
      <c r="ET40" s="211">
        <v>15.279489673827817</v>
      </c>
      <c r="EU40" s="211">
        <v>14.688743416120577</v>
      </c>
      <c r="EV40" s="211">
        <v>12.914334447373975</v>
      </c>
      <c r="EW40" s="211">
        <v>14.762781982191491</v>
      </c>
      <c r="EX40" s="212">
        <v>12.670642232606447</v>
      </c>
      <c r="EY40" s="212">
        <v>16.818568115223851</v>
      </c>
      <c r="EZ40" s="212">
        <v>16.258404694705476</v>
      </c>
      <c r="FA40" s="212">
        <v>14.937339418788341</v>
      </c>
      <c r="FB40" s="212">
        <v>13.1186154133489</v>
      </c>
      <c r="FC40" s="212">
        <v>10.929348683587815</v>
      </c>
      <c r="FD40" s="212">
        <v>14.235813962388113</v>
      </c>
      <c r="FE40" s="212">
        <v>13.877826431525767</v>
      </c>
      <c r="FF40" s="212">
        <v>12.159518762966027</v>
      </c>
      <c r="FG40" s="212">
        <v>10.38620738978269</v>
      </c>
      <c r="FH40" s="212">
        <v>14.69518745413755</v>
      </c>
      <c r="FI40" s="212">
        <v>14.046143368495995</v>
      </c>
      <c r="FJ40" s="212">
        <v>12.376082408889701</v>
      </c>
      <c r="FK40" s="212">
        <v>10.798695041740746</v>
      </c>
      <c r="FL40" s="212">
        <v>9.7011201881235607</v>
      </c>
      <c r="FM40" s="212">
        <v>14.179300961093853</v>
      </c>
      <c r="FN40" s="212">
        <v>13.587021964904453</v>
      </c>
      <c r="FO40" s="212">
        <v>11.601320057004187</v>
      </c>
      <c r="FP40" s="212">
        <v>11.460006540916881</v>
      </c>
      <c r="FQ40" s="212">
        <v>8.9659211485138925</v>
      </c>
      <c r="FR40" s="213">
        <v>16.561070589427157</v>
      </c>
      <c r="FS40" s="213">
        <v>15.761787029453233</v>
      </c>
      <c r="FT40" s="213">
        <v>14.461666649579465</v>
      </c>
      <c r="FU40" s="213">
        <v>13.797659687027492</v>
      </c>
      <c r="FV40" s="213">
        <v>12.477762479473995</v>
      </c>
      <c r="FW40" s="213">
        <v>16.334709250605354</v>
      </c>
      <c r="FX40" s="213">
        <v>15.13435688211495</v>
      </c>
      <c r="FY40" s="213">
        <v>13.794022931465925</v>
      </c>
      <c r="FZ40" s="213">
        <v>12.672548397916829</v>
      </c>
      <c r="GA40" s="213">
        <v>11.480003749903794</v>
      </c>
      <c r="GB40" s="213">
        <v>17.459144188428457</v>
      </c>
      <c r="GC40" s="213">
        <v>15.399757816295837</v>
      </c>
      <c r="GD40" s="213">
        <v>15.018103451423379</v>
      </c>
      <c r="GE40" s="213">
        <v>13.468230104476097</v>
      </c>
      <c r="GF40" s="213">
        <v>18.700000000000003</v>
      </c>
      <c r="GG40" s="213">
        <v>19.2</v>
      </c>
      <c r="GH40" s="213">
        <v>16.8</v>
      </c>
      <c r="GI40" s="213">
        <v>16.8</v>
      </c>
      <c r="GJ40" s="213">
        <v>15</v>
      </c>
      <c r="GK40" s="213">
        <v>19.8</v>
      </c>
      <c r="GL40" s="213">
        <v>18.700000000000003</v>
      </c>
      <c r="GM40" s="213">
        <v>18</v>
      </c>
      <c r="GN40" s="213">
        <v>24.308306117264262</v>
      </c>
      <c r="GO40" s="213">
        <v>19.281145104975614</v>
      </c>
      <c r="GP40" s="213">
        <v>22.023611838239159</v>
      </c>
      <c r="GQ40" s="213">
        <v>23.529273999978606</v>
      </c>
      <c r="GR40" s="213">
        <v>22.91119803294341</v>
      </c>
      <c r="GS40" s="213">
        <v>23.949589619285071</v>
      </c>
      <c r="GT40" s="213">
        <v>18.915546892098643</v>
      </c>
      <c r="GU40" s="213">
        <v>21.770066795821592</v>
      </c>
      <c r="GV40" s="213">
        <v>22.574832155732555</v>
      </c>
      <c r="GW40" s="213">
        <v>22.514314231377622</v>
      </c>
      <c r="GX40" s="213">
        <v>22.612071592098115</v>
      </c>
      <c r="GY40" s="213">
        <v>18.721209081563384</v>
      </c>
      <c r="GZ40" s="213">
        <v>20.883838332238945</v>
      </c>
      <c r="HA40" s="213">
        <v>21.627206940100095</v>
      </c>
      <c r="HB40" s="213">
        <v>20.608713967279826</v>
      </c>
      <c r="HC40" s="213">
        <v>21.133294760472133</v>
      </c>
      <c r="HD40" s="213">
        <v>17.288391103727868</v>
      </c>
      <c r="HE40" s="213">
        <v>20.08036179991727</v>
      </c>
      <c r="HF40" s="213">
        <v>22.120335437105634</v>
      </c>
      <c r="HG40" s="213">
        <v>23.572981044765282</v>
      </c>
      <c r="HH40" s="213">
        <v>29.601600816973381</v>
      </c>
      <c r="HI40" s="213">
        <v>23.514875074766472</v>
      </c>
      <c r="HJ40" s="214">
        <v>20.922530200000004</v>
      </c>
      <c r="HK40" s="214">
        <v>18.902063399999999</v>
      </c>
      <c r="HL40" s="214">
        <v>18.473414300000002</v>
      </c>
      <c r="HM40" s="214">
        <v>17.862971999999999</v>
      </c>
      <c r="HN40" s="214">
        <v>13.957625999999999</v>
      </c>
      <c r="HO40" s="214">
        <v>17.588895500000003</v>
      </c>
      <c r="HP40" s="214">
        <v>17.8198404</v>
      </c>
      <c r="HQ40" s="214">
        <v>17.9188464</v>
      </c>
      <c r="HR40" s="214">
        <v>16.023080400000001</v>
      </c>
      <c r="HS40" s="214">
        <v>12.936092500000001</v>
      </c>
      <c r="HT40" s="214">
        <v>16.927112400000002</v>
      </c>
      <c r="HU40" s="214">
        <v>16.885728</v>
      </c>
      <c r="HV40" s="214">
        <v>16.751124000000001</v>
      </c>
      <c r="HW40" s="214">
        <v>15.422568</v>
      </c>
      <c r="HX40" s="214">
        <v>12.422783749999999</v>
      </c>
      <c r="HY40" s="214">
        <v>16.719935100000001</v>
      </c>
      <c r="HZ40" s="214">
        <v>15.9602772</v>
      </c>
      <c r="IA40" s="214">
        <v>15.583948750000001</v>
      </c>
      <c r="IB40" s="214">
        <v>13.8113525</v>
      </c>
      <c r="IC40" s="214">
        <v>9.6321425000000005</v>
      </c>
      <c r="ID40" s="214">
        <v>13.85034125</v>
      </c>
      <c r="IE40" s="214">
        <v>15.569216399999998</v>
      </c>
      <c r="IF40" s="214">
        <v>14.637371249999999</v>
      </c>
      <c r="IG40" s="214">
        <v>10.373025</v>
      </c>
      <c r="IH40" s="214">
        <v>17.057972399999997</v>
      </c>
      <c r="II40" s="214">
        <v>14.483379599999999</v>
      </c>
      <c r="IJ40" s="214">
        <v>14.326762500000001</v>
      </c>
      <c r="IK40" s="214">
        <v>12.938726250000002</v>
      </c>
      <c r="IL40" s="214">
        <v>17.786173900000001</v>
      </c>
      <c r="IM40" s="214">
        <v>17.505452399999999</v>
      </c>
      <c r="IN40" s="214">
        <v>16.614266399999998</v>
      </c>
      <c r="IO40" s="214">
        <v>15.412984999999999</v>
      </c>
      <c r="IP40" s="214">
        <v>11.73086</v>
      </c>
      <c r="IQ40" s="214">
        <v>16.719190400000002</v>
      </c>
      <c r="IR40" s="214">
        <v>16.147749599999997</v>
      </c>
      <c r="IS40" s="214">
        <v>15.886869599999999</v>
      </c>
      <c r="IT40" s="214">
        <v>14.862568750000001</v>
      </c>
      <c r="IU40" s="214">
        <v>10.42389625</v>
      </c>
      <c r="IV40" s="214">
        <v>14.8434192</v>
      </c>
      <c r="IW40" s="214">
        <v>13.155877499999999</v>
      </c>
      <c r="IX40" s="214">
        <v>12.745742499999999</v>
      </c>
      <c r="IY40" s="214">
        <v>13.95227875</v>
      </c>
      <c r="IZ40" s="214">
        <v>12.51737125</v>
      </c>
      <c r="JA40" s="214">
        <v>13.853441249999999</v>
      </c>
      <c r="JB40" s="214">
        <v>14.2546175</v>
      </c>
      <c r="JC40" s="214">
        <v>14.576381249999999</v>
      </c>
      <c r="JD40" s="214">
        <v>12.95253125</v>
      </c>
      <c r="JE40" s="214">
        <v>12.107945000000001</v>
      </c>
      <c r="JF40" s="214">
        <v>13.728796249999998</v>
      </c>
      <c r="JG40" s="214">
        <v>13.981785</v>
      </c>
      <c r="JH40" s="214">
        <v>14.74651875</v>
      </c>
      <c r="JI40" s="214">
        <v>14.438716250000001</v>
      </c>
      <c r="JJ40" s="214">
        <v>12.1214975</v>
      </c>
      <c r="JK40" s="214">
        <v>13.51953625</v>
      </c>
      <c r="JL40" s="214">
        <v>13.52264125</v>
      </c>
      <c r="JM40" s="214">
        <v>14.20728875</v>
      </c>
      <c r="JN40" s="214">
        <v>13.816585</v>
      </c>
      <c r="JO40" s="214">
        <v>7.2427518576388898</v>
      </c>
      <c r="JP40" s="214">
        <v>12.565585613194445</v>
      </c>
      <c r="JQ40" s="214">
        <v>11.379520990277779</v>
      </c>
      <c r="JR40" s="214">
        <v>10.705582945833331</v>
      </c>
      <c r="JS40" s="214">
        <v>7.1167674909722223</v>
      </c>
      <c r="JT40" s="214">
        <v>13.545494</v>
      </c>
      <c r="JU40" s="214">
        <v>12.272448000000001</v>
      </c>
      <c r="JV40" s="214">
        <v>12.893877</v>
      </c>
      <c r="JW40" s="214">
        <v>9.9897550000000006</v>
      </c>
      <c r="JX40" s="214">
        <v>15.037934999999999</v>
      </c>
      <c r="JY40" s="214">
        <v>13.034983</v>
      </c>
      <c r="JZ40" s="214">
        <v>11.817945999999999</v>
      </c>
      <c r="KA40" s="214">
        <v>12.539353</v>
      </c>
      <c r="KB40" s="214">
        <v>9.7206489999999999</v>
      </c>
      <c r="KC40" s="214">
        <v>14.564233</v>
      </c>
      <c r="KD40" s="214">
        <v>12.871477000000001</v>
      </c>
      <c r="KE40" s="214">
        <v>11.213914000000001</v>
      </c>
      <c r="KF40" s="214">
        <v>11.826967</v>
      </c>
      <c r="KG40" s="214">
        <v>9.5363469999999992</v>
      </c>
      <c r="KH40" s="214">
        <v>14.155559999999999</v>
      </c>
      <c r="KI40" s="214">
        <v>12.309015</v>
      </c>
      <c r="KJ40" s="214">
        <v>10.737644</v>
      </c>
      <c r="KK40" s="214">
        <v>11.148004999999999</v>
      </c>
      <c r="KL40" s="214">
        <v>9.3083790000000004</v>
      </c>
      <c r="KM40" s="214">
        <v>13.509442999999999</v>
      </c>
      <c r="KN40" s="214">
        <v>11.857134</v>
      </c>
    </row>
    <row r="41" spans="1:300" x14ac:dyDescent="0.35">
      <c r="A41" s="216" t="str">
        <f t="shared" si="0"/>
        <v>mardi</v>
      </c>
      <c r="B41" s="217">
        <v>44593</v>
      </c>
      <c r="C41" s="202">
        <v>0</v>
      </c>
      <c r="D41" s="202">
        <v>90</v>
      </c>
      <c r="E41" s="202">
        <v>118</v>
      </c>
      <c r="F41" s="202">
        <v>132</v>
      </c>
      <c r="G41" s="202">
        <v>158</v>
      </c>
      <c r="H41" s="202">
        <v>119</v>
      </c>
      <c r="I41" s="202">
        <v>131</v>
      </c>
      <c r="J41" s="202">
        <v>101</v>
      </c>
      <c r="K41" s="202">
        <v>63</v>
      </c>
      <c r="L41" s="202">
        <v>34</v>
      </c>
      <c r="M41" s="202">
        <v>25</v>
      </c>
      <c r="N41" s="202">
        <v>51</v>
      </c>
      <c r="O41" s="202">
        <v>81</v>
      </c>
      <c r="P41" s="202">
        <v>101</v>
      </c>
      <c r="Q41" s="202">
        <v>108</v>
      </c>
      <c r="R41" s="202">
        <v>103</v>
      </c>
      <c r="S41" s="202">
        <v>106</v>
      </c>
      <c r="T41" s="202">
        <v>99</v>
      </c>
      <c r="U41" s="202">
        <v>62</v>
      </c>
      <c r="V41" s="202">
        <v>0</v>
      </c>
      <c r="W41" s="203">
        <f t="shared" si="1"/>
        <v>1682</v>
      </c>
      <c r="AA41" s="196">
        <v>0.60416666666666696</v>
      </c>
      <c r="AB41" s="223">
        <v>22.285714285714285</v>
      </c>
      <c r="AC41" s="223">
        <v>10.411149825783973</v>
      </c>
      <c r="AD41" s="223">
        <v>10.963302752293577</v>
      </c>
      <c r="AE41" s="223">
        <v>11.280788177339902</v>
      </c>
      <c r="AF41" s="223">
        <v>10.64039408866995</v>
      </c>
      <c r="AG41" s="223">
        <v>12.366412213740459</v>
      </c>
      <c r="AH41" s="223">
        <v>12.052173913043477</v>
      </c>
      <c r="AI41" s="223">
        <v>11.871921182266011</v>
      </c>
      <c r="AJ41" s="223">
        <v>11.776649746192893</v>
      </c>
      <c r="AK41" s="223">
        <v>10.159793814432989</v>
      </c>
      <c r="AL41" s="223">
        <v>13.051792828685258</v>
      </c>
      <c r="AM41" s="223">
        <v>12.3568281938326</v>
      </c>
      <c r="AN41" s="223">
        <v>12.189054726368159</v>
      </c>
      <c r="AO41" s="223">
        <v>12.164948453608247</v>
      </c>
      <c r="AP41" s="223">
        <v>11.614583333333332</v>
      </c>
      <c r="AQ41" s="223">
        <v>12.841201716738198</v>
      </c>
      <c r="AR41" s="223">
        <v>12.599118942731277</v>
      </c>
      <c r="AS41" s="223">
        <v>12.88659793814433</v>
      </c>
      <c r="AT41" s="223">
        <v>12.834224598930481</v>
      </c>
      <c r="AU41" s="223">
        <v>11.884816753926701</v>
      </c>
      <c r="AV41" s="223">
        <v>12.927350427350428</v>
      </c>
      <c r="AW41" s="223">
        <v>13</v>
      </c>
      <c r="AX41" s="223">
        <v>11</v>
      </c>
      <c r="AY41" s="223">
        <v>10</v>
      </c>
      <c r="AZ41" s="223">
        <v>10</v>
      </c>
      <c r="BA41" s="223">
        <v>12</v>
      </c>
      <c r="BB41" s="223">
        <v>12</v>
      </c>
      <c r="BC41" s="223">
        <v>11</v>
      </c>
      <c r="BD41" s="223">
        <v>11</v>
      </c>
      <c r="BE41" s="223">
        <v>10</v>
      </c>
      <c r="BF41" s="223">
        <v>11</v>
      </c>
      <c r="BG41" s="223">
        <v>10</v>
      </c>
      <c r="BH41" s="223">
        <v>9</v>
      </c>
      <c r="BI41" s="223">
        <v>9</v>
      </c>
      <c r="BJ41" s="223">
        <v>8</v>
      </c>
      <c r="BK41" s="223">
        <v>10</v>
      </c>
      <c r="BL41" s="223">
        <v>9</v>
      </c>
      <c r="BM41" s="223">
        <v>8</v>
      </c>
      <c r="BN41" s="223">
        <v>8</v>
      </c>
      <c r="BO41" s="223">
        <v>7</v>
      </c>
      <c r="BP41" s="223">
        <v>13</v>
      </c>
      <c r="BQ41" s="209">
        <v>11</v>
      </c>
      <c r="BR41" s="209">
        <v>9</v>
      </c>
      <c r="BS41" s="209">
        <v>9</v>
      </c>
      <c r="BT41" s="209">
        <v>7</v>
      </c>
      <c r="BU41" s="209">
        <v>12</v>
      </c>
      <c r="BV41" s="209">
        <v>11</v>
      </c>
      <c r="BW41" s="209">
        <v>9</v>
      </c>
      <c r="BX41" s="209">
        <v>9</v>
      </c>
      <c r="BY41" s="209">
        <v>8</v>
      </c>
      <c r="BZ41" s="209">
        <v>11</v>
      </c>
      <c r="CA41" s="209">
        <v>9</v>
      </c>
      <c r="CB41" s="209">
        <v>10</v>
      </c>
      <c r="CC41" s="209">
        <v>10</v>
      </c>
      <c r="CD41" s="209">
        <v>11</v>
      </c>
      <c r="CE41" s="209">
        <v>11</v>
      </c>
      <c r="CF41" s="209">
        <v>11</v>
      </c>
      <c r="CG41" s="209">
        <v>8</v>
      </c>
      <c r="CH41" s="209">
        <v>5</v>
      </c>
      <c r="CI41" s="209">
        <v>9</v>
      </c>
      <c r="CJ41" s="209">
        <v>16</v>
      </c>
      <c r="CK41" s="209">
        <v>22</v>
      </c>
      <c r="CL41" s="209">
        <v>18</v>
      </c>
      <c r="CM41" s="209">
        <v>19</v>
      </c>
      <c r="CN41" s="209">
        <v>11.674626691961739</v>
      </c>
      <c r="CO41" s="209">
        <v>15.05579841601125</v>
      </c>
      <c r="CP41" s="209">
        <v>13.25467030952808</v>
      </c>
      <c r="CQ41" s="209">
        <v>14.359675940471719</v>
      </c>
      <c r="CR41" s="209">
        <v>13.72610203944777</v>
      </c>
      <c r="CS41" s="209">
        <v>11.50717762085076</v>
      </c>
      <c r="CT41" s="209">
        <v>15.063385230006251</v>
      </c>
      <c r="CU41" s="209">
        <v>14.36850279940321</v>
      </c>
      <c r="CV41" s="209">
        <v>12.82925867739386</v>
      </c>
      <c r="CW41" s="209">
        <v>12.55403728582507</v>
      </c>
      <c r="CX41" s="209">
        <v>11.404463019021501</v>
      </c>
      <c r="CY41" s="209">
        <v>13.20901611843602</v>
      </c>
      <c r="CZ41" s="209">
        <v>12.573433519944709</v>
      </c>
      <c r="DA41" s="209">
        <v>11.84351123113183</v>
      </c>
      <c r="DB41" s="209">
        <v>10.090510887067021</v>
      </c>
      <c r="DC41" s="209">
        <v>13.06893169354618</v>
      </c>
      <c r="DD41" s="209">
        <v>13.437690592517409</v>
      </c>
      <c r="DE41" s="209">
        <v>12</v>
      </c>
      <c r="DF41" s="209">
        <v>12.486551061402279</v>
      </c>
      <c r="DG41" s="209">
        <v>10.782696958944101</v>
      </c>
      <c r="DH41" s="209">
        <v>17</v>
      </c>
      <c r="DI41" s="209">
        <v>15.08904599917345</v>
      </c>
      <c r="DJ41" s="209">
        <v>13.95509125023168</v>
      </c>
      <c r="DK41" s="209">
        <v>13.37686354602708</v>
      </c>
      <c r="DL41" s="209">
        <v>11.00648432838331</v>
      </c>
      <c r="DM41" s="209">
        <v>15.142930242246869</v>
      </c>
      <c r="DN41" s="209">
        <v>14.56692494899495</v>
      </c>
      <c r="DO41" s="209">
        <v>13.21530674353556</v>
      </c>
      <c r="DP41" s="209">
        <v>11.12299187405636</v>
      </c>
      <c r="DQ41" s="209">
        <v>7.3541404219749813</v>
      </c>
      <c r="DR41" s="209">
        <v>14.887833142269431</v>
      </c>
      <c r="DS41" s="209">
        <v>14.18105939809131</v>
      </c>
      <c r="DT41" s="209">
        <v>13.58494740136765</v>
      </c>
      <c r="DU41" s="209">
        <v>12.465554486846299</v>
      </c>
      <c r="DV41" s="209">
        <v>10.42093982968405</v>
      </c>
      <c r="DW41" s="209">
        <v>11.573911929297591</v>
      </c>
      <c r="DX41" s="209">
        <v>10.413253923159671</v>
      </c>
      <c r="DY41" s="209">
        <v>14.18008039236887</v>
      </c>
      <c r="DZ41" s="210">
        <v>13.218545004506892</v>
      </c>
      <c r="EA41" s="210">
        <v>16.818226383739034</v>
      </c>
      <c r="EB41" s="210">
        <v>15.811232229027567</v>
      </c>
      <c r="EC41" s="211">
        <v>13.510876004290278</v>
      </c>
      <c r="ED41" s="211">
        <v>12.522564354463309</v>
      </c>
      <c r="EE41" s="211">
        <v>11.655993732439141</v>
      </c>
      <c r="EF41" s="211">
        <v>16.254203720699625</v>
      </c>
      <c r="EG41" s="211">
        <v>14.857178853677635</v>
      </c>
      <c r="EH41" s="211">
        <v>13.997809217032241</v>
      </c>
      <c r="EI41" s="211">
        <v>11.891027027949017</v>
      </c>
      <c r="EJ41" s="211">
        <v>16.546380268909484</v>
      </c>
      <c r="EK41" s="211">
        <v>16.123340737564014</v>
      </c>
      <c r="EL41" s="211">
        <v>14.699521874786903</v>
      </c>
      <c r="EM41" s="211">
        <v>14.28634827367704</v>
      </c>
      <c r="EN41" s="211">
        <v>11.442849245053006</v>
      </c>
      <c r="EO41" s="211">
        <v>14.653937955306571</v>
      </c>
      <c r="EP41" s="211">
        <v>14.439863160313507</v>
      </c>
      <c r="EQ41" s="211">
        <v>12.813241072008291</v>
      </c>
      <c r="ER41" s="211">
        <v>12.103198470737489</v>
      </c>
      <c r="ES41" s="211">
        <v>10.68278323242961</v>
      </c>
      <c r="ET41" s="211">
        <v>15.434653747927584</v>
      </c>
      <c r="EU41" s="211">
        <v>14.852962762210311</v>
      </c>
      <c r="EV41" s="211">
        <v>13.121383365863794</v>
      </c>
      <c r="EW41" s="211">
        <v>14.850820329367686</v>
      </c>
      <c r="EX41" s="212">
        <v>11.723894108736324</v>
      </c>
      <c r="EY41" s="212">
        <v>16.949847782447151</v>
      </c>
      <c r="EZ41" s="212">
        <v>16.383085354601718</v>
      </c>
      <c r="FA41" s="212">
        <v>15.139247115664897</v>
      </c>
      <c r="FB41" s="212">
        <v>13.338011143566824</v>
      </c>
      <c r="FC41" s="212">
        <v>11.240313403080703</v>
      </c>
      <c r="FD41" s="212">
        <v>14.316967536824194</v>
      </c>
      <c r="FE41" s="212">
        <v>13.927355857606019</v>
      </c>
      <c r="FF41" s="212">
        <v>12.271969193442903</v>
      </c>
      <c r="FG41" s="212">
        <v>10.76134692293099</v>
      </c>
      <c r="FH41" s="212">
        <v>14.92799884123211</v>
      </c>
      <c r="FI41" s="212">
        <v>14.290353365188528</v>
      </c>
      <c r="FJ41" s="212">
        <v>12.65639335109185</v>
      </c>
      <c r="FK41" s="212">
        <v>11.06534474381716</v>
      </c>
      <c r="FL41" s="212">
        <v>9.9994375014212373</v>
      </c>
      <c r="FM41" s="212">
        <v>14.353471834808726</v>
      </c>
      <c r="FN41" s="212">
        <v>13.927756934745975</v>
      </c>
      <c r="FO41" s="212">
        <v>11.971151023817683</v>
      </c>
      <c r="FP41" s="212">
        <v>11.854075915472098</v>
      </c>
      <c r="FQ41" s="212">
        <v>9.2292761876817231</v>
      </c>
      <c r="FR41" s="213">
        <v>16.346401832369587</v>
      </c>
      <c r="FS41" s="213">
        <v>15.557478786677006</v>
      </c>
      <c r="FT41" s="213">
        <v>14.274210893752414</v>
      </c>
      <c r="FU41" s="213">
        <v>13.618810956245044</v>
      </c>
      <c r="FV41" s="213">
        <v>12.316022587848972</v>
      </c>
      <c r="FW41" s="213">
        <v>16.122974646082685</v>
      </c>
      <c r="FX41" s="213">
        <v>14.938181546516571</v>
      </c>
      <c r="FY41" s="213">
        <v>13.615221341222606</v>
      </c>
      <c r="FZ41" s="213">
        <v>12.508283642287473</v>
      </c>
      <c r="GA41" s="213">
        <v>11.331197057564626</v>
      </c>
      <c r="GB41" s="213">
        <v>17.232834375787984</v>
      </c>
      <c r="GC41" s="213">
        <v>15.200142287120906</v>
      </c>
      <c r="GD41" s="213">
        <v>14.823435021996037</v>
      </c>
      <c r="GE41" s="213">
        <v>13.293651522694127</v>
      </c>
      <c r="GF41" s="213">
        <v>18.700000000000003</v>
      </c>
      <c r="GG41" s="213">
        <v>19.2</v>
      </c>
      <c r="GH41" s="213">
        <v>16.8</v>
      </c>
      <c r="GI41" s="213">
        <v>16.8</v>
      </c>
      <c r="GJ41" s="213">
        <v>15</v>
      </c>
      <c r="GK41" s="213">
        <v>18.700000000000003</v>
      </c>
      <c r="GL41" s="213">
        <v>18.700000000000003</v>
      </c>
      <c r="GM41" s="213">
        <v>18</v>
      </c>
      <c r="GN41" s="213">
        <v>23.146328951565526</v>
      </c>
      <c r="GO41" s="213">
        <v>19.140034385118852</v>
      </c>
      <c r="GP41" s="213">
        <v>23.148997215832633</v>
      </c>
      <c r="GQ41" s="213">
        <v>22.79410294904493</v>
      </c>
      <c r="GR41" s="213">
        <v>22.421788404539679</v>
      </c>
      <c r="GS41" s="213">
        <v>22.754510344874923</v>
      </c>
      <c r="GT41" s="213">
        <v>18.774295269911423</v>
      </c>
      <c r="GU41" s="213">
        <v>22.884559996434664</v>
      </c>
      <c r="GV41" s="213">
        <v>21.862975581742681</v>
      </c>
      <c r="GW41" s="213">
        <v>22.048422263370476</v>
      </c>
      <c r="GX41" s="213">
        <v>21.47739181947108</v>
      </c>
      <c r="GY41" s="213">
        <v>18.581408674672616</v>
      </c>
      <c r="GZ41" s="213">
        <v>21.888478555786207</v>
      </c>
      <c r="HA41" s="213">
        <v>20.951465884301779</v>
      </c>
      <c r="HB41" s="213">
        <v>20.182254861768584</v>
      </c>
      <c r="HC41" s="213">
        <v>20.141556449227497</v>
      </c>
      <c r="HD41" s="213">
        <v>17.160244955472436</v>
      </c>
      <c r="HE41" s="213">
        <v>21.074191843743172</v>
      </c>
      <c r="HF41" s="213">
        <v>21.429186604790743</v>
      </c>
      <c r="HG41" s="213">
        <v>23.085181930927082</v>
      </c>
      <c r="HH41" s="213">
        <v>28.212463820726459</v>
      </c>
      <c r="HI41" s="213">
        <v>23.33927802389675</v>
      </c>
      <c r="HJ41" s="214">
        <v>22.255863300000001</v>
      </c>
      <c r="HK41" s="214">
        <v>18.9187306</v>
      </c>
      <c r="HL41" s="214">
        <v>17.9734148</v>
      </c>
      <c r="HM41" s="214">
        <v>17.784184799999998</v>
      </c>
      <c r="HN41" s="214">
        <v>13.739444399999998</v>
      </c>
      <c r="HO41" s="214">
        <v>18.9222286</v>
      </c>
      <c r="HP41" s="214">
        <v>17.838021599999998</v>
      </c>
      <c r="HQ41" s="214">
        <v>17.3733912</v>
      </c>
      <c r="HR41" s="214">
        <v>15.944292000000001</v>
      </c>
      <c r="HS41" s="214">
        <v>12.708820000000001</v>
      </c>
      <c r="HT41" s="214">
        <v>18.260446600000002</v>
      </c>
      <c r="HU41" s="214">
        <v>16.903909200000001</v>
      </c>
      <c r="HV41" s="214">
        <v>16.205670000000001</v>
      </c>
      <c r="HW41" s="214">
        <v>15.3437796</v>
      </c>
      <c r="HX41" s="214">
        <v>12.195510000000001</v>
      </c>
      <c r="HY41" s="214">
        <v>18.0532693</v>
      </c>
      <c r="HZ41" s="214">
        <v>15.978459600000001</v>
      </c>
      <c r="IA41" s="214">
        <v>15.015767499999999</v>
      </c>
      <c r="IB41" s="214">
        <v>13.72928125</v>
      </c>
      <c r="IC41" s="214">
        <v>9.404869999999999</v>
      </c>
      <c r="ID41" s="214">
        <v>15.3654925</v>
      </c>
      <c r="IE41" s="214">
        <v>15.023761199999999</v>
      </c>
      <c r="IF41" s="214">
        <v>14.555301249999999</v>
      </c>
      <c r="IG41" s="214">
        <v>10.1457525</v>
      </c>
      <c r="IH41" s="214">
        <v>18.512518799999999</v>
      </c>
      <c r="II41" s="214">
        <v>14.501560799999998</v>
      </c>
      <c r="IJ41" s="214">
        <v>13.75858</v>
      </c>
      <c r="IK41" s="214">
        <v>12.856655</v>
      </c>
      <c r="IL41" s="214">
        <v>19.119507000000002</v>
      </c>
      <c r="IM41" s="214">
        <v>17.5236348</v>
      </c>
      <c r="IN41" s="214">
        <v>16.068812399999999</v>
      </c>
      <c r="IO41" s="214">
        <v>15.330913749999999</v>
      </c>
      <c r="IP41" s="214">
        <v>11.50358625</v>
      </c>
      <c r="IQ41" s="214">
        <v>18.0525235</v>
      </c>
      <c r="IR41" s="214">
        <v>16.165930800000002</v>
      </c>
      <c r="IS41" s="214">
        <v>15.341415599999999</v>
      </c>
      <c r="IT41" s="214">
        <v>14.780497500000001</v>
      </c>
      <c r="IU41" s="214">
        <v>10.196623750000001</v>
      </c>
      <c r="IV41" s="214">
        <v>16.297964400000001</v>
      </c>
      <c r="IW41" s="214">
        <v>13.1748175</v>
      </c>
      <c r="IX41" s="214">
        <v>12.17756125</v>
      </c>
      <c r="IY41" s="214">
        <v>13.870207499999999</v>
      </c>
      <c r="IZ41" s="214">
        <v>12.29009875</v>
      </c>
      <c r="JA41" s="214">
        <v>15.368593749999999</v>
      </c>
      <c r="JB41" s="214">
        <v>14.273557500000001</v>
      </c>
      <c r="JC41" s="214">
        <v>14.00819875</v>
      </c>
      <c r="JD41" s="214">
        <v>12.87046</v>
      </c>
      <c r="JE41" s="214">
        <v>11.880672499999999</v>
      </c>
      <c r="JF41" s="214">
        <v>15.243947499999999</v>
      </c>
      <c r="JG41" s="214">
        <v>14.000723749999999</v>
      </c>
      <c r="JH41" s="214">
        <v>14.178336250000001</v>
      </c>
      <c r="JI41" s="214">
        <v>14.356646250000001</v>
      </c>
      <c r="JJ41" s="214">
        <v>11.894225</v>
      </c>
      <c r="JK41" s="214">
        <v>15.034688750000001</v>
      </c>
      <c r="JL41" s="214">
        <v>13.54158125</v>
      </c>
      <c r="JM41" s="214">
        <v>13.639107500000001</v>
      </c>
      <c r="JN41" s="214">
        <v>13.734515</v>
      </c>
      <c r="JO41" s="214">
        <v>7.0154793576388901</v>
      </c>
      <c r="JP41" s="214">
        <v>12.584525613194446</v>
      </c>
      <c r="JQ41" s="214">
        <v>10.811339740277779</v>
      </c>
      <c r="JR41" s="214">
        <v>10.623512945833333</v>
      </c>
      <c r="JS41" s="214">
        <v>6.8894949909722225</v>
      </c>
      <c r="JT41" s="214">
        <v>12.447009</v>
      </c>
      <c r="JU41" s="214">
        <v>13.141135</v>
      </c>
      <c r="JV41" s="214">
        <v>12.171654</v>
      </c>
      <c r="JW41" s="214">
        <v>10.878644</v>
      </c>
      <c r="JX41" s="214">
        <v>15.835915</v>
      </c>
      <c r="JY41" s="214">
        <v>11.936498</v>
      </c>
      <c r="JZ41" s="214">
        <v>12.686633</v>
      </c>
      <c r="KA41" s="214">
        <v>11.817130000000001</v>
      </c>
      <c r="KB41" s="214">
        <v>10.609538000000001</v>
      </c>
      <c r="KC41" s="214">
        <v>15.362213000000001</v>
      </c>
      <c r="KD41" s="214">
        <v>11.772992</v>
      </c>
      <c r="KE41" s="214">
        <v>12.082601</v>
      </c>
      <c r="KF41" s="214">
        <v>11.104744999999999</v>
      </c>
      <c r="KG41" s="214">
        <v>10.425236</v>
      </c>
      <c r="KH41" s="214">
        <v>14.95354</v>
      </c>
      <c r="KI41" s="214">
        <v>11.21053</v>
      </c>
      <c r="KJ41" s="214">
        <v>11.606331000000001</v>
      </c>
      <c r="KK41" s="214">
        <v>10.425782999999999</v>
      </c>
      <c r="KL41" s="214">
        <v>10.197267999999999</v>
      </c>
      <c r="KM41" s="214">
        <v>14.307423</v>
      </c>
      <c r="KN41" s="214">
        <v>10.758649</v>
      </c>
    </row>
    <row r="42" spans="1:300" x14ac:dyDescent="0.35">
      <c r="A42" s="216" t="str">
        <f t="shared" si="0"/>
        <v>mercredi</v>
      </c>
      <c r="B42" s="217">
        <v>44594</v>
      </c>
      <c r="C42" s="202">
        <v>0</v>
      </c>
      <c r="D42" s="202">
        <v>104</v>
      </c>
      <c r="E42" s="202">
        <v>124</v>
      </c>
      <c r="F42" s="202">
        <v>142</v>
      </c>
      <c r="G42" s="202">
        <v>114</v>
      </c>
      <c r="H42" s="202">
        <v>114</v>
      </c>
      <c r="I42" s="202">
        <v>122</v>
      </c>
      <c r="J42" s="202">
        <v>94</v>
      </c>
      <c r="K42" s="202">
        <v>72</v>
      </c>
      <c r="L42" s="202">
        <v>33</v>
      </c>
      <c r="M42" s="202">
        <v>25</v>
      </c>
      <c r="N42" s="202">
        <v>39</v>
      </c>
      <c r="O42" s="202">
        <v>68</v>
      </c>
      <c r="P42" s="202">
        <v>85</v>
      </c>
      <c r="Q42" s="202">
        <v>70</v>
      </c>
      <c r="R42" s="202">
        <v>73</v>
      </c>
      <c r="S42" s="202">
        <v>103</v>
      </c>
      <c r="T42" s="202">
        <v>67</v>
      </c>
      <c r="U42" s="202">
        <v>57</v>
      </c>
      <c r="V42" s="202">
        <v>0</v>
      </c>
      <c r="W42" s="203">
        <f t="shared" si="1"/>
        <v>1506</v>
      </c>
      <c r="AA42" s="196">
        <v>0.625</v>
      </c>
      <c r="AB42" s="223">
        <v>26.218487394957982</v>
      </c>
      <c r="AC42" s="223">
        <v>13.013937282229964</v>
      </c>
      <c r="AD42" s="223">
        <v>13.155963302752294</v>
      </c>
      <c r="AE42" s="223">
        <v>13.536945812807883</v>
      </c>
      <c r="AF42" s="223">
        <v>11.704433497536947</v>
      </c>
      <c r="AG42" s="223">
        <v>16.488549618320612</v>
      </c>
      <c r="AH42" s="223">
        <v>15.339130434782607</v>
      </c>
      <c r="AI42" s="223">
        <v>14.246305418719212</v>
      </c>
      <c r="AJ42" s="223">
        <v>14.131979695431472</v>
      </c>
      <c r="AK42" s="223">
        <v>12.417525773195877</v>
      </c>
      <c r="AL42" s="223">
        <v>16.314741035856571</v>
      </c>
      <c r="AM42" s="223">
        <v>15.726872246696036</v>
      </c>
      <c r="AN42" s="223">
        <v>15.845771144278606</v>
      </c>
      <c r="AO42" s="223">
        <v>14.597938144329895</v>
      </c>
      <c r="AP42" s="223">
        <v>12.776041666666666</v>
      </c>
      <c r="AQ42" s="223">
        <v>17.510729613733908</v>
      </c>
      <c r="AR42" s="223">
        <v>17.180616740088105</v>
      </c>
      <c r="AS42" s="223">
        <v>16.75257731958763</v>
      </c>
      <c r="AT42" s="223">
        <v>15.401069518716579</v>
      </c>
      <c r="AU42" s="223">
        <v>13.073298429319372</v>
      </c>
      <c r="AV42" s="223">
        <v>17.628205128205128</v>
      </c>
      <c r="AW42" s="223">
        <v>16</v>
      </c>
      <c r="AX42" s="223">
        <v>14</v>
      </c>
      <c r="AY42" s="223">
        <v>13</v>
      </c>
      <c r="AZ42" s="223">
        <v>11</v>
      </c>
      <c r="BA42" s="223">
        <v>16</v>
      </c>
      <c r="BB42" s="223">
        <v>16</v>
      </c>
      <c r="BC42" s="223">
        <v>15</v>
      </c>
      <c r="BD42" s="223">
        <v>13</v>
      </c>
      <c r="BE42" s="223">
        <v>11</v>
      </c>
      <c r="BF42" s="223">
        <v>15</v>
      </c>
      <c r="BG42" s="223">
        <v>14</v>
      </c>
      <c r="BH42" s="223">
        <v>13</v>
      </c>
      <c r="BI42" s="223">
        <v>11</v>
      </c>
      <c r="BJ42" s="223">
        <v>10</v>
      </c>
      <c r="BK42" s="223">
        <v>13</v>
      </c>
      <c r="BL42" s="223">
        <v>12</v>
      </c>
      <c r="BM42" s="223">
        <v>10</v>
      </c>
      <c r="BN42" s="223">
        <v>9</v>
      </c>
      <c r="BO42" s="223">
        <v>8</v>
      </c>
      <c r="BP42" s="223">
        <v>15</v>
      </c>
      <c r="BQ42" s="209">
        <v>13</v>
      </c>
      <c r="BR42" s="209">
        <v>13</v>
      </c>
      <c r="BS42" s="209">
        <v>10</v>
      </c>
      <c r="BT42" s="209">
        <v>9</v>
      </c>
      <c r="BU42" s="209">
        <v>18</v>
      </c>
      <c r="BV42" s="209">
        <v>17</v>
      </c>
      <c r="BW42" s="209">
        <v>16</v>
      </c>
      <c r="BX42" s="209">
        <v>14</v>
      </c>
      <c r="BY42" s="209">
        <v>11</v>
      </c>
      <c r="BZ42" s="209">
        <v>17</v>
      </c>
      <c r="CA42" s="209">
        <v>18</v>
      </c>
      <c r="CB42" s="209">
        <v>17</v>
      </c>
      <c r="CC42" s="209">
        <v>14</v>
      </c>
      <c r="CD42" s="209">
        <v>12</v>
      </c>
      <c r="CE42" s="209">
        <v>16</v>
      </c>
      <c r="CF42" s="209">
        <v>16</v>
      </c>
      <c r="CG42" s="209">
        <v>14</v>
      </c>
      <c r="CH42" s="209">
        <v>10</v>
      </c>
      <c r="CI42" s="209">
        <v>16</v>
      </c>
      <c r="CJ42" s="209">
        <v>21</v>
      </c>
      <c r="CK42" s="209">
        <v>25</v>
      </c>
      <c r="CL42" s="209">
        <v>21</v>
      </c>
      <c r="CM42" s="209">
        <v>21</v>
      </c>
      <c r="CN42" s="209">
        <v>11.468364841369199</v>
      </c>
      <c r="CO42" s="209">
        <v>14.653000525003989</v>
      </c>
      <c r="CP42" s="209">
        <v>13.05508320623718</v>
      </c>
      <c r="CQ42" s="209">
        <v>14.14414248090552</v>
      </c>
      <c r="CR42" s="209">
        <v>13.516957594461759</v>
      </c>
      <c r="CS42" s="209">
        <v>11.30091577025822</v>
      </c>
      <c r="CT42" s="209">
        <v>14.847964793382021</v>
      </c>
      <c r="CU42" s="209">
        <v>14.16336014055676</v>
      </c>
      <c r="CV42" s="209">
        <v>12.623672660878739</v>
      </c>
      <c r="CW42" s="209">
        <v>12.35484028389015</v>
      </c>
      <c r="CX42" s="209">
        <v>11.19629879253589</v>
      </c>
      <c r="CY42" s="209">
        <v>13.013940126256241</v>
      </c>
      <c r="CZ42" s="209">
        <v>12.3678475034296</v>
      </c>
      <c r="DA42" s="209">
        <v>11.644314229196899</v>
      </c>
      <c r="DB42" s="209">
        <v>9.8698722880115906</v>
      </c>
      <c r="DC42" s="209">
        <v>12.86357792358862</v>
      </c>
      <c r="DD42" s="209">
        <v>13.24261460033763</v>
      </c>
      <c r="DE42" s="209">
        <v>12</v>
      </c>
      <c r="DF42" s="209">
        <v>12.27487968689754</v>
      </c>
      <c r="DG42" s="209">
        <v>10.56205835988867</v>
      </c>
      <c r="DH42" s="209">
        <v>16</v>
      </c>
      <c r="DI42" s="209">
        <v>14.89922321619863</v>
      </c>
      <c r="DJ42" s="209">
        <v>13.686457280955089</v>
      </c>
      <c r="DK42" s="209">
        <v>13.114618591330681</v>
      </c>
      <c r="DL42" s="209">
        <v>10.73358661454502</v>
      </c>
      <c r="DM42" s="209">
        <v>14.74744214238882</v>
      </c>
      <c r="DN42" s="209">
        <v>14.181714626914671</v>
      </c>
      <c r="DO42" s="209">
        <v>12.81958639711995</v>
      </c>
      <c r="DP42" s="209">
        <v>10.733660542220941</v>
      </c>
      <c r="DQ42" s="209">
        <v>7.0913093748033624</v>
      </c>
      <c r="DR42" s="209">
        <v>14.62781255162586</v>
      </c>
      <c r="DS42" s="209">
        <v>13.931316585225529</v>
      </c>
      <c r="DT42" s="209">
        <v>13.477733237490581</v>
      </c>
      <c r="DU42" s="209">
        <v>12.36472933754942</v>
      </c>
      <c r="DV42" s="209">
        <v>10.31114745583648</v>
      </c>
      <c r="DW42" s="209">
        <v>11.46693001197807</v>
      </c>
      <c r="DX42" s="209">
        <v>10.316549783617941</v>
      </c>
      <c r="DY42" s="209">
        <v>13.82718700552349</v>
      </c>
      <c r="DZ42" s="210">
        <v>12.791979088327837</v>
      </c>
      <c r="EA42" s="210">
        <v>16.453523717026979</v>
      </c>
      <c r="EB42" s="210">
        <v>15.472885505467975</v>
      </c>
      <c r="EC42" s="211">
        <v>13.665084649934446</v>
      </c>
      <c r="ED42" s="211">
        <v>12.461522888446851</v>
      </c>
      <c r="EE42" s="211">
        <v>11.568851374494498</v>
      </c>
      <c r="EF42" s="211">
        <v>16.135490022070158</v>
      </c>
      <c r="EG42" s="211">
        <v>14.63590013677992</v>
      </c>
      <c r="EH42" s="211">
        <v>13.92330932493676</v>
      </c>
      <c r="EI42" s="211">
        <v>11.70287743313283</v>
      </c>
      <c r="EJ42" s="211">
        <v>16.386345422303901</v>
      </c>
      <c r="EK42" s="211">
        <v>15.978044343959347</v>
      </c>
      <c r="EL42" s="211">
        <v>14.502755399372528</v>
      </c>
      <c r="EM42" s="211">
        <v>13.877970541448462</v>
      </c>
      <c r="EN42" s="211">
        <v>10.943614366208534</v>
      </c>
      <c r="EO42" s="211">
        <v>14.565812658503585</v>
      </c>
      <c r="EP42" s="211">
        <v>14.296323700818869</v>
      </c>
      <c r="EQ42" s="211">
        <v>12.747763747926422</v>
      </c>
      <c r="ER42" s="211">
        <v>12.038689288227411</v>
      </c>
      <c r="ES42" s="211">
        <v>10.501108292681415</v>
      </c>
      <c r="ET42" s="211">
        <v>15.374999224345505</v>
      </c>
      <c r="EU42" s="211">
        <v>14.804914900026773</v>
      </c>
      <c r="EV42" s="211">
        <v>13.024843782634028</v>
      </c>
      <c r="EW42" s="211">
        <v>15.053922513170624</v>
      </c>
      <c r="EX42" s="212">
        <v>12.8737620183602</v>
      </c>
      <c r="EY42" s="212">
        <v>16.861877430987825</v>
      </c>
      <c r="EZ42" s="212">
        <v>16.18796221424693</v>
      </c>
      <c r="FA42" s="212">
        <v>14.912939177539297</v>
      </c>
      <c r="FB42" s="212">
        <v>13.383507651400985</v>
      </c>
      <c r="FC42" s="212">
        <v>11.131112173073792</v>
      </c>
      <c r="FD42" s="212">
        <v>14.249540993662414</v>
      </c>
      <c r="FE42" s="212">
        <v>13.913737810056871</v>
      </c>
      <c r="FF42" s="212">
        <v>12.221633452349058</v>
      </c>
      <c r="FG42" s="212">
        <v>10.680907715373404</v>
      </c>
      <c r="FH42" s="212">
        <v>14.702770476550571</v>
      </c>
      <c r="FI42" s="212">
        <v>14.072388890534734</v>
      </c>
      <c r="FJ42" s="212">
        <v>12.414248772092321</v>
      </c>
      <c r="FK42" s="212">
        <v>11.085166342658045</v>
      </c>
      <c r="FL42" s="212">
        <v>9.8304065509257423</v>
      </c>
      <c r="FM42" s="212">
        <v>14.123173603541526</v>
      </c>
      <c r="FN42" s="212">
        <v>13.706924192196459</v>
      </c>
      <c r="FO42" s="212">
        <v>11.709758332841712</v>
      </c>
      <c r="FP42" s="212">
        <v>11.737769014201785</v>
      </c>
      <c r="FQ42" s="212">
        <v>9.136225403130581</v>
      </c>
      <c r="FR42" s="213">
        <v>15.031063150346656</v>
      </c>
      <c r="FS42" s="213">
        <v>14.305622026228027</v>
      </c>
      <c r="FT42" s="213">
        <v>13.1256142829236</v>
      </c>
      <c r="FU42" s="213">
        <v>12.522952122135491</v>
      </c>
      <c r="FV42" s="213">
        <v>11.324994648820413</v>
      </c>
      <c r="FW42" s="213">
        <v>14.825614380579333</v>
      </c>
      <c r="FX42" s="213">
        <v>13.736157503016956</v>
      </c>
      <c r="FY42" s="213">
        <v>12.519651351076451</v>
      </c>
      <c r="FZ42" s="213">
        <v>11.501785118077976</v>
      </c>
      <c r="GA42" s="213">
        <v>10.419414638639552</v>
      </c>
      <c r="GB42" s="213">
        <v>15.846167518591155</v>
      </c>
      <c r="GC42" s="213">
        <v>13.977039164639768</v>
      </c>
      <c r="GD42" s="213">
        <v>13.630644236303084</v>
      </c>
      <c r="GE42" s="213">
        <v>12.223957148822377</v>
      </c>
      <c r="GF42" s="213">
        <v>16.5</v>
      </c>
      <c r="GG42" s="213">
        <v>16.8</v>
      </c>
      <c r="GH42" s="213">
        <v>15.6</v>
      </c>
      <c r="GI42" s="213">
        <v>15.6</v>
      </c>
      <c r="GJ42" s="213">
        <v>13.75</v>
      </c>
      <c r="GK42" s="213">
        <v>17.600000000000001</v>
      </c>
      <c r="GL42" s="213">
        <v>16.5</v>
      </c>
      <c r="GM42" s="213">
        <v>16.8</v>
      </c>
      <c r="GN42" s="213">
        <v>20.74461496736031</v>
      </c>
      <c r="GO42" s="213">
        <v>17.098414763123269</v>
      </c>
      <c r="GP42" s="213">
        <v>20.393804740654097</v>
      </c>
      <c r="GQ42" s="213">
        <v>22.013623133137212</v>
      </c>
      <c r="GR42" s="213">
        <v>21.051862050887404</v>
      </c>
      <c r="GS42" s="213">
        <v>20.284376946118588</v>
      </c>
      <c r="GT42" s="213">
        <v>16.73063704331566</v>
      </c>
      <c r="GU42" s="213">
        <v>20.156033981165987</v>
      </c>
      <c r="GV42" s="213">
        <v>21.107247119482491</v>
      </c>
      <c r="GW42" s="213">
        <v>20.744325147403224</v>
      </c>
      <c r="GX42" s="213">
        <v>19.132099366263194</v>
      </c>
      <c r="GY42" s="213">
        <v>16.558746936706253</v>
      </c>
      <c r="GZ42" s="213">
        <v>19.428896941088027</v>
      </c>
      <c r="HA42" s="213">
        <v>20.234078748123125</v>
      </c>
      <c r="HB42" s="213">
        <v>18.988535871604206</v>
      </c>
      <c r="HC42" s="213">
        <v>18.091712578710467</v>
      </c>
      <c r="HD42" s="213">
        <v>15.306199486588033</v>
      </c>
      <c r="HE42" s="213">
        <v>18.64107594151703</v>
      </c>
      <c r="HF42" s="213">
        <v>20.695442107200847</v>
      </c>
      <c r="HG42" s="213">
        <v>21.719763633958237</v>
      </c>
      <c r="HH42" s="213">
        <v>25.341228612023528</v>
      </c>
      <c r="HI42" s="213">
        <v>20.798702899738313</v>
      </c>
      <c r="HJ42" s="214">
        <v>21.644751700000004</v>
      </c>
      <c r="HK42" s="214">
        <v>17.465951800000003</v>
      </c>
      <c r="HL42" s="214">
        <v>18.537303400000003</v>
      </c>
      <c r="HM42" s="214">
        <v>17.2872144</v>
      </c>
      <c r="HN42" s="214">
        <v>15.378837599999999</v>
      </c>
      <c r="HO42" s="214">
        <v>18.311117000000003</v>
      </c>
      <c r="HP42" s="214">
        <v>16.253173199999999</v>
      </c>
      <c r="HQ42" s="214">
        <v>17.9885436</v>
      </c>
      <c r="HR42" s="214">
        <v>15.447322799999998</v>
      </c>
      <c r="HS42" s="214">
        <v>14.416522499999999</v>
      </c>
      <c r="HT42" s="214">
        <v>17.649335000000001</v>
      </c>
      <c r="HU42" s="214">
        <v>15.319060799999999</v>
      </c>
      <c r="HV42" s="214">
        <v>16.820821199999997</v>
      </c>
      <c r="HW42" s="214">
        <v>14.846810399999999</v>
      </c>
      <c r="HX42" s="214">
        <v>13.903212499999999</v>
      </c>
      <c r="HY42" s="214">
        <v>17.442157700000003</v>
      </c>
      <c r="HZ42" s="214">
        <v>14.393611199999999</v>
      </c>
      <c r="IA42" s="214">
        <v>15.656549999999999</v>
      </c>
      <c r="IB42" s="214">
        <v>13.211604999999999</v>
      </c>
      <c r="IC42" s="214">
        <v>11.112572499999999</v>
      </c>
      <c r="ID42" s="214">
        <v>14.671048750000001</v>
      </c>
      <c r="IE42" s="214">
        <v>15.638913599999999</v>
      </c>
      <c r="IF42" s="214">
        <v>14.037623749999998</v>
      </c>
      <c r="IG42" s="214">
        <v>11.853455</v>
      </c>
      <c r="IH42" s="214">
        <v>17.8458516</v>
      </c>
      <c r="II42" s="214">
        <v>12.9167124</v>
      </c>
      <c r="IJ42" s="214">
        <v>14.399363750000001</v>
      </c>
      <c r="IK42" s="214">
        <v>12.338978750000001</v>
      </c>
      <c r="IL42" s="214">
        <v>18.5083965</v>
      </c>
      <c r="IM42" s="214">
        <v>15.9387864</v>
      </c>
      <c r="IN42" s="214">
        <v>16.683963599999998</v>
      </c>
      <c r="IO42" s="214">
        <v>14.8132375</v>
      </c>
      <c r="IP42" s="214">
        <v>13.211288750000001</v>
      </c>
      <c r="IQ42" s="214">
        <v>17.441411900000002</v>
      </c>
      <c r="IR42" s="214">
        <v>14.5810824</v>
      </c>
      <c r="IS42" s="214">
        <v>15.956566799999999</v>
      </c>
      <c r="IT42" s="214">
        <v>14.26282125</v>
      </c>
      <c r="IU42" s="214">
        <v>11.904326249999999</v>
      </c>
      <c r="IV42" s="214">
        <v>15.631297199999999</v>
      </c>
      <c r="IW42" s="214">
        <v>11.523933749999999</v>
      </c>
      <c r="IX42" s="214">
        <v>12.81834375</v>
      </c>
      <c r="IY42" s="214">
        <v>13.352531249999998</v>
      </c>
      <c r="IZ42" s="214">
        <v>13.997801249999998</v>
      </c>
      <c r="JA42" s="214">
        <v>14.674148750000001</v>
      </c>
      <c r="JB42" s="214">
        <v>12.622673750000001</v>
      </c>
      <c r="JC42" s="214">
        <v>14.648982500000001</v>
      </c>
      <c r="JD42" s="214">
        <v>12.35278375</v>
      </c>
      <c r="JE42" s="214">
        <v>13.588374999999999</v>
      </c>
      <c r="JF42" s="214">
        <v>14.549502499999999</v>
      </c>
      <c r="JG42" s="214">
        <v>12.34984</v>
      </c>
      <c r="JH42" s="214">
        <v>14.819118749999999</v>
      </c>
      <c r="JI42" s="214">
        <v>13.838968749999999</v>
      </c>
      <c r="JJ42" s="214">
        <v>13.60192625</v>
      </c>
      <c r="JK42" s="214">
        <v>14.340243749999999</v>
      </c>
      <c r="JL42" s="214">
        <v>11.8906975</v>
      </c>
      <c r="JM42" s="214">
        <v>14.27989</v>
      </c>
      <c r="JN42" s="214">
        <v>13.2168375</v>
      </c>
      <c r="JO42" s="214">
        <v>8.7231818576388882</v>
      </c>
      <c r="JP42" s="214">
        <v>10.933641863194445</v>
      </c>
      <c r="JQ42" s="214">
        <v>11.452122240277781</v>
      </c>
      <c r="JR42" s="214">
        <v>10.105835445833334</v>
      </c>
      <c r="JS42" s="214">
        <v>8.597196240972222</v>
      </c>
      <c r="JT42" s="214">
        <v>13.762665</v>
      </c>
      <c r="JU42" s="214">
        <v>12.671438</v>
      </c>
      <c r="JV42" s="214">
        <v>13.343372</v>
      </c>
      <c r="JW42" s="214">
        <v>10.398846000000001</v>
      </c>
      <c r="JX42" s="214">
        <v>15.285409</v>
      </c>
      <c r="JY42" s="214">
        <v>13.252154000000001</v>
      </c>
      <c r="JZ42" s="214">
        <v>12.216936</v>
      </c>
      <c r="KA42" s="214">
        <v>12.988848000000001</v>
      </c>
      <c r="KB42" s="214">
        <v>10.12974</v>
      </c>
      <c r="KC42" s="214">
        <v>14.811707999999999</v>
      </c>
      <c r="KD42" s="214">
        <v>13.088649</v>
      </c>
      <c r="KE42" s="214">
        <v>11.612904</v>
      </c>
      <c r="KF42" s="214">
        <v>12.276462</v>
      </c>
      <c r="KG42" s="214">
        <v>9.9454379999999993</v>
      </c>
      <c r="KH42" s="214">
        <v>14.403034999999999</v>
      </c>
      <c r="KI42" s="214">
        <v>12.526187</v>
      </c>
      <c r="KJ42" s="214">
        <v>11.136634000000001</v>
      </c>
      <c r="KK42" s="214">
        <v>11.5975</v>
      </c>
      <c r="KL42" s="214">
        <v>9.7174700000000005</v>
      </c>
      <c r="KM42" s="214">
        <v>13.756917</v>
      </c>
      <c r="KN42" s="214">
        <v>12.074306</v>
      </c>
    </row>
    <row r="43" spans="1:300" x14ac:dyDescent="0.35">
      <c r="A43" s="216" t="str">
        <f t="shared" si="0"/>
        <v>jeudi</v>
      </c>
      <c r="B43" s="217">
        <v>44595</v>
      </c>
      <c r="C43" s="202">
        <v>0</v>
      </c>
      <c r="D43" s="202">
        <v>101</v>
      </c>
      <c r="E43" s="202">
        <v>95</v>
      </c>
      <c r="F43" s="202">
        <v>135</v>
      </c>
      <c r="G43" s="202">
        <v>136</v>
      </c>
      <c r="H43" s="202">
        <v>112</v>
      </c>
      <c r="I43" s="202">
        <v>79</v>
      </c>
      <c r="J43" s="202">
        <v>101</v>
      </c>
      <c r="K43" s="202">
        <v>64</v>
      </c>
      <c r="L43" s="202">
        <v>28</v>
      </c>
      <c r="M43" s="202">
        <v>26</v>
      </c>
      <c r="N43" s="202">
        <v>53</v>
      </c>
      <c r="O43" s="202">
        <v>72</v>
      </c>
      <c r="P43" s="202">
        <v>103</v>
      </c>
      <c r="Q43" s="202">
        <v>84</v>
      </c>
      <c r="R43" s="202">
        <v>65</v>
      </c>
      <c r="S43" s="202">
        <v>80</v>
      </c>
      <c r="T43" s="202">
        <v>81</v>
      </c>
      <c r="U43" s="202">
        <v>62</v>
      </c>
      <c r="V43" s="202">
        <v>0</v>
      </c>
      <c r="W43" s="203">
        <f t="shared" si="1"/>
        <v>1477</v>
      </c>
      <c r="AA43" s="196">
        <v>0.64583333333333304</v>
      </c>
      <c r="AB43" s="223">
        <v>26.218487394957982</v>
      </c>
      <c r="AC43" s="223">
        <v>13.013937282229964</v>
      </c>
      <c r="AD43" s="223">
        <v>13.155963302752294</v>
      </c>
      <c r="AE43" s="223">
        <v>13.536945812807883</v>
      </c>
      <c r="AF43" s="223">
        <v>11.704433497536947</v>
      </c>
      <c r="AG43" s="223">
        <v>16.488549618320612</v>
      </c>
      <c r="AH43" s="223">
        <v>15.339130434782607</v>
      </c>
      <c r="AI43" s="223">
        <v>14.246305418719212</v>
      </c>
      <c r="AJ43" s="223">
        <v>14.131979695431472</v>
      </c>
      <c r="AK43" s="223">
        <v>12.417525773195877</v>
      </c>
      <c r="AL43" s="223">
        <v>16.314741035856571</v>
      </c>
      <c r="AM43" s="223">
        <v>15.726872246696036</v>
      </c>
      <c r="AN43" s="223">
        <v>15.845771144278606</v>
      </c>
      <c r="AO43" s="223">
        <v>14.597938144329895</v>
      </c>
      <c r="AP43" s="223">
        <v>12.776041666666666</v>
      </c>
      <c r="AQ43" s="223">
        <v>17.510729613733908</v>
      </c>
      <c r="AR43" s="223">
        <v>17.180616740088105</v>
      </c>
      <c r="AS43" s="223">
        <v>16.75257731958763</v>
      </c>
      <c r="AT43" s="223">
        <v>15.401069518716579</v>
      </c>
      <c r="AU43" s="223">
        <v>13.073298429319372</v>
      </c>
      <c r="AV43" s="223">
        <v>17.628205128205128</v>
      </c>
      <c r="AW43" s="223">
        <v>16</v>
      </c>
      <c r="AX43" s="223">
        <v>13</v>
      </c>
      <c r="AY43" s="223">
        <v>13</v>
      </c>
      <c r="AZ43" s="223">
        <v>11</v>
      </c>
      <c r="BA43" s="223">
        <v>16</v>
      </c>
      <c r="BB43" s="223">
        <v>16</v>
      </c>
      <c r="BC43" s="223">
        <v>15</v>
      </c>
      <c r="BD43" s="223">
        <v>13</v>
      </c>
      <c r="BE43" s="223">
        <v>11</v>
      </c>
      <c r="BF43" s="223">
        <v>15</v>
      </c>
      <c r="BG43" s="223">
        <v>14</v>
      </c>
      <c r="BH43" s="223">
        <v>11</v>
      </c>
      <c r="BI43" s="223">
        <v>11</v>
      </c>
      <c r="BJ43" s="223">
        <v>10</v>
      </c>
      <c r="BK43" s="223">
        <v>13</v>
      </c>
      <c r="BL43" s="223">
        <v>12</v>
      </c>
      <c r="BM43" s="223">
        <v>10</v>
      </c>
      <c r="BN43" s="223">
        <v>9</v>
      </c>
      <c r="BO43" s="223">
        <v>8</v>
      </c>
      <c r="BP43" s="223">
        <v>15</v>
      </c>
      <c r="BQ43" s="209">
        <v>13</v>
      </c>
      <c r="BR43" s="209">
        <v>11</v>
      </c>
      <c r="BS43" s="209">
        <v>10</v>
      </c>
      <c r="BT43" s="209">
        <v>9</v>
      </c>
      <c r="BU43" s="209">
        <v>18</v>
      </c>
      <c r="BV43" s="209">
        <v>17</v>
      </c>
      <c r="BW43" s="209">
        <v>16</v>
      </c>
      <c r="BX43" s="209">
        <v>14</v>
      </c>
      <c r="BY43" s="209">
        <v>11</v>
      </c>
      <c r="BZ43" s="209">
        <v>17</v>
      </c>
      <c r="CA43" s="209">
        <v>18</v>
      </c>
      <c r="CB43" s="209">
        <v>17</v>
      </c>
      <c r="CC43" s="209">
        <v>14</v>
      </c>
      <c r="CD43" s="209">
        <v>12</v>
      </c>
      <c r="CE43" s="209">
        <v>16</v>
      </c>
      <c r="CF43" s="209">
        <v>16</v>
      </c>
      <c r="CG43" s="209">
        <v>14</v>
      </c>
      <c r="CH43" s="209">
        <v>10</v>
      </c>
      <c r="CI43" s="209">
        <v>16</v>
      </c>
      <c r="CJ43" s="209">
        <v>21</v>
      </c>
      <c r="CK43" s="209">
        <v>25</v>
      </c>
      <c r="CL43" s="209">
        <v>21</v>
      </c>
      <c r="CM43" s="209">
        <v>21</v>
      </c>
      <c r="CN43" s="209">
        <v>11.48156159270021</v>
      </c>
      <c r="CO43" s="209">
        <v>14.66683116402581</v>
      </c>
      <c r="CP43" s="209">
        <v>13.058636067481229</v>
      </c>
      <c r="CQ43" s="209">
        <v>14.163978236886409</v>
      </c>
      <c r="CR43" s="209">
        <v>13.537203606852909</v>
      </c>
      <c r="CS43" s="209">
        <v>11.31411252158923</v>
      </c>
      <c r="CT43" s="209">
        <v>14.86179543240385</v>
      </c>
      <c r="CU43" s="209">
        <v>14.166913001800809</v>
      </c>
      <c r="CV43" s="209">
        <v>12.645193951450819</v>
      </c>
      <c r="CW43" s="209">
        <v>12.376771830872491</v>
      </c>
      <c r="CX43" s="209">
        <v>11.22303089740225</v>
      </c>
      <c r="CY43" s="209">
        <v>13.01749298750028</v>
      </c>
      <c r="CZ43" s="209">
        <v>12.38936879400168</v>
      </c>
      <c r="DA43" s="209">
        <v>11.66624577617924</v>
      </c>
      <c r="DB43" s="209">
        <v>9.8531227561883554</v>
      </c>
      <c r="DC43" s="209">
        <v>12.83392692592084</v>
      </c>
      <c r="DD43" s="209">
        <v>13.202685824892081</v>
      </c>
      <c r="DE43" s="209">
        <v>12</v>
      </c>
      <c r="DF43" s="209">
        <v>12.25332959719028</v>
      </c>
      <c r="DG43" s="209">
        <v>10.545308828065441</v>
      </c>
      <c r="DH43" s="209">
        <v>16</v>
      </c>
      <c r="DI43" s="209">
        <v>14.85929444075307</v>
      </c>
      <c r="DJ43" s="209">
        <v>13.66281140024638</v>
      </c>
      <c r="DK43" s="209">
        <v>13.09138296703223</v>
      </c>
      <c r="DL43" s="209">
        <v>10.71683708272179</v>
      </c>
      <c r="DM43" s="209">
        <v>14.717791144721041</v>
      </c>
      <c r="DN43" s="209">
        <v>14.14178585146912</v>
      </c>
      <c r="DO43" s="209">
        <v>12.797626051002441</v>
      </c>
      <c r="DP43" s="209">
        <v>10.712110452513681</v>
      </c>
      <c r="DQ43" s="209">
        <v>7.0745598429801246</v>
      </c>
      <c r="DR43" s="209">
        <v>14.59816155395808</v>
      </c>
      <c r="DS43" s="209">
        <v>13.89138780977998</v>
      </c>
      <c r="DT43" s="209">
        <v>13.455772891373069</v>
      </c>
      <c r="DU43" s="209">
        <v>12.34317924784216</v>
      </c>
      <c r="DV43" s="209">
        <v>10.294397924013239</v>
      </c>
      <c r="DW43" s="209">
        <v>11.437279014310301</v>
      </c>
      <c r="DX43" s="209">
        <v>10.276621008172389</v>
      </c>
      <c r="DY43" s="209">
        <v>13.805226659405969</v>
      </c>
      <c r="DZ43" s="210">
        <v>12.771879650139947</v>
      </c>
      <c r="EA43" s="210">
        <v>16.420907619592434</v>
      </c>
      <c r="EB43" s="210">
        <v>15.428963852477869</v>
      </c>
      <c r="EC43" s="211">
        <v>13.419518705766967</v>
      </c>
      <c r="ED43" s="211">
        <v>12.56483802347004</v>
      </c>
      <c r="EE43" s="211">
        <v>11.655364131663317</v>
      </c>
      <c r="EF43" s="211">
        <v>16.109205083485485</v>
      </c>
      <c r="EG43" s="211">
        <v>14.672890925498912</v>
      </c>
      <c r="EH43" s="211">
        <v>13.986495216223707</v>
      </c>
      <c r="EI43" s="211">
        <v>11.807800463202016</v>
      </c>
      <c r="EJ43" s="211">
        <v>16.34593805354848</v>
      </c>
      <c r="EK43" s="211">
        <v>15.953557799313783</v>
      </c>
      <c r="EL43" s="211">
        <v>14.537156989840014</v>
      </c>
      <c r="EM43" s="211">
        <v>13.947435421169684</v>
      </c>
      <c r="EN43" s="211">
        <v>11.04696813143202</v>
      </c>
      <c r="EO43" s="211">
        <v>14.479008233702944</v>
      </c>
      <c r="EP43" s="211">
        <v>14.278897400711134</v>
      </c>
      <c r="EQ43" s="211">
        <v>12.786173018165869</v>
      </c>
      <c r="ER43" s="211">
        <v>12.105656774176873</v>
      </c>
      <c r="ES43" s="211">
        <v>10.607945141615575</v>
      </c>
      <c r="ET43" s="211">
        <v>15.341078966528956</v>
      </c>
      <c r="EU43" s="211">
        <v>14.787286763685842</v>
      </c>
      <c r="EV43" s="211">
        <v>13.444040834958464</v>
      </c>
      <c r="EW43" s="211">
        <v>15.336835699230498</v>
      </c>
      <c r="EX43" s="212">
        <v>11.689909375398521</v>
      </c>
      <c r="EY43" s="212">
        <v>16.746760713329877</v>
      </c>
      <c r="EZ43" s="212">
        <v>16.077448230296795</v>
      </c>
      <c r="FA43" s="212">
        <v>14.890998999545657</v>
      </c>
      <c r="FB43" s="212">
        <v>13.359897275033211</v>
      </c>
      <c r="FC43" s="212">
        <v>11.190454645432071</v>
      </c>
      <c r="FD43" s="212">
        <v>14.063121658378295</v>
      </c>
      <c r="FE43" s="212">
        <v>13.698662228450317</v>
      </c>
      <c r="FF43" s="212">
        <v>12.077886943786968</v>
      </c>
      <c r="FG43" s="212">
        <v>10.825912909927109</v>
      </c>
      <c r="FH43" s="212">
        <v>14.688671083136738</v>
      </c>
      <c r="FI43" s="212">
        <v>14.082186963997405</v>
      </c>
      <c r="FJ43" s="212">
        <v>12.478753020798612</v>
      </c>
      <c r="FK43" s="212">
        <v>11.163021275756773</v>
      </c>
      <c r="FL43" s="212">
        <v>9.9128341079858711</v>
      </c>
      <c r="FM43" s="212">
        <v>14.114729044941562</v>
      </c>
      <c r="FN43" s="212">
        <v>13.671802804868239</v>
      </c>
      <c r="FO43" s="212">
        <v>11.734593374898704</v>
      </c>
      <c r="FP43" s="212">
        <v>11.771202384325958</v>
      </c>
      <c r="FQ43" s="212">
        <v>9.2377322035951295</v>
      </c>
      <c r="FR43" s="213">
        <v>14.217499296519705</v>
      </c>
      <c r="FS43" s="213">
        <v>13.53132303815004</v>
      </c>
      <c r="FT43" s="213">
        <v>12.415183807510747</v>
      </c>
      <c r="FU43" s="213">
        <v>11.845141039321966</v>
      </c>
      <c r="FV43" s="213">
        <v>10.712023616837792</v>
      </c>
      <c r="FW43" s="213">
        <v>14.023170544759363</v>
      </c>
      <c r="FX43" s="213">
        <v>12.992681068705609</v>
      </c>
      <c r="FY43" s="213">
        <v>11.842018924156827</v>
      </c>
      <c r="FZ43" s="213">
        <v>10.879245213018955</v>
      </c>
      <c r="GA43" s="213">
        <v>9.855458580226145</v>
      </c>
      <c r="GB43" s="213">
        <v>14.98848573082519</v>
      </c>
      <c r="GC43" s="213">
        <v>13.220524889226571</v>
      </c>
      <c r="GD43" s="213">
        <v>12.892878760627129</v>
      </c>
      <c r="GE43" s="213">
        <v>11.562329319337669</v>
      </c>
      <c r="GF43" s="213">
        <v>16.5</v>
      </c>
      <c r="GG43" s="213">
        <v>16.8</v>
      </c>
      <c r="GH43" s="213">
        <v>14.399999999999999</v>
      </c>
      <c r="GI43" s="213">
        <v>14.399999999999999</v>
      </c>
      <c r="GJ43" s="213">
        <v>12.5</v>
      </c>
      <c r="GK43" s="213">
        <v>16.5</v>
      </c>
      <c r="GL43" s="213">
        <v>16.5</v>
      </c>
      <c r="GM43" s="213">
        <v>15.6</v>
      </c>
      <c r="GN43" s="213">
        <v>18.290818783898565</v>
      </c>
      <c r="GO43" s="213">
        <v>17.483122617027671</v>
      </c>
      <c r="GP43" s="213">
        <v>17.651760795398374</v>
      </c>
      <c r="GQ43" s="213">
        <v>21.189110302175092</v>
      </c>
      <c r="GR43" s="213">
        <v>21.123852866273349</v>
      </c>
      <c r="GS43" s="213">
        <v>17.76067764371582</v>
      </c>
      <c r="GT43" s="213">
        <v>17.115729036945332</v>
      </c>
      <c r="GU43" s="213">
        <v>17.440529236200614</v>
      </c>
      <c r="GV43" s="213">
        <v>20.308882061018927</v>
      </c>
      <c r="GW43" s="213">
        <v>20.812856579381773</v>
      </c>
      <c r="GX43" s="213">
        <v>16.735948238930863</v>
      </c>
      <c r="GY43" s="213">
        <v>16.939882505743842</v>
      </c>
      <c r="GZ43" s="213">
        <v>16.981053120663685</v>
      </c>
      <c r="HA43" s="213">
        <v>19.476218151999259</v>
      </c>
      <c r="HB43" s="213">
        <v>19.051266837553221</v>
      </c>
      <c r="HC43" s="213">
        <v>15.997416963476478</v>
      </c>
      <c r="HD43" s="213">
        <v>15.655562240399403</v>
      </c>
      <c r="HE43" s="213">
        <v>16.219571531966743</v>
      </c>
      <c r="HF43" s="213">
        <v>19.920301302044848</v>
      </c>
      <c r="HG43" s="213">
        <v>21.791517547064302</v>
      </c>
      <c r="HH43" s="213">
        <v>22.407729434656773</v>
      </c>
      <c r="HI43" s="213">
        <v>21.277430275380681</v>
      </c>
      <c r="HJ43" s="214">
        <v>19.411418400000002</v>
      </c>
      <c r="HK43" s="214">
        <v>19.918729599999999</v>
      </c>
      <c r="HL43" s="214">
        <v>19.115080600000002</v>
      </c>
      <c r="HM43" s="214">
        <v>17.856912000000001</v>
      </c>
      <c r="HN43" s="214">
        <v>14.078837999999999</v>
      </c>
      <c r="HO43" s="214">
        <v>16.077783700000001</v>
      </c>
      <c r="HP43" s="214">
        <v>18.9289308</v>
      </c>
      <c r="HQ43" s="214">
        <v>18.618846000000001</v>
      </c>
      <c r="HR43" s="214">
        <v>16.0170192</v>
      </c>
      <c r="HS43" s="214">
        <v>13.062355</v>
      </c>
      <c r="HT43" s="214">
        <v>15.416001700000002</v>
      </c>
      <c r="HU43" s="214">
        <v>17.9948184</v>
      </c>
      <c r="HV43" s="214">
        <v>17.451123599999999</v>
      </c>
      <c r="HW43" s="214">
        <v>15.416506800000001</v>
      </c>
      <c r="HX43" s="214">
        <v>12.54904625</v>
      </c>
      <c r="HY43" s="214">
        <v>15.208824400000001</v>
      </c>
      <c r="HZ43" s="214">
        <v>17.069368799999999</v>
      </c>
      <c r="IA43" s="214">
        <v>16.31311625</v>
      </c>
      <c r="IB43" s="214">
        <v>13.805038750000001</v>
      </c>
      <c r="IC43" s="214">
        <v>9.7584049999999998</v>
      </c>
      <c r="ID43" s="214">
        <v>12.13317</v>
      </c>
      <c r="IE43" s="214">
        <v>16.269216</v>
      </c>
      <c r="IF43" s="214">
        <v>14.631058749999999</v>
      </c>
      <c r="IG43" s="214">
        <v>10.499287500000001</v>
      </c>
      <c r="IH43" s="214">
        <v>15.409488</v>
      </c>
      <c r="II43" s="214">
        <v>15.592469999999999</v>
      </c>
      <c r="IJ43" s="214">
        <v>15.05592875</v>
      </c>
      <c r="IK43" s="214">
        <v>12.932412499999998</v>
      </c>
      <c r="IL43" s="214">
        <v>16.275063200000002</v>
      </c>
      <c r="IM43" s="214">
        <v>18.614542799999999</v>
      </c>
      <c r="IN43" s="214">
        <v>17.3142672</v>
      </c>
      <c r="IO43" s="214">
        <v>15.406671249999999</v>
      </c>
      <c r="IP43" s="214">
        <v>11.857122499999999</v>
      </c>
      <c r="IQ43" s="214">
        <v>15.2080786</v>
      </c>
      <c r="IR43" s="214">
        <v>17.256839999999997</v>
      </c>
      <c r="IS43" s="214">
        <v>16.586869199999999</v>
      </c>
      <c r="IT43" s="214">
        <v>14.856255000000001</v>
      </c>
      <c r="IU43" s="214">
        <v>10.550158750000001</v>
      </c>
      <c r="IV43" s="214">
        <v>13.194933599999999</v>
      </c>
      <c r="IW43" s="214">
        <v>14.311181250000001</v>
      </c>
      <c r="IX43" s="214">
        <v>13.474909999999999</v>
      </c>
      <c r="IY43" s="214">
        <v>13.945965000000001</v>
      </c>
      <c r="IZ43" s="214">
        <v>12.643633750000001</v>
      </c>
      <c r="JA43" s="214">
        <v>12.13627</v>
      </c>
      <c r="JB43" s="214">
        <v>15.40992125</v>
      </c>
      <c r="JC43" s="214">
        <v>15.305547500000001</v>
      </c>
      <c r="JD43" s="214">
        <v>12.94621875</v>
      </c>
      <c r="JE43" s="214">
        <v>12.234208750000001</v>
      </c>
      <c r="JF43" s="214">
        <v>12.01162375</v>
      </c>
      <c r="JG43" s="214">
        <v>15.1370875</v>
      </c>
      <c r="JH43" s="214">
        <v>15.475684999999999</v>
      </c>
      <c r="JI43" s="214">
        <v>14.432403750000001</v>
      </c>
      <c r="JJ43" s="214">
        <v>12.247760000000001</v>
      </c>
      <c r="JK43" s="214">
        <v>11.802364999999998</v>
      </c>
      <c r="JL43" s="214">
        <v>14.677944999999999</v>
      </c>
      <c r="JM43" s="214">
        <v>14.936456250000001</v>
      </c>
      <c r="JN43" s="214">
        <v>13.8102725</v>
      </c>
      <c r="JO43" s="214">
        <v>7.36901435763889</v>
      </c>
      <c r="JP43" s="214">
        <v>13.720889363194447</v>
      </c>
      <c r="JQ43" s="214">
        <v>12.108688490277778</v>
      </c>
      <c r="JR43" s="214">
        <v>10.699270445833333</v>
      </c>
      <c r="JS43" s="214">
        <v>7.2430299909722207</v>
      </c>
      <c r="JT43" s="214">
        <v>13.108625</v>
      </c>
      <c r="JU43" s="214">
        <v>13.19669</v>
      </c>
      <c r="JV43" s="214">
        <v>12.497412000000001</v>
      </c>
      <c r="JW43" s="214">
        <v>9.9266229999999993</v>
      </c>
      <c r="JX43" s="214">
        <v>13.704601</v>
      </c>
      <c r="JY43" s="214">
        <v>12.598114000000001</v>
      </c>
      <c r="JZ43" s="214">
        <v>12.742189</v>
      </c>
      <c r="KA43" s="214">
        <v>12.142887999999999</v>
      </c>
      <c r="KB43" s="214">
        <v>9.6575179999999996</v>
      </c>
      <c r="KC43" s="214">
        <v>13.2309</v>
      </c>
      <c r="KD43" s="214">
        <v>12.434609</v>
      </c>
      <c r="KE43" s="214">
        <v>12.138157</v>
      </c>
      <c r="KF43" s="214">
        <v>11.430503</v>
      </c>
      <c r="KG43" s="214">
        <v>9.4732149999999997</v>
      </c>
      <c r="KH43" s="214">
        <v>12.822227</v>
      </c>
      <c r="KI43" s="214">
        <v>11.872146000000001</v>
      </c>
      <c r="KJ43" s="214">
        <v>11.661886000000001</v>
      </c>
      <c r="KK43" s="214">
        <v>10.751541</v>
      </c>
      <c r="KL43" s="214">
        <v>9.2452480000000001</v>
      </c>
      <c r="KM43" s="214">
        <v>12.176109</v>
      </c>
      <c r="KN43" s="214">
        <v>11.420265000000001</v>
      </c>
    </row>
    <row r="44" spans="1:300" x14ac:dyDescent="0.35">
      <c r="A44" s="216" t="str">
        <f t="shared" si="0"/>
        <v>vendredi</v>
      </c>
      <c r="B44" s="217">
        <v>44596</v>
      </c>
      <c r="C44" s="202">
        <v>0</v>
      </c>
      <c r="D44" s="202">
        <v>82</v>
      </c>
      <c r="E44" s="202">
        <v>84</v>
      </c>
      <c r="F44" s="202">
        <v>114</v>
      </c>
      <c r="G44" s="202">
        <v>94</v>
      </c>
      <c r="H44" s="202">
        <v>92</v>
      </c>
      <c r="I44" s="202">
        <v>81</v>
      </c>
      <c r="J44" s="202">
        <v>91</v>
      </c>
      <c r="K44" s="202">
        <v>64</v>
      </c>
      <c r="L44" s="202">
        <v>27</v>
      </c>
      <c r="M44" s="202">
        <v>13</v>
      </c>
      <c r="N44" s="202">
        <v>37</v>
      </c>
      <c r="O44" s="202">
        <v>67</v>
      </c>
      <c r="P44" s="202">
        <v>64</v>
      </c>
      <c r="Q44" s="202">
        <v>67</v>
      </c>
      <c r="R44" s="202">
        <v>56</v>
      </c>
      <c r="S44" s="202">
        <v>58</v>
      </c>
      <c r="T44" s="202">
        <v>42</v>
      </c>
      <c r="U44" s="202">
        <v>24</v>
      </c>
      <c r="V44" s="202">
        <v>0</v>
      </c>
      <c r="W44" s="203">
        <f t="shared" si="1"/>
        <v>1157</v>
      </c>
      <c r="AA44" s="196">
        <v>0.66666666666666696</v>
      </c>
      <c r="AB44" s="223">
        <v>24.907563025210084</v>
      </c>
      <c r="AC44" s="223">
        <v>14.749128919860627</v>
      </c>
      <c r="AD44" s="223">
        <v>14.252293577981652</v>
      </c>
      <c r="AE44" s="223">
        <v>14.665024630541872</v>
      </c>
      <c r="AF44" s="223">
        <v>11.704433497536947</v>
      </c>
      <c r="AG44" s="223">
        <v>16.488549618320612</v>
      </c>
      <c r="AH44" s="223">
        <v>17.530434782608694</v>
      </c>
      <c r="AI44" s="223">
        <v>15.433497536945813</v>
      </c>
      <c r="AJ44" s="223">
        <v>15.309644670050762</v>
      </c>
      <c r="AK44" s="223">
        <v>12.417525773195877</v>
      </c>
      <c r="AL44" s="223">
        <v>17.402390438247011</v>
      </c>
      <c r="AM44" s="223">
        <v>17.973568281938327</v>
      </c>
      <c r="AN44" s="223">
        <v>15.845771144278606</v>
      </c>
      <c r="AO44" s="223">
        <v>15.814432989690721</v>
      </c>
      <c r="AP44" s="223">
        <v>12.776041666666666</v>
      </c>
      <c r="AQ44" s="223">
        <v>18.678111587982833</v>
      </c>
      <c r="AR44" s="223">
        <v>18.325991189427313</v>
      </c>
      <c r="AS44" s="223">
        <v>16.75257731958763</v>
      </c>
      <c r="AT44" s="223">
        <v>16.684491978609625</v>
      </c>
      <c r="AU44" s="223">
        <v>13.073298429319372</v>
      </c>
      <c r="AV44" s="223">
        <v>18.803418803418804</v>
      </c>
      <c r="AW44" s="223">
        <v>18</v>
      </c>
      <c r="AX44" s="223">
        <v>14</v>
      </c>
      <c r="AY44" s="223">
        <v>14</v>
      </c>
      <c r="AZ44" s="223">
        <v>11</v>
      </c>
      <c r="BA44" s="223">
        <v>18</v>
      </c>
      <c r="BB44" s="223">
        <v>18</v>
      </c>
      <c r="BC44" s="223">
        <v>16</v>
      </c>
      <c r="BD44" s="223">
        <v>14</v>
      </c>
      <c r="BE44" s="223">
        <v>11</v>
      </c>
      <c r="BF44" s="223">
        <v>16</v>
      </c>
      <c r="BG44" s="223">
        <v>15</v>
      </c>
      <c r="BH44" s="223">
        <v>13</v>
      </c>
      <c r="BI44" s="223">
        <v>12</v>
      </c>
      <c r="BJ44" s="223">
        <v>10</v>
      </c>
      <c r="BK44" s="223">
        <v>14</v>
      </c>
      <c r="BL44" s="223">
        <v>14</v>
      </c>
      <c r="BM44" s="223">
        <v>11</v>
      </c>
      <c r="BN44" s="223">
        <v>10</v>
      </c>
      <c r="BO44" s="223">
        <v>8</v>
      </c>
      <c r="BP44" s="223">
        <v>16</v>
      </c>
      <c r="BQ44" s="209">
        <v>14</v>
      </c>
      <c r="BR44" s="209">
        <v>15</v>
      </c>
      <c r="BS44" s="209">
        <v>14</v>
      </c>
      <c r="BT44" s="209">
        <v>9</v>
      </c>
      <c r="BU44" s="209">
        <v>20</v>
      </c>
      <c r="BV44" s="209">
        <v>21</v>
      </c>
      <c r="BW44" s="209">
        <v>21</v>
      </c>
      <c r="BX44" s="209">
        <v>18</v>
      </c>
      <c r="BY44" s="209">
        <v>14</v>
      </c>
      <c r="BZ44" s="209">
        <v>22</v>
      </c>
      <c r="CA44" s="209">
        <v>23</v>
      </c>
      <c r="CB44" s="209">
        <v>22</v>
      </c>
      <c r="CC44" s="209">
        <v>22</v>
      </c>
      <c r="CD44" s="209">
        <v>12</v>
      </c>
      <c r="CE44" s="209">
        <v>23</v>
      </c>
      <c r="CF44" s="209">
        <v>20</v>
      </c>
      <c r="CG44" s="209">
        <v>17</v>
      </c>
      <c r="CH44" s="209">
        <v>16</v>
      </c>
      <c r="CI44" s="209">
        <v>16</v>
      </c>
      <c r="CJ44" s="209">
        <v>19</v>
      </c>
      <c r="CK44" s="209">
        <v>29</v>
      </c>
      <c r="CL44" s="209">
        <v>26</v>
      </c>
      <c r="CM44" s="209">
        <v>19</v>
      </c>
      <c r="CN44" s="209">
        <v>10.346038070315281</v>
      </c>
      <c r="CO44" s="209">
        <v>12.173736279579551</v>
      </c>
      <c r="CP44" s="209">
        <v>10.58630411824954</v>
      </c>
      <c r="CQ44" s="209">
        <v>12.160850211117721</v>
      </c>
      <c r="CR44" s="209">
        <v>11.968373924304791</v>
      </c>
      <c r="CS44" s="209">
        <v>10.0858642617715</v>
      </c>
      <c r="CT44" s="209">
        <v>12.382238589648081</v>
      </c>
      <c r="CU44" s="209">
        <v>11.70813988920378</v>
      </c>
      <c r="CV44" s="209">
        <v>10.90536532039865</v>
      </c>
      <c r="CW44" s="209">
        <v>10.895444602101581</v>
      </c>
      <c r="CX44" s="209">
        <v>10.00804623970329</v>
      </c>
      <c r="CY44" s="209">
        <v>10.995676750838861</v>
      </c>
      <c r="CZ44" s="209">
        <v>10.632496424965501</v>
      </c>
      <c r="DA44" s="209">
        <v>10.156640337374631</v>
      </c>
      <c r="DB44" s="209">
        <v>8.7696640305198059</v>
      </c>
      <c r="DC44" s="209">
        <v>10.815271258545501</v>
      </c>
      <c r="DD44" s="209">
        <v>11.194307935294511</v>
      </c>
      <c r="DE44" s="209">
        <v>12</v>
      </c>
      <c r="DF44" s="209">
        <v>10.80241210639206</v>
      </c>
      <c r="DG44" s="209">
        <v>9.3877545321973965</v>
      </c>
      <c r="DH44" s="209">
        <v>14</v>
      </c>
      <c r="DI44" s="209">
        <v>12.83806489052842</v>
      </c>
      <c r="DJ44" s="209">
        <v>11.895773856013721</v>
      </c>
      <c r="DK44" s="209">
        <v>11.597435735982531</v>
      </c>
      <c r="DL44" s="209">
        <v>9.6162175037698994</v>
      </c>
      <c r="DM44" s="209">
        <v>12.402702104674271</v>
      </c>
      <c r="DN44" s="209">
        <v>11.86331489161846</v>
      </c>
      <c r="DO44" s="209">
        <v>10.784481604171891</v>
      </c>
      <c r="DP44" s="209">
        <v>8.9679733603453489</v>
      </c>
      <c r="DQ44" s="209">
        <v>5.994156424821993</v>
      </c>
      <c r="DR44" s="209">
        <v>12.626673676256461</v>
      </c>
      <c r="DS44" s="209">
        <v>11.93017770985613</v>
      </c>
      <c r="DT44" s="209">
        <v>11.76961433499204</v>
      </c>
      <c r="DU44" s="209">
        <v>10.90743368104399</v>
      </c>
      <c r="DV44" s="209">
        <v>9.2114696208757447</v>
      </c>
      <c r="DW44" s="209">
        <v>9.4872933176178726</v>
      </c>
      <c r="DX44" s="209">
        <v>8.3283575337021816</v>
      </c>
      <c r="DY44" s="209">
        <v>12.058986164448809</v>
      </c>
      <c r="DZ44" s="210">
        <v>11.388557455140777</v>
      </c>
      <c r="EA44" s="210">
        <v>14.170979609433275</v>
      </c>
      <c r="EB44" s="210">
        <v>13.172004669479195</v>
      </c>
      <c r="EC44" s="211">
        <v>11.895648420968687</v>
      </c>
      <c r="ED44" s="211">
        <v>11.392721336085687</v>
      </c>
      <c r="EE44" s="211">
        <v>10.210808569220385</v>
      </c>
      <c r="EF44" s="211">
        <v>14.030793772632316</v>
      </c>
      <c r="EG44" s="211">
        <v>12.864941311011666</v>
      </c>
      <c r="EH44" s="211">
        <v>12.449339268397301</v>
      </c>
      <c r="EI44" s="211">
        <v>10.290594409183322</v>
      </c>
      <c r="EJ44" s="211">
        <v>14.32912758793913</v>
      </c>
      <c r="EK44" s="211">
        <v>13.92243176548169</v>
      </c>
      <c r="EL44" s="211">
        <v>12.772883624192486</v>
      </c>
      <c r="EM44" s="211">
        <v>12.485863422923158</v>
      </c>
      <c r="EN44" s="211">
        <v>9.7206317886654521</v>
      </c>
      <c r="EO44" s="211">
        <v>12.668270956630566</v>
      </c>
      <c r="EP44" s="211">
        <v>12.582549124374481</v>
      </c>
      <c r="EQ44" s="211">
        <v>11.258108134097268</v>
      </c>
      <c r="ER44" s="211">
        <v>10.854275133921554</v>
      </c>
      <c r="ES44" s="211">
        <v>9.3133580800889071</v>
      </c>
      <c r="ET44" s="211">
        <v>13.773552906708792</v>
      </c>
      <c r="EU44" s="211">
        <v>13.34846530386557</v>
      </c>
      <c r="EV44" s="211">
        <v>12.052239063233259</v>
      </c>
      <c r="EW44" s="211">
        <v>14.33036002560903</v>
      </c>
      <c r="EX44" s="212">
        <v>11.937938660658915</v>
      </c>
      <c r="EY44" s="212">
        <v>15.451918981030431</v>
      </c>
      <c r="EZ44" s="212">
        <v>14.848905873609514</v>
      </c>
      <c r="FA44" s="212">
        <v>13.728183079573373</v>
      </c>
      <c r="FB44" s="212">
        <v>13.0188056383393</v>
      </c>
      <c r="FC44" s="212">
        <v>10.698630909997906</v>
      </c>
      <c r="FD44" s="212">
        <v>12.715430163189849</v>
      </c>
      <c r="FE44" s="212">
        <v>12.423786645994525</v>
      </c>
      <c r="FF44" s="212">
        <v>10.962962499136989</v>
      </c>
      <c r="FG44" s="212">
        <v>10.019550871193672</v>
      </c>
      <c r="FH44" s="212">
        <v>13.534100439791938</v>
      </c>
      <c r="FI44" s="212">
        <v>12.965414136777172</v>
      </c>
      <c r="FJ44" s="212">
        <v>11.475721595502948</v>
      </c>
      <c r="FK44" s="212">
        <v>10.381336811697784</v>
      </c>
      <c r="FL44" s="212">
        <v>9.1678605461902389</v>
      </c>
      <c r="FM44" s="212">
        <v>12.991740859799117</v>
      </c>
      <c r="FN44" s="212">
        <v>12.645050287645638</v>
      </c>
      <c r="FO44" s="212">
        <v>10.805562052859038</v>
      </c>
      <c r="FP44" s="212">
        <v>10.966188862622523</v>
      </c>
      <c r="FQ44" s="212">
        <v>8.557986237430244</v>
      </c>
      <c r="FR44" s="213">
        <v>11.197782309809805</v>
      </c>
      <c r="FS44" s="213">
        <v>10.657347486699353</v>
      </c>
      <c r="FT44" s="213">
        <v>9.7782711717910438</v>
      </c>
      <c r="FU44" s="213">
        <v>9.3293034345349994</v>
      </c>
      <c r="FV44" s="213">
        <v>8.4368545724658937</v>
      </c>
      <c r="FW44" s="213">
        <v>11.04473541946887</v>
      </c>
      <c r="FX44" s="213">
        <v>10.233116961127564</v>
      </c>
      <c r="FY44" s="213">
        <v>9.3268495225172305</v>
      </c>
      <c r="FZ44" s="213">
        <v>8.5685639838062784</v>
      </c>
      <c r="GA44" s="213">
        <v>7.7622240596451064</v>
      </c>
      <c r="GB44" s="213">
        <v>11.80503164477769</v>
      </c>
      <c r="GC44" s="213">
        <v>10.412575276146711</v>
      </c>
      <c r="GD44" s="213">
        <v>10.154520341822222</v>
      </c>
      <c r="GE44" s="213">
        <v>9.1065716550273539</v>
      </c>
      <c r="GF44" s="213">
        <v>12.100000000000001</v>
      </c>
      <c r="GG44" s="213">
        <v>13.2</v>
      </c>
      <c r="GH44" s="213">
        <v>12</v>
      </c>
      <c r="GI44" s="213">
        <v>12</v>
      </c>
      <c r="GJ44" s="213">
        <v>10</v>
      </c>
      <c r="GK44" s="213">
        <v>13.200000000000001</v>
      </c>
      <c r="GL44" s="213">
        <v>13.200000000000001</v>
      </c>
      <c r="GM44" s="213">
        <v>12</v>
      </c>
      <c r="GN44" s="213">
        <v>15.74825928670522</v>
      </c>
      <c r="GO44" s="213">
        <v>13.034486508932668</v>
      </c>
      <c r="GP44" s="213">
        <v>13.937330697672772</v>
      </c>
      <c r="GQ44" s="213">
        <v>17.496666163219452</v>
      </c>
      <c r="GR44" s="213">
        <v>14.384972696336348</v>
      </c>
      <c r="GS44" s="213">
        <v>15.145686360971242</v>
      </c>
      <c r="GT44" s="213">
        <v>12.662650862396418</v>
      </c>
      <c r="GU44" s="213">
        <v>13.762049694445718</v>
      </c>
      <c r="GV44" s="213">
        <v>16.733536390011167</v>
      </c>
      <c r="GW44" s="213">
        <v>14.397800637845791</v>
      </c>
      <c r="GX44" s="213">
        <v>14.253119042858664</v>
      </c>
      <c r="GY44" s="213">
        <v>12.532555134358104</v>
      </c>
      <c r="GZ44" s="213">
        <v>13.665152667336759</v>
      </c>
      <c r="HA44" s="213">
        <v>16.08226500631249</v>
      </c>
      <c r="HB44" s="213">
        <v>13.179178013325922</v>
      </c>
      <c r="HC44" s="213">
        <v>13.827362562735097</v>
      </c>
      <c r="HD44" s="213">
        <v>11.615645338118117</v>
      </c>
      <c r="HE44" s="213">
        <v>12.939350995687183</v>
      </c>
      <c r="HF44" s="213">
        <v>16.44896160254763</v>
      </c>
      <c r="HG44" s="213">
        <v>15.074813207023491</v>
      </c>
      <c r="HH44" s="213">
        <v>19.368114227944552</v>
      </c>
      <c r="HI44" s="213">
        <v>15.741583092636654</v>
      </c>
      <c r="HJ44" s="214">
        <v>17.828085000000005</v>
      </c>
      <c r="HK44" s="214">
        <v>16.9603973</v>
      </c>
      <c r="HL44" s="214">
        <v>15.0400811</v>
      </c>
      <c r="HM44" s="214">
        <v>16.2205476</v>
      </c>
      <c r="HN44" s="214">
        <v>12.087928799999998</v>
      </c>
      <c r="HO44" s="214">
        <v>14.494450300000002</v>
      </c>
      <c r="HP44" s="214">
        <v>15.701657999999998</v>
      </c>
      <c r="HQ44" s="214">
        <v>14.173391999999998</v>
      </c>
      <c r="HR44" s="214">
        <v>14.380655999999998</v>
      </c>
      <c r="HS44" s="214">
        <v>10.988491250000001</v>
      </c>
      <c r="HT44" s="214">
        <v>13.832668300000002</v>
      </c>
      <c r="HU44" s="214">
        <v>14.7675456</v>
      </c>
      <c r="HV44" s="214">
        <v>13.005669599999999</v>
      </c>
      <c r="HW44" s="214">
        <v>13.780143600000001</v>
      </c>
      <c r="HX44" s="214">
        <v>10.475182499999999</v>
      </c>
      <c r="HY44" s="214">
        <v>13.625491000000002</v>
      </c>
      <c r="HZ44" s="214">
        <v>13.842096</v>
      </c>
      <c r="IA44" s="214">
        <v>11.682433750000001</v>
      </c>
      <c r="IB44" s="214">
        <v>12.100493750000002</v>
      </c>
      <c r="IC44" s="214">
        <v>7.6845412499999997</v>
      </c>
      <c r="ID44" s="214">
        <v>10.3339275</v>
      </c>
      <c r="IE44" s="214">
        <v>11.823762</v>
      </c>
      <c r="IF44" s="214">
        <v>12.926512500000001</v>
      </c>
      <c r="IG44" s="214">
        <v>8.4254237500000002</v>
      </c>
      <c r="IH44" s="214">
        <v>13.6822152</v>
      </c>
      <c r="II44" s="214">
        <v>12.365197199999999</v>
      </c>
      <c r="IJ44" s="214">
        <v>10.425247500000001</v>
      </c>
      <c r="IK44" s="214">
        <v>11.227867499999999</v>
      </c>
      <c r="IL44" s="214">
        <v>14.691729800000001</v>
      </c>
      <c r="IM44" s="214">
        <v>15.387271199999999</v>
      </c>
      <c r="IN44" s="214">
        <v>12.868812</v>
      </c>
      <c r="IO44" s="214">
        <v>13.702126249999999</v>
      </c>
      <c r="IP44" s="214">
        <v>9.7832587499999999</v>
      </c>
      <c r="IQ44" s="214">
        <v>13.624745200000001</v>
      </c>
      <c r="IR44" s="214">
        <v>14.029567200000001</v>
      </c>
      <c r="IS44" s="214">
        <v>12.141415199999999</v>
      </c>
      <c r="IT44" s="214">
        <v>13.151710000000001</v>
      </c>
      <c r="IU44" s="214">
        <v>8.4762962500000008</v>
      </c>
      <c r="IV44" s="214">
        <v>11.467660799999999</v>
      </c>
      <c r="IW44" s="214">
        <v>10.949438750000001</v>
      </c>
      <c r="IX44" s="214">
        <v>8.8442275000000006</v>
      </c>
      <c r="IY44" s="214">
        <v>12.241420000000002</v>
      </c>
      <c r="IZ44" s="214">
        <v>10.56977</v>
      </c>
      <c r="JA44" s="214">
        <v>10.3370275</v>
      </c>
      <c r="JB44" s="214">
        <v>12.04817875</v>
      </c>
      <c r="JC44" s="214">
        <v>10.674866249999999</v>
      </c>
      <c r="JD44" s="214">
        <v>11.2416725</v>
      </c>
      <c r="JE44" s="214">
        <v>10.160345</v>
      </c>
      <c r="JF44" s="214">
        <v>10.21238125</v>
      </c>
      <c r="JG44" s="214">
        <v>11.775345</v>
      </c>
      <c r="JH44" s="214">
        <v>10.8450025</v>
      </c>
      <c r="JI44" s="214">
        <v>12.727858750000001</v>
      </c>
      <c r="JJ44" s="214">
        <v>10.17389625</v>
      </c>
      <c r="JK44" s="214">
        <v>10.0031225</v>
      </c>
      <c r="JL44" s="214">
        <v>11.316202500000001</v>
      </c>
      <c r="JM44" s="214">
        <v>10.30577375</v>
      </c>
      <c r="JN44" s="214">
        <v>12.1057275</v>
      </c>
      <c r="JO44" s="214">
        <v>5.2951506076388899</v>
      </c>
      <c r="JP44" s="214">
        <v>10.359146863194447</v>
      </c>
      <c r="JQ44" s="214">
        <v>7.4780059902777793</v>
      </c>
      <c r="JR44" s="214">
        <v>8.9947241958333315</v>
      </c>
      <c r="JS44" s="214">
        <v>5.1691662409722214</v>
      </c>
      <c r="JT44" s="214">
        <v>11.982362</v>
      </c>
      <c r="JU44" s="214">
        <v>11.623457999999999</v>
      </c>
      <c r="JV44" s="214">
        <v>11.77519</v>
      </c>
      <c r="JW44" s="214">
        <v>7.6336940000000002</v>
      </c>
      <c r="JX44" s="214">
        <v>12.396521</v>
      </c>
      <c r="JY44" s="214">
        <v>11.471850999999999</v>
      </c>
      <c r="JZ44" s="214">
        <v>11.168956</v>
      </c>
      <c r="KA44" s="214">
        <v>11.420666000000001</v>
      </c>
      <c r="KB44" s="214">
        <v>7.3645889999999996</v>
      </c>
      <c r="KC44" s="214">
        <v>11.922819</v>
      </c>
      <c r="KD44" s="214">
        <v>11.308346</v>
      </c>
      <c r="KE44" s="214">
        <v>10.564924</v>
      </c>
      <c r="KF44" s="214">
        <v>10.708280999999999</v>
      </c>
      <c r="KG44" s="214">
        <v>7.1802859999999997</v>
      </c>
      <c r="KH44" s="214">
        <v>11.514146</v>
      </c>
      <c r="KI44" s="214">
        <v>10.745884</v>
      </c>
      <c r="KJ44" s="214">
        <v>10.088654</v>
      </c>
      <c r="KK44" s="214">
        <v>10.029318999999999</v>
      </c>
      <c r="KL44" s="214">
        <v>6.9523190000000001</v>
      </c>
      <c r="KM44" s="214">
        <v>10.868029</v>
      </c>
      <c r="KN44" s="214">
        <v>10.294003</v>
      </c>
    </row>
    <row r="45" spans="1:300" x14ac:dyDescent="0.35">
      <c r="A45" s="216" t="str">
        <f t="shared" si="0"/>
        <v>samedi</v>
      </c>
      <c r="B45" s="217">
        <v>44597</v>
      </c>
      <c r="C45" s="202">
        <v>0</v>
      </c>
      <c r="D45" s="202"/>
      <c r="E45" s="202"/>
      <c r="F45" s="202"/>
      <c r="G45" s="202"/>
      <c r="H45" s="202"/>
      <c r="I45" s="202"/>
      <c r="J45" s="202"/>
      <c r="K45" s="202"/>
      <c r="L45" s="202"/>
      <c r="M45" s="202"/>
      <c r="N45" s="202"/>
      <c r="O45" s="202"/>
      <c r="P45" s="202"/>
      <c r="Q45" s="202"/>
      <c r="R45" s="202"/>
      <c r="S45" s="202"/>
      <c r="T45" s="202"/>
      <c r="U45" s="202"/>
      <c r="V45" s="202">
        <v>0</v>
      </c>
      <c r="W45" s="203">
        <f t="shared" si="1"/>
        <v>0</v>
      </c>
      <c r="AA45" s="196">
        <v>0.6875</v>
      </c>
      <c r="AB45" s="223">
        <v>22.285714285714285</v>
      </c>
      <c r="AC45" s="223">
        <v>13.013937282229964</v>
      </c>
      <c r="AD45" s="223">
        <v>13.155963302752294</v>
      </c>
      <c r="AE45" s="223">
        <v>12.408866995073893</v>
      </c>
      <c r="AF45" s="223">
        <v>11.704433497536947</v>
      </c>
      <c r="AG45" s="223">
        <v>14.427480916030536</v>
      </c>
      <c r="AH45" s="223">
        <v>15.339130434782607</v>
      </c>
      <c r="AI45" s="223">
        <v>14.246305418719212</v>
      </c>
      <c r="AJ45" s="223">
        <v>12.954314720812182</v>
      </c>
      <c r="AK45" s="223">
        <v>12.417525773195877</v>
      </c>
      <c r="AL45" s="223">
        <v>15.227091633466134</v>
      </c>
      <c r="AM45" s="223">
        <v>15.726872246696036</v>
      </c>
      <c r="AN45" s="223">
        <v>14.62686567164179</v>
      </c>
      <c r="AO45" s="223">
        <v>13.381443298969071</v>
      </c>
      <c r="AP45" s="223">
        <v>12.776041666666666</v>
      </c>
      <c r="AQ45" s="223">
        <v>16.343347639484978</v>
      </c>
      <c r="AR45" s="223">
        <v>16.035242290748897</v>
      </c>
      <c r="AS45" s="223">
        <v>15.463917525773198</v>
      </c>
      <c r="AT45" s="223">
        <v>14.117647058823529</v>
      </c>
      <c r="AU45" s="223">
        <v>13.073298429319372</v>
      </c>
      <c r="AV45" s="223">
        <v>16.452991452991455</v>
      </c>
      <c r="AW45" s="223">
        <v>16</v>
      </c>
      <c r="AX45" s="223">
        <v>13</v>
      </c>
      <c r="AY45" s="223">
        <v>11</v>
      </c>
      <c r="AZ45" s="223">
        <v>11</v>
      </c>
      <c r="BA45" s="223">
        <v>15</v>
      </c>
      <c r="BB45" s="223">
        <v>16</v>
      </c>
      <c r="BC45" s="223">
        <v>14</v>
      </c>
      <c r="BD45" s="223">
        <v>12</v>
      </c>
      <c r="BE45" s="223">
        <v>11</v>
      </c>
      <c r="BF45" s="223">
        <v>14</v>
      </c>
      <c r="BG45" s="223">
        <v>14</v>
      </c>
      <c r="BH45" s="223">
        <v>11</v>
      </c>
      <c r="BI45" s="223">
        <v>10</v>
      </c>
      <c r="BJ45" s="223">
        <v>9</v>
      </c>
      <c r="BK45" s="223">
        <v>13</v>
      </c>
      <c r="BL45" s="223">
        <v>12</v>
      </c>
      <c r="BM45" s="223">
        <v>9</v>
      </c>
      <c r="BN45" s="223">
        <v>8</v>
      </c>
      <c r="BO45" s="223">
        <v>7</v>
      </c>
      <c r="BP45" s="223">
        <v>14</v>
      </c>
      <c r="BQ45" s="209">
        <v>13</v>
      </c>
      <c r="BR45" s="209">
        <v>11</v>
      </c>
      <c r="BS45" s="209">
        <v>10</v>
      </c>
      <c r="BT45" s="209">
        <v>7</v>
      </c>
      <c r="BU45" s="209">
        <v>18</v>
      </c>
      <c r="BV45" s="209">
        <v>19</v>
      </c>
      <c r="BW45" s="209">
        <v>16</v>
      </c>
      <c r="BX45" s="209">
        <v>14</v>
      </c>
      <c r="BY45" s="209">
        <v>14</v>
      </c>
      <c r="BZ45" s="209">
        <v>17</v>
      </c>
      <c r="CA45" s="209">
        <v>18</v>
      </c>
      <c r="CB45" s="209">
        <v>15</v>
      </c>
      <c r="CC45" s="209">
        <v>14</v>
      </c>
      <c r="CD45" s="209">
        <v>11</v>
      </c>
      <c r="CE45" s="209">
        <v>16</v>
      </c>
      <c r="CF45" s="209">
        <v>16</v>
      </c>
      <c r="CG45" s="209">
        <v>14</v>
      </c>
      <c r="CH45" s="209">
        <v>12</v>
      </c>
      <c r="CI45" s="209">
        <v>16</v>
      </c>
      <c r="CJ45" s="209">
        <v>10</v>
      </c>
      <c r="CK45" s="209">
        <v>16</v>
      </c>
      <c r="CL45" s="209">
        <v>10</v>
      </c>
      <c r="CM45" s="209">
        <v>6</v>
      </c>
      <c r="CN45" s="209">
        <v>8.9996729551367629</v>
      </c>
      <c r="CO45" s="209">
        <v>10.630884823716309</v>
      </c>
      <c r="CP45" s="209">
        <v>9.0331754568131153</v>
      </c>
      <c r="CQ45" s="209">
        <v>10.62782937056412</v>
      </c>
      <c r="CR45" s="209">
        <v>10.43576334016144</v>
      </c>
      <c r="CS45" s="209">
        <v>8.739499146592987</v>
      </c>
      <c r="CT45" s="209">
        <v>10.85160992821166</v>
      </c>
      <c r="CU45" s="209">
        <v>10.167233449989579</v>
      </c>
      <c r="CV45" s="209">
        <v>9.362966609434709</v>
      </c>
      <c r="CW45" s="209">
        <v>9.3534561475478917</v>
      </c>
      <c r="CX45" s="209">
        <v>8.6523032541144342</v>
      </c>
      <c r="CY45" s="209">
        <v>9.4488993856587573</v>
      </c>
      <c r="CZ45" s="209">
        <v>9.104148996052837</v>
      </c>
      <c r="DA45" s="209">
        <v>8.6287031648722241</v>
      </c>
      <c r="DB45" s="209">
        <v>7.3704393128739234</v>
      </c>
      <c r="DC45" s="209">
        <v>9.2464831560426077</v>
      </c>
      <c r="DD45" s="209">
        <v>9.6152420550138462</v>
      </c>
      <c r="DE45" s="209">
        <v>8</v>
      </c>
      <c r="DF45" s="209">
        <v>9.2281351367378068</v>
      </c>
      <c r="DG45" s="209">
        <v>7.9856717494566887</v>
      </c>
      <c r="DH45" s="209">
        <v>13</v>
      </c>
      <c r="DI45" s="209">
        <v>11.238596431940151</v>
      </c>
      <c r="DJ45" s="209">
        <v>10.30068405164161</v>
      </c>
      <c r="DK45" s="209">
        <v>10.00275618802066</v>
      </c>
      <c r="DL45" s="209">
        <v>8.2077834247728703</v>
      </c>
      <c r="DM45" s="209">
        <v>10.810785193654111</v>
      </c>
      <c r="DN45" s="209">
        <v>10.26112020282052</v>
      </c>
      <c r="DO45" s="209">
        <v>9.1988877918123269</v>
      </c>
      <c r="DP45" s="209">
        <v>7.3827898043960358</v>
      </c>
      <c r="DQ45" s="209">
        <v>4.5893474118716187</v>
      </c>
      <c r="DR45" s="209">
        <v>11.04110806149262</v>
      </c>
      <c r="DS45" s="209">
        <v>10.334334317314511</v>
      </c>
      <c r="DT45" s="209">
        <v>10.17814959666658</v>
      </c>
      <c r="DU45" s="209">
        <v>9.3163791991287788</v>
      </c>
      <c r="DV45" s="209">
        <v>7.8066604171905052</v>
      </c>
      <c r="DW45" s="209">
        <v>7.8976825993631472</v>
      </c>
      <c r="DX45" s="209">
        <v>6.7284690376696767</v>
      </c>
      <c r="DY45" s="209">
        <v>10.463476322632459</v>
      </c>
      <c r="DZ45" s="210">
        <v>9.6810709769497194</v>
      </c>
      <c r="EA45" s="210">
        <v>12.420002741953697</v>
      </c>
      <c r="EB45" s="210">
        <v>11.40972224644406</v>
      </c>
      <c r="EC45" s="211">
        <v>10.853795809493999</v>
      </c>
      <c r="ED45" s="211">
        <v>10.769462661604541</v>
      </c>
      <c r="EE45" s="211">
        <v>10.022068454524932</v>
      </c>
      <c r="EF45" s="211">
        <v>13.35132728776326</v>
      </c>
      <c r="EG45" s="211">
        <v>12.291532968024063</v>
      </c>
      <c r="EH45" s="211">
        <v>11.94555217702089</v>
      </c>
      <c r="EI45" s="211">
        <v>10.090837942041324</v>
      </c>
      <c r="EJ45" s="211">
        <v>13.694739121697184</v>
      </c>
      <c r="EK45" s="211">
        <v>13.288276979697223</v>
      </c>
      <c r="EL45" s="211">
        <v>12.276976055601212</v>
      </c>
      <c r="EM45" s="211">
        <v>12.045927032440702</v>
      </c>
      <c r="EN45" s="211">
        <v>9.5214000721957799</v>
      </c>
      <c r="EO45" s="211">
        <v>12.064036059439188</v>
      </c>
      <c r="EP45" s="211">
        <v>11.981955496490871</v>
      </c>
      <c r="EQ45" s="211">
        <v>10.779397923970812</v>
      </c>
      <c r="ER45" s="211">
        <v>10.416477467799577</v>
      </c>
      <c r="ES45" s="211">
        <v>9.1143983044272119</v>
      </c>
      <c r="ET45" s="211">
        <v>13.292521007299548</v>
      </c>
      <c r="EU45" s="211">
        <v>12.466382625734338</v>
      </c>
      <c r="EV45" s="211">
        <v>11.572799347038021</v>
      </c>
      <c r="EW45" s="211">
        <v>13.787806647731202</v>
      </c>
      <c r="EX45" s="212">
        <v>10.334846116166364</v>
      </c>
      <c r="EY45" s="212">
        <v>14.844575976924713</v>
      </c>
      <c r="EZ45" s="212">
        <v>14.22194663180171</v>
      </c>
      <c r="FA45" s="212">
        <v>13.227805469727874</v>
      </c>
      <c r="FB45" s="212">
        <v>12.415628963541351</v>
      </c>
      <c r="FC45" s="212">
        <v>10.592629067796356</v>
      </c>
      <c r="FD45" s="212">
        <v>11.973124130258885</v>
      </c>
      <c r="FE45" s="212">
        <v>11.582563687140128</v>
      </c>
      <c r="FF45" s="212">
        <v>10.221037985518954</v>
      </c>
      <c r="FG45" s="212">
        <v>9.9850845868959386</v>
      </c>
      <c r="FH45" s="212">
        <v>13.019602072120973</v>
      </c>
      <c r="FI45" s="212">
        <v>12.434970672108252</v>
      </c>
      <c r="FJ45" s="212">
        <v>11.066563401365384</v>
      </c>
      <c r="FK45" s="212">
        <v>10.017760783478522</v>
      </c>
      <c r="FL45" s="212">
        <v>9.1185718244085461</v>
      </c>
      <c r="FM45" s="212">
        <v>12.494573639846193</v>
      </c>
      <c r="FN45" s="212">
        <v>12.074361934699475</v>
      </c>
      <c r="FO45" s="212">
        <v>10.378810171600929</v>
      </c>
      <c r="FP45" s="212">
        <v>10.167820696153534</v>
      </c>
      <c r="FQ45" s="212">
        <v>8.2199118333495225</v>
      </c>
      <c r="FR45" s="213">
        <v>3.2321576546392992</v>
      </c>
      <c r="FS45" s="213">
        <v>3.0761661437785643</v>
      </c>
      <c r="FT45" s="213">
        <v>2.8224280820157812</v>
      </c>
      <c r="FU45" s="213">
        <v>2.6928376581736169</v>
      </c>
      <c r="FV45" s="213">
        <v>2.4352394044637924</v>
      </c>
      <c r="FW45" s="213">
        <v>3.1879871471239705</v>
      </c>
      <c r="FX45" s="213">
        <v>2.9537200363123195</v>
      </c>
      <c r="FY45" s="213">
        <v>2.6921329706162869</v>
      </c>
      <c r="FZ45" s="213">
        <v>2.4732597329607771</v>
      </c>
      <c r="GA45" s="213">
        <v>2.2405157607828543</v>
      </c>
      <c r="GB45" s="213">
        <v>3.407447161664086</v>
      </c>
      <c r="GC45" s="213">
        <v>3.0055245131692021</v>
      </c>
      <c r="GD45" s="213">
        <v>2.9310395601551207</v>
      </c>
      <c r="GE45" s="213">
        <v>2.6285565289874064</v>
      </c>
      <c r="GF45" s="213">
        <v>3.3000000000000003</v>
      </c>
      <c r="GG45" s="213">
        <v>3.5999999999999996</v>
      </c>
      <c r="GH45" s="213">
        <v>3.5999999999999996</v>
      </c>
      <c r="GI45" s="213">
        <v>3.5999999999999996</v>
      </c>
      <c r="GJ45" s="213">
        <v>2.5</v>
      </c>
      <c r="GK45" s="213">
        <v>3.3000000000000003</v>
      </c>
      <c r="GL45" s="213">
        <v>3.3000000000000003</v>
      </c>
      <c r="GM45" s="213">
        <v>3.5999999999999996</v>
      </c>
      <c r="GN45" s="213">
        <v>5.9330723081293835</v>
      </c>
      <c r="GO45" s="213">
        <v>3.2066395127413836</v>
      </c>
      <c r="GP45" s="213">
        <v>3.3062317103510259</v>
      </c>
      <c r="GQ45" s="213">
        <v>5.2616992467477059</v>
      </c>
      <c r="GR45" s="213">
        <v>3.5778407076621428</v>
      </c>
      <c r="GS45" s="213">
        <v>5.0508868426840436</v>
      </c>
      <c r="GT45" s="213">
        <v>2.8249905327709883</v>
      </c>
      <c r="GU45" s="213">
        <v>3.2338450702209784</v>
      </c>
      <c r="GV45" s="213">
        <v>4.8865769361836691</v>
      </c>
      <c r="GW45" s="213">
        <v>4.1099850770066748</v>
      </c>
      <c r="GX45" s="213">
        <v>4.6685123415340932</v>
      </c>
      <c r="GY45" s="213">
        <v>2.7959666574343061</v>
      </c>
      <c r="GZ45" s="213">
        <v>4.1746884443032766</v>
      </c>
      <c r="HA45" s="213">
        <v>4.8363523016513348</v>
      </c>
      <c r="HB45" s="213">
        <v>3.7621180015233491</v>
      </c>
      <c r="HC45" s="213">
        <v>5.4501781859408327</v>
      </c>
      <c r="HD45" s="213">
        <v>2.6907334711527926</v>
      </c>
      <c r="HE45" s="213">
        <v>3.551006538004037</v>
      </c>
      <c r="HF45" s="213">
        <v>4.9466274355652082</v>
      </c>
      <c r="HG45" s="213">
        <v>4.3032445633862988</v>
      </c>
      <c r="HH45" s="213">
        <v>7.6341148349171206</v>
      </c>
      <c r="HI45" s="213">
        <v>3.5118889157392825</v>
      </c>
      <c r="HJ45" s="214">
        <v>16.8280849</v>
      </c>
      <c r="HK45" s="214">
        <v>15.390952500000001</v>
      </c>
      <c r="HL45" s="214">
        <v>12.3678588</v>
      </c>
      <c r="HM45" s="214">
        <v>13.9296384</v>
      </c>
      <c r="HN45" s="214">
        <v>11.081868</v>
      </c>
      <c r="HO45" s="214">
        <v>13.494450200000001</v>
      </c>
      <c r="HP45" s="214">
        <v>13.989537599999998</v>
      </c>
      <c r="HQ45" s="214">
        <v>11.2582404</v>
      </c>
      <c r="HR45" s="214">
        <v>12.0897468</v>
      </c>
      <c r="HS45" s="214">
        <v>9.9405112500000001</v>
      </c>
      <c r="HT45" s="214">
        <v>12.832668200000001</v>
      </c>
      <c r="HU45" s="214">
        <v>13.0554252</v>
      </c>
      <c r="HV45" s="214">
        <v>10.090518000000001</v>
      </c>
      <c r="HW45" s="214">
        <v>11.489234400000001</v>
      </c>
      <c r="HX45" s="214">
        <v>9.4272024999999999</v>
      </c>
      <c r="HY45" s="214">
        <v>12.625490900000001</v>
      </c>
      <c r="HZ45" s="214">
        <v>12.1299744</v>
      </c>
      <c r="IA45" s="214">
        <v>8.6458174999999997</v>
      </c>
      <c r="IB45" s="214">
        <v>9.714129999999999</v>
      </c>
      <c r="IC45" s="214">
        <v>6.6365612500000006</v>
      </c>
      <c r="ID45" s="214">
        <v>9.1975637500000005</v>
      </c>
      <c r="IE45" s="214">
        <v>8.9086103999999988</v>
      </c>
      <c r="IF45" s="214">
        <v>10.54014875</v>
      </c>
      <c r="IG45" s="214">
        <v>7.3774437500000003</v>
      </c>
      <c r="IH45" s="214">
        <v>12.591306000000001</v>
      </c>
      <c r="II45" s="214">
        <v>10.653076799999999</v>
      </c>
      <c r="IJ45" s="214">
        <v>7.3886312499999995</v>
      </c>
      <c r="IK45" s="214">
        <v>8.8415037500000011</v>
      </c>
      <c r="IL45" s="214">
        <v>13.691729700000002</v>
      </c>
      <c r="IM45" s="214">
        <v>13.675149599999999</v>
      </c>
      <c r="IN45" s="214">
        <v>9.9536604000000004</v>
      </c>
      <c r="IO45" s="214">
        <v>11.3157625</v>
      </c>
      <c r="IP45" s="214">
        <v>8.7352787499999991</v>
      </c>
      <c r="IQ45" s="214">
        <v>12.6247451</v>
      </c>
      <c r="IR45" s="214">
        <v>12.317446799999999</v>
      </c>
      <c r="IS45" s="214">
        <v>9.2262635999999993</v>
      </c>
      <c r="IT45" s="214">
        <v>10.76534625</v>
      </c>
      <c r="IU45" s="214">
        <v>7.42831625</v>
      </c>
      <c r="IV45" s="214">
        <v>10.3767528</v>
      </c>
      <c r="IW45" s="214">
        <v>9.1659787500000007</v>
      </c>
      <c r="IX45" s="214">
        <v>5.8076112499999999</v>
      </c>
      <c r="IY45" s="214">
        <v>9.8550562500000005</v>
      </c>
      <c r="IZ45" s="214">
        <v>9.5217899999999993</v>
      </c>
      <c r="JA45" s="214">
        <v>9.2006637500000004</v>
      </c>
      <c r="JB45" s="214">
        <v>10.26471875</v>
      </c>
      <c r="JC45" s="214">
        <v>7.6382499999999993</v>
      </c>
      <c r="JD45" s="214">
        <v>8.8553087500000007</v>
      </c>
      <c r="JE45" s="214">
        <v>9.1123650000000005</v>
      </c>
      <c r="JF45" s="214">
        <v>9.0760187499999994</v>
      </c>
      <c r="JG45" s="214">
        <v>9.9918862500000003</v>
      </c>
      <c r="JH45" s="214">
        <v>7.8083875000000003</v>
      </c>
      <c r="JI45" s="214">
        <v>10.341495</v>
      </c>
      <c r="JJ45" s="214">
        <v>9.1259162499999995</v>
      </c>
      <c r="JK45" s="214">
        <v>8.8667587500000007</v>
      </c>
      <c r="JL45" s="214">
        <v>9.5327424999999995</v>
      </c>
      <c r="JM45" s="214">
        <v>7.2691574999999995</v>
      </c>
      <c r="JN45" s="214">
        <v>9.7193637499999994</v>
      </c>
      <c r="JO45" s="214">
        <v>4.2471718576388886</v>
      </c>
      <c r="JP45" s="214">
        <v>8.5756868631944467</v>
      </c>
      <c r="JQ45" s="214">
        <v>4.4413897402777804</v>
      </c>
      <c r="JR45" s="214">
        <v>6.6083604458333323</v>
      </c>
      <c r="JS45" s="214">
        <v>4.1211862409722215</v>
      </c>
      <c r="JT45" s="214">
        <v>9.4823620000000002</v>
      </c>
      <c r="JU45" s="214">
        <v>8.8052759999999992</v>
      </c>
      <c r="JV45" s="214">
        <v>10.063069</v>
      </c>
      <c r="JW45" s="214">
        <v>7.5453099999999997</v>
      </c>
      <c r="JX45" s="214">
        <v>9.9343990000000009</v>
      </c>
      <c r="JY45" s="214">
        <v>8.9718509999999991</v>
      </c>
      <c r="JZ45" s="214">
        <v>8.3507750000000005</v>
      </c>
      <c r="KA45" s="214">
        <v>9.7085450000000009</v>
      </c>
      <c r="KB45" s="214">
        <v>7.276205</v>
      </c>
      <c r="KC45" s="214">
        <v>9.4606980000000007</v>
      </c>
      <c r="KD45" s="214">
        <v>8.8083460000000002</v>
      </c>
      <c r="KE45" s="214">
        <v>7.7467430000000004</v>
      </c>
      <c r="KF45" s="214">
        <v>8.9961590000000005</v>
      </c>
      <c r="KG45" s="214">
        <v>7.0919020000000002</v>
      </c>
      <c r="KH45" s="214">
        <v>9.0520250000000004</v>
      </c>
      <c r="KI45" s="214">
        <v>8.2458840000000002</v>
      </c>
      <c r="KJ45" s="214">
        <v>7.2704719999999998</v>
      </c>
      <c r="KK45" s="214">
        <v>8.3171970000000002</v>
      </c>
      <c r="KL45" s="214">
        <v>6.8639349999999997</v>
      </c>
      <c r="KM45" s="214">
        <v>8.4059069999999991</v>
      </c>
      <c r="KN45" s="214">
        <v>7.794003</v>
      </c>
    </row>
    <row r="46" spans="1:300" x14ac:dyDescent="0.35">
      <c r="A46" s="216" t="str">
        <f t="shared" si="0"/>
        <v>dimanche</v>
      </c>
      <c r="B46" s="217">
        <v>44598</v>
      </c>
      <c r="C46" s="202">
        <v>0</v>
      </c>
      <c r="D46" s="202"/>
      <c r="E46" s="202"/>
      <c r="F46" s="202"/>
      <c r="G46" s="202"/>
      <c r="H46" s="202"/>
      <c r="I46" s="202"/>
      <c r="J46" s="202"/>
      <c r="K46" s="202"/>
      <c r="L46" s="202"/>
      <c r="M46" s="202"/>
      <c r="N46" s="202"/>
      <c r="O46" s="202"/>
      <c r="P46" s="202"/>
      <c r="Q46" s="202"/>
      <c r="R46" s="202"/>
      <c r="S46" s="202"/>
      <c r="T46" s="202"/>
      <c r="U46" s="202"/>
      <c r="V46" s="202">
        <v>0</v>
      </c>
      <c r="W46" s="203">
        <f t="shared" si="1"/>
        <v>0</v>
      </c>
      <c r="AA46" s="221"/>
      <c r="AB46" s="218">
        <f t="shared" ref="AB46:CM46" si="7">SUM(AB28:AB45)</f>
        <v>468</v>
      </c>
      <c r="AC46" s="218">
        <f t="shared" si="7"/>
        <v>249</v>
      </c>
      <c r="AD46" s="218">
        <f t="shared" si="7"/>
        <v>239</v>
      </c>
      <c r="AE46" s="218">
        <f t="shared" si="7"/>
        <v>229</v>
      </c>
      <c r="AF46" s="218">
        <f t="shared" si="7"/>
        <v>216</v>
      </c>
      <c r="AG46" s="218">
        <f t="shared" si="7"/>
        <v>270</v>
      </c>
      <c r="AH46" s="218">
        <f t="shared" si="7"/>
        <v>252</v>
      </c>
      <c r="AI46" s="218">
        <f t="shared" si="7"/>
        <v>241.00000000000003</v>
      </c>
      <c r="AJ46" s="218">
        <f t="shared" si="7"/>
        <v>232.00000000000006</v>
      </c>
      <c r="AK46" s="218">
        <f t="shared" si="7"/>
        <v>219.00000000000003</v>
      </c>
      <c r="AL46" s="218">
        <f t="shared" si="7"/>
        <v>273.00000000000006</v>
      </c>
      <c r="AM46" s="218">
        <f t="shared" si="7"/>
        <v>255.00000000000006</v>
      </c>
      <c r="AN46" s="218">
        <f t="shared" si="7"/>
        <v>245</v>
      </c>
      <c r="AO46" s="218">
        <f t="shared" si="7"/>
        <v>236</v>
      </c>
      <c r="AP46" s="218">
        <f t="shared" si="7"/>
        <v>222.99999999999991</v>
      </c>
      <c r="AQ46" s="218">
        <f t="shared" si="7"/>
        <v>272</v>
      </c>
      <c r="AR46" s="218">
        <f t="shared" si="7"/>
        <v>260.00000000000006</v>
      </c>
      <c r="AS46" s="218">
        <f t="shared" si="7"/>
        <v>250</v>
      </c>
      <c r="AT46" s="218">
        <f t="shared" si="7"/>
        <v>240.00000000000009</v>
      </c>
      <c r="AU46" s="218">
        <f t="shared" si="7"/>
        <v>227.00000000000003</v>
      </c>
      <c r="AV46" s="218">
        <f t="shared" si="7"/>
        <v>275.00000000000006</v>
      </c>
      <c r="AW46" s="218">
        <f t="shared" si="7"/>
        <v>245</v>
      </c>
      <c r="AX46" s="218">
        <f t="shared" si="7"/>
        <v>226</v>
      </c>
      <c r="AY46" s="218">
        <f t="shared" si="7"/>
        <v>209</v>
      </c>
      <c r="AZ46" s="218">
        <f t="shared" si="7"/>
        <v>192</v>
      </c>
      <c r="BA46" s="218">
        <f t="shared" si="7"/>
        <v>269</v>
      </c>
      <c r="BB46" s="218">
        <f t="shared" si="7"/>
        <v>252</v>
      </c>
      <c r="BC46" s="218">
        <f t="shared" si="7"/>
        <v>232</v>
      </c>
      <c r="BD46" s="218">
        <f t="shared" si="7"/>
        <v>211</v>
      </c>
      <c r="BE46" s="218">
        <f t="shared" si="7"/>
        <v>193</v>
      </c>
      <c r="BF46" s="218">
        <f t="shared" si="7"/>
        <v>239</v>
      </c>
      <c r="BG46" s="218">
        <f t="shared" si="7"/>
        <v>222</v>
      </c>
      <c r="BH46" s="218">
        <f t="shared" si="7"/>
        <v>203</v>
      </c>
      <c r="BI46" s="218">
        <f t="shared" si="7"/>
        <v>187</v>
      </c>
      <c r="BJ46" s="218">
        <f t="shared" si="7"/>
        <v>165</v>
      </c>
      <c r="BK46" s="218">
        <f t="shared" si="7"/>
        <v>215</v>
      </c>
      <c r="BL46" s="218">
        <f t="shared" si="7"/>
        <v>199</v>
      </c>
      <c r="BM46" s="218">
        <f t="shared" si="7"/>
        <v>173</v>
      </c>
      <c r="BN46" s="218">
        <f t="shared" si="7"/>
        <v>155</v>
      </c>
      <c r="BO46" s="218">
        <f t="shared" si="7"/>
        <v>136</v>
      </c>
      <c r="BP46" s="218">
        <f t="shared" si="7"/>
        <v>252</v>
      </c>
      <c r="BQ46" s="218">
        <f t="shared" si="7"/>
        <v>206</v>
      </c>
      <c r="BR46" s="218">
        <f t="shared" si="7"/>
        <v>188</v>
      </c>
      <c r="BS46" s="218">
        <f t="shared" si="7"/>
        <v>170</v>
      </c>
      <c r="BT46" s="218">
        <f t="shared" si="7"/>
        <v>152</v>
      </c>
      <c r="BU46" s="218">
        <f t="shared" si="7"/>
        <v>269</v>
      </c>
      <c r="BV46" s="218">
        <f t="shared" si="7"/>
        <v>245</v>
      </c>
      <c r="BW46" s="218">
        <f t="shared" si="7"/>
        <v>229</v>
      </c>
      <c r="BX46" s="218">
        <f t="shared" si="7"/>
        <v>209</v>
      </c>
      <c r="BY46" s="218">
        <f t="shared" si="7"/>
        <v>193</v>
      </c>
      <c r="BZ46" s="218">
        <f t="shared" si="7"/>
        <v>274</v>
      </c>
      <c r="CA46" s="218">
        <f t="shared" si="7"/>
        <v>253</v>
      </c>
      <c r="CB46" s="218">
        <f t="shared" si="7"/>
        <v>237</v>
      </c>
      <c r="CC46" s="218">
        <f t="shared" si="7"/>
        <v>214</v>
      </c>
      <c r="CD46" s="218">
        <f t="shared" si="7"/>
        <v>196</v>
      </c>
      <c r="CE46" s="218">
        <f t="shared" si="7"/>
        <v>277</v>
      </c>
      <c r="CF46" s="218">
        <f t="shared" si="7"/>
        <v>260</v>
      </c>
      <c r="CG46" s="218">
        <f t="shared" si="7"/>
        <v>241</v>
      </c>
      <c r="CH46" s="218">
        <f t="shared" si="7"/>
        <v>221</v>
      </c>
      <c r="CI46" s="218">
        <f t="shared" si="7"/>
        <v>202</v>
      </c>
      <c r="CJ46" s="218">
        <f t="shared" si="7"/>
        <v>284</v>
      </c>
      <c r="CK46" s="218">
        <f t="shared" si="7"/>
        <v>267</v>
      </c>
      <c r="CL46" s="218">
        <f t="shared" si="7"/>
        <v>246</v>
      </c>
      <c r="CM46" s="218">
        <f t="shared" si="7"/>
        <v>226</v>
      </c>
      <c r="CN46" s="218">
        <f t="shared" ref="CN46:EY46" si="8">SUM(CN28:CN45)</f>
        <v>217.05737129444404</v>
      </c>
      <c r="CO46" s="218">
        <f t="shared" si="8"/>
        <v>262.8215349752312</v>
      </c>
      <c r="CP46" s="218">
        <f t="shared" si="8"/>
        <v>231.72619909500753</v>
      </c>
      <c r="CQ46" s="218">
        <f t="shared" si="8"/>
        <v>251.66696900021904</v>
      </c>
      <c r="CR46" s="218">
        <f t="shared" si="8"/>
        <v>244.86473221495609</v>
      </c>
      <c r="CS46" s="218">
        <f t="shared" si="8"/>
        <v>213.89901184039996</v>
      </c>
      <c r="CT46" s="218">
        <f t="shared" si="8"/>
        <v>258.9928727429193</v>
      </c>
      <c r="CU46" s="218">
        <f t="shared" si="8"/>
        <v>248.52311156032374</v>
      </c>
      <c r="CV46" s="218">
        <f t="shared" si="8"/>
        <v>225.25066989796292</v>
      </c>
      <c r="CW46" s="218">
        <f t="shared" si="8"/>
        <v>217.56368374382021</v>
      </c>
      <c r="CX46" s="218">
        <f t="shared" si="8"/>
        <v>204.45942673157526</v>
      </c>
      <c r="CY46" s="218">
        <f t="shared" si="8"/>
        <v>230.52280502999926</v>
      </c>
      <c r="CZ46" s="218">
        <f t="shared" si="8"/>
        <v>216.3878849356762</v>
      </c>
      <c r="DA46" s="218">
        <f t="shared" si="8"/>
        <v>203.75870854040954</v>
      </c>
      <c r="DB46" s="218">
        <f t="shared" si="8"/>
        <v>182.01365445955483</v>
      </c>
      <c r="DC46" s="218">
        <f t="shared" si="8"/>
        <v>233.911163030854</v>
      </c>
      <c r="DD46" s="218">
        <f t="shared" si="8"/>
        <v>234.57658345956892</v>
      </c>
      <c r="DE46" s="218">
        <f t="shared" si="8"/>
        <v>225</v>
      </c>
      <c r="DF46" s="218">
        <f t="shared" si="8"/>
        <v>215.48601357703046</v>
      </c>
      <c r="DG46" s="218">
        <f t="shared" si="8"/>
        <v>195.8489132557614</v>
      </c>
      <c r="DH46" s="218">
        <f t="shared" si="8"/>
        <v>307</v>
      </c>
      <c r="DI46" s="218">
        <f t="shared" si="8"/>
        <v>265.84949145514753</v>
      </c>
      <c r="DJ46" s="218">
        <f t="shared" si="8"/>
        <v>241.01411675500023</v>
      </c>
      <c r="DK46" s="218">
        <f t="shared" si="8"/>
        <v>232.01961461380151</v>
      </c>
      <c r="DL46" s="218">
        <f t="shared" si="8"/>
        <v>199.81267136675956</v>
      </c>
      <c r="DM46" s="218">
        <f t="shared" si="8"/>
        <v>276.35613682273242</v>
      </c>
      <c r="DN46" s="218">
        <f t="shared" si="8"/>
        <v>255.53352628742905</v>
      </c>
      <c r="DO46" s="218">
        <f t="shared" si="8"/>
        <v>227.25834668865974</v>
      </c>
      <c r="DP46" s="218">
        <f t="shared" si="8"/>
        <v>191.09917100916917</v>
      </c>
      <c r="DQ46" s="218">
        <f t="shared" si="8"/>
        <v>134.86068660644381</v>
      </c>
      <c r="DR46" s="218">
        <f t="shared" si="8"/>
        <v>277.64571750223149</v>
      </c>
      <c r="DS46" s="218">
        <f t="shared" si="8"/>
        <v>253.09120857205102</v>
      </c>
      <c r="DT46" s="218">
        <f t="shared" si="8"/>
        <v>236.27683435639011</v>
      </c>
      <c r="DU46" s="218">
        <f t="shared" si="8"/>
        <v>216.83502309415465</v>
      </c>
      <c r="DV46" s="218">
        <f t="shared" si="8"/>
        <v>189.85833705837589</v>
      </c>
      <c r="DW46" s="218">
        <f t="shared" si="8"/>
        <v>240.62177775126767</v>
      </c>
      <c r="DX46" s="218">
        <f t="shared" si="8"/>
        <v>179.59050201668805</v>
      </c>
      <c r="DY46" s="218">
        <f t="shared" si="8"/>
        <v>251.56971068452359</v>
      </c>
      <c r="DZ46" s="218">
        <f t="shared" si="8"/>
        <v>246.17852600798886</v>
      </c>
      <c r="EA46" s="218">
        <f t="shared" si="8"/>
        <v>311.80262593751826</v>
      </c>
      <c r="EB46" s="218">
        <f t="shared" si="8"/>
        <v>287.69510489897448</v>
      </c>
      <c r="EC46" s="218">
        <f t="shared" si="8"/>
        <v>232.04726432354659</v>
      </c>
      <c r="ED46" s="218">
        <f t="shared" si="8"/>
        <v>224.01378113762931</v>
      </c>
      <c r="EE46" s="218">
        <f t="shared" si="8"/>
        <v>212.09130201523388</v>
      </c>
      <c r="EF46" s="218">
        <f t="shared" si="8"/>
        <v>283.1114915376096</v>
      </c>
      <c r="EG46" s="218">
        <f t="shared" si="8"/>
        <v>256.88619396662733</v>
      </c>
      <c r="EH46" s="218">
        <f t="shared" si="8"/>
        <v>247.00221519329384</v>
      </c>
      <c r="EI46" s="218">
        <f t="shared" si="8"/>
        <v>217.53802439433676</v>
      </c>
      <c r="EJ46" s="218">
        <f t="shared" si="8"/>
        <v>297.38073472087962</v>
      </c>
      <c r="EK46" s="218">
        <f t="shared" si="8"/>
        <v>273.89015733956057</v>
      </c>
      <c r="EL46" s="218">
        <f t="shared" si="8"/>
        <v>248.25875317697381</v>
      </c>
      <c r="EM46" s="218">
        <f t="shared" si="8"/>
        <v>243.21487689443899</v>
      </c>
      <c r="EN46" s="218">
        <f t="shared" si="8"/>
        <v>205.17563036387216</v>
      </c>
      <c r="EO46" s="218">
        <f t="shared" si="8"/>
        <v>260.41321882853538</v>
      </c>
      <c r="EP46" s="218">
        <f t="shared" si="8"/>
        <v>245.64986786976439</v>
      </c>
      <c r="EQ46" s="218">
        <f t="shared" si="8"/>
        <v>217.39181011039423</v>
      </c>
      <c r="ER46" s="218">
        <f t="shared" si="8"/>
        <v>209.19147652103928</v>
      </c>
      <c r="ES46" s="218">
        <f t="shared" si="8"/>
        <v>190.61154066688522</v>
      </c>
      <c r="ET46" s="218">
        <f t="shared" si="8"/>
        <v>260.56337761593494</v>
      </c>
      <c r="EU46" s="218">
        <f t="shared" si="8"/>
        <v>242.56635661773757</v>
      </c>
      <c r="EV46" s="218">
        <f t="shared" si="8"/>
        <v>220.08584885690391</v>
      </c>
      <c r="EW46" s="218">
        <f t="shared" si="8"/>
        <v>243.4600880857879</v>
      </c>
      <c r="EX46" s="218">
        <f t="shared" si="8"/>
        <v>221.56201801700973</v>
      </c>
      <c r="EY46" s="218">
        <f t="shared" si="8"/>
        <v>297.5994722542751</v>
      </c>
      <c r="EZ46" s="218">
        <f t="shared" ref="EZ46:HK46" si="9">SUM(EZ28:EZ45)</f>
        <v>276.24837427331971</v>
      </c>
      <c r="FA46" s="218">
        <f t="shared" si="9"/>
        <v>253.83379375545667</v>
      </c>
      <c r="FB46" s="218">
        <f t="shared" si="9"/>
        <v>243.39903849071686</v>
      </c>
      <c r="FC46" s="218">
        <f t="shared" si="9"/>
        <v>218.99085027923795</v>
      </c>
      <c r="FD46" s="218">
        <f t="shared" si="9"/>
        <v>268.9520865497737</v>
      </c>
      <c r="FE46" s="218">
        <f t="shared" si="9"/>
        <v>248.75365954485505</v>
      </c>
      <c r="FF46" s="218">
        <f t="shared" si="9"/>
        <v>223.69447520955245</v>
      </c>
      <c r="FG46" s="218">
        <f t="shared" si="9"/>
        <v>201.27388296128922</v>
      </c>
      <c r="FH46" s="218">
        <f t="shared" si="9"/>
        <v>280.87198156257682</v>
      </c>
      <c r="FI46" s="218">
        <f t="shared" si="9"/>
        <v>249.61306117337969</v>
      </c>
      <c r="FJ46" s="218">
        <f t="shared" si="9"/>
        <v>218.98066459247823</v>
      </c>
      <c r="FK46" s="218">
        <f t="shared" si="9"/>
        <v>193.53744205174308</v>
      </c>
      <c r="FL46" s="218">
        <f t="shared" si="9"/>
        <v>185.32832384488933</v>
      </c>
      <c r="FM46" s="218">
        <f t="shared" si="9"/>
        <v>262.15091625505607</v>
      </c>
      <c r="FN46" s="218">
        <f t="shared" si="9"/>
        <v>238.2701511475876</v>
      </c>
      <c r="FO46" s="218">
        <f t="shared" si="9"/>
        <v>204.04870918252777</v>
      </c>
      <c r="FP46" s="218">
        <f t="shared" si="9"/>
        <v>199.09717566572903</v>
      </c>
      <c r="FQ46" s="218">
        <f t="shared" si="9"/>
        <v>170.76087043186968</v>
      </c>
      <c r="FR46" s="218">
        <f t="shared" si="9"/>
        <v>265.97625495682752</v>
      </c>
      <c r="FS46" s="218">
        <f t="shared" si="9"/>
        <v>253.13951774058671</v>
      </c>
      <c r="FT46" s="218">
        <f t="shared" si="9"/>
        <v>232.25917268287847</v>
      </c>
      <c r="FU46" s="218">
        <f t="shared" si="9"/>
        <v>221.59501798380791</v>
      </c>
      <c r="FV46" s="218">
        <f t="shared" si="9"/>
        <v>200.39704456133106</v>
      </c>
      <c r="FW46" s="218">
        <f t="shared" si="9"/>
        <v>262.34092257496434</v>
      </c>
      <c r="FX46" s="218">
        <f t="shared" si="9"/>
        <v>243.06287948254561</v>
      </c>
      <c r="FY46" s="218">
        <f t="shared" si="9"/>
        <v>221.53668165814588</v>
      </c>
      <c r="FZ46" s="218">
        <f t="shared" si="9"/>
        <v>203.52543704541824</v>
      </c>
      <c r="GA46" s="218">
        <f t="shared" si="9"/>
        <v>184.37277923905623</v>
      </c>
      <c r="GB46" s="218">
        <f t="shared" si="9"/>
        <v>280.39983834993313</v>
      </c>
      <c r="GC46" s="218">
        <f t="shared" si="9"/>
        <v>247.32540739545348</v>
      </c>
      <c r="GD46" s="218">
        <f t="shared" si="9"/>
        <v>241.19592639730763</v>
      </c>
      <c r="GE46" s="218">
        <f t="shared" si="9"/>
        <v>216.30444273014481</v>
      </c>
      <c r="GF46" s="218">
        <f t="shared" si="9"/>
        <v>299.20000000000005</v>
      </c>
      <c r="GG46" s="218">
        <f t="shared" si="9"/>
        <v>308.39999999999998</v>
      </c>
      <c r="GH46" s="218">
        <f t="shared" si="9"/>
        <v>274.80000000000007</v>
      </c>
      <c r="GI46" s="218">
        <f t="shared" si="9"/>
        <v>272.40000000000009</v>
      </c>
      <c r="GJ46" s="218">
        <f t="shared" si="9"/>
        <v>240</v>
      </c>
      <c r="GK46" s="218">
        <f t="shared" si="9"/>
        <v>311.3</v>
      </c>
      <c r="GL46" s="218">
        <f t="shared" si="9"/>
        <v>301.39999999999998</v>
      </c>
      <c r="GM46" s="218">
        <f t="shared" si="9"/>
        <v>290.40000000000003</v>
      </c>
      <c r="GN46" s="218">
        <f t="shared" si="9"/>
        <v>355.29999999999995</v>
      </c>
      <c r="GO46" s="218">
        <f t="shared" si="9"/>
        <v>327.80000000000007</v>
      </c>
      <c r="GP46" s="218">
        <f t="shared" si="9"/>
        <v>379.50000000000011</v>
      </c>
      <c r="GQ46" s="218">
        <f t="shared" si="9"/>
        <v>367.40000000000003</v>
      </c>
      <c r="GR46" s="218">
        <f t="shared" si="9"/>
        <v>355.3</v>
      </c>
      <c r="GS46" s="218">
        <f t="shared" si="9"/>
        <v>346.5</v>
      </c>
      <c r="GT46" s="218">
        <f t="shared" si="9"/>
        <v>321.2</v>
      </c>
      <c r="GU46" s="218">
        <f t="shared" si="9"/>
        <v>375.10000000000014</v>
      </c>
      <c r="GV46" s="218">
        <f t="shared" si="9"/>
        <v>352.00000000000011</v>
      </c>
      <c r="GW46" s="218">
        <f t="shared" si="9"/>
        <v>350.90000000000003</v>
      </c>
      <c r="GX46" s="218">
        <f t="shared" si="9"/>
        <v>326.70000000000005</v>
      </c>
      <c r="GY46" s="218">
        <f t="shared" si="9"/>
        <v>317.90000000000015</v>
      </c>
      <c r="GZ46" s="218">
        <f t="shared" si="9"/>
        <v>360.80000000000013</v>
      </c>
      <c r="HA46" s="218">
        <f t="shared" si="9"/>
        <v>337.70000000000005</v>
      </c>
      <c r="HB46" s="218">
        <f t="shared" si="9"/>
        <v>321.19999999999993</v>
      </c>
      <c r="HC46" s="218">
        <f t="shared" si="9"/>
        <v>310.20000000000016</v>
      </c>
      <c r="HD46" s="218">
        <f t="shared" si="9"/>
        <v>293.70000000000005</v>
      </c>
      <c r="HE46" s="218">
        <f t="shared" si="9"/>
        <v>346.5</v>
      </c>
      <c r="HF46" s="218">
        <f t="shared" si="9"/>
        <v>345.40000000000003</v>
      </c>
      <c r="HG46" s="218">
        <f t="shared" si="9"/>
        <v>367.40000000000003</v>
      </c>
      <c r="HH46" s="218">
        <f t="shared" si="9"/>
        <v>434.50000000000006</v>
      </c>
      <c r="HI46" s="218">
        <f t="shared" si="9"/>
        <v>399.30000000000013</v>
      </c>
      <c r="HJ46" s="218">
        <f t="shared" si="9"/>
        <v>365.1166442</v>
      </c>
      <c r="HK46" s="218">
        <f t="shared" si="9"/>
        <v>322.20380720000014</v>
      </c>
      <c r="HL46" s="218">
        <f t="shared" ref="HL46:JW46" si="10">SUM(HL28:HL45)</f>
        <v>301.49923760000007</v>
      </c>
      <c r="HM46" s="218">
        <f t="shared" si="10"/>
        <v>293.0304683999999</v>
      </c>
      <c r="HN46" s="218">
        <f t="shared" si="10"/>
        <v>258.74635679999994</v>
      </c>
      <c r="HO46" s="218">
        <f t="shared" si="10"/>
        <v>305.11121740000004</v>
      </c>
      <c r="HP46" s="218">
        <f t="shared" si="10"/>
        <v>301.08439679999998</v>
      </c>
      <c r="HQ46" s="218">
        <f t="shared" si="10"/>
        <v>288.69681120000001</v>
      </c>
      <c r="HR46" s="218">
        <f t="shared" si="10"/>
        <v>259.91240999999997</v>
      </c>
      <c r="HS46" s="218">
        <f t="shared" si="10"/>
        <v>240.67163625000001</v>
      </c>
      <c r="HT46" s="218">
        <f t="shared" si="10"/>
        <v>293.19913920000005</v>
      </c>
      <c r="HU46" s="218">
        <f t="shared" si="10"/>
        <v>284.27037119999994</v>
      </c>
      <c r="HV46" s="218">
        <f t="shared" si="10"/>
        <v>267.67781039999994</v>
      </c>
      <c r="HW46" s="218">
        <f t="shared" si="10"/>
        <v>249.10319160000006</v>
      </c>
      <c r="HX46" s="218">
        <f t="shared" si="10"/>
        <v>231.43207000000001</v>
      </c>
      <c r="HY46" s="218">
        <f t="shared" si="10"/>
        <v>289.4699478</v>
      </c>
      <c r="HZ46" s="218">
        <f t="shared" si="10"/>
        <v>267.61226520000002</v>
      </c>
      <c r="IA46" s="218">
        <f t="shared" si="10"/>
        <v>245.25856125000001</v>
      </c>
      <c r="IB46" s="218">
        <f t="shared" si="10"/>
        <v>218.91368625000004</v>
      </c>
      <c r="IC46" s="218">
        <f t="shared" si="10"/>
        <v>181.2005375</v>
      </c>
      <c r="ID46" s="218">
        <f t="shared" si="10"/>
        <v>236.25059124999999</v>
      </c>
      <c r="IE46" s="218">
        <f t="shared" si="10"/>
        <v>246.40346759999991</v>
      </c>
      <c r="IF46" s="218">
        <f t="shared" si="10"/>
        <v>233.78203124999999</v>
      </c>
      <c r="IG46" s="218">
        <f t="shared" si="10"/>
        <v>194.53642249999999</v>
      </c>
      <c r="IH46" s="218">
        <f t="shared" si="10"/>
        <v>294.51017639999998</v>
      </c>
      <c r="II46" s="218">
        <f t="shared" si="10"/>
        <v>241.02810119999998</v>
      </c>
      <c r="IJ46" s="218">
        <f t="shared" si="10"/>
        <v>222.6292</v>
      </c>
      <c r="IK46" s="218">
        <f t="shared" si="10"/>
        <v>203.20640874999998</v>
      </c>
      <c r="IL46" s="218">
        <f t="shared" si="10"/>
        <v>308.66224399999999</v>
      </c>
      <c r="IM46" s="218">
        <f t="shared" si="10"/>
        <v>295.42541759999995</v>
      </c>
      <c r="IN46" s="218">
        <f t="shared" si="10"/>
        <v>265.21437839999999</v>
      </c>
      <c r="IO46" s="218">
        <f t="shared" si="10"/>
        <v>247.74306624999997</v>
      </c>
      <c r="IP46" s="218">
        <f t="shared" si="10"/>
        <v>218.97744250000002</v>
      </c>
      <c r="IQ46" s="218">
        <f t="shared" si="10"/>
        <v>289.45652890000002</v>
      </c>
      <c r="IR46" s="218">
        <f t="shared" si="10"/>
        <v>270.98676119999993</v>
      </c>
      <c r="IS46" s="218">
        <f t="shared" si="10"/>
        <v>252.12123120000001</v>
      </c>
      <c r="IT46" s="218">
        <f t="shared" si="10"/>
        <v>237.83557375000001</v>
      </c>
      <c r="IU46" s="218">
        <f t="shared" si="10"/>
        <v>195.45211125</v>
      </c>
      <c r="IV46" s="218">
        <f t="shared" si="10"/>
        <v>254.64820800000001</v>
      </c>
      <c r="IW46" s="218">
        <f t="shared" si="10"/>
        <v>216.31337500000001</v>
      </c>
      <c r="IX46" s="218">
        <f t="shared" si="10"/>
        <v>194.17084874999998</v>
      </c>
      <c r="IY46" s="218">
        <f t="shared" si="10"/>
        <v>221.45035374999998</v>
      </c>
      <c r="IZ46" s="218">
        <f t="shared" si="10"/>
        <v>233.13465499999998</v>
      </c>
      <c r="JA46" s="218">
        <f t="shared" si="10"/>
        <v>236.30639249999999</v>
      </c>
      <c r="JB46" s="218">
        <f t="shared" si="10"/>
        <v>236.09069500000004</v>
      </c>
      <c r="JC46" s="218">
        <f t="shared" si="10"/>
        <v>227.12233374999997</v>
      </c>
      <c r="JD46" s="218">
        <f t="shared" si="10"/>
        <v>203.45490625000002</v>
      </c>
      <c r="JE46" s="218">
        <f t="shared" si="10"/>
        <v>225.76499000000001</v>
      </c>
      <c r="JF46" s="218">
        <f t="shared" si="10"/>
        <v>234.06277124999997</v>
      </c>
      <c r="JG46" s="218">
        <f t="shared" si="10"/>
        <v>231.17969999999997</v>
      </c>
      <c r="JH46" s="218">
        <f t="shared" si="10"/>
        <v>230.18480249999999</v>
      </c>
      <c r="JI46" s="218">
        <f t="shared" si="10"/>
        <v>230.20624375</v>
      </c>
      <c r="JJ46" s="218">
        <f t="shared" si="10"/>
        <v>226.00892125000004</v>
      </c>
      <c r="JK46" s="218">
        <f t="shared" si="10"/>
        <v>230.29610374999999</v>
      </c>
      <c r="JL46" s="218">
        <f t="shared" si="10"/>
        <v>222.91513</v>
      </c>
      <c r="JM46" s="218">
        <f t="shared" si="10"/>
        <v>220.47867874999997</v>
      </c>
      <c r="JN46" s="218">
        <f t="shared" si="10"/>
        <v>219.00788124999997</v>
      </c>
      <c r="JO46" s="218">
        <f t="shared" si="10"/>
        <v>138.19150718750004</v>
      </c>
      <c r="JP46" s="218">
        <f t="shared" si="10"/>
        <v>205.68811978750006</v>
      </c>
      <c r="JQ46" s="218">
        <f t="shared" si="10"/>
        <v>169.57886157500002</v>
      </c>
      <c r="JR46" s="218">
        <f t="shared" si="10"/>
        <v>163.00983927499996</v>
      </c>
      <c r="JS46" s="218">
        <f t="shared" si="10"/>
        <v>135.92377858750001</v>
      </c>
      <c r="JT46" s="218">
        <f t="shared" si="10"/>
        <v>235.98050299999997</v>
      </c>
      <c r="JU46" s="218">
        <f t="shared" si="10"/>
        <v>219.23486999999997</v>
      </c>
      <c r="JV46" s="218">
        <f t="shared" si="10"/>
        <v>213.83220499999999</v>
      </c>
      <c r="JW46" s="218">
        <f t="shared" si="10"/>
        <v>179.73730099999997</v>
      </c>
      <c r="JX46" s="218">
        <f t="shared" ref="JX46:KN46" si="11">SUM(JX28:JX45)</f>
        <v>253.09696700000003</v>
      </c>
      <c r="JY46" s="218">
        <f t="shared" si="11"/>
        <v>226.791302</v>
      </c>
      <c r="JZ46" s="218">
        <f t="shared" si="11"/>
        <v>211.05384000000001</v>
      </c>
      <c r="KA46" s="218">
        <f t="shared" si="11"/>
        <v>207.45077299999997</v>
      </c>
      <c r="KB46" s="218">
        <f t="shared" si="11"/>
        <v>174.893404</v>
      </c>
      <c r="KC46" s="218">
        <f t="shared" si="11"/>
        <v>244.57033700000008</v>
      </c>
      <c r="KD46" s="218">
        <f t="shared" si="11"/>
        <v>223.84820699999995</v>
      </c>
      <c r="KE46" s="218">
        <f t="shared" si="11"/>
        <v>200.18126600000002</v>
      </c>
      <c r="KF46" s="218">
        <f t="shared" si="11"/>
        <v>194.627837</v>
      </c>
      <c r="KG46" s="218">
        <f t="shared" si="11"/>
        <v>171.57595799999999</v>
      </c>
      <c r="KH46" s="218">
        <f t="shared" si="11"/>
        <v>237.21422699999999</v>
      </c>
      <c r="KI46" s="218">
        <f t="shared" si="11"/>
        <v>213.72388599999999</v>
      </c>
      <c r="KJ46" s="218">
        <f t="shared" si="11"/>
        <v>191.60840000000005</v>
      </c>
      <c r="KK46" s="218">
        <f t="shared" si="11"/>
        <v>182.40652099999997</v>
      </c>
      <c r="KL46" s="218">
        <f t="shared" si="11"/>
        <v>167.472544</v>
      </c>
      <c r="KM46" s="218">
        <f t="shared" si="11"/>
        <v>225.58411000000001</v>
      </c>
      <c r="KN46" s="218">
        <f t="shared" si="11"/>
        <v>205.59002900000004</v>
      </c>
    </row>
    <row r="47" spans="1:300" x14ac:dyDescent="0.35">
      <c r="A47" s="216" t="str">
        <f t="shared" si="0"/>
        <v>lundi</v>
      </c>
      <c r="B47" s="217">
        <v>44599</v>
      </c>
      <c r="C47" s="202">
        <v>0</v>
      </c>
      <c r="D47" s="202">
        <v>111</v>
      </c>
      <c r="E47" s="202">
        <v>137</v>
      </c>
      <c r="F47" s="202">
        <v>156</v>
      </c>
      <c r="G47" s="202">
        <v>149</v>
      </c>
      <c r="H47" s="202">
        <v>130</v>
      </c>
      <c r="I47" s="202">
        <v>136</v>
      </c>
      <c r="J47" s="202">
        <v>141</v>
      </c>
      <c r="K47" s="202">
        <v>86</v>
      </c>
      <c r="L47" s="202">
        <v>39</v>
      </c>
      <c r="M47" s="202">
        <v>23</v>
      </c>
      <c r="N47" s="202">
        <v>58</v>
      </c>
      <c r="O47" s="202">
        <v>99</v>
      </c>
      <c r="P47" s="202">
        <v>108</v>
      </c>
      <c r="Q47" s="202">
        <v>101</v>
      </c>
      <c r="R47" s="202">
        <v>105</v>
      </c>
      <c r="S47" s="202">
        <v>84</v>
      </c>
      <c r="T47" s="202">
        <v>77</v>
      </c>
      <c r="U47" s="202">
        <v>51</v>
      </c>
      <c r="V47" s="202">
        <v>0</v>
      </c>
      <c r="W47" s="203">
        <f t="shared" si="1"/>
        <v>1791</v>
      </c>
      <c r="EC47" s="214"/>
      <c r="ED47" s="214"/>
      <c r="EE47" s="214"/>
      <c r="EF47" s="214"/>
      <c r="EG47" s="214"/>
      <c r="EH47" s="214"/>
      <c r="EI47" s="214"/>
      <c r="EJ47" s="214"/>
      <c r="EK47" s="214"/>
      <c r="EL47" s="214"/>
      <c r="EM47" s="214"/>
      <c r="EN47" s="214"/>
      <c r="EO47" s="214"/>
      <c r="EP47" s="214"/>
      <c r="EQ47" s="214"/>
      <c r="ER47" s="214"/>
      <c r="ES47" s="214"/>
      <c r="ET47" s="214"/>
      <c r="EU47" s="214"/>
      <c r="EV47" s="214"/>
      <c r="EW47" s="214"/>
    </row>
    <row r="48" spans="1:300" x14ac:dyDescent="0.35">
      <c r="A48" s="216" t="str">
        <f t="shared" si="0"/>
        <v>mardi</v>
      </c>
      <c r="B48" s="217">
        <v>44600</v>
      </c>
      <c r="C48" s="202">
        <v>0</v>
      </c>
      <c r="D48" s="202">
        <v>84</v>
      </c>
      <c r="E48" s="202">
        <v>91</v>
      </c>
      <c r="F48" s="202">
        <v>141</v>
      </c>
      <c r="G48" s="202">
        <v>129</v>
      </c>
      <c r="H48" s="202">
        <v>127</v>
      </c>
      <c r="I48" s="202">
        <v>93</v>
      </c>
      <c r="J48" s="202">
        <v>94</v>
      </c>
      <c r="K48" s="202">
        <v>66</v>
      </c>
      <c r="L48" s="202">
        <v>27</v>
      </c>
      <c r="M48" s="202">
        <v>13</v>
      </c>
      <c r="N48" s="202">
        <v>45</v>
      </c>
      <c r="O48" s="202">
        <v>99</v>
      </c>
      <c r="P48" s="202">
        <v>77</v>
      </c>
      <c r="Q48" s="202">
        <v>104</v>
      </c>
      <c r="R48" s="202">
        <v>73</v>
      </c>
      <c r="S48" s="202">
        <v>68</v>
      </c>
      <c r="T48" s="202">
        <v>73</v>
      </c>
      <c r="U48" s="202">
        <v>74</v>
      </c>
      <c r="V48" s="202">
        <v>0</v>
      </c>
      <c r="W48" s="203">
        <f t="shared" si="1"/>
        <v>1478</v>
      </c>
    </row>
    <row r="49" spans="1:23" x14ac:dyDescent="0.35">
      <c r="A49" s="216" t="str">
        <f t="shared" si="0"/>
        <v>mercredi</v>
      </c>
      <c r="B49" s="217">
        <v>44601</v>
      </c>
      <c r="C49" s="202">
        <v>0</v>
      </c>
      <c r="D49" s="202">
        <v>67</v>
      </c>
      <c r="E49" s="202">
        <v>103</v>
      </c>
      <c r="F49" s="202">
        <v>115</v>
      </c>
      <c r="G49" s="202">
        <v>114</v>
      </c>
      <c r="H49" s="202">
        <v>100</v>
      </c>
      <c r="I49" s="202">
        <v>96</v>
      </c>
      <c r="J49" s="202">
        <v>83</v>
      </c>
      <c r="K49" s="202">
        <v>62</v>
      </c>
      <c r="L49" s="202">
        <v>33</v>
      </c>
      <c r="M49" s="202">
        <v>20</v>
      </c>
      <c r="N49" s="202">
        <v>43</v>
      </c>
      <c r="O49" s="202">
        <v>73</v>
      </c>
      <c r="P49" s="202">
        <v>69</v>
      </c>
      <c r="Q49" s="202">
        <v>81</v>
      </c>
      <c r="R49" s="202">
        <v>72</v>
      </c>
      <c r="S49" s="202">
        <v>73</v>
      </c>
      <c r="T49" s="202">
        <v>50</v>
      </c>
      <c r="U49" s="202">
        <v>41</v>
      </c>
      <c r="V49" s="202">
        <v>0</v>
      </c>
      <c r="W49" s="203">
        <f t="shared" si="1"/>
        <v>1295</v>
      </c>
    </row>
    <row r="50" spans="1:23" x14ac:dyDescent="0.35">
      <c r="A50" s="216" t="str">
        <f t="shared" si="0"/>
        <v>jeudi</v>
      </c>
      <c r="B50" s="217">
        <v>44602</v>
      </c>
      <c r="C50" s="202">
        <v>0</v>
      </c>
      <c r="D50" s="202">
        <v>61</v>
      </c>
      <c r="E50" s="202">
        <v>93</v>
      </c>
      <c r="F50" s="202">
        <v>125</v>
      </c>
      <c r="G50" s="202">
        <v>117</v>
      </c>
      <c r="H50" s="202">
        <v>131</v>
      </c>
      <c r="I50" s="202">
        <v>102</v>
      </c>
      <c r="J50" s="202">
        <v>79</v>
      </c>
      <c r="K50" s="202">
        <v>65</v>
      </c>
      <c r="L50" s="202">
        <v>27</v>
      </c>
      <c r="M50" s="202">
        <v>21</v>
      </c>
      <c r="N50" s="202">
        <v>32</v>
      </c>
      <c r="O50" s="202">
        <v>74</v>
      </c>
      <c r="P50" s="202">
        <v>72</v>
      </c>
      <c r="Q50" s="202">
        <v>85</v>
      </c>
      <c r="R50" s="202">
        <v>67</v>
      </c>
      <c r="S50" s="202">
        <v>66</v>
      </c>
      <c r="T50" s="202">
        <v>65</v>
      </c>
      <c r="U50" s="202">
        <v>41</v>
      </c>
      <c r="V50" s="202">
        <v>0</v>
      </c>
      <c r="W50" s="203">
        <f t="shared" si="1"/>
        <v>1323</v>
      </c>
    </row>
    <row r="51" spans="1:23" x14ac:dyDescent="0.35">
      <c r="A51" s="216" t="str">
        <f t="shared" si="0"/>
        <v>vendredi</v>
      </c>
      <c r="B51" s="217">
        <v>44603</v>
      </c>
      <c r="C51" s="202">
        <v>0</v>
      </c>
      <c r="D51" s="202">
        <v>85</v>
      </c>
      <c r="E51" s="202">
        <v>102</v>
      </c>
      <c r="F51" s="202">
        <v>133</v>
      </c>
      <c r="G51" s="202">
        <v>108</v>
      </c>
      <c r="H51" s="202">
        <v>77</v>
      </c>
      <c r="I51" s="202">
        <v>75</v>
      </c>
      <c r="J51" s="202">
        <v>78</v>
      </c>
      <c r="K51" s="202">
        <v>53</v>
      </c>
      <c r="L51" s="202">
        <v>33</v>
      </c>
      <c r="M51" s="202">
        <v>23</v>
      </c>
      <c r="N51" s="202">
        <v>38</v>
      </c>
      <c r="O51" s="202">
        <v>57</v>
      </c>
      <c r="P51" s="202">
        <v>47</v>
      </c>
      <c r="Q51" s="202">
        <v>60</v>
      </c>
      <c r="R51" s="202">
        <v>55</v>
      </c>
      <c r="S51" s="202">
        <v>35</v>
      </c>
      <c r="T51" s="202">
        <v>36</v>
      </c>
      <c r="U51" s="202">
        <v>29</v>
      </c>
      <c r="V51" s="202">
        <v>0</v>
      </c>
      <c r="W51" s="203">
        <f t="shared" si="1"/>
        <v>1124</v>
      </c>
    </row>
    <row r="52" spans="1:23" x14ac:dyDescent="0.35">
      <c r="A52" s="216" t="str">
        <f t="shared" si="0"/>
        <v>samedi</v>
      </c>
      <c r="B52" s="217">
        <v>44604</v>
      </c>
      <c r="C52" s="202">
        <v>0</v>
      </c>
      <c r="D52" s="202"/>
      <c r="E52" s="202"/>
      <c r="F52" s="202"/>
      <c r="G52" s="202"/>
      <c r="H52" s="202"/>
      <c r="I52" s="202"/>
      <c r="J52" s="202"/>
      <c r="K52" s="202"/>
      <c r="L52" s="202"/>
      <c r="M52" s="202"/>
      <c r="N52" s="202"/>
      <c r="O52" s="202"/>
      <c r="P52" s="202"/>
      <c r="Q52" s="202"/>
      <c r="R52" s="202"/>
      <c r="S52" s="202"/>
      <c r="T52" s="202"/>
      <c r="U52" s="202"/>
      <c r="V52" s="202">
        <v>0</v>
      </c>
      <c r="W52" s="203">
        <f t="shared" si="1"/>
        <v>0</v>
      </c>
    </row>
    <row r="53" spans="1:23" x14ac:dyDescent="0.35">
      <c r="A53" s="216" t="str">
        <f t="shared" si="0"/>
        <v>dimanche</v>
      </c>
      <c r="B53" s="217">
        <v>44605</v>
      </c>
      <c r="C53" s="202">
        <v>0</v>
      </c>
      <c r="D53" s="202"/>
      <c r="E53" s="202"/>
      <c r="F53" s="202"/>
      <c r="G53" s="202"/>
      <c r="H53" s="202"/>
      <c r="I53" s="202"/>
      <c r="J53" s="202"/>
      <c r="K53" s="202"/>
      <c r="L53" s="202"/>
      <c r="M53" s="202"/>
      <c r="N53" s="202"/>
      <c r="O53" s="202"/>
      <c r="P53" s="202"/>
      <c r="Q53" s="202"/>
      <c r="R53" s="202"/>
      <c r="S53" s="202"/>
      <c r="T53" s="202"/>
      <c r="U53" s="202"/>
      <c r="V53" s="202">
        <v>0</v>
      </c>
      <c r="W53" s="203">
        <f t="shared" si="1"/>
        <v>0</v>
      </c>
    </row>
    <row r="54" spans="1:23" x14ac:dyDescent="0.35">
      <c r="A54" s="216" t="str">
        <f t="shared" si="0"/>
        <v>lundi</v>
      </c>
      <c r="B54" s="217">
        <v>44606</v>
      </c>
      <c r="C54" s="202">
        <v>0</v>
      </c>
      <c r="D54" s="202">
        <v>85</v>
      </c>
      <c r="E54" s="202">
        <v>134</v>
      </c>
      <c r="F54" s="202">
        <v>179</v>
      </c>
      <c r="G54" s="202">
        <v>152</v>
      </c>
      <c r="H54" s="202">
        <v>114</v>
      </c>
      <c r="I54" s="202">
        <v>131</v>
      </c>
      <c r="J54" s="202">
        <v>99</v>
      </c>
      <c r="K54" s="202">
        <v>69</v>
      </c>
      <c r="L54" s="202">
        <v>28</v>
      </c>
      <c r="M54" s="202">
        <v>31</v>
      </c>
      <c r="N54" s="202">
        <v>53</v>
      </c>
      <c r="O54" s="202">
        <v>86</v>
      </c>
      <c r="P54" s="202">
        <v>88</v>
      </c>
      <c r="Q54" s="202">
        <v>78</v>
      </c>
      <c r="R54" s="202">
        <v>85</v>
      </c>
      <c r="S54" s="202">
        <v>45</v>
      </c>
      <c r="T54" s="202">
        <v>74</v>
      </c>
      <c r="U54" s="202">
        <v>51</v>
      </c>
      <c r="V54" s="202">
        <v>0</v>
      </c>
      <c r="W54" s="203">
        <f t="shared" si="1"/>
        <v>1582</v>
      </c>
    </row>
    <row r="55" spans="1:23" x14ac:dyDescent="0.35">
      <c r="A55" s="216" t="str">
        <f t="shared" si="0"/>
        <v>mardi</v>
      </c>
      <c r="B55" s="217">
        <v>44607</v>
      </c>
      <c r="C55" s="202">
        <v>0</v>
      </c>
      <c r="D55" s="202">
        <v>87</v>
      </c>
      <c r="E55" s="202">
        <v>113</v>
      </c>
      <c r="F55" s="202">
        <v>112</v>
      </c>
      <c r="G55" s="202">
        <v>100</v>
      </c>
      <c r="H55" s="202">
        <v>127</v>
      </c>
      <c r="I55" s="202">
        <v>107</v>
      </c>
      <c r="J55" s="202">
        <v>103</v>
      </c>
      <c r="K55" s="202">
        <v>87</v>
      </c>
      <c r="L55" s="202">
        <v>32</v>
      </c>
      <c r="M55" s="202">
        <v>33</v>
      </c>
      <c r="N55" s="202">
        <v>50</v>
      </c>
      <c r="O55" s="202">
        <v>76</v>
      </c>
      <c r="P55" s="202">
        <v>96</v>
      </c>
      <c r="Q55" s="202">
        <v>80</v>
      </c>
      <c r="R55" s="202">
        <v>90</v>
      </c>
      <c r="S55" s="202">
        <v>64</v>
      </c>
      <c r="T55" s="202">
        <v>74</v>
      </c>
      <c r="U55" s="202">
        <v>53</v>
      </c>
      <c r="V55" s="202">
        <v>0</v>
      </c>
      <c r="W55" s="203">
        <f t="shared" si="1"/>
        <v>1484</v>
      </c>
    </row>
    <row r="56" spans="1:23" x14ac:dyDescent="0.35">
      <c r="A56" s="216" t="str">
        <f t="shared" si="0"/>
        <v>mercredi</v>
      </c>
      <c r="B56" s="217">
        <v>44608</v>
      </c>
      <c r="C56" s="202">
        <v>0</v>
      </c>
      <c r="D56" s="202">
        <v>69</v>
      </c>
      <c r="E56" s="202">
        <v>101</v>
      </c>
      <c r="F56" s="202">
        <v>136</v>
      </c>
      <c r="G56" s="202">
        <v>118</v>
      </c>
      <c r="H56" s="202">
        <v>124</v>
      </c>
      <c r="I56" s="202">
        <v>91</v>
      </c>
      <c r="J56" s="202">
        <v>68</v>
      </c>
      <c r="K56" s="202">
        <v>66</v>
      </c>
      <c r="L56" s="202">
        <v>28</v>
      </c>
      <c r="M56" s="202">
        <v>20</v>
      </c>
      <c r="N56" s="202">
        <v>39</v>
      </c>
      <c r="O56" s="202">
        <v>70</v>
      </c>
      <c r="P56" s="202">
        <v>67</v>
      </c>
      <c r="Q56" s="202">
        <v>63</v>
      </c>
      <c r="R56" s="202">
        <v>59</v>
      </c>
      <c r="S56" s="202">
        <v>51</v>
      </c>
      <c r="T56" s="202">
        <v>36</v>
      </c>
      <c r="U56" s="202">
        <v>46</v>
      </c>
      <c r="V56" s="202">
        <v>0</v>
      </c>
      <c r="W56" s="203">
        <f t="shared" si="1"/>
        <v>1252</v>
      </c>
    </row>
    <row r="57" spans="1:23" x14ac:dyDescent="0.35">
      <c r="A57" s="216" t="str">
        <f t="shared" si="0"/>
        <v>jeudi</v>
      </c>
      <c r="B57" s="217">
        <v>44609</v>
      </c>
      <c r="C57" s="202">
        <v>0</v>
      </c>
      <c r="D57" s="202">
        <v>79</v>
      </c>
      <c r="E57" s="202">
        <v>104</v>
      </c>
      <c r="F57" s="202">
        <v>104</v>
      </c>
      <c r="G57" s="202">
        <v>88</v>
      </c>
      <c r="H57" s="202">
        <v>110</v>
      </c>
      <c r="I57" s="202">
        <v>105</v>
      </c>
      <c r="J57" s="202">
        <v>65</v>
      </c>
      <c r="K57" s="202">
        <v>67</v>
      </c>
      <c r="L57" s="202">
        <v>32</v>
      </c>
      <c r="M57" s="202">
        <v>22</v>
      </c>
      <c r="N57" s="202">
        <v>51</v>
      </c>
      <c r="O57" s="202">
        <v>91</v>
      </c>
      <c r="P57" s="202">
        <v>84</v>
      </c>
      <c r="Q57" s="202">
        <v>76</v>
      </c>
      <c r="R57" s="202">
        <v>62</v>
      </c>
      <c r="S57" s="202">
        <v>55</v>
      </c>
      <c r="T57" s="202">
        <v>64</v>
      </c>
      <c r="U57" s="202">
        <v>42</v>
      </c>
      <c r="V57" s="202">
        <v>0</v>
      </c>
      <c r="W57" s="203">
        <f t="shared" si="1"/>
        <v>1301</v>
      </c>
    </row>
    <row r="58" spans="1:23" x14ac:dyDescent="0.35">
      <c r="A58" s="216" t="str">
        <f t="shared" si="0"/>
        <v>vendredi</v>
      </c>
      <c r="B58" s="217">
        <v>44610</v>
      </c>
      <c r="C58" s="202">
        <v>0</v>
      </c>
      <c r="D58" s="202">
        <v>90</v>
      </c>
      <c r="E58" s="202">
        <v>98</v>
      </c>
      <c r="F58" s="202">
        <v>101</v>
      </c>
      <c r="G58" s="202">
        <v>100</v>
      </c>
      <c r="H58" s="202">
        <v>78</v>
      </c>
      <c r="I58" s="202">
        <v>82</v>
      </c>
      <c r="J58" s="202">
        <v>74</v>
      </c>
      <c r="K58" s="202">
        <v>64</v>
      </c>
      <c r="L58" s="202">
        <v>20</v>
      </c>
      <c r="M58" s="202">
        <v>18</v>
      </c>
      <c r="N58" s="202">
        <v>29</v>
      </c>
      <c r="O58" s="202">
        <v>54</v>
      </c>
      <c r="P58" s="202">
        <v>50</v>
      </c>
      <c r="Q58" s="202">
        <v>45</v>
      </c>
      <c r="R58" s="202">
        <v>63</v>
      </c>
      <c r="S58" s="202">
        <v>52</v>
      </c>
      <c r="T58" s="202">
        <v>29</v>
      </c>
      <c r="U58" s="202">
        <v>43</v>
      </c>
      <c r="V58" s="202">
        <v>0</v>
      </c>
      <c r="W58" s="203">
        <f t="shared" si="1"/>
        <v>1090</v>
      </c>
    </row>
    <row r="59" spans="1:23" x14ac:dyDescent="0.35">
      <c r="A59" s="216" t="str">
        <f t="shared" si="0"/>
        <v>samedi</v>
      </c>
      <c r="B59" s="217">
        <v>44611</v>
      </c>
      <c r="C59" s="202">
        <v>0</v>
      </c>
      <c r="D59" s="202"/>
      <c r="E59" s="202"/>
      <c r="F59" s="202"/>
      <c r="G59" s="202"/>
      <c r="H59" s="202"/>
      <c r="I59" s="202"/>
      <c r="J59" s="202"/>
      <c r="K59" s="202"/>
      <c r="L59" s="202"/>
      <c r="M59" s="202"/>
      <c r="N59" s="202"/>
      <c r="O59" s="202"/>
      <c r="P59" s="202"/>
      <c r="Q59" s="202"/>
      <c r="R59" s="202"/>
      <c r="S59" s="202"/>
      <c r="T59" s="202"/>
      <c r="U59" s="202"/>
      <c r="V59" s="202">
        <v>0</v>
      </c>
      <c r="W59" s="203">
        <f t="shared" si="1"/>
        <v>0</v>
      </c>
    </row>
    <row r="60" spans="1:23" x14ac:dyDescent="0.35">
      <c r="A60" s="216" t="str">
        <f t="shared" si="0"/>
        <v>dimanche</v>
      </c>
      <c r="B60" s="217">
        <v>44612</v>
      </c>
      <c r="C60" s="202">
        <v>0</v>
      </c>
      <c r="D60" s="202"/>
      <c r="E60" s="202"/>
      <c r="F60" s="202"/>
      <c r="G60" s="202"/>
      <c r="H60" s="202"/>
      <c r="I60" s="202"/>
      <c r="J60" s="202"/>
      <c r="K60" s="202"/>
      <c r="L60" s="202"/>
      <c r="M60" s="202"/>
      <c r="N60" s="202"/>
      <c r="O60" s="202"/>
      <c r="P60" s="202"/>
      <c r="Q60" s="202"/>
      <c r="R60" s="202"/>
      <c r="S60" s="202"/>
      <c r="T60" s="202"/>
      <c r="U60" s="202"/>
      <c r="V60" s="202">
        <v>0</v>
      </c>
      <c r="W60" s="203">
        <f t="shared" si="1"/>
        <v>0</v>
      </c>
    </row>
    <row r="61" spans="1:23" x14ac:dyDescent="0.35">
      <c r="A61" s="216" t="str">
        <f t="shared" si="0"/>
        <v>lundi</v>
      </c>
      <c r="B61" s="217">
        <v>44613</v>
      </c>
      <c r="C61" s="202">
        <v>0</v>
      </c>
      <c r="D61" s="202">
        <v>116</v>
      </c>
      <c r="E61" s="202">
        <v>138</v>
      </c>
      <c r="F61" s="202">
        <v>155</v>
      </c>
      <c r="G61" s="202">
        <v>129</v>
      </c>
      <c r="H61" s="202">
        <v>119</v>
      </c>
      <c r="I61" s="202">
        <v>134</v>
      </c>
      <c r="J61" s="202">
        <v>107</v>
      </c>
      <c r="K61" s="202">
        <v>107</v>
      </c>
      <c r="L61" s="202">
        <v>28</v>
      </c>
      <c r="M61" s="202">
        <v>21</v>
      </c>
      <c r="N61" s="202">
        <v>71</v>
      </c>
      <c r="O61" s="202">
        <v>83</v>
      </c>
      <c r="P61" s="202">
        <v>98</v>
      </c>
      <c r="Q61" s="202">
        <v>92</v>
      </c>
      <c r="R61" s="202">
        <v>85</v>
      </c>
      <c r="S61" s="202">
        <v>82</v>
      </c>
      <c r="T61" s="202">
        <v>62</v>
      </c>
      <c r="U61" s="202">
        <v>57</v>
      </c>
      <c r="V61" s="202">
        <v>0</v>
      </c>
      <c r="W61" s="203">
        <f t="shared" si="1"/>
        <v>1684</v>
      </c>
    </row>
    <row r="62" spans="1:23" x14ac:dyDescent="0.35">
      <c r="A62" s="216" t="str">
        <f t="shared" si="0"/>
        <v>mardi</v>
      </c>
      <c r="B62" s="217">
        <v>44614</v>
      </c>
      <c r="C62" s="202">
        <v>0</v>
      </c>
      <c r="D62" s="202">
        <v>120</v>
      </c>
      <c r="E62" s="202">
        <v>110</v>
      </c>
      <c r="F62" s="202">
        <v>157</v>
      </c>
      <c r="G62" s="202">
        <v>126</v>
      </c>
      <c r="H62" s="202">
        <v>117</v>
      </c>
      <c r="I62" s="202">
        <v>108</v>
      </c>
      <c r="J62" s="202">
        <v>116</v>
      </c>
      <c r="K62" s="202">
        <v>73</v>
      </c>
      <c r="L62" s="202">
        <v>35</v>
      </c>
      <c r="M62" s="202">
        <v>31</v>
      </c>
      <c r="N62" s="202">
        <v>53</v>
      </c>
      <c r="O62" s="202">
        <v>107</v>
      </c>
      <c r="P62" s="202">
        <v>90</v>
      </c>
      <c r="Q62" s="202">
        <v>92</v>
      </c>
      <c r="R62" s="202">
        <v>81</v>
      </c>
      <c r="S62" s="202">
        <v>68</v>
      </c>
      <c r="T62" s="202">
        <v>62</v>
      </c>
      <c r="U62" s="202">
        <v>56</v>
      </c>
      <c r="V62" s="202">
        <v>0</v>
      </c>
      <c r="W62" s="203">
        <f t="shared" si="1"/>
        <v>1602</v>
      </c>
    </row>
    <row r="63" spans="1:23" x14ac:dyDescent="0.35">
      <c r="A63" s="216" t="str">
        <f t="shared" si="0"/>
        <v>mercredi</v>
      </c>
      <c r="B63" s="217">
        <v>44615</v>
      </c>
      <c r="C63" s="202">
        <v>0</v>
      </c>
      <c r="D63" s="202">
        <v>78</v>
      </c>
      <c r="E63" s="202">
        <v>132</v>
      </c>
      <c r="F63" s="202">
        <v>123</v>
      </c>
      <c r="G63" s="202">
        <v>103</v>
      </c>
      <c r="H63" s="202">
        <v>85</v>
      </c>
      <c r="I63" s="202">
        <v>97</v>
      </c>
      <c r="J63" s="202">
        <v>72</v>
      </c>
      <c r="K63" s="202">
        <v>52</v>
      </c>
      <c r="L63" s="202">
        <v>21</v>
      </c>
      <c r="M63" s="202">
        <v>16</v>
      </c>
      <c r="N63" s="202">
        <v>34</v>
      </c>
      <c r="O63" s="202">
        <v>87</v>
      </c>
      <c r="P63" s="202">
        <v>84</v>
      </c>
      <c r="Q63" s="202">
        <v>72</v>
      </c>
      <c r="R63" s="202">
        <v>59</v>
      </c>
      <c r="S63" s="202">
        <v>57</v>
      </c>
      <c r="T63" s="202">
        <v>58</v>
      </c>
      <c r="U63" s="202">
        <v>53</v>
      </c>
      <c r="V63" s="202">
        <v>0</v>
      </c>
      <c r="W63" s="203">
        <f t="shared" si="1"/>
        <v>1283</v>
      </c>
    </row>
    <row r="64" spans="1:23" x14ac:dyDescent="0.35">
      <c r="A64" s="216" t="str">
        <f t="shared" si="0"/>
        <v>jeudi</v>
      </c>
      <c r="B64" s="217">
        <v>44616</v>
      </c>
      <c r="C64" s="202">
        <v>0</v>
      </c>
      <c r="D64" s="202">
        <v>87</v>
      </c>
      <c r="E64" s="202">
        <v>78</v>
      </c>
      <c r="F64" s="202">
        <v>103</v>
      </c>
      <c r="G64" s="202">
        <v>108</v>
      </c>
      <c r="H64" s="202">
        <v>93</v>
      </c>
      <c r="I64" s="202">
        <v>86</v>
      </c>
      <c r="J64" s="202">
        <v>79</v>
      </c>
      <c r="K64" s="202">
        <v>46</v>
      </c>
      <c r="L64" s="202">
        <v>22</v>
      </c>
      <c r="M64" s="202">
        <v>18</v>
      </c>
      <c r="N64" s="202">
        <v>49</v>
      </c>
      <c r="O64" s="202">
        <v>76</v>
      </c>
      <c r="P64" s="202">
        <v>72</v>
      </c>
      <c r="Q64" s="202">
        <v>72</v>
      </c>
      <c r="R64" s="202">
        <v>65</v>
      </c>
      <c r="S64" s="202">
        <v>61</v>
      </c>
      <c r="T64" s="202">
        <v>55</v>
      </c>
      <c r="U64" s="202">
        <v>38</v>
      </c>
      <c r="V64" s="202">
        <v>0</v>
      </c>
      <c r="W64" s="203">
        <f t="shared" si="1"/>
        <v>1208</v>
      </c>
    </row>
    <row r="65" spans="1:23" x14ac:dyDescent="0.35">
      <c r="A65" s="216" t="str">
        <f t="shared" si="0"/>
        <v>vendredi</v>
      </c>
      <c r="B65" s="217">
        <v>44617</v>
      </c>
      <c r="C65" s="202">
        <v>0</v>
      </c>
      <c r="D65" s="202">
        <v>75</v>
      </c>
      <c r="E65" s="202">
        <v>91</v>
      </c>
      <c r="F65" s="202">
        <v>105</v>
      </c>
      <c r="G65" s="202">
        <v>92</v>
      </c>
      <c r="H65" s="202">
        <v>72</v>
      </c>
      <c r="I65" s="202">
        <v>88</v>
      </c>
      <c r="J65" s="202">
        <v>74</v>
      </c>
      <c r="K65" s="202">
        <v>58</v>
      </c>
      <c r="L65" s="202">
        <v>27</v>
      </c>
      <c r="M65" s="202">
        <v>16</v>
      </c>
      <c r="N65" s="202">
        <v>35</v>
      </c>
      <c r="O65" s="202">
        <v>51</v>
      </c>
      <c r="P65" s="202">
        <v>57</v>
      </c>
      <c r="Q65" s="202">
        <v>70</v>
      </c>
      <c r="R65" s="202">
        <v>58</v>
      </c>
      <c r="S65" s="202">
        <v>37</v>
      </c>
      <c r="T65" s="202">
        <v>37</v>
      </c>
      <c r="U65" s="202">
        <v>20</v>
      </c>
      <c r="V65" s="202">
        <v>0</v>
      </c>
      <c r="W65" s="203">
        <f t="shared" si="1"/>
        <v>1063</v>
      </c>
    </row>
    <row r="66" spans="1:23" x14ac:dyDescent="0.35">
      <c r="A66" s="216" t="str">
        <f t="shared" si="0"/>
        <v>samedi</v>
      </c>
      <c r="B66" s="217">
        <v>44618</v>
      </c>
      <c r="C66" s="202">
        <v>0</v>
      </c>
      <c r="D66" s="202"/>
      <c r="E66" s="202"/>
      <c r="F66" s="202"/>
      <c r="G66" s="202"/>
      <c r="H66" s="202"/>
      <c r="I66" s="202"/>
      <c r="J66" s="202"/>
      <c r="K66" s="202"/>
      <c r="L66" s="202"/>
      <c r="M66" s="202"/>
      <c r="N66" s="202"/>
      <c r="O66" s="202"/>
      <c r="P66" s="202"/>
      <c r="Q66" s="202"/>
      <c r="R66" s="202"/>
      <c r="S66" s="202"/>
      <c r="T66" s="202"/>
      <c r="U66" s="202"/>
      <c r="V66" s="202">
        <v>0</v>
      </c>
      <c r="W66" s="203">
        <f t="shared" si="1"/>
        <v>0</v>
      </c>
    </row>
    <row r="67" spans="1:23" x14ac:dyDescent="0.35">
      <c r="A67" s="216" t="str">
        <f t="shared" si="0"/>
        <v>dimanche</v>
      </c>
      <c r="B67" s="217">
        <v>44619</v>
      </c>
      <c r="C67" s="202">
        <v>0</v>
      </c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2"/>
      <c r="P67" s="202"/>
      <c r="Q67" s="202"/>
      <c r="R67" s="202"/>
      <c r="S67" s="202"/>
      <c r="T67" s="202"/>
      <c r="U67" s="202"/>
      <c r="V67" s="202">
        <v>0</v>
      </c>
      <c r="W67" s="203">
        <f t="shared" si="1"/>
        <v>0</v>
      </c>
    </row>
    <row r="68" spans="1:23" x14ac:dyDescent="0.35">
      <c r="A68" s="216" t="str">
        <f t="shared" si="0"/>
        <v>lundi</v>
      </c>
      <c r="B68" s="217">
        <v>44620</v>
      </c>
      <c r="C68" s="202">
        <v>0</v>
      </c>
      <c r="D68" s="202">
        <v>109</v>
      </c>
      <c r="E68" s="202">
        <v>131</v>
      </c>
      <c r="F68" s="202">
        <v>151</v>
      </c>
      <c r="G68" s="202">
        <v>156</v>
      </c>
      <c r="H68" s="202">
        <v>162</v>
      </c>
      <c r="I68" s="202">
        <v>125</v>
      </c>
      <c r="J68" s="202">
        <v>116</v>
      </c>
      <c r="K68" s="202">
        <v>69</v>
      </c>
      <c r="L68" s="202">
        <v>49</v>
      </c>
      <c r="M68" s="202">
        <v>29</v>
      </c>
      <c r="N68" s="202">
        <v>62</v>
      </c>
      <c r="O68" s="202">
        <v>67</v>
      </c>
      <c r="P68" s="202">
        <v>89</v>
      </c>
      <c r="Q68" s="202">
        <v>73</v>
      </c>
      <c r="R68" s="202">
        <v>73</v>
      </c>
      <c r="S68" s="202">
        <v>75</v>
      </c>
      <c r="T68" s="202">
        <v>62</v>
      </c>
      <c r="U68" s="202">
        <v>51</v>
      </c>
      <c r="V68" s="202">
        <v>0</v>
      </c>
      <c r="W68" s="203">
        <f t="shared" si="1"/>
        <v>1649</v>
      </c>
    </row>
    <row r="69" spans="1:23" x14ac:dyDescent="0.35">
      <c r="A69" s="216" t="str">
        <f t="shared" si="0"/>
        <v>mardi</v>
      </c>
      <c r="B69" s="217">
        <v>44621</v>
      </c>
      <c r="C69" s="202">
        <v>0</v>
      </c>
      <c r="D69" s="202">
        <v>83</v>
      </c>
      <c r="E69" s="202">
        <v>100</v>
      </c>
      <c r="F69" s="202">
        <v>131</v>
      </c>
      <c r="G69" s="202">
        <v>152</v>
      </c>
      <c r="H69" s="202">
        <v>133</v>
      </c>
      <c r="I69" s="202">
        <v>131</v>
      </c>
      <c r="J69" s="202">
        <v>108</v>
      </c>
      <c r="K69" s="202">
        <v>83</v>
      </c>
      <c r="L69" s="202">
        <v>27</v>
      </c>
      <c r="M69" s="202">
        <v>21</v>
      </c>
      <c r="N69" s="202">
        <v>58</v>
      </c>
      <c r="O69" s="202">
        <v>89</v>
      </c>
      <c r="P69" s="202">
        <v>89</v>
      </c>
      <c r="Q69" s="202">
        <v>87</v>
      </c>
      <c r="R69" s="202">
        <v>89</v>
      </c>
      <c r="S69" s="202">
        <v>98</v>
      </c>
      <c r="T69" s="202">
        <v>77</v>
      </c>
      <c r="U69" s="202">
        <v>45</v>
      </c>
      <c r="V69" s="202">
        <v>0</v>
      </c>
      <c r="W69" s="203">
        <f t="shared" si="1"/>
        <v>1601</v>
      </c>
    </row>
    <row r="70" spans="1:23" x14ac:dyDescent="0.35">
      <c r="A70" s="216" t="str">
        <f t="shared" si="0"/>
        <v>mercredi</v>
      </c>
      <c r="B70" s="217">
        <v>44622</v>
      </c>
      <c r="C70" s="202">
        <v>0</v>
      </c>
      <c r="D70" s="202">
        <v>83</v>
      </c>
      <c r="E70" s="202">
        <v>90</v>
      </c>
      <c r="F70" s="202">
        <v>114</v>
      </c>
      <c r="G70" s="202">
        <v>117</v>
      </c>
      <c r="H70" s="202">
        <v>113</v>
      </c>
      <c r="I70" s="202">
        <v>95</v>
      </c>
      <c r="J70" s="202">
        <v>98</v>
      </c>
      <c r="K70" s="202">
        <v>64</v>
      </c>
      <c r="L70" s="202">
        <v>30</v>
      </c>
      <c r="M70" s="202">
        <v>17</v>
      </c>
      <c r="N70" s="202">
        <v>39</v>
      </c>
      <c r="O70" s="202">
        <v>68</v>
      </c>
      <c r="P70" s="202">
        <v>78</v>
      </c>
      <c r="Q70" s="202">
        <v>92</v>
      </c>
      <c r="R70" s="202">
        <v>81</v>
      </c>
      <c r="S70" s="202">
        <v>67</v>
      </c>
      <c r="T70" s="202">
        <v>59</v>
      </c>
      <c r="U70" s="202">
        <v>42</v>
      </c>
      <c r="V70" s="202">
        <v>0</v>
      </c>
      <c r="W70" s="203">
        <f t="shared" si="1"/>
        <v>1347</v>
      </c>
    </row>
    <row r="71" spans="1:23" x14ac:dyDescent="0.35">
      <c r="A71" s="216" t="str">
        <f t="shared" si="0"/>
        <v>jeudi</v>
      </c>
      <c r="B71" s="217">
        <v>44623</v>
      </c>
      <c r="C71" s="202">
        <v>0</v>
      </c>
      <c r="D71" s="202">
        <v>79</v>
      </c>
      <c r="E71" s="202">
        <v>114</v>
      </c>
      <c r="F71" s="202">
        <v>124</v>
      </c>
      <c r="G71" s="202">
        <v>115</v>
      </c>
      <c r="H71" s="202">
        <v>96</v>
      </c>
      <c r="I71" s="202">
        <v>85</v>
      </c>
      <c r="J71" s="202">
        <v>79</v>
      </c>
      <c r="K71" s="202">
        <v>61</v>
      </c>
      <c r="L71" s="202">
        <v>24</v>
      </c>
      <c r="M71" s="202">
        <v>20</v>
      </c>
      <c r="N71" s="202">
        <v>48</v>
      </c>
      <c r="O71" s="202">
        <v>81</v>
      </c>
      <c r="P71" s="202">
        <v>88</v>
      </c>
      <c r="Q71" s="202">
        <v>72</v>
      </c>
      <c r="R71" s="202">
        <v>75</v>
      </c>
      <c r="S71" s="202">
        <v>63</v>
      </c>
      <c r="T71" s="202">
        <v>50</v>
      </c>
      <c r="U71" s="202">
        <v>37</v>
      </c>
      <c r="V71" s="202">
        <v>0</v>
      </c>
      <c r="W71" s="203">
        <f t="shared" si="1"/>
        <v>1311</v>
      </c>
    </row>
    <row r="72" spans="1:23" x14ac:dyDescent="0.35">
      <c r="A72" s="216" t="str">
        <f t="shared" si="0"/>
        <v>vendredi</v>
      </c>
      <c r="B72" s="217">
        <v>44624</v>
      </c>
      <c r="C72" s="202">
        <v>0</v>
      </c>
      <c r="D72" s="202">
        <v>81</v>
      </c>
      <c r="E72" s="202">
        <v>96</v>
      </c>
      <c r="F72" s="202">
        <v>97</v>
      </c>
      <c r="G72" s="202">
        <v>90</v>
      </c>
      <c r="H72" s="202">
        <v>90</v>
      </c>
      <c r="I72" s="202">
        <v>88</v>
      </c>
      <c r="J72" s="202">
        <v>70</v>
      </c>
      <c r="K72" s="202">
        <v>60</v>
      </c>
      <c r="L72" s="202">
        <v>23</v>
      </c>
      <c r="M72" s="202">
        <v>14</v>
      </c>
      <c r="N72" s="202">
        <v>24</v>
      </c>
      <c r="O72" s="202">
        <v>36</v>
      </c>
      <c r="P72" s="202">
        <v>55</v>
      </c>
      <c r="Q72" s="202">
        <v>45</v>
      </c>
      <c r="R72" s="202">
        <v>56</v>
      </c>
      <c r="S72" s="202">
        <v>55</v>
      </c>
      <c r="T72" s="202">
        <v>49</v>
      </c>
      <c r="U72" s="202">
        <v>28</v>
      </c>
      <c r="V72" s="202">
        <v>0</v>
      </c>
      <c r="W72" s="203">
        <f t="shared" si="1"/>
        <v>1057</v>
      </c>
    </row>
    <row r="73" spans="1:23" x14ac:dyDescent="0.35">
      <c r="A73" s="216" t="str">
        <f t="shared" si="0"/>
        <v>samedi</v>
      </c>
      <c r="B73" s="217">
        <v>44625</v>
      </c>
      <c r="C73" s="202">
        <v>0</v>
      </c>
      <c r="D73" s="202"/>
      <c r="E73" s="202"/>
      <c r="F73" s="202"/>
      <c r="G73" s="202"/>
      <c r="H73" s="202"/>
      <c r="I73" s="202"/>
      <c r="J73" s="202"/>
      <c r="K73" s="202"/>
      <c r="L73" s="202"/>
      <c r="M73" s="202"/>
      <c r="N73" s="202"/>
      <c r="O73" s="202"/>
      <c r="P73" s="202"/>
      <c r="Q73" s="202"/>
      <c r="R73" s="202"/>
      <c r="S73" s="202"/>
      <c r="T73" s="202"/>
      <c r="U73" s="202"/>
      <c r="V73" s="202">
        <v>0</v>
      </c>
      <c r="W73" s="203">
        <f t="shared" si="1"/>
        <v>0</v>
      </c>
    </row>
    <row r="74" spans="1:23" x14ac:dyDescent="0.35">
      <c r="A74" s="216" t="str">
        <f t="shared" si="0"/>
        <v>dimanche</v>
      </c>
      <c r="B74" s="217">
        <v>44626</v>
      </c>
      <c r="C74" s="202">
        <v>0</v>
      </c>
      <c r="D74" s="202"/>
      <c r="E74" s="202"/>
      <c r="F74" s="202"/>
      <c r="G74" s="202"/>
      <c r="H74" s="202"/>
      <c r="I74" s="202"/>
      <c r="J74" s="202"/>
      <c r="K74" s="202"/>
      <c r="L74" s="202"/>
      <c r="M74" s="202"/>
      <c r="N74" s="202"/>
      <c r="O74" s="202"/>
      <c r="P74" s="202"/>
      <c r="Q74" s="202"/>
      <c r="R74" s="202"/>
      <c r="S74" s="202"/>
      <c r="T74" s="202"/>
      <c r="U74" s="202"/>
      <c r="V74" s="202">
        <v>0</v>
      </c>
      <c r="W74" s="203">
        <f t="shared" si="1"/>
        <v>0</v>
      </c>
    </row>
    <row r="75" spans="1:23" x14ac:dyDescent="0.35">
      <c r="A75" s="216" t="str">
        <f t="shared" si="0"/>
        <v>lundi</v>
      </c>
      <c r="B75" s="217">
        <v>44627</v>
      </c>
      <c r="C75" s="202">
        <v>0</v>
      </c>
      <c r="D75" s="202">
        <v>121</v>
      </c>
      <c r="E75" s="202">
        <v>128</v>
      </c>
      <c r="F75" s="202">
        <v>154</v>
      </c>
      <c r="G75" s="202">
        <v>122</v>
      </c>
      <c r="H75" s="202">
        <v>134</v>
      </c>
      <c r="I75" s="202">
        <v>128</v>
      </c>
      <c r="J75" s="202">
        <v>93</v>
      </c>
      <c r="K75" s="202">
        <v>91</v>
      </c>
      <c r="L75" s="202">
        <v>42</v>
      </c>
      <c r="M75" s="202">
        <v>37</v>
      </c>
      <c r="N75" s="202">
        <v>63</v>
      </c>
      <c r="O75" s="202">
        <v>84</v>
      </c>
      <c r="P75" s="202">
        <v>92</v>
      </c>
      <c r="Q75" s="202">
        <v>89</v>
      </c>
      <c r="R75" s="202">
        <v>58</v>
      </c>
      <c r="S75" s="202">
        <v>75</v>
      </c>
      <c r="T75" s="202">
        <v>61</v>
      </c>
      <c r="U75" s="202">
        <v>44</v>
      </c>
      <c r="V75" s="202">
        <v>0</v>
      </c>
      <c r="W75" s="203">
        <f t="shared" si="1"/>
        <v>1616</v>
      </c>
    </row>
    <row r="76" spans="1:23" x14ac:dyDescent="0.35">
      <c r="A76" s="216" t="str">
        <f t="shared" ref="A76:A139" si="12">TEXT(B76,"jjjj")</f>
        <v>mardi</v>
      </c>
      <c r="B76" s="217">
        <v>44628</v>
      </c>
      <c r="C76" s="202">
        <v>0</v>
      </c>
      <c r="D76" s="202">
        <v>92</v>
      </c>
      <c r="E76" s="202">
        <v>111</v>
      </c>
      <c r="F76" s="202">
        <v>147</v>
      </c>
      <c r="G76" s="202">
        <v>137</v>
      </c>
      <c r="H76" s="202">
        <v>109</v>
      </c>
      <c r="I76" s="202">
        <v>92</v>
      </c>
      <c r="J76" s="202">
        <v>86</v>
      </c>
      <c r="K76" s="202">
        <v>70</v>
      </c>
      <c r="L76" s="202">
        <v>34</v>
      </c>
      <c r="M76" s="202">
        <v>22</v>
      </c>
      <c r="N76" s="202">
        <v>50</v>
      </c>
      <c r="O76" s="202">
        <v>70</v>
      </c>
      <c r="P76" s="202">
        <v>83</v>
      </c>
      <c r="Q76" s="202">
        <v>69</v>
      </c>
      <c r="R76" s="202">
        <v>59</v>
      </c>
      <c r="S76" s="202">
        <v>67</v>
      </c>
      <c r="T76" s="202">
        <v>58</v>
      </c>
      <c r="U76" s="202">
        <v>45</v>
      </c>
      <c r="V76" s="202">
        <v>0</v>
      </c>
      <c r="W76" s="203">
        <f t="shared" ref="W76:W139" si="13">SUM(C76:U76)</f>
        <v>1401</v>
      </c>
    </row>
    <row r="77" spans="1:23" x14ac:dyDescent="0.35">
      <c r="A77" s="216" t="str">
        <f t="shared" si="12"/>
        <v>mercredi</v>
      </c>
      <c r="B77" s="217">
        <v>44629</v>
      </c>
      <c r="C77" s="202">
        <v>0</v>
      </c>
      <c r="D77" s="202">
        <v>81</v>
      </c>
      <c r="E77" s="202">
        <v>90</v>
      </c>
      <c r="F77" s="202">
        <v>112</v>
      </c>
      <c r="G77" s="202">
        <v>97</v>
      </c>
      <c r="H77" s="202">
        <v>88</v>
      </c>
      <c r="I77" s="202">
        <v>98</v>
      </c>
      <c r="J77" s="202">
        <v>72</v>
      </c>
      <c r="K77" s="202">
        <v>50</v>
      </c>
      <c r="L77" s="202">
        <v>26</v>
      </c>
      <c r="M77" s="202">
        <v>17</v>
      </c>
      <c r="N77" s="202">
        <v>43</v>
      </c>
      <c r="O77" s="202">
        <v>69</v>
      </c>
      <c r="P77" s="202">
        <v>77</v>
      </c>
      <c r="Q77" s="202">
        <v>62</v>
      </c>
      <c r="R77" s="202">
        <v>61</v>
      </c>
      <c r="S77" s="202">
        <v>68</v>
      </c>
      <c r="T77" s="202">
        <v>64</v>
      </c>
      <c r="U77" s="202">
        <v>31</v>
      </c>
      <c r="V77" s="202">
        <v>0</v>
      </c>
      <c r="W77" s="203">
        <f t="shared" si="13"/>
        <v>1206</v>
      </c>
    </row>
    <row r="78" spans="1:23" x14ac:dyDescent="0.35">
      <c r="A78" s="216" t="str">
        <f t="shared" si="12"/>
        <v>jeudi</v>
      </c>
      <c r="B78" s="217">
        <v>44630</v>
      </c>
      <c r="C78" s="202">
        <v>0</v>
      </c>
      <c r="D78" s="202">
        <v>68</v>
      </c>
      <c r="E78" s="202">
        <v>115</v>
      </c>
      <c r="F78" s="202">
        <v>111</v>
      </c>
      <c r="G78" s="202">
        <v>123</v>
      </c>
      <c r="H78" s="202">
        <v>89</v>
      </c>
      <c r="I78" s="202">
        <v>102</v>
      </c>
      <c r="J78" s="202">
        <v>88</v>
      </c>
      <c r="K78" s="202">
        <v>50</v>
      </c>
      <c r="L78" s="202">
        <v>27</v>
      </c>
      <c r="M78" s="202">
        <v>23</v>
      </c>
      <c r="N78" s="202">
        <v>55</v>
      </c>
      <c r="O78" s="202">
        <v>75</v>
      </c>
      <c r="P78" s="202">
        <v>82</v>
      </c>
      <c r="Q78" s="202">
        <v>78</v>
      </c>
      <c r="R78" s="202">
        <v>79</v>
      </c>
      <c r="S78" s="202">
        <v>76</v>
      </c>
      <c r="T78" s="202">
        <v>63</v>
      </c>
      <c r="U78" s="202">
        <v>40</v>
      </c>
      <c r="V78" s="202">
        <v>0</v>
      </c>
      <c r="W78" s="203">
        <f t="shared" si="13"/>
        <v>1344</v>
      </c>
    </row>
    <row r="79" spans="1:23" x14ac:dyDescent="0.35">
      <c r="A79" s="216" t="str">
        <f t="shared" si="12"/>
        <v>vendredi</v>
      </c>
      <c r="B79" s="217">
        <v>44631</v>
      </c>
      <c r="C79" s="202">
        <v>0</v>
      </c>
      <c r="D79" s="202">
        <v>108</v>
      </c>
      <c r="E79" s="202">
        <v>116</v>
      </c>
      <c r="F79" s="202">
        <v>102</v>
      </c>
      <c r="G79" s="202">
        <v>94</v>
      </c>
      <c r="H79" s="202">
        <v>98</v>
      </c>
      <c r="I79" s="202">
        <v>87</v>
      </c>
      <c r="J79" s="202">
        <v>78</v>
      </c>
      <c r="K79" s="202">
        <v>54</v>
      </c>
      <c r="L79" s="202">
        <v>22</v>
      </c>
      <c r="M79" s="202">
        <v>22</v>
      </c>
      <c r="N79" s="202">
        <v>21</v>
      </c>
      <c r="O79" s="202">
        <v>54</v>
      </c>
      <c r="P79" s="202">
        <v>70</v>
      </c>
      <c r="Q79" s="202">
        <v>52</v>
      </c>
      <c r="R79" s="202">
        <v>47</v>
      </c>
      <c r="S79" s="202">
        <v>50</v>
      </c>
      <c r="T79" s="202">
        <v>33</v>
      </c>
      <c r="U79" s="202">
        <v>24</v>
      </c>
      <c r="V79" s="202">
        <v>0</v>
      </c>
      <c r="W79" s="203">
        <f t="shared" si="13"/>
        <v>1132</v>
      </c>
    </row>
    <row r="80" spans="1:23" x14ac:dyDescent="0.35">
      <c r="A80" s="216" t="str">
        <f t="shared" si="12"/>
        <v>samedi</v>
      </c>
      <c r="B80" s="217">
        <v>44632</v>
      </c>
      <c r="C80" s="202">
        <v>0</v>
      </c>
      <c r="D80" s="202"/>
      <c r="E80" s="202"/>
      <c r="F80" s="202"/>
      <c r="G80" s="202"/>
      <c r="H80" s="202"/>
      <c r="I80" s="202"/>
      <c r="J80" s="202"/>
      <c r="K80" s="202"/>
      <c r="L80" s="202"/>
      <c r="M80" s="202"/>
      <c r="N80" s="202"/>
      <c r="O80" s="202"/>
      <c r="P80" s="202"/>
      <c r="Q80" s="202"/>
      <c r="R80" s="202"/>
      <c r="S80" s="202"/>
      <c r="T80" s="202"/>
      <c r="U80" s="202"/>
      <c r="V80" s="202">
        <v>0</v>
      </c>
      <c r="W80" s="203">
        <f t="shared" si="13"/>
        <v>0</v>
      </c>
    </row>
    <row r="81" spans="1:23" x14ac:dyDescent="0.35">
      <c r="A81" s="216" t="str">
        <f t="shared" si="12"/>
        <v>dimanche</v>
      </c>
      <c r="B81" s="217">
        <v>44633</v>
      </c>
      <c r="C81" s="202">
        <v>0</v>
      </c>
      <c r="D81" s="202"/>
      <c r="E81" s="202"/>
      <c r="F81" s="202"/>
      <c r="G81" s="202"/>
      <c r="H81" s="202"/>
      <c r="I81" s="202"/>
      <c r="J81" s="202"/>
      <c r="K81" s="202"/>
      <c r="L81" s="202"/>
      <c r="M81" s="202"/>
      <c r="N81" s="202"/>
      <c r="O81" s="202"/>
      <c r="P81" s="202"/>
      <c r="Q81" s="202"/>
      <c r="R81" s="202"/>
      <c r="S81" s="202"/>
      <c r="T81" s="202"/>
      <c r="U81" s="202"/>
      <c r="V81" s="202">
        <v>0</v>
      </c>
      <c r="W81" s="203">
        <f t="shared" si="13"/>
        <v>0</v>
      </c>
    </row>
    <row r="82" spans="1:23" x14ac:dyDescent="0.35">
      <c r="A82" s="216" t="str">
        <f t="shared" si="12"/>
        <v>lundi</v>
      </c>
      <c r="B82" s="217">
        <v>44634</v>
      </c>
      <c r="C82" s="202">
        <v>0</v>
      </c>
      <c r="D82" s="202">
        <v>109</v>
      </c>
      <c r="E82" s="202">
        <v>120</v>
      </c>
      <c r="F82" s="202">
        <v>140</v>
      </c>
      <c r="G82" s="202">
        <v>137</v>
      </c>
      <c r="H82" s="202">
        <v>153</v>
      </c>
      <c r="I82" s="202">
        <v>125</v>
      </c>
      <c r="J82" s="202">
        <v>89</v>
      </c>
      <c r="K82" s="202">
        <v>109</v>
      </c>
      <c r="L82" s="202">
        <v>28</v>
      </c>
      <c r="M82" s="202">
        <v>32</v>
      </c>
      <c r="N82" s="202">
        <v>47</v>
      </c>
      <c r="O82" s="202">
        <v>86</v>
      </c>
      <c r="P82" s="202">
        <v>107</v>
      </c>
      <c r="Q82" s="202">
        <v>83</v>
      </c>
      <c r="R82" s="202">
        <v>84</v>
      </c>
      <c r="S82" s="202">
        <v>72</v>
      </c>
      <c r="T82" s="202">
        <v>76</v>
      </c>
      <c r="U82" s="202">
        <v>43</v>
      </c>
      <c r="V82" s="202">
        <v>0</v>
      </c>
      <c r="W82" s="203">
        <f t="shared" si="13"/>
        <v>1640</v>
      </c>
    </row>
    <row r="83" spans="1:23" x14ac:dyDescent="0.35">
      <c r="A83" s="216" t="str">
        <f t="shared" si="12"/>
        <v>mardi</v>
      </c>
      <c r="B83" s="217">
        <v>44635</v>
      </c>
      <c r="C83" s="202">
        <v>0</v>
      </c>
      <c r="D83" s="202">
        <v>102</v>
      </c>
      <c r="E83" s="202">
        <v>103</v>
      </c>
      <c r="F83" s="202">
        <v>139</v>
      </c>
      <c r="G83" s="202">
        <v>136</v>
      </c>
      <c r="H83" s="202">
        <v>96</v>
      </c>
      <c r="I83" s="202">
        <v>103</v>
      </c>
      <c r="J83" s="202">
        <v>90</v>
      </c>
      <c r="K83" s="202">
        <v>69</v>
      </c>
      <c r="L83" s="202">
        <v>38</v>
      </c>
      <c r="M83" s="202">
        <v>19</v>
      </c>
      <c r="N83" s="202">
        <v>50</v>
      </c>
      <c r="O83" s="202">
        <v>78</v>
      </c>
      <c r="P83" s="202">
        <v>91</v>
      </c>
      <c r="Q83" s="202">
        <v>108</v>
      </c>
      <c r="R83" s="202">
        <v>76</v>
      </c>
      <c r="S83" s="202">
        <v>92</v>
      </c>
      <c r="T83" s="202">
        <v>65</v>
      </c>
      <c r="U83" s="202">
        <v>61</v>
      </c>
      <c r="V83" s="202">
        <v>0</v>
      </c>
      <c r="W83" s="203">
        <f t="shared" si="13"/>
        <v>1516</v>
      </c>
    </row>
    <row r="84" spans="1:23" x14ac:dyDescent="0.35">
      <c r="A84" s="216" t="str">
        <f t="shared" si="12"/>
        <v>mercredi</v>
      </c>
      <c r="B84" s="217">
        <v>44636</v>
      </c>
      <c r="C84" s="202">
        <v>0</v>
      </c>
      <c r="D84" s="202">
        <v>81</v>
      </c>
      <c r="E84" s="202">
        <v>102</v>
      </c>
      <c r="F84" s="202">
        <v>98</v>
      </c>
      <c r="G84" s="202">
        <v>98</v>
      </c>
      <c r="H84" s="202">
        <v>97</v>
      </c>
      <c r="I84" s="202">
        <v>90</v>
      </c>
      <c r="J84" s="202">
        <v>85</v>
      </c>
      <c r="K84" s="202">
        <v>58</v>
      </c>
      <c r="L84" s="202">
        <v>27</v>
      </c>
      <c r="M84" s="202">
        <v>13</v>
      </c>
      <c r="N84" s="202">
        <v>39</v>
      </c>
      <c r="O84" s="202">
        <v>51</v>
      </c>
      <c r="P84" s="202">
        <v>54</v>
      </c>
      <c r="Q84" s="202">
        <v>71</v>
      </c>
      <c r="R84" s="202">
        <v>69</v>
      </c>
      <c r="S84" s="202">
        <v>73</v>
      </c>
      <c r="T84" s="202">
        <v>49</v>
      </c>
      <c r="U84" s="202">
        <v>37</v>
      </c>
      <c r="V84" s="202">
        <v>0</v>
      </c>
      <c r="W84" s="203">
        <f t="shared" si="13"/>
        <v>1192</v>
      </c>
    </row>
    <row r="85" spans="1:23" x14ac:dyDescent="0.35">
      <c r="A85" s="216" t="str">
        <f t="shared" si="12"/>
        <v>jeudi</v>
      </c>
      <c r="B85" s="217">
        <v>44637</v>
      </c>
      <c r="C85" s="202">
        <v>0</v>
      </c>
      <c r="D85" s="202">
        <v>94</v>
      </c>
      <c r="E85" s="202">
        <v>107</v>
      </c>
      <c r="F85" s="202">
        <v>121</v>
      </c>
      <c r="G85" s="202">
        <v>123</v>
      </c>
      <c r="H85" s="202">
        <v>100</v>
      </c>
      <c r="I85" s="202">
        <v>84</v>
      </c>
      <c r="J85" s="202">
        <v>97</v>
      </c>
      <c r="K85" s="202">
        <v>43</v>
      </c>
      <c r="L85" s="202">
        <v>22</v>
      </c>
      <c r="M85" s="202">
        <v>21</v>
      </c>
      <c r="N85" s="202">
        <v>45</v>
      </c>
      <c r="O85" s="202">
        <v>73</v>
      </c>
      <c r="P85" s="202">
        <v>96</v>
      </c>
      <c r="Q85" s="202">
        <v>97</v>
      </c>
      <c r="R85" s="202">
        <v>90</v>
      </c>
      <c r="S85" s="202">
        <v>72</v>
      </c>
      <c r="T85" s="202">
        <v>61</v>
      </c>
      <c r="U85" s="202">
        <v>54</v>
      </c>
      <c r="V85" s="202">
        <v>0</v>
      </c>
      <c r="W85" s="203">
        <f t="shared" si="13"/>
        <v>1400</v>
      </c>
    </row>
    <row r="86" spans="1:23" x14ac:dyDescent="0.35">
      <c r="A86" s="216" t="str">
        <f t="shared" si="12"/>
        <v>vendredi</v>
      </c>
      <c r="B86" s="217">
        <v>44638</v>
      </c>
      <c r="C86" s="202">
        <v>0</v>
      </c>
      <c r="D86" s="202">
        <v>58</v>
      </c>
      <c r="E86" s="202">
        <v>112</v>
      </c>
      <c r="F86" s="202">
        <v>98</v>
      </c>
      <c r="G86" s="202">
        <v>87</v>
      </c>
      <c r="H86" s="202">
        <v>98</v>
      </c>
      <c r="I86" s="202">
        <v>72</v>
      </c>
      <c r="J86" s="202">
        <v>64</v>
      </c>
      <c r="K86" s="202">
        <v>68</v>
      </c>
      <c r="L86" s="202">
        <v>23</v>
      </c>
      <c r="M86" s="202">
        <v>17</v>
      </c>
      <c r="N86" s="202">
        <v>34</v>
      </c>
      <c r="O86" s="202">
        <v>56</v>
      </c>
      <c r="P86" s="202">
        <v>49</v>
      </c>
      <c r="Q86" s="202">
        <v>58</v>
      </c>
      <c r="R86" s="202">
        <v>61</v>
      </c>
      <c r="S86" s="202">
        <v>44</v>
      </c>
      <c r="T86" s="202">
        <v>50</v>
      </c>
      <c r="U86" s="202">
        <v>20</v>
      </c>
      <c r="V86" s="202">
        <v>0</v>
      </c>
      <c r="W86" s="203">
        <f t="shared" si="13"/>
        <v>1069</v>
      </c>
    </row>
    <row r="87" spans="1:23" x14ac:dyDescent="0.35">
      <c r="A87" s="216" t="str">
        <f t="shared" si="12"/>
        <v>samedi</v>
      </c>
      <c r="B87" s="217">
        <v>44639</v>
      </c>
      <c r="C87" s="202">
        <v>0</v>
      </c>
      <c r="D87" s="202"/>
      <c r="E87" s="202"/>
      <c r="F87" s="202"/>
      <c r="G87" s="202"/>
      <c r="H87" s="202"/>
      <c r="I87" s="202"/>
      <c r="J87" s="202"/>
      <c r="K87" s="202"/>
      <c r="L87" s="202"/>
      <c r="M87" s="202"/>
      <c r="N87" s="202"/>
      <c r="O87" s="202"/>
      <c r="P87" s="202"/>
      <c r="Q87" s="202"/>
      <c r="R87" s="202"/>
      <c r="S87" s="202"/>
      <c r="T87" s="202"/>
      <c r="U87" s="202"/>
      <c r="V87" s="202">
        <v>0</v>
      </c>
      <c r="W87" s="203">
        <f t="shared" si="13"/>
        <v>0</v>
      </c>
    </row>
    <row r="88" spans="1:23" x14ac:dyDescent="0.35">
      <c r="A88" s="216" t="str">
        <f t="shared" si="12"/>
        <v>dimanche</v>
      </c>
      <c r="B88" s="217">
        <v>44640</v>
      </c>
      <c r="C88" s="202">
        <v>0</v>
      </c>
      <c r="D88" s="202"/>
      <c r="E88" s="202"/>
      <c r="F88" s="202"/>
      <c r="G88" s="202"/>
      <c r="H88" s="202"/>
      <c r="I88" s="202"/>
      <c r="J88" s="202"/>
      <c r="K88" s="202"/>
      <c r="L88" s="202"/>
      <c r="M88" s="202"/>
      <c r="N88" s="202"/>
      <c r="O88" s="202"/>
      <c r="P88" s="202"/>
      <c r="Q88" s="202"/>
      <c r="R88" s="202"/>
      <c r="S88" s="202"/>
      <c r="T88" s="202"/>
      <c r="U88" s="202"/>
      <c r="V88" s="202">
        <v>0</v>
      </c>
      <c r="W88" s="203">
        <f t="shared" si="13"/>
        <v>0</v>
      </c>
    </row>
    <row r="89" spans="1:23" x14ac:dyDescent="0.35">
      <c r="A89" s="216" t="str">
        <f t="shared" si="12"/>
        <v>lundi</v>
      </c>
      <c r="B89" s="217">
        <v>44641</v>
      </c>
      <c r="C89" s="202">
        <v>0</v>
      </c>
      <c r="D89" s="202">
        <v>117</v>
      </c>
      <c r="E89" s="202">
        <v>134</v>
      </c>
      <c r="F89" s="202">
        <v>134</v>
      </c>
      <c r="G89" s="202">
        <v>165</v>
      </c>
      <c r="H89" s="202">
        <v>131</v>
      </c>
      <c r="I89" s="202">
        <v>124</v>
      </c>
      <c r="J89" s="202">
        <v>97</v>
      </c>
      <c r="K89" s="202">
        <v>79</v>
      </c>
      <c r="L89" s="202">
        <v>38</v>
      </c>
      <c r="M89" s="202">
        <v>15</v>
      </c>
      <c r="N89" s="202">
        <v>54</v>
      </c>
      <c r="O89" s="202">
        <v>87</v>
      </c>
      <c r="P89" s="202">
        <v>92</v>
      </c>
      <c r="Q89" s="202">
        <v>87</v>
      </c>
      <c r="R89" s="202">
        <v>89</v>
      </c>
      <c r="S89" s="202">
        <v>70</v>
      </c>
      <c r="T89" s="202">
        <v>60</v>
      </c>
      <c r="U89" s="202">
        <v>46</v>
      </c>
      <c r="V89" s="202">
        <v>0</v>
      </c>
      <c r="W89" s="203">
        <f t="shared" si="13"/>
        <v>1619</v>
      </c>
    </row>
    <row r="90" spans="1:23" x14ac:dyDescent="0.35">
      <c r="A90" s="216" t="str">
        <f t="shared" si="12"/>
        <v>mardi</v>
      </c>
      <c r="B90" s="217">
        <v>44642</v>
      </c>
      <c r="C90" s="202">
        <v>0</v>
      </c>
      <c r="D90" s="202">
        <v>105</v>
      </c>
      <c r="E90" s="202">
        <v>98</v>
      </c>
      <c r="F90" s="202">
        <v>109</v>
      </c>
      <c r="G90" s="202">
        <v>119</v>
      </c>
      <c r="H90" s="202">
        <v>120</v>
      </c>
      <c r="I90" s="202">
        <v>117</v>
      </c>
      <c r="J90" s="202">
        <v>110</v>
      </c>
      <c r="K90" s="202">
        <v>73</v>
      </c>
      <c r="L90" s="202">
        <v>24</v>
      </c>
      <c r="M90" s="202">
        <v>31</v>
      </c>
      <c r="N90" s="202">
        <v>71</v>
      </c>
      <c r="O90" s="202">
        <v>63</v>
      </c>
      <c r="P90" s="202">
        <v>86</v>
      </c>
      <c r="Q90" s="202">
        <v>89</v>
      </c>
      <c r="R90" s="202">
        <v>81</v>
      </c>
      <c r="S90" s="202">
        <v>90</v>
      </c>
      <c r="T90" s="202">
        <v>47</v>
      </c>
      <c r="U90" s="202">
        <v>65</v>
      </c>
      <c r="V90" s="202">
        <v>0</v>
      </c>
      <c r="W90" s="203">
        <f t="shared" si="13"/>
        <v>1498</v>
      </c>
    </row>
    <row r="91" spans="1:23" x14ac:dyDescent="0.35">
      <c r="A91" s="216" t="str">
        <f t="shared" si="12"/>
        <v>mercredi</v>
      </c>
      <c r="B91" s="217">
        <v>44643</v>
      </c>
      <c r="C91" s="202">
        <v>0</v>
      </c>
      <c r="D91" s="202">
        <v>80</v>
      </c>
      <c r="E91" s="202">
        <v>112</v>
      </c>
      <c r="F91" s="202">
        <v>111</v>
      </c>
      <c r="G91" s="202">
        <v>102</v>
      </c>
      <c r="H91" s="202">
        <v>97</v>
      </c>
      <c r="I91" s="202">
        <v>86</v>
      </c>
      <c r="J91" s="202">
        <v>91</v>
      </c>
      <c r="K91" s="202">
        <v>70</v>
      </c>
      <c r="L91" s="202">
        <v>31</v>
      </c>
      <c r="M91" s="202">
        <v>20</v>
      </c>
      <c r="N91" s="202">
        <v>34</v>
      </c>
      <c r="O91" s="202">
        <v>70</v>
      </c>
      <c r="P91" s="202">
        <v>84</v>
      </c>
      <c r="Q91" s="202">
        <v>69</v>
      </c>
      <c r="R91" s="202">
        <v>73</v>
      </c>
      <c r="S91" s="202">
        <v>54</v>
      </c>
      <c r="T91" s="202">
        <v>65</v>
      </c>
      <c r="U91" s="202">
        <v>37</v>
      </c>
      <c r="V91" s="202">
        <v>0</v>
      </c>
      <c r="W91" s="203">
        <f t="shared" si="13"/>
        <v>1286</v>
      </c>
    </row>
    <row r="92" spans="1:23" x14ac:dyDescent="0.35">
      <c r="A92" s="216" t="str">
        <f t="shared" si="12"/>
        <v>jeudi</v>
      </c>
      <c r="B92" s="217">
        <v>44644</v>
      </c>
      <c r="C92" s="202">
        <v>0</v>
      </c>
      <c r="D92" s="202">
        <v>92</v>
      </c>
      <c r="E92" s="202">
        <v>99</v>
      </c>
      <c r="F92" s="202">
        <v>115</v>
      </c>
      <c r="G92" s="202">
        <v>94</v>
      </c>
      <c r="H92" s="202">
        <v>92</v>
      </c>
      <c r="I92" s="202">
        <v>79</v>
      </c>
      <c r="J92" s="202">
        <v>90</v>
      </c>
      <c r="K92" s="202">
        <v>65</v>
      </c>
      <c r="L92" s="202">
        <v>23</v>
      </c>
      <c r="M92" s="202">
        <v>21</v>
      </c>
      <c r="N92" s="202">
        <v>47</v>
      </c>
      <c r="O92" s="202">
        <v>66</v>
      </c>
      <c r="P92" s="202">
        <v>63</v>
      </c>
      <c r="Q92" s="202">
        <v>66</v>
      </c>
      <c r="R92" s="202">
        <v>64</v>
      </c>
      <c r="S92" s="202">
        <v>72</v>
      </c>
      <c r="T92" s="202">
        <v>61</v>
      </c>
      <c r="U92" s="202">
        <v>28</v>
      </c>
      <c r="V92" s="202">
        <v>0</v>
      </c>
      <c r="W92" s="203">
        <f t="shared" si="13"/>
        <v>1237</v>
      </c>
    </row>
    <row r="93" spans="1:23" x14ac:dyDescent="0.35">
      <c r="A93" s="216" t="str">
        <f t="shared" si="12"/>
        <v>vendredi</v>
      </c>
      <c r="B93" s="217">
        <v>44645</v>
      </c>
      <c r="C93" s="202">
        <v>0</v>
      </c>
      <c r="D93" s="202">
        <v>82</v>
      </c>
      <c r="E93" s="202">
        <v>98</v>
      </c>
      <c r="F93" s="202">
        <v>99</v>
      </c>
      <c r="G93" s="202">
        <v>100</v>
      </c>
      <c r="H93" s="202">
        <v>73</v>
      </c>
      <c r="I93" s="202">
        <v>80</v>
      </c>
      <c r="J93" s="202">
        <v>74</v>
      </c>
      <c r="K93" s="202">
        <v>50</v>
      </c>
      <c r="L93" s="202">
        <v>24</v>
      </c>
      <c r="M93" s="202">
        <v>15</v>
      </c>
      <c r="N93" s="202">
        <v>28</v>
      </c>
      <c r="O93" s="202">
        <v>58</v>
      </c>
      <c r="P93" s="202">
        <v>50</v>
      </c>
      <c r="Q93" s="202">
        <v>61</v>
      </c>
      <c r="R93" s="202">
        <v>47</v>
      </c>
      <c r="S93" s="202">
        <v>53</v>
      </c>
      <c r="T93" s="202">
        <v>29</v>
      </c>
      <c r="U93" s="202">
        <v>30</v>
      </c>
      <c r="V93" s="202">
        <v>0</v>
      </c>
      <c r="W93" s="203">
        <f t="shared" si="13"/>
        <v>1051</v>
      </c>
    </row>
    <row r="94" spans="1:23" x14ac:dyDescent="0.35">
      <c r="A94" s="216" t="str">
        <f t="shared" si="12"/>
        <v>samedi</v>
      </c>
      <c r="B94" s="217">
        <v>44646</v>
      </c>
      <c r="C94" s="202">
        <v>0</v>
      </c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2"/>
      <c r="P94" s="202"/>
      <c r="Q94" s="202"/>
      <c r="R94" s="202"/>
      <c r="S94" s="202"/>
      <c r="T94" s="202"/>
      <c r="U94" s="202"/>
      <c r="V94" s="202">
        <v>0</v>
      </c>
      <c r="W94" s="203">
        <f t="shared" si="13"/>
        <v>0</v>
      </c>
    </row>
    <row r="95" spans="1:23" x14ac:dyDescent="0.35">
      <c r="A95" s="216" t="str">
        <f t="shared" si="12"/>
        <v>dimanche</v>
      </c>
      <c r="B95" s="217">
        <v>44647</v>
      </c>
      <c r="C95" s="202">
        <v>0</v>
      </c>
      <c r="D95" s="202"/>
      <c r="E95" s="202"/>
      <c r="F95" s="202"/>
      <c r="G95" s="202"/>
      <c r="H95" s="202"/>
      <c r="I95" s="202"/>
      <c r="J95" s="202"/>
      <c r="K95" s="202"/>
      <c r="L95" s="202"/>
      <c r="M95" s="202"/>
      <c r="N95" s="202"/>
      <c r="O95" s="202"/>
      <c r="P95" s="202"/>
      <c r="Q95" s="202"/>
      <c r="R95" s="202"/>
      <c r="S95" s="202"/>
      <c r="T95" s="202"/>
      <c r="U95" s="202"/>
      <c r="V95" s="202">
        <v>0</v>
      </c>
      <c r="W95" s="203">
        <f t="shared" si="13"/>
        <v>0</v>
      </c>
    </row>
    <row r="96" spans="1:23" x14ac:dyDescent="0.35">
      <c r="A96" s="216" t="str">
        <f t="shared" si="12"/>
        <v>lundi</v>
      </c>
      <c r="B96" s="217">
        <v>44648</v>
      </c>
      <c r="C96" s="202">
        <v>0</v>
      </c>
      <c r="D96" s="202">
        <v>109</v>
      </c>
      <c r="E96" s="202">
        <v>148</v>
      </c>
      <c r="F96" s="202">
        <v>136</v>
      </c>
      <c r="G96" s="202">
        <v>152</v>
      </c>
      <c r="H96" s="202">
        <v>141</v>
      </c>
      <c r="I96" s="202">
        <v>126</v>
      </c>
      <c r="J96" s="202">
        <v>99</v>
      </c>
      <c r="K96" s="202">
        <v>77</v>
      </c>
      <c r="L96" s="202">
        <v>29</v>
      </c>
      <c r="M96" s="202">
        <v>29</v>
      </c>
      <c r="N96" s="202">
        <v>50</v>
      </c>
      <c r="O96" s="202">
        <v>86</v>
      </c>
      <c r="P96" s="202">
        <v>112</v>
      </c>
      <c r="Q96" s="202">
        <v>98</v>
      </c>
      <c r="R96" s="202">
        <v>65</v>
      </c>
      <c r="S96" s="202">
        <v>76</v>
      </c>
      <c r="T96" s="202">
        <v>76</v>
      </c>
      <c r="U96" s="202">
        <v>52</v>
      </c>
      <c r="V96" s="202">
        <v>0</v>
      </c>
      <c r="W96" s="203">
        <f t="shared" si="13"/>
        <v>1661</v>
      </c>
    </row>
    <row r="97" spans="1:23" x14ac:dyDescent="0.35">
      <c r="A97" s="216" t="str">
        <f t="shared" si="12"/>
        <v>mardi</v>
      </c>
      <c r="B97" s="217">
        <v>44649</v>
      </c>
      <c r="C97" s="202">
        <v>0</v>
      </c>
      <c r="D97" s="202">
        <v>106</v>
      </c>
      <c r="E97" s="202">
        <v>123</v>
      </c>
      <c r="F97" s="202">
        <v>145</v>
      </c>
      <c r="G97" s="202">
        <v>147</v>
      </c>
      <c r="H97" s="202">
        <v>122</v>
      </c>
      <c r="I97" s="202">
        <v>123</v>
      </c>
      <c r="J97" s="202">
        <v>99</v>
      </c>
      <c r="K97" s="202">
        <v>86</v>
      </c>
      <c r="L97" s="202">
        <v>26</v>
      </c>
      <c r="M97" s="202">
        <v>27</v>
      </c>
      <c r="N97" s="202">
        <v>49</v>
      </c>
      <c r="O97" s="202">
        <v>83</v>
      </c>
      <c r="P97" s="202">
        <v>88</v>
      </c>
      <c r="Q97" s="202">
        <v>113</v>
      </c>
      <c r="R97" s="202">
        <v>116</v>
      </c>
      <c r="S97" s="202">
        <v>79</v>
      </c>
      <c r="T97" s="202">
        <v>66</v>
      </c>
      <c r="U97" s="202">
        <v>53</v>
      </c>
      <c r="V97" s="202">
        <v>0</v>
      </c>
      <c r="W97" s="203">
        <f t="shared" si="13"/>
        <v>1651</v>
      </c>
    </row>
    <row r="98" spans="1:23" x14ac:dyDescent="0.35">
      <c r="A98" s="216" t="str">
        <f t="shared" si="12"/>
        <v>mercredi</v>
      </c>
      <c r="B98" s="217">
        <v>44650</v>
      </c>
      <c r="C98" s="202">
        <v>0</v>
      </c>
      <c r="D98" s="202">
        <v>77</v>
      </c>
      <c r="E98" s="202">
        <v>110</v>
      </c>
      <c r="F98" s="202">
        <v>108</v>
      </c>
      <c r="G98" s="202">
        <v>111</v>
      </c>
      <c r="H98" s="202">
        <v>118</v>
      </c>
      <c r="I98" s="202">
        <v>117</v>
      </c>
      <c r="J98" s="202">
        <v>65</v>
      </c>
      <c r="K98" s="202">
        <v>81</v>
      </c>
      <c r="L98" s="202">
        <v>43</v>
      </c>
      <c r="M98" s="202">
        <v>26</v>
      </c>
      <c r="N98" s="202">
        <v>41</v>
      </c>
      <c r="O98" s="202">
        <v>73</v>
      </c>
      <c r="P98" s="202">
        <v>117</v>
      </c>
      <c r="Q98" s="202">
        <v>97</v>
      </c>
      <c r="R98" s="202">
        <v>67</v>
      </c>
      <c r="S98" s="202">
        <v>80</v>
      </c>
      <c r="T98" s="202">
        <v>83</v>
      </c>
      <c r="U98" s="202">
        <v>50</v>
      </c>
      <c r="V98" s="202">
        <v>0</v>
      </c>
      <c r="W98" s="203">
        <f t="shared" si="13"/>
        <v>1464</v>
      </c>
    </row>
    <row r="99" spans="1:23" x14ac:dyDescent="0.35">
      <c r="A99" s="216" t="str">
        <f t="shared" si="12"/>
        <v>jeudi</v>
      </c>
      <c r="B99" s="217">
        <v>44651</v>
      </c>
      <c r="C99" s="202">
        <v>0</v>
      </c>
      <c r="D99" s="202">
        <v>60</v>
      </c>
      <c r="E99" s="202">
        <v>107</v>
      </c>
      <c r="F99" s="202">
        <v>114</v>
      </c>
      <c r="G99" s="202">
        <v>105</v>
      </c>
      <c r="H99" s="202">
        <v>98</v>
      </c>
      <c r="I99" s="202">
        <v>89</v>
      </c>
      <c r="J99" s="202">
        <v>98</v>
      </c>
      <c r="K99" s="202">
        <v>55</v>
      </c>
      <c r="L99" s="202">
        <v>25</v>
      </c>
      <c r="M99" s="202">
        <v>16</v>
      </c>
      <c r="N99" s="202">
        <v>42</v>
      </c>
      <c r="O99" s="202">
        <v>73</v>
      </c>
      <c r="P99" s="202">
        <v>87</v>
      </c>
      <c r="Q99" s="202">
        <v>85</v>
      </c>
      <c r="R99" s="202">
        <v>76</v>
      </c>
      <c r="S99" s="202">
        <v>86</v>
      </c>
      <c r="T99" s="202">
        <v>77</v>
      </c>
      <c r="U99" s="202">
        <v>45</v>
      </c>
      <c r="V99" s="202">
        <v>0</v>
      </c>
      <c r="W99" s="203">
        <f t="shared" si="13"/>
        <v>1338</v>
      </c>
    </row>
    <row r="100" spans="1:23" x14ac:dyDescent="0.35">
      <c r="A100" s="216" t="str">
        <f t="shared" si="12"/>
        <v>vendredi</v>
      </c>
      <c r="B100" s="217">
        <v>44652</v>
      </c>
      <c r="C100" s="202">
        <v>0</v>
      </c>
      <c r="D100" s="202">
        <v>78</v>
      </c>
      <c r="E100" s="202">
        <v>86</v>
      </c>
      <c r="F100" s="202">
        <v>108</v>
      </c>
      <c r="G100" s="202">
        <v>109</v>
      </c>
      <c r="H100" s="202">
        <v>97</v>
      </c>
      <c r="I100" s="202">
        <v>106</v>
      </c>
      <c r="J100" s="202">
        <v>75</v>
      </c>
      <c r="K100" s="202">
        <v>59</v>
      </c>
      <c r="L100" s="202">
        <v>25</v>
      </c>
      <c r="M100" s="202">
        <v>24</v>
      </c>
      <c r="N100" s="202">
        <v>43</v>
      </c>
      <c r="O100" s="202">
        <v>51</v>
      </c>
      <c r="P100" s="202">
        <v>80</v>
      </c>
      <c r="Q100" s="202">
        <v>65</v>
      </c>
      <c r="R100" s="202">
        <v>43</v>
      </c>
      <c r="S100" s="202">
        <v>51</v>
      </c>
      <c r="T100" s="202">
        <v>51</v>
      </c>
      <c r="U100" s="202">
        <v>28</v>
      </c>
      <c r="V100" s="202">
        <v>0</v>
      </c>
      <c r="W100" s="203">
        <f t="shared" si="13"/>
        <v>1179</v>
      </c>
    </row>
    <row r="101" spans="1:23" x14ac:dyDescent="0.35">
      <c r="A101" s="216" t="str">
        <f t="shared" si="12"/>
        <v>samedi</v>
      </c>
      <c r="B101" s="217">
        <v>44653</v>
      </c>
      <c r="C101" s="202">
        <v>0</v>
      </c>
      <c r="D101" s="202"/>
      <c r="E101" s="202"/>
      <c r="F101" s="202"/>
      <c r="G101" s="202"/>
      <c r="H101" s="202"/>
      <c r="I101" s="202"/>
      <c r="J101" s="202"/>
      <c r="K101" s="202"/>
      <c r="L101" s="202"/>
      <c r="M101" s="202"/>
      <c r="N101" s="202"/>
      <c r="O101" s="202"/>
      <c r="P101" s="202"/>
      <c r="Q101" s="202"/>
      <c r="R101" s="202"/>
      <c r="S101" s="202"/>
      <c r="T101" s="202"/>
      <c r="U101" s="202"/>
      <c r="V101" s="202">
        <v>0</v>
      </c>
      <c r="W101" s="203">
        <f t="shared" si="13"/>
        <v>0</v>
      </c>
    </row>
    <row r="102" spans="1:23" x14ac:dyDescent="0.35">
      <c r="A102" s="216" t="str">
        <f t="shared" si="12"/>
        <v>dimanche</v>
      </c>
      <c r="B102" s="217">
        <v>44654</v>
      </c>
      <c r="C102" s="202">
        <v>0</v>
      </c>
      <c r="D102" s="202"/>
      <c r="E102" s="202"/>
      <c r="F102" s="202"/>
      <c r="G102" s="202"/>
      <c r="H102" s="202"/>
      <c r="I102" s="202"/>
      <c r="J102" s="202"/>
      <c r="K102" s="202"/>
      <c r="L102" s="202"/>
      <c r="M102" s="202"/>
      <c r="N102" s="202"/>
      <c r="O102" s="202"/>
      <c r="P102" s="202"/>
      <c r="Q102" s="202"/>
      <c r="R102" s="202"/>
      <c r="S102" s="202"/>
      <c r="T102" s="202"/>
      <c r="U102" s="202"/>
      <c r="V102" s="202">
        <v>0</v>
      </c>
      <c r="W102" s="203">
        <f t="shared" si="13"/>
        <v>0</v>
      </c>
    </row>
    <row r="103" spans="1:23" x14ac:dyDescent="0.35">
      <c r="A103" s="216" t="str">
        <f t="shared" si="12"/>
        <v>lundi</v>
      </c>
      <c r="B103" s="217">
        <v>44655</v>
      </c>
      <c r="C103" s="202">
        <v>0</v>
      </c>
      <c r="D103" s="202">
        <v>109</v>
      </c>
      <c r="E103" s="202">
        <v>135</v>
      </c>
      <c r="F103" s="202">
        <v>178</v>
      </c>
      <c r="G103" s="202">
        <v>154</v>
      </c>
      <c r="H103" s="202">
        <v>148</v>
      </c>
      <c r="I103" s="202">
        <v>141</v>
      </c>
      <c r="J103" s="202">
        <v>122</v>
      </c>
      <c r="K103" s="202">
        <v>89</v>
      </c>
      <c r="L103" s="202">
        <v>37</v>
      </c>
      <c r="M103" s="202">
        <v>35</v>
      </c>
      <c r="N103" s="202">
        <v>57</v>
      </c>
      <c r="O103" s="202">
        <v>97</v>
      </c>
      <c r="P103" s="202">
        <v>101</v>
      </c>
      <c r="Q103" s="202">
        <v>105</v>
      </c>
      <c r="R103" s="202">
        <v>84</v>
      </c>
      <c r="S103" s="202">
        <v>89</v>
      </c>
      <c r="T103" s="202">
        <v>74</v>
      </c>
      <c r="U103" s="202">
        <v>45</v>
      </c>
      <c r="V103" s="202">
        <v>0</v>
      </c>
      <c r="W103" s="203">
        <f t="shared" si="13"/>
        <v>1800</v>
      </c>
    </row>
    <row r="104" spans="1:23" x14ac:dyDescent="0.35">
      <c r="A104" s="216" t="str">
        <f t="shared" si="12"/>
        <v>mardi</v>
      </c>
      <c r="B104" s="217">
        <v>44656</v>
      </c>
      <c r="C104" s="202">
        <v>0</v>
      </c>
      <c r="D104" s="202">
        <v>90</v>
      </c>
      <c r="E104" s="202">
        <v>95</v>
      </c>
      <c r="F104" s="202">
        <v>121</v>
      </c>
      <c r="G104" s="202">
        <v>84</v>
      </c>
      <c r="H104" s="202">
        <v>133</v>
      </c>
      <c r="I104" s="202">
        <v>115</v>
      </c>
      <c r="J104" s="202">
        <v>96</v>
      </c>
      <c r="K104" s="202">
        <v>65</v>
      </c>
      <c r="L104" s="202">
        <v>32</v>
      </c>
      <c r="M104" s="202">
        <v>38</v>
      </c>
      <c r="N104" s="202">
        <v>53</v>
      </c>
      <c r="O104" s="202">
        <v>89</v>
      </c>
      <c r="P104" s="202">
        <v>85</v>
      </c>
      <c r="Q104" s="202">
        <v>103</v>
      </c>
      <c r="R104" s="202">
        <v>74</v>
      </c>
      <c r="S104" s="202">
        <v>92</v>
      </c>
      <c r="T104" s="202">
        <v>66</v>
      </c>
      <c r="U104" s="202">
        <v>50</v>
      </c>
      <c r="V104" s="202">
        <v>0</v>
      </c>
      <c r="W104" s="203">
        <f t="shared" si="13"/>
        <v>1481</v>
      </c>
    </row>
    <row r="105" spans="1:23" x14ac:dyDescent="0.35">
      <c r="A105" s="216" t="str">
        <f t="shared" si="12"/>
        <v>mercredi</v>
      </c>
      <c r="B105" s="217">
        <v>44657</v>
      </c>
      <c r="C105" s="202">
        <v>0</v>
      </c>
      <c r="D105" s="202">
        <v>81</v>
      </c>
      <c r="E105" s="202">
        <v>86</v>
      </c>
      <c r="F105" s="202">
        <v>115</v>
      </c>
      <c r="G105" s="202">
        <v>104</v>
      </c>
      <c r="H105" s="202">
        <v>118</v>
      </c>
      <c r="I105" s="202">
        <v>103</v>
      </c>
      <c r="J105" s="202">
        <v>103</v>
      </c>
      <c r="K105" s="202">
        <v>76</v>
      </c>
      <c r="L105" s="202">
        <v>36</v>
      </c>
      <c r="M105" s="202">
        <v>20</v>
      </c>
      <c r="N105" s="202">
        <v>56</v>
      </c>
      <c r="O105" s="202">
        <v>143</v>
      </c>
      <c r="P105" s="202">
        <v>159</v>
      </c>
      <c r="Q105" s="202">
        <v>149</v>
      </c>
      <c r="R105" s="202">
        <v>174</v>
      </c>
      <c r="S105" s="202">
        <v>174</v>
      </c>
      <c r="T105" s="202">
        <v>121</v>
      </c>
      <c r="U105" s="202">
        <v>91</v>
      </c>
      <c r="V105" s="202">
        <v>0</v>
      </c>
      <c r="W105" s="203">
        <f t="shared" si="13"/>
        <v>1909</v>
      </c>
    </row>
    <row r="106" spans="1:23" x14ac:dyDescent="0.35">
      <c r="A106" s="216" t="str">
        <f t="shared" si="12"/>
        <v>jeudi</v>
      </c>
      <c r="B106" s="217">
        <v>44658</v>
      </c>
      <c r="C106" s="202">
        <v>0</v>
      </c>
      <c r="D106" s="202">
        <v>136</v>
      </c>
      <c r="E106" s="202">
        <v>154</v>
      </c>
      <c r="F106" s="202">
        <v>184</v>
      </c>
      <c r="G106" s="202">
        <v>149</v>
      </c>
      <c r="H106" s="202">
        <v>122</v>
      </c>
      <c r="I106" s="202">
        <v>147</v>
      </c>
      <c r="J106" s="202">
        <v>122</v>
      </c>
      <c r="K106" s="202">
        <v>91</v>
      </c>
      <c r="L106" s="202">
        <v>47</v>
      </c>
      <c r="M106" s="202">
        <v>42</v>
      </c>
      <c r="N106" s="202">
        <v>51</v>
      </c>
      <c r="O106" s="202">
        <v>86</v>
      </c>
      <c r="P106" s="202">
        <v>90</v>
      </c>
      <c r="Q106" s="202">
        <v>100</v>
      </c>
      <c r="R106" s="202">
        <v>99</v>
      </c>
      <c r="S106" s="202">
        <v>106</v>
      </c>
      <c r="T106" s="202">
        <v>103</v>
      </c>
      <c r="U106" s="202">
        <v>96</v>
      </c>
      <c r="V106" s="202">
        <v>0</v>
      </c>
      <c r="W106" s="203">
        <f t="shared" si="13"/>
        <v>1925</v>
      </c>
    </row>
    <row r="107" spans="1:23" x14ac:dyDescent="0.35">
      <c r="A107" s="216" t="str">
        <f t="shared" si="12"/>
        <v>vendredi</v>
      </c>
      <c r="B107" s="217">
        <v>44659</v>
      </c>
      <c r="C107" s="202">
        <v>0</v>
      </c>
      <c r="D107" s="202">
        <v>90</v>
      </c>
      <c r="E107" s="202">
        <v>109</v>
      </c>
      <c r="F107" s="202">
        <v>131</v>
      </c>
      <c r="G107" s="202">
        <v>153</v>
      </c>
      <c r="H107" s="202">
        <v>114</v>
      </c>
      <c r="I107" s="202">
        <v>99</v>
      </c>
      <c r="J107" s="202">
        <v>89</v>
      </c>
      <c r="K107" s="202">
        <v>44</v>
      </c>
      <c r="L107" s="202">
        <v>31</v>
      </c>
      <c r="M107" s="202">
        <v>18</v>
      </c>
      <c r="N107" s="202">
        <v>40</v>
      </c>
      <c r="O107" s="202">
        <v>51</v>
      </c>
      <c r="P107" s="202">
        <v>75</v>
      </c>
      <c r="Q107" s="202">
        <v>120</v>
      </c>
      <c r="R107" s="202">
        <v>128</v>
      </c>
      <c r="S107" s="202">
        <v>83</v>
      </c>
      <c r="T107" s="202">
        <v>80</v>
      </c>
      <c r="U107" s="202">
        <v>63</v>
      </c>
      <c r="V107" s="202">
        <v>0</v>
      </c>
      <c r="W107" s="203">
        <f t="shared" si="13"/>
        <v>1518</v>
      </c>
    </row>
    <row r="108" spans="1:23" x14ac:dyDescent="0.35">
      <c r="A108" s="216" t="str">
        <f t="shared" si="12"/>
        <v>samedi</v>
      </c>
      <c r="B108" s="217">
        <v>44660</v>
      </c>
      <c r="C108" s="202">
        <v>0</v>
      </c>
      <c r="D108" s="202"/>
      <c r="E108" s="202"/>
      <c r="F108" s="202"/>
      <c r="G108" s="202"/>
      <c r="H108" s="202"/>
      <c r="I108" s="202"/>
      <c r="J108" s="202"/>
      <c r="K108" s="202"/>
      <c r="L108" s="202"/>
      <c r="M108" s="202"/>
      <c r="N108" s="202"/>
      <c r="O108" s="202"/>
      <c r="P108" s="202"/>
      <c r="Q108" s="202"/>
      <c r="R108" s="202"/>
      <c r="S108" s="202"/>
      <c r="T108" s="202"/>
      <c r="U108" s="202"/>
      <c r="V108" s="202">
        <v>0</v>
      </c>
      <c r="W108" s="203">
        <f t="shared" si="13"/>
        <v>0</v>
      </c>
    </row>
    <row r="109" spans="1:23" x14ac:dyDescent="0.35">
      <c r="A109" s="216" t="str">
        <f t="shared" si="12"/>
        <v>dimanche</v>
      </c>
      <c r="B109" s="217">
        <v>44661</v>
      </c>
      <c r="C109" s="202">
        <v>0</v>
      </c>
      <c r="D109" s="202"/>
      <c r="E109" s="202"/>
      <c r="F109" s="202"/>
      <c r="G109" s="202"/>
      <c r="H109" s="202"/>
      <c r="I109" s="202"/>
      <c r="J109" s="202"/>
      <c r="K109" s="202"/>
      <c r="L109" s="202"/>
      <c r="M109" s="202"/>
      <c r="N109" s="202"/>
      <c r="O109" s="202"/>
      <c r="P109" s="202"/>
      <c r="Q109" s="202"/>
      <c r="R109" s="202"/>
      <c r="S109" s="202"/>
      <c r="T109" s="202"/>
      <c r="U109" s="202"/>
      <c r="V109" s="202">
        <v>0</v>
      </c>
      <c r="W109" s="203">
        <f t="shared" si="13"/>
        <v>0</v>
      </c>
    </row>
    <row r="110" spans="1:23" x14ac:dyDescent="0.35">
      <c r="A110" s="216" t="str">
        <f t="shared" si="12"/>
        <v>lundi</v>
      </c>
      <c r="B110" s="217">
        <v>44662</v>
      </c>
      <c r="C110" s="202">
        <v>0</v>
      </c>
      <c r="D110" s="202">
        <v>106</v>
      </c>
      <c r="E110" s="202">
        <v>127</v>
      </c>
      <c r="F110" s="202">
        <v>156</v>
      </c>
      <c r="G110" s="202">
        <v>140</v>
      </c>
      <c r="H110" s="202">
        <v>134</v>
      </c>
      <c r="I110" s="202">
        <v>134</v>
      </c>
      <c r="J110" s="202">
        <v>130</v>
      </c>
      <c r="K110" s="202">
        <v>77</v>
      </c>
      <c r="L110" s="202">
        <v>35</v>
      </c>
      <c r="M110" s="202">
        <v>29</v>
      </c>
      <c r="N110" s="202">
        <v>63</v>
      </c>
      <c r="O110" s="202">
        <v>84</v>
      </c>
      <c r="P110" s="202">
        <v>93</v>
      </c>
      <c r="Q110" s="202">
        <v>94</v>
      </c>
      <c r="R110" s="202">
        <v>87</v>
      </c>
      <c r="S110" s="202">
        <v>91</v>
      </c>
      <c r="T110" s="202">
        <v>81</v>
      </c>
      <c r="U110" s="202">
        <v>60</v>
      </c>
      <c r="V110" s="202">
        <v>0</v>
      </c>
      <c r="W110" s="203">
        <f t="shared" si="13"/>
        <v>1721</v>
      </c>
    </row>
    <row r="111" spans="1:23" x14ac:dyDescent="0.35">
      <c r="A111" s="216" t="str">
        <f t="shared" si="12"/>
        <v>mardi</v>
      </c>
      <c r="B111" s="217">
        <v>44663</v>
      </c>
      <c r="C111" s="202">
        <v>0</v>
      </c>
      <c r="D111" s="202">
        <v>82</v>
      </c>
      <c r="E111" s="202">
        <v>114</v>
      </c>
      <c r="F111" s="202">
        <v>130</v>
      </c>
      <c r="G111" s="202">
        <v>150</v>
      </c>
      <c r="H111" s="202">
        <v>120</v>
      </c>
      <c r="I111" s="202">
        <v>154</v>
      </c>
      <c r="J111" s="202">
        <v>127</v>
      </c>
      <c r="K111" s="202">
        <v>80</v>
      </c>
      <c r="L111" s="202">
        <v>37</v>
      </c>
      <c r="M111" s="202">
        <v>23</v>
      </c>
      <c r="N111" s="202">
        <v>50</v>
      </c>
      <c r="O111" s="202">
        <v>66</v>
      </c>
      <c r="P111" s="202">
        <v>79</v>
      </c>
      <c r="Q111" s="202">
        <v>104</v>
      </c>
      <c r="R111" s="202">
        <v>87</v>
      </c>
      <c r="S111" s="202">
        <v>99</v>
      </c>
      <c r="T111" s="202">
        <v>94</v>
      </c>
      <c r="U111" s="202">
        <v>50</v>
      </c>
      <c r="V111" s="202">
        <v>0</v>
      </c>
      <c r="W111" s="203">
        <f t="shared" si="13"/>
        <v>1646</v>
      </c>
    </row>
    <row r="112" spans="1:23" x14ac:dyDescent="0.35">
      <c r="A112" s="216" t="str">
        <f t="shared" si="12"/>
        <v>mercredi</v>
      </c>
      <c r="B112" s="217">
        <v>44664</v>
      </c>
      <c r="C112" s="202">
        <v>0</v>
      </c>
      <c r="D112" s="202">
        <v>95</v>
      </c>
      <c r="E112" s="202">
        <v>95</v>
      </c>
      <c r="F112" s="202">
        <v>108</v>
      </c>
      <c r="G112" s="202">
        <v>98</v>
      </c>
      <c r="H112" s="202">
        <v>78</v>
      </c>
      <c r="I112" s="202">
        <v>95</v>
      </c>
      <c r="J112" s="202">
        <v>73</v>
      </c>
      <c r="K112" s="202">
        <v>57</v>
      </c>
      <c r="L112" s="202">
        <v>13</v>
      </c>
      <c r="M112" s="202">
        <v>12</v>
      </c>
      <c r="N112" s="202">
        <v>42</v>
      </c>
      <c r="O112" s="202">
        <v>76</v>
      </c>
      <c r="P112" s="202">
        <v>78</v>
      </c>
      <c r="Q112" s="202">
        <v>65</v>
      </c>
      <c r="R112" s="202">
        <v>72</v>
      </c>
      <c r="S112" s="202">
        <v>82</v>
      </c>
      <c r="T112" s="202">
        <v>37</v>
      </c>
      <c r="U112" s="202">
        <v>39</v>
      </c>
      <c r="V112" s="202">
        <v>0</v>
      </c>
      <c r="W112" s="203">
        <f t="shared" si="13"/>
        <v>1215</v>
      </c>
    </row>
    <row r="113" spans="1:23" x14ac:dyDescent="0.35">
      <c r="A113" s="216" t="str">
        <f t="shared" si="12"/>
        <v>jeudi</v>
      </c>
      <c r="B113" s="217">
        <v>44665</v>
      </c>
      <c r="C113" s="202">
        <v>0</v>
      </c>
      <c r="D113" s="202">
        <v>91</v>
      </c>
      <c r="E113" s="202">
        <v>98</v>
      </c>
      <c r="F113" s="202">
        <v>109</v>
      </c>
      <c r="G113" s="202">
        <v>100</v>
      </c>
      <c r="H113" s="202">
        <v>110</v>
      </c>
      <c r="I113" s="202">
        <v>104</v>
      </c>
      <c r="J113" s="202">
        <v>94</v>
      </c>
      <c r="K113" s="202">
        <v>71</v>
      </c>
      <c r="L113" s="202">
        <v>32</v>
      </c>
      <c r="M113" s="202">
        <v>20</v>
      </c>
      <c r="N113" s="202">
        <v>45</v>
      </c>
      <c r="O113" s="202">
        <v>76</v>
      </c>
      <c r="P113" s="202">
        <v>80</v>
      </c>
      <c r="Q113" s="202">
        <v>73</v>
      </c>
      <c r="R113" s="202">
        <v>74</v>
      </c>
      <c r="S113" s="202">
        <v>68</v>
      </c>
      <c r="T113" s="202">
        <v>70</v>
      </c>
      <c r="U113" s="202">
        <v>54</v>
      </c>
      <c r="V113" s="202">
        <v>0</v>
      </c>
      <c r="W113" s="203">
        <f t="shared" si="13"/>
        <v>1369</v>
      </c>
    </row>
    <row r="114" spans="1:23" x14ac:dyDescent="0.35">
      <c r="A114" s="216" t="str">
        <f t="shared" si="12"/>
        <v>vendredi</v>
      </c>
      <c r="B114" s="217">
        <v>44666</v>
      </c>
      <c r="C114" s="202">
        <v>0</v>
      </c>
      <c r="D114" s="202">
        <v>66</v>
      </c>
      <c r="E114" s="202">
        <v>72</v>
      </c>
      <c r="F114" s="202">
        <v>89</v>
      </c>
      <c r="G114" s="202">
        <v>82</v>
      </c>
      <c r="H114" s="202">
        <v>69</v>
      </c>
      <c r="I114" s="202">
        <v>78</v>
      </c>
      <c r="J114" s="202">
        <v>65</v>
      </c>
      <c r="K114" s="202">
        <v>37</v>
      </c>
      <c r="L114" s="202">
        <v>28</v>
      </c>
      <c r="M114" s="202">
        <v>17</v>
      </c>
      <c r="N114" s="202">
        <v>28</v>
      </c>
      <c r="O114" s="202">
        <v>31</v>
      </c>
      <c r="P114" s="202">
        <v>41</v>
      </c>
      <c r="Q114" s="202">
        <v>50</v>
      </c>
      <c r="R114" s="202">
        <v>45</v>
      </c>
      <c r="S114" s="202">
        <v>51</v>
      </c>
      <c r="T114" s="202">
        <v>35</v>
      </c>
      <c r="U114" s="202">
        <v>29</v>
      </c>
      <c r="V114" s="202">
        <v>0</v>
      </c>
      <c r="W114" s="203">
        <f t="shared" si="13"/>
        <v>913</v>
      </c>
    </row>
    <row r="115" spans="1:23" x14ac:dyDescent="0.35">
      <c r="A115" s="216" t="str">
        <f t="shared" si="12"/>
        <v>samedi</v>
      </c>
      <c r="B115" s="217">
        <v>44667</v>
      </c>
      <c r="C115" s="202">
        <v>0</v>
      </c>
      <c r="D115" s="202"/>
      <c r="E115" s="202"/>
      <c r="F115" s="202"/>
      <c r="G115" s="202"/>
      <c r="H115" s="202"/>
      <c r="I115" s="202"/>
      <c r="J115" s="202"/>
      <c r="K115" s="202"/>
      <c r="L115" s="202"/>
      <c r="M115" s="202"/>
      <c r="N115" s="202"/>
      <c r="O115" s="202"/>
      <c r="P115" s="202"/>
      <c r="Q115" s="202"/>
      <c r="R115" s="202"/>
      <c r="S115" s="202"/>
      <c r="T115" s="202"/>
      <c r="U115" s="202"/>
      <c r="V115" s="202">
        <v>0</v>
      </c>
      <c r="W115" s="203">
        <f t="shared" si="13"/>
        <v>0</v>
      </c>
    </row>
    <row r="116" spans="1:23" x14ac:dyDescent="0.35">
      <c r="A116" s="216" t="str">
        <f t="shared" si="12"/>
        <v>dimanche</v>
      </c>
      <c r="B116" s="217">
        <v>44668</v>
      </c>
      <c r="C116" s="202">
        <v>0</v>
      </c>
      <c r="D116" s="202"/>
      <c r="E116" s="202"/>
      <c r="F116" s="202"/>
      <c r="G116" s="202"/>
      <c r="H116" s="202"/>
      <c r="I116" s="202"/>
      <c r="J116" s="202"/>
      <c r="K116" s="202"/>
      <c r="L116" s="202"/>
      <c r="M116" s="202"/>
      <c r="N116" s="202"/>
      <c r="O116" s="202"/>
      <c r="P116" s="202"/>
      <c r="Q116" s="202"/>
      <c r="R116" s="202"/>
      <c r="S116" s="202"/>
      <c r="T116" s="202"/>
      <c r="U116" s="202"/>
      <c r="V116" s="202">
        <v>0</v>
      </c>
      <c r="W116" s="203">
        <f t="shared" si="13"/>
        <v>0</v>
      </c>
    </row>
    <row r="117" spans="1:23" x14ac:dyDescent="0.35">
      <c r="A117" s="216" t="str">
        <f t="shared" si="12"/>
        <v>lundi</v>
      </c>
      <c r="B117" s="217">
        <v>44669</v>
      </c>
      <c r="C117" s="202">
        <v>0</v>
      </c>
      <c r="D117" s="202"/>
      <c r="E117" s="202"/>
      <c r="F117" s="202"/>
      <c r="G117" s="202"/>
      <c r="H117" s="202"/>
      <c r="I117" s="202"/>
      <c r="J117" s="202"/>
      <c r="K117" s="202"/>
      <c r="L117" s="202"/>
      <c r="M117" s="202"/>
      <c r="N117" s="202"/>
      <c r="O117" s="202"/>
      <c r="P117" s="202"/>
      <c r="Q117" s="202"/>
      <c r="R117" s="202"/>
      <c r="S117" s="202"/>
      <c r="T117" s="202"/>
      <c r="U117" s="202"/>
      <c r="V117" s="202">
        <v>0</v>
      </c>
      <c r="W117" s="203">
        <f t="shared" si="13"/>
        <v>0</v>
      </c>
    </row>
    <row r="118" spans="1:23" x14ac:dyDescent="0.35">
      <c r="A118" s="216" t="str">
        <f t="shared" si="12"/>
        <v>mardi</v>
      </c>
      <c r="B118" s="217">
        <v>44670</v>
      </c>
      <c r="C118" s="202">
        <v>0</v>
      </c>
      <c r="D118" s="202">
        <v>91</v>
      </c>
      <c r="E118" s="202">
        <v>130</v>
      </c>
      <c r="F118" s="202">
        <v>169</v>
      </c>
      <c r="G118" s="202">
        <v>159</v>
      </c>
      <c r="H118" s="202">
        <v>143</v>
      </c>
      <c r="I118" s="202">
        <v>143</v>
      </c>
      <c r="J118" s="202">
        <v>121</v>
      </c>
      <c r="K118" s="202">
        <v>98</v>
      </c>
      <c r="L118" s="202">
        <v>24</v>
      </c>
      <c r="M118" s="202">
        <v>27</v>
      </c>
      <c r="N118" s="202">
        <v>54</v>
      </c>
      <c r="O118" s="202">
        <v>112</v>
      </c>
      <c r="P118" s="202">
        <v>105</v>
      </c>
      <c r="Q118" s="202">
        <v>84</v>
      </c>
      <c r="R118" s="202">
        <v>90</v>
      </c>
      <c r="S118" s="202">
        <v>67</v>
      </c>
      <c r="T118" s="202">
        <v>56</v>
      </c>
      <c r="U118" s="202">
        <v>54</v>
      </c>
      <c r="V118" s="202">
        <v>0</v>
      </c>
      <c r="W118" s="203">
        <f t="shared" si="13"/>
        <v>1727</v>
      </c>
    </row>
    <row r="119" spans="1:23" x14ac:dyDescent="0.35">
      <c r="A119" s="216" t="str">
        <f t="shared" si="12"/>
        <v>mercredi</v>
      </c>
      <c r="B119" s="217">
        <v>44671</v>
      </c>
      <c r="C119" s="202">
        <v>0</v>
      </c>
      <c r="D119" s="202">
        <v>87</v>
      </c>
      <c r="E119" s="202">
        <v>102</v>
      </c>
      <c r="F119" s="202">
        <v>92</v>
      </c>
      <c r="G119" s="202">
        <v>110</v>
      </c>
      <c r="H119" s="202">
        <v>102</v>
      </c>
      <c r="I119" s="202">
        <v>86</v>
      </c>
      <c r="J119" s="202">
        <v>75</v>
      </c>
      <c r="K119" s="202">
        <v>65</v>
      </c>
      <c r="L119" s="202">
        <v>33</v>
      </c>
      <c r="M119" s="202">
        <v>16</v>
      </c>
      <c r="N119" s="202">
        <v>61</v>
      </c>
      <c r="O119" s="202">
        <v>71</v>
      </c>
      <c r="P119" s="202">
        <v>84</v>
      </c>
      <c r="Q119" s="202">
        <v>79</v>
      </c>
      <c r="R119" s="202">
        <v>66</v>
      </c>
      <c r="S119" s="202">
        <v>68</v>
      </c>
      <c r="T119" s="202">
        <v>66</v>
      </c>
      <c r="U119" s="202">
        <v>39</v>
      </c>
      <c r="V119" s="202">
        <v>0</v>
      </c>
      <c r="W119" s="203">
        <f t="shared" si="13"/>
        <v>1302</v>
      </c>
    </row>
    <row r="120" spans="1:23" x14ac:dyDescent="0.35">
      <c r="A120" s="216" t="str">
        <f t="shared" si="12"/>
        <v>jeudi</v>
      </c>
      <c r="B120" s="217">
        <v>44672</v>
      </c>
      <c r="C120" s="202">
        <v>0</v>
      </c>
      <c r="D120" s="202">
        <v>74</v>
      </c>
      <c r="E120" s="202">
        <v>95</v>
      </c>
      <c r="F120" s="202">
        <v>108</v>
      </c>
      <c r="G120" s="202">
        <v>106</v>
      </c>
      <c r="H120" s="202">
        <v>95</v>
      </c>
      <c r="I120" s="202">
        <v>91</v>
      </c>
      <c r="J120" s="202">
        <v>84</v>
      </c>
      <c r="K120" s="202">
        <v>72</v>
      </c>
      <c r="L120" s="202">
        <v>27</v>
      </c>
      <c r="M120" s="202">
        <v>17</v>
      </c>
      <c r="N120" s="202">
        <v>37</v>
      </c>
      <c r="O120" s="202">
        <v>52</v>
      </c>
      <c r="P120" s="202">
        <v>60</v>
      </c>
      <c r="Q120" s="202">
        <v>84</v>
      </c>
      <c r="R120" s="202">
        <v>56</v>
      </c>
      <c r="S120" s="202">
        <v>61</v>
      </c>
      <c r="T120" s="202">
        <v>61</v>
      </c>
      <c r="U120" s="202">
        <v>47</v>
      </c>
      <c r="V120" s="202">
        <v>0</v>
      </c>
      <c r="W120" s="203">
        <f t="shared" si="13"/>
        <v>1227</v>
      </c>
    </row>
    <row r="121" spans="1:23" x14ac:dyDescent="0.35">
      <c r="A121" s="216" t="str">
        <f t="shared" si="12"/>
        <v>vendredi</v>
      </c>
      <c r="B121" s="217">
        <v>44673</v>
      </c>
      <c r="C121" s="202">
        <v>0</v>
      </c>
      <c r="D121" s="202">
        <v>68</v>
      </c>
      <c r="E121" s="202">
        <v>87</v>
      </c>
      <c r="F121" s="202">
        <v>87</v>
      </c>
      <c r="G121" s="202">
        <v>77</v>
      </c>
      <c r="H121" s="202">
        <v>61</v>
      </c>
      <c r="I121" s="202">
        <v>70</v>
      </c>
      <c r="J121" s="202">
        <v>59</v>
      </c>
      <c r="K121" s="202">
        <v>45</v>
      </c>
      <c r="L121" s="202">
        <v>27</v>
      </c>
      <c r="M121" s="202">
        <v>14</v>
      </c>
      <c r="N121" s="202">
        <v>26</v>
      </c>
      <c r="O121" s="202">
        <v>52</v>
      </c>
      <c r="P121" s="202">
        <v>48</v>
      </c>
      <c r="Q121" s="202">
        <v>32</v>
      </c>
      <c r="R121" s="202">
        <v>38</v>
      </c>
      <c r="S121" s="202">
        <v>29</v>
      </c>
      <c r="T121" s="202">
        <v>32</v>
      </c>
      <c r="U121" s="202">
        <v>25</v>
      </c>
      <c r="V121" s="202">
        <v>0</v>
      </c>
      <c r="W121" s="203">
        <f t="shared" si="13"/>
        <v>877</v>
      </c>
    </row>
    <row r="122" spans="1:23" x14ac:dyDescent="0.35">
      <c r="A122" s="216" t="str">
        <f t="shared" si="12"/>
        <v>samedi</v>
      </c>
      <c r="B122" s="217">
        <v>44674</v>
      </c>
      <c r="C122" s="202">
        <v>0</v>
      </c>
      <c r="D122" s="202"/>
      <c r="E122" s="202"/>
      <c r="F122" s="202"/>
      <c r="G122" s="202"/>
      <c r="H122" s="202"/>
      <c r="I122" s="202"/>
      <c r="J122" s="202"/>
      <c r="K122" s="202"/>
      <c r="L122" s="202"/>
      <c r="M122" s="202"/>
      <c r="N122" s="202"/>
      <c r="O122" s="202"/>
      <c r="P122" s="202"/>
      <c r="Q122" s="202"/>
      <c r="R122" s="202"/>
      <c r="S122" s="202"/>
      <c r="T122" s="202"/>
      <c r="U122" s="202"/>
      <c r="V122" s="202">
        <v>0</v>
      </c>
      <c r="W122" s="203">
        <f t="shared" si="13"/>
        <v>0</v>
      </c>
    </row>
    <row r="123" spans="1:23" x14ac:dyDescent="0.35">
      <c r="A123" s="216" t="str">
        <f t="shared" si="12"/>
        <v>dimanche</v>
      </c>
      <c r="B123" s="217">
        <v>44675</v>
      </c>
      <c r="C123" s="202">
        <v>0</v>
      </c>
      <c r="D123" s="202"/>
      <c r="E123" s="202"/>
      <c r="F123" s="202"/>
      <c r="G123" s="202"/>
      <c r="H123" s="202"/>
      <c r="I123" s="202"/>
      <c r="J123" s="202"/>
      <c r="K123" s="202"/>
      <c r="L123" s="202"/>
      <c r="M123" s="202"/>
      <c r="N123" s="202"/>
      <c r="O123" s="202"/>
      <c r="P123" s="202"/>
      <c r="Q123" s="202"/>
      <c r="R123" s="202"/>
      <c r="S123" s="202"/>
      <c r="T123" s="202"/>
      <c r="U123" s="202"/>
      <c r="V123" s="202">
        <v>0</v>
      </c>
      <c r="W123" s="203">
        <f t="shared" si="13"/>
        <v>0</v>
      </c>
    </row>
    <row r="124" spans="1:23" x14ac:dyDescent="0.35">
      <c r="A124" s="216" t="str">
        <f t="shared" si="12"/>
        <v>lundi</v>
      </c>
      <c r="B124" s="217">
        <v>44676</v>
      </c>
      <c r="C124" s="202">
        <v>0</v>
      </c>
      <c r="D124" s="202">
        <v>88</v>
      </c>
      <c r="E124" s="202">
        <v>154</v>
      </c>
      <c r="F124" s="202">
        <v>160</v>
      </c>
      <c r="G124" s="202">
        <v>164</v>
      </c>
      <c r="H124" s="202">
        <v>256</v>
      </c>
      <c r="I124" s="202">
        <v>521</v>
      </c>
      <c r="J124" s="202">
        <v>362</v>
      </c>
      <c r="K124" s="202">
        <v>145</v>
      </c>
      <c r="L124" s="202">
        <v>48</v>
      </c>
      <c r="M124" s="202">
        <v>40</v>
      </c>
      <c r="N124" s="202">
        <v>87</v>
      </c>
      <c r="O124" s="202">
        <v>117</v>
      </c>
      <c r="P124" s="202">
        <v>96</v>
      </c>
      <c r="Q124" s="202">
        <v>105</v>
      </c>
      <c r="R124" s="202">
        <v>104</v>
      </c>
      <c r="S124" s="202">
        <v>79</v>
      </c>
      <c r="T124" s="202">
        <v>64</v>
      </c>
      <c r="U124" s="202">
        <v>40</v>
      </c>
      <c r="V124" s="202">
        <v>0</v>
      </c>
      <c r="W124" s="203">
        <f t="shared" si="13"/>
        <v>2630</v>
      </c>
    </row>
    <row r="125" spans="1:23" x14ac:dyDescent="0.35">
      <c r="A125" s="216" t="str">
        <f t="shared" si="12"/>
        <v>mardi</v>
      </c>
      <c r="B125" s="217">
        <v>44677</v>
      </c>
      <c r="C125" s="202">
        <v>0</v>
      </c>
      <c r="D125" s="202">
        <v>102</v>
      </c>
      <c r="E125" s="202">
        <v>105</v>
      </c>
      <c r="F125" s="202">
        <v>126</v>
      </c>
      <c r="G125" s="202">
        <v>127</v>
      </c>
      <c r="H125" s="202">
        <v>110</v>
      </c>
      <c r="I125" s="202">
        <v>113</v>
      </c>
      <c r="J125" s="202">
        <v>96</v>
      </c>
      <c r="K125" s="202">
        <v>57</v>
      </c>
      <c r="L125" s="202">
        <v>38</v>
      </c>
      <c r="M125" s="202">
        <v>19</v>
      </c>
      <c r="N125" s="202">
        <v>58</v>
      </c>
      <c r="O125" s="202">
        <v>76</v>
      </c>
      <c r="P125" s="202">
        <v>84</v>
      </c>
      <c r="Q125" s="202">
        <v>91</v>
      </c>
      <c r="R125" s="202">
        <v>86</v>
      </c>
      <c r="S125" s="202">
        <v>80</v>
      </c>
      <c r="T125" s="202">
        <v>57</v>
      </c>
      <c r="U125" s="202">
        <v>45</v>
      </c>
      <c r="V125" s="202">
        <v>0</v>
      </c>
      <c r="W125" s="203">
        <f t="shared" si="13"/>
        <v>1470</v>
      </c>
    </row>
    <row r="126" spans="1:23" x14ac:dyDescent="0.35">
      <c r="A126" s="216" t="str">
        <f t="shared" si="12"/>
        <v>mercredi</v>
      </c>
      <c r="B126" s="217">
        <v>44678</v>
      </c>
      <c r="C126" s="202">
        <v>0</v>
      </c>
      <c r="D126" s="202">
        <v>94</v>
      </c>
      <c r="E126" s="202">
        <v>92</v>
      </c>
      <c r="F126" s="202">
        <v>103</v>
      </c>
      <c r="G126" s="202">
        <v>98</v>
      </c>
      <c r="H126" s="202">
        <v>89</v>
      </c>
      <c r="I126" s="202">
        <v>96</v>
      </c>
      <c r="J126" s="202">
        <v>80</v>
      </c>
      <c r="K126" s="202">
        <v>47</v>
      </c>
      <c r="L126" s="202">
        <v>24</v>
      </c>
      <c r="M126" s="202">
        <v>16</v>
      </c>
      <c r="N126" s="202">
        <v>40</v>
      </c>
      <c r="O126" s="202">
        <v>71</v>
      </c>
      <c r="P126" s="202">
        <v>82</v>
      </c>
      <c r="Q126" s="202">
        <v>70</v>
      </c>
      <c r="R126" s="202">
        <v>65</v>
      </c>
      <c r="S126" s="202">
        <v>60</v>
      </c>
      <c r="T126" s="202">
        <v>54</v>
      </c>
      <c r="U126" s="202">
        <v>50</v>
      </c>
      <c r="V126" s="202">
        <v>0</v>
      </c>
      <c r="W126" s="203">
        <f t="shared" si="13"/>
        <v>1231</v>
      </c>
    </row>
    <row r="127" spans="1:23" x14ac:dyDescent="0.35">
      <c r="A127" s="216" t="str">
        <f t="shared" si="12"/>
        <v>jeudi</v>
      </c>
      <c r="B127" s="217">
        <v>44679</v>
      </c>
      <c r="C127" s="202">
        <v>0</v>
      </c>
      <c r="D127" s="202">
        <v>56</v>
      </c>
      <c r="E127" s="202">
        <v>98</v>
      </c>
      <c r="F127" s="202">
        <v>90</v>
      </c>
      <c r="G127" s="202">
        <v>97</v>
      </c>
      <c r="H127" s="202">
        <v>81</v>
      </c>
      <c r="I127" s="202">
        <v>108</v>
      </c>
      <c r="J127" s="202">
        <v>83</v>
      </c>
      <c r="K127" s="202">
        <v>67</v>
      </c>
      <c r="L127" s="202">
        <v>26</v>
      </c>
      <c r="M127" s="202">
        <v>21</v>
      </c>
      <c r="N127" s="202">
        <v>45</v>
      </c>
      <c r="O127" s="202">
        <v>65</v>
      </c>
      <c r="P127" s="202">
        <v>93</v>
      </c>
      <c r="Q127" s="202">
        <v>61</v>
      </c>
      <c r="R127" s="202">
        <v>60</v>
      </c>
      <c r="S127" s="202">
        <v>68</v>
      </c>
      <c r="T127" s="202">
        <v>57</v>
      </c>
      <c r="U127" s="202">
        <v>42</v>
      </c>
      <c r="V127" s="202">
        <v>0</v>
      </c>
      <c r="W127" s="203">
        <f t="shared" si="13"/>
        <v>1218</v>
      </c>
    </row>
    <row r="128" spans="1:23" x14ac:dyDescent="0.35">
      <c r="A128" s="216" t="str">
        <f t="shared" si="12"/>
        <v>vendredi</v>
      </c>
      <c r="B128" s="217">
        <v>44680</v>
      </c>
      <c r="C128" s="202">
        <v>0</v>
      </c>
      <c r="D128" s="202">
        <v>63</v>
      </c>
      <c r="E128" s="202">
        <v>83</v>
      </c>
      <c r="F128" s="202">
        <v>87</v>
      </c>
      <c r="G128" s="202">
        <v>77</v>
      </c>
      <c r="H128" s="202">
        <v>72</v>
      </c>
      <c r="I128" s="202">
        <v>89</v>
      </c>
      <c r="J128" s="202">
        <v>72</v>
      </c>
      <c r="K128" s="202">
        <v>49</v>
      </c>
      <c r="L128" s="202">
        <v>20</v>
      </c>
      <c r="M128" s="202">
        <v>9</v>
      </c>
      <c r="N128" s="202">
        <v>22</v>
      </c>
      <c r="O128" s="202">
        <v>38</v>
      </c>
      <c r="P128" s="202">
        <v>41</v>
      </c>
      <c r="Q128" s="202">
        <v>51</v>
      </c>
      <c r="R128" s="202">
        <v>42</v>
      </c>
      <c r="S128" s="202">
        <v>44</v>
      </c>
      <c r="T128" s="202">
        <v>29</v>
      </c>
      <c r="U128" s="202">
        <v>24</v>
      </c>
      <c r="V128" s="202">
        <v>0</v>
      </c>
      <c r="W128" s="203">
        <f t="shared" si="13"/>
        <v>912</v>
      </c>
    </row>
    <row r="129" spans="1:23" x14ac:dyDescent="0.35">
      <c r="A129" s="216" t="str">
        <f t="shared" si="12"/>
        <v>samedi</v>
      </c>
      <c r="B129" s="217">
        <v>44681</v>
      </c>
      <c r="C129" s="202">
        <v>0</v>
      </c>
      <c r="D129" s="202"/>
      <c r="E129" s="202"/>
      <c r="F129" s="202"/>
      <c r="G129" s="202"/>
      <c r="H129" s="202"/>
      <c r="I129" s="202"/>
      <c r="J129" s="202"/>
      <c r="K129" s="202"/>
      <c r="L129" s="202"/>
      <c r="M129" s="202"/>
      <c r="N129" s="202"/>
      <c r="O129" s="202"/>
      <c r="P129" s="202"/>
      <c r="Q129" s="202"/>
      <c r="R129" s="202"/>
      <c r="S129" s="202"/>
      <c r="T129" s="202"/>
      <c r="U129" s="202"/>
      <c r="V129" s="202">
        <v>0</v>
      </c>
      <c r="W129" s="203">
        <f t="shared" si="13"/>
        <v>0</v>
      </c>
    </row>
    <row r="130" spans="1:23" x14ac:dyDescent="0.35">
      <c r="A130" s="216" t="str">
        <f t="shared" si="12"/>
        <v>dimanche</v>
      </c>
      <c r="B130" s="217">
        <v>44682</v>
      </c>
      <c r="C130" s="202">
        <v>0</v>
      </c>
      <c r="D130" s="202"/>
      <c r="E130" s="202"/>
      <c r="F130" s="202"/>
      <c r="G130" s="202"/>
      <c r="H130" s="202"/>
      <c r="I130" s="202"/>
      <c r="J130" s="202"/>
      <c r="K130" s="202"/>
      <c r="L130" s="202"/>
      <c r="M130" s="202"/>
      <c r="N130" s="202"/>
      <c r="O130" s="202"/>
      <c r="P130" s="202"/>
      <c r="Q130" s="202"/>
      <c r="R130" s="202"/>
      <c r="S130" s="202"/>
      <c r="T130" s="202"/>
      <c r="U130" s="202"/>
      <c r="V130" s="202">
        <v>0</v>
      </c>
      <c r="W130" s="203">
        <f t="shared" si="13"/>
        <v>0</v>
      </c>
    </row>
    <row r="131" spans="1:23" x14ac:dyDescent="0.35">
      <c r="A131" s="216" t="str">
        <f t="shared" si="12"/>
        <v>lundi</v>
      </c>
      <c r="B131" s="217">
        <v>44683</v>
      </c>
      <c r="C131" s="202">
        <v>0</v>
      </c>
      <c r="D131" s="202">
        <v>97</v>
      </c>
      <c r="E131" s="202">
        <v>128</v>
      </c>
      <c r="F131" s="202">
        <v>159</v>
      </c>
      <c r="G131" s="202">
        <v>168</v>
      </c>
      <c r="H131" s="202">
        <v>167</v>
      </c>
      <c r="I131" s="202">
        <v>138</v>
      </c>
      <c r="J131" s="202">
        <v>91</v>
      </c>
      <c r="K131" s="202">
        <v>64</v>
      </c>
      <c r="L131" s="202">
        <v>43</v>
      </c>
      <c r="M131" s="202">
        <v>23</v>
      </c>
      <c r="N131" s="202">
        <v>66</v>
      </c>
      <c r="O131" s="202">
        <v>92</v>
      </c>
      <c r="P131" s="202">
        <v>104</v>
      </c>
      <c r="Q131" s="202">
        <v>99</v>
      </c>
      <c r="R131" s="202">
        <v>92</v>
      </c>
      <c r="S131" s="202">
        <v>86</v>
      </c>
      <c r="T131" s="202">
        <v>83</v>
      </c>
      <c r="U131" s="202">
        <v>56</v>
      </c>
      <c r="V131" s="202">
        <v>0</v>
      </c>
      <c r="W131" s="203">
        <f t="shared" si="13"/>
        <v>1756</v>
      </c>
    </row>
    <row r="132" spans="1:23" x14ac:dyDescent="0.35">
      <c r="A132" s="216" t="str">
        <f t="shared" si="12"/>
        <v>mardi</v>
      </c>
      <c r="B132" s="217">
        <v>44684</v>
      </c>
      <c r="C132" s="202">
        <v>0</v>
      </c>
      <c r="D132" s="202">
        <v>74</v>
      </c>
      <c r="E132" s="202">
        <v>88</v>
      </c>
      <c r="F132" s="202">
        <v>93</v>
      </c>
      <c r="G132" s="202">
        <v>115</v>
      </c>
      <c r="H132" s="202">
        <v>101</v>
      </c>
      <c r="I132" s="202">
        <v>127</v>
      </c>
      <c r="J132" s="202">
        <v>99</v>
      </c>
      <c r="K132" s="202">
        <v>83</v>
      </c>
      <c r="L132" s="202">
        <v>31</v>
      </c>
      <c r="M132" s="202">
        <v>16</v>
      </c>
      <c r="N132" s="202">
        <v>52</v>
      </c>
      <c r="O132" s="202">
        <v>76</v>
      </c>
      <c r="P132" s="202">
        <v>79</v>
      </c>
      <c r="Q132" s="202">
        <v>79</v>
      </c>
      <c r="R132" s="202">
        <v>75</v>
      </c>
      <c r="S132" s="202">
        <v>76</v>
      </c>
      <c r="T132" s="202">
        <v>59</v>
      </c>
      <c r="U132" s="202">
        <v>53</v>
      </c>
      <c r="V132" s="202">
        <v>0</v>
      </c>
      <c r="W132" s="203">
        <f t="shared" si="13"/>
        <v>1376</v>
      </c>
    </row>
    <row r="133" spans="1:23" x14ac:dyDescent="0.35">
      <c r="A133" s="216" t="str">
        <f t="shared" si="12"/>
        <v>mercredi</v>
      </c>
      <c r="B133" s="217">
        <v>44685</v>
      </c>
      <c r="C133" s="202">
        <v>0</v>
      </c>
      <c r="D133" s="202">
        <v>97</v>
      </c>
      <c r="E133" s="202">
        <v>104</v>
      </c>
      <c r="F133" s="202">
        <v>114</v>
      </c>
      <c r="G133" s="202">
        <v>112</v>
      </c>
      <c r="H133" s="202">
        <v>91</v>
      </c>
      <c r="I133" s="202">
        <v>92</v>
      </c>
      <c r="J133" s="202">
        <v>64</v>
      </c>
      <c r="K133" s="202">
        <v>58</v>
      </c>
      <c r="L133" s="202">
        <v>25</v>
      </c>
      <c r="M133" s="202">
        <v>20</v>
      </c>
      <c r="N133" s="202">
        <v>42</v>
      </c>
      <c r="O133" s="202">
        <v>59</v>
      </c>
      <c r="P133" s="202">
        <v>79</v>
      </c>
      <c r="Q133" s="202">
        <v>82</v>
      </c>
      <c r="R133" s="202">
        <v>67</v>
      </c>
      <c r="S133" s="202">
        <v>87</v>
      </c>
      <c r="T133" s="202">
        <v>69</v>
      </c>
      <c r="U133" s="202">
        <v>66</v>
      </c>
      <c r="V133" s="202">
        <v>0</v>
      </c>
      <c r="W133" s="203">
        <f t="shared" si="13"/>
        <v>1328</v>
      </c>
    </row>
    <row r="134" spans="1:23" x14ac:dyDescent="0.35">
      <c r="A134" s="216" t="str">
        <f t="shared" si="12"/>
        <v>jeudi</v>
      </c>
      <c r="B134" s="217">
        <v>44686</v>
      </c>
      <c r="C134" s="202">
        <v>0</v>
      </c>
      <c r="D134" s="202">
        <v>79</v>
      </c>
      <c r="E134" s="202">
        <v>94</v>
      </c>
      <c r="F134" s="202">
        <v>103</v>
      </c>
      <c r="G134" s="202">
        <v>120</v>
      </c>
      <c r="H134" s="202">
        <v>88</v>
      </c>
      <c r="I134" s="202">
        <v>94</v>
      </c>
      <c r="J134" s="202">
        <v>96</v>
      </c>
      <c r="K134" s="202">
        <v>67</v>
      </c>
      <c r="L134" s="202">
        <v>27</v>
      </c>
      <c r="M134" s="202">
        <v>32</v>
      </c>
      <c r="N134" s="202">
        <v>37</v>
      </c>
      <c r="O134" s="202">
        <v>65</v>
      </c>
      <c r="P134" s="202">
        <v>64</v>
      </c>
      <c r="Q134" s="202">
        <v>69</v>
      </c>
      <c r="R134" s="202">
        <v>69</v>
      </c>
      <c r="S134" s="202">
        <v>74</v>
      </c>
      <c r="T134" s="202">
        <v>57</v>
      </c>
      <c r="U134" s="202">
        <v>41</v>
      </c>
      <c r="V134" s="202">
        <v>0</v>
      </c>
      <c r="W134" s="203">
        <f t="shared" si="13"/>
        <v>1276</v>
      </c>
    </row>
    <row r="135" spans="1:23" x14ac:dyDescent="0.35">
      <c r="A135" s="216" t="str">
        <f t="shared" si="12"/>
        <v>vendredi</v>
      </c>
      <c r="B135" s="217">
        <v>44687</v>
      </c>
      <c r="C135" s="202">
        <v>0</v>
      </c>
      <c r="D135" s="202">
        <v>71</v>
      </c>
      <c r="E135" s="202">
        <v>91</v>
      </c>
      <c r="F135" s="202">
        <v>112</v>
      </c>
      <c r="G135" s="202">
        <v>103</v>
      </c>
      <c r="H135" s="202">
        <v>82</v>
      </c>
      <c r="I135" s="202">
        <v>88</v>
      </c>
      <c r="J135" s="202">
        <v>78</v>
      </c>
      <c r="K135" s="202">
        <v>67</v>
      </c>
      <c r="L135" s="202">
        <v>19</v>
      </c>
      <c r="M135" s="202">
        <v>12</v>
      </c>
      <c r="N135" s="202">
        <v>22</v>
      </c>
      <c r="O135" s="202">
        <v>49</v>
      </c>
      <c r="P135" s="202">
        <v>48</v>
      </c>
      <c r="Q135" s="202">
        <v>48</v>
      </c>
      <c r="R135" s="202">
        <v>53</v>
      </c>
      <c r="S135" s="202">
        <v>45</v>
      </c>
      <c r="T135" s="202">
        <v>34</v>
      </c>
      <c r="U135" s="202">
        <v>19</v>
      </c>
      <c r="V135" s="202">
        <v>0</v>
      </c>
      <c r="W135" s="203">
        <f t="shared" si="13"/>
        <v>1041</v>
      </c>
    </row>
    <row r="136" spans="1:23" x14ac:dyDescent="0.35">
      <c r="A136" s="216" t="str">
        <f t="shared" si="12"/>
        <v>samedi</v>
      </c>
      <c r="B136" s="217">
        <v>44688</v>
      </c>
      <c r="C136" s="202">
        <v>0</v>
      </c>
      <c r="D136" s="202"/>
      <c r="E136" s="202"/>
      <c r="F136" s="202"/>
      <c r="G136" s="202"/>
      <c r="H136" s="202"/>
      <c r="I136" s="202"/>
      <c r="J136" s="202"/>
      <c r="K136" s="202"/>
      <c r="L136" s="202"/>
      <c r="M136" s="202"/>
      <c r="N136" s="202"/>
      <c r="O136" s="202"/>
      <c r="P136" s="202"/>
      <c r="Q136" s="202"/>
      <c r="R136" s="202"/>
      <c r="S136" s="202"/>
      <c r="T136" s="202"/>
      <c r="U136" s="202"/>
      <c r="V136" s="202">
        <v>0</v>
      </c>
      <c r="W136" s="203">
        <f t="shared" si="13"/>
        <v>0</v>
      </c>
    </row>
    <row r="137" spans="1:23" x14ac:dyDescent="0.35">
      <c r="A137" s="216" t="str">
        <f t="shared" si="12"/>
        <v>dimanche</v>
      </c>
      <c r="B137" s="217">
        <v>44689</v>
      </c>
      <c r="C137" s="202">
        <v>0</v>
      </c>
      <c r="D137" s="202"/>
      <c r="E137" s="202"/>
      <c r="F137" s="202"/>
      <c r="G137" s="202"/>
      <c r="H137" s="202"/>
      <c r="I137" s="202"/>
      <c r="J137" s="202"/>
      <c r="K137" s="202"/>
      <c r="L137" s="202"/>
      <c r="M137" s="202"/>
      <c r="N137" s="202"/>
      <c r="O137" s="202"/>
      <c r="P137" s="202"/>
      <c r="Q137" s="202"/>
      <c r="R137" s="202"/>
      <c r="S137" s="202"/>
      <c r="T137" s="202"/>
      <c r="U137" s="202"/>
      <c r="V137" s="202">
        <v>0</v>
      </c>
      <c r="W137" s="203">
        <f t="shared" si="13"/>
        <v>0</v>
      </c>
    </row>
    <row r="138" spans="1:23" x14ac:dyDescent="0.35">
      <c r="A138" s="216" t="str">
        <f t="shared" si="12"/>
        <v>lundi</v>
      </c>
      <c r="B138" s="217">
        <v>44690</v>
      </c>
      <c r="C138" s="202">
        <v>0</v>
      </c>
      <c r="D138" s="202">
        <v>75</v>
      </c>
      <c r="E138" s="202">
        <v>113</v>
      </c>
      <c r="F138" s="202">
        <v>134</v>
      </c>
      <c r="G138" s="202">
        <v>170</v>
      </c>
      <c r="H138" s="202">
        <v>148</v>
      </c>
      <c r="I138" s="202">
        <v>131</v>
      </c>
      <c r="J138" s="202">
        <v>119</v>
      </c>
      <c r="K138" s="202">
        <v>95</v>
      </c>
      <c r="L138" s="202">
        <v>46</v>
      </c>
      <c r="M138" s="202">
        <v>16</v>
      </c>
      <c r="N138" s="202">
        <v>73</v>
      </c>
      <c r="O138" s="202">
        <v>117</v>
      </c>
      <c r="P138" s="202">
        <v>84</v>
      </c>
      <c r="Q138" s="202">
        <v>89</v>
      </c>
      <c r="R138" s="202">
        <v>86</v>
      </c>
      <c r="S138" s="202">
        <v>96</v>
      </c>
      <c r="T138" s="202">
        <v>80</v>
      </c>
      <c r="U138" s="202">
        <v>42</v>
      </c>
      <c r="V138" s="202">
        <v>0</v>
      </c>
      <c r="W138" s="203">
        <f t="shared" si="13"/>
        <v>1714</v>
      </c>
    </row>
    <row r="139" spans="1:23" x14ac:dyDescent="0.35">
      <c r="A139" s="216" t="str">
        <f t="shared" si="12"/>
        <v>mardi</v>
      </c>
      <c r="B139" s="217">
        <v>44691</v>
      </c>
      <c r="C139" s="202">
        <v>0</v>
      </c>
      <c r="D139" s="202">
        <v>88</v>
      </c>
      <c r="E139" s="202">
        <v>120</v>
      </c>
      <c r="F139" s="202">
        <v>146</v>
      </c>
      <c r="G139" s="202">
        <v>151</v>
      </c>
      <c r="H139" s="202">
        <v>137</v>
      </c>
      <c r="I139" s="202">
        <v>130</v>
      </c>
      <c r="J139" s="202">
        <v>113</v>
      </c>
      <c r="K139" s="202">
        <v>69</v>
      </c>
      <c r="L139" s="202">
        <v>23</v>
      </c>
      <c r="M139" s="202">
        <v>28</v>
      </c>
      <c r="N139" s="202">
        <v>51</v>
      </c>
      <c r="O139" s="202">
        <v>63</v>
      </c>
      <c r="P139" s="202">
        <v>82</v>
      </c>
      <c r="Q139" s="202">
        <v>107</v>
      </c>
      <c r="R139" s="202">
        <v>101</v>
      </c>
      <c r="S139" s="202">
        <v>78</v>
      </c>
      <c r="T139" s="202">
        <v>52</v>
      </c>
      <c r="U139" s="202">
        <v>49</v>
      </c>
      <c r="V139" s="202">
        <v>0</v>
      </c>
      <c r="W139" s="203">
        <f t="shared" si="13"/>
        <v>1588</v>
      </c>
    </row>
    <row r="140" spans="1:23" x14ac:dyDescent="0.35">
      <c r="A140" s="216" t="str">
        <f t="shared" ref="A140:A203" si="14">TEXT(B140,"jjjj")</f>
        <v>mercredi</v>
      </c>
      <c r="B140" s="217">
        <v>44692</v>
      </c>
      <c r="C140" s="202">
        <v>0</v>
      </c>
      <c r="D140" s="202">
        <v>75</v>
      </c>
      <c r="E140" s="202">
        <v>83</v>
      </c>
      <c r="F140" s="202">
        <v>110</v>
      </c>
      <c r="G140" s="202">
        <v>103</v>
      </c>
      <c r="H140" s="202">
        <v>79</v>
      </c>
      <c r="I140" s="202">
        <v>103</v>
      </c>
      <c r="J140" s="202">
        <v>67</v>
      </c>
      <c r="K140" s="202">
        <v>50</v>
      </c>
      <c r="L140" s="202">
        <v>18</v>
      </c>
      <c r="M140" s="202">
        <v>16</v>
      </c>
      <c r="N140" s="202">
        <v>41</v>
      </c>
      <c r="O140" s="202">
        <v>77</v>
      </c>
      <c r="P140" s="202">
        <v>74</v>
      </c>
      <c r="Q140" s="202">
        <v>71</v>
      </c>
      <c r="R140" s="202">
        <v>69</v>
      </c>
      <c r="S140" s="202">
        <v>67</v>
      </c>
      <c r="T140" s="202">
        <v>60</v>
      </c>
      <c r="U140" s="202">
        <v>38</v>
      </c>
      <c r="V140" s="202">
        <v>0</v>
      </c>
      <c r="W140" s="203">
        <f t="shared" ref="W140:W203" si="15">SUM(C140:U140)</f>
        <v>1201</v>
      </c>
    </row>
    <row r="141" spans="1:23" x14ac:dyDescent="0.35">
      <c r="A141" s="216" t="str">
        <f t="shared" si="14"/>
        <v>jeudi</v>
      </c>
      <c r="B141" s="217">
        <v>44693</v>
      </c>
      <c r="C141" s="202">
        <v>0</v>
      </c>
      <c r="D141" s="202">
        <v>71</v>
      </c>
      <c r="E141" s="202">
        <v>85</v>
      </c>
      <c r="F141" s="202">
        <v>112</v>
      </c>
      <c r="G141" s="202">
        <v>99</v>
      </c>
      <c r="H141" s="202">
        <v>122</v>
      </c>
      <c r="I141" s="202">
        <v>84</v>
      </c>
      <c r="J141" s="202">
        <v>101</v>
      </c>
      <c r="K141" s="202">
        <v>67</v>
      </c>
      <c r="L141" s="202">
        <v>31</v>
      </c>
      <c r="M141" s="202">
        <v>17</v>
      </c>
      <c r="N141" s="202">
        <v>52</v>
      </c>
      <c r="O141" s="202">
        <v>70</v>
      </c>
      <c r="P141" s="202">
        <v>75</v>
      </c>
      <c r="Q141" s="202">
        <v>84</v>
      </c>
      <c r="R141" s="202">
        <v>86</v>
      </c>
      <c r="S141" s="202">
        <v>69</v>
      </c>
      <c r="T141" s="202">
        <v>76</v>
      </c>
      <c r="U141" s="202">
        <v>53</v>
      </c>
      <c r="V141" s="202">
        <v>0</v>
      </c>
      <c r="W141" s="203">
        <f t="shared" si="15"/>
        <v>1354</v>
      </c>
    </row>
    <row r="142" spans="1:23" x14ac:dyDescent="0.35">
      <c r="A142" s="216" t="str">
        <f t="shared" si="14"/>
        <v>vendredi</v>
      </c>
      <c r="B142" s="217">
        <v>44694</v>
      </c>
      <c r="C142" s="202">
        <v>0</v>
      </c>
      <c r="D142" s="202">
        <v>71</v>
      </c>
      <c r="E142" s="202">
        <v>95</v>
      </c>
      <c r="F142" s="202">
        <v>85</v>
      </c>
      <c r="G142" s="202">
        <v>95</v>
      </c>
      <c r="H142" s="202">
        <v>94</v>
      </c>
      <c r="I142" s="202">
        <v>71</v>
      </c>
      <c r="J142" s="202">
        <v>66</v>
      </c>
      <c r="K142" s="202">
        <v>42</v>
      </c>
      <c r="L142" s="202">
        <v>31</v>
      </c>
      <c r="M142" s="202">
        <v>24</v>
      </c>
      <c r="N142" s="202">
        <v>26</v>
      </c>
      <c r="O142" s="202">
        <v>47</v>
      </c>
      <c r="P142" s="202">
        <v>58</v>
      </c>
      <c r="Q142" s="202">
        <v>53</v>
      </c>
      <c r="R142" s="202">
        <v>60</v>
      </c>
      <c r="S142" s="202">
        <v>33</v>
      </c>
      <c r="T142" s="202">
        <v>62</v>
      </c>
      <c r="U142" s="202">
        <v>34</v>
      </c>
      <c r="V142" s="202">
        <v>0</v>
      </c>
      <c r="W142" s="203">
        <f t="shared" si="15"/>
        <v>1047</v>
      </c>
    </row>
    <row r="143" spans="1:23" x14ac:dyDescent="0.35">
      <c r="A143" s="216" t="str">
        <f t="shared" si="14"/>
        <v>samedi</v>
      </c>
      <c r="B143" s="217">
        <v>44695</v>
      </c>
      <c r="C143" s="202">
        <v>0</v>
      </c>
      <c r="D143" s="202"/>
      <c r="E143" s="202"/>
      <c r="F143" s="202"/>
      <c r="G143" s="202"/>
      <c r="H143" s="202"/>
      <c r="I143" s="202"/>
      <c r="J143" s="202"/>
      <c r="K143" s="202"/>
      <c r="L143" s="202"/>
      <c r="M143" s="202"/>
      <c r="N143" s="202"/>
      <c r="O143" s="202"/>
      <c r="P143" s="202"/>
      <c r="Q143" s="202"/>
      <c r="R143" s="202"/>
      <c r="S143" s="202"/>
      <c r="T143" s="202"/>
      <c r="U143" s="202"/>
      <c r="V143" s="202">
        <v>0</v>
      </c>
      <c r="W143" s="203">
        <f t="shared" si="15"/>
        <v>0</v>
      </c>
    </row>
    <row r="144" spans="1:23" x14ac:dyDescent="0.35">
      <c r="A144" s="216" t="str">
        <f t="shared" si="14"/>
        <v>dimanche</v>
      </c>
      <c r="B144" s="217">
        <v>44696</v>
      </c>
      <c r="C144" s="202">
        <v>0</v>
      </c>
      <c r="D144" s="202"/>
      <c r="E144" s="202"/>
      <c r="F144" s="202"/>
      <c r="G144" s="202"/>
      <c r="H144" s="202"/>
      <c r="I144" s="202"/>
      <c r="J144" s="202"/>
      <c r="K144" s="202"/>
      <c r="L144" s="202"/>
      <c r="M144" s="202"/>
      <c r="N144" s="202"/>
      <c r="O144" s="202"/>
      <c r="P144" s="202"/>
      <c r="Q144" s="202"/>
      <c r="R144" s="202"/>
      <c r="S144" s="202"/>
      <c r="T144" s="202"/>
      <c r="U144" s="202"/>
      <c r="V144" s="202">
        <v>0</v>
      </c>
      <c r="W144" s="203">
        <f t="shared" si="15"/>
        <v>0</v>
      </c>
    </row>
    <row r="145" spans="1:23" x14ac:dyDescent="0.35">
      <c r="A145" s="216" t="str">
        <f t="shared" si="14"/>
        <v>lundi</v>
      </c>
      <c r="B145" s="217">
        <v>44697</v>
      </c>
      <c r="C145" s="202">
        <v>0</v>
      </c>
      <c r="D145" s="202">
        <v>105</v>
      </c>
      <c r="E145" s="202">
        <v>130</v>
      </c>
      <c r="F145" s="202">
        <v>161</v>
      </c>
      <c r="G145" s="202">
        <v>174</v>
      </c>
      <c r="H145" s="202">
        <v>135</v>
      </c>
      <c r="I145" s="202">
        <v>164</v>
      </c>
      <c r="J145" s="202">
        <v>102</v>
      </c>
      <c r="K145" s="202">
        <v>78</v>
      </c>
      <c r="L145" s="202">
        <v>28</v>
      </c>
      <c r="M145" s="202">
        <v>36</v>
      </c>
      <c r="N145" s="202">
        <v>80</v>
      </c>
      <c r="O145" s="202">
        <v>103</v>
      </c>
      <c r="P145" s="202">
        <v>89</v>
      </c>
      <c r="Q145" s="202">
        <v>90</v>
      </c>
      <c r="R145" s="202">
        <v>88</v>
      </c>
      <c r="S145" s="202">
        <v>92</v>
      </c>
      <c r="T145" s="202">
        <v>84</v>
      </c>
      <c r="U145" s="202">
        <v>72</v>
      </c>
      <c r="V145" s="202">
        <v>0</v>
      </c>
      <c r="W145" s="203">
        <f t="shared" si="15"/>
        <v>1811</v>
      </c>
    </row>
    <row r="146" spans="1:23" x14ac:dyDescent="0.35">
      <c r="A146" s="216" t="str">
        <f t="shared" si="14"/>
        <v>mardi</v>
      </c>
      <c r="B146" s="217">
        <v>44698</v>
      </c>
      <c r="C146" s="202">
        <v>0</v>
      </c>
      <c r="D146" s="202">
        <v>73</v>
      </c>
      <c r="E146" s="202">
        <v>95</v>
      </c>
      <c r="F146" s="202">
        <v>119</v>
      </c>
      <c r="G146" s="202">
        <v>122</v>
      </c>
      <c r="H146" s="202">
        <v>128</v>
      </c>
      <c r="I146" s="202">
        <v>109</v>
      </c>
      <c r="J146" s="202">
        <v>102</v>
      </c>
      <c r="K146" s="202">
        <v>64</v>
      </c>
      <c r="L146" s="202">
        <v>28</v>
      </c>
      <c r="M146" s="202">
        <v>22</v>
      </c>
      <c r="N146" s="202">
        <v>52</v>
      </c>
      <c r="O146" s="202">
        <v>81</v>
      </c>
      <c r="P146" s="202">
        <v>84</v>
      </c>
      <c r="Q146" s="202">
        <v>84</v>
      </c>
      <c r="R146" s="202">
        <v>87</v>
      </c>
      <c r="S146" s="202">
        <v>62</v>
      </c>
      <c r="T146" s="202">
        <v>51</v>
      </c>
      <c r="U146" s="202">
        <v>60</v>
      </c>
      <c r="V146" s="202">
        <v>0</v>
      </c>
      <c r="W146" s="203">
        <f t="shared" si="15"/>
        <v>1423</v>
      </c>
    </row>
    <row r="147" spans="1:23" x14ac:dyDescent="0.35">
      <c r="A147" s="216" t="str">
        <f t="shared" si="14"/>
        <v>mercredi</v>
      </c>
      <c r="B147" s="217">
        <v>44699</v>
      </c>
      <c r="C147" s="202">
        <v>0</v>
      </c>
      <c r="D147" s="202">
        <v>85</v>
      </c>
      <c r="E147" s="202">
        <v>103</v>
      </c>
      <c r="F147" s="202">
        <v>130</v>
      </c>
      <c r="G147" s="202">
        <v>113</v>
      </c>
      <c r="H147" s="202">
        <v>101</v>
      </c>
      <c r="I147" s="202">
        <v>122</v>
      </c>
      <c r="J147" s="202">
        <v>90</v>
      </c>
      <c r="K147" s="202">
        <v>67</v>
      </c>
      <c r="L147" s="202">
        <v>24</v>
      </c>
      <c r="M147" s="202">
        <v>20</v>
      </c>
      <c r="N147" s="202">
        <v>41</v>
      </c>
      <c r="O147" s="202">
        <v>71</v>
      </c>
      <c r="P147" s="202">
        <v>66</v>
      </c>
      <c r="Q147" s="202">
        <v>66</v>
      </c>
      <c r="R147" s="202">
        <v>67</v>
      </c>
      <c r="S147" s="202">
        <v>65</v>
      </c>
      <c r="T147" s="202">
        <v>48</v>
      </c>
      <c r="U147" s="202">
        <v>34</v>
      </c>
      <c r="V147" s="202">
        <v>0</v>
      </c>
      <c r="W147" s="203">
        <f t="shared" si="15"/>
        <v>1313</v>
      </c>
    </row>
    <row r="148" spans="1:23" x14ac:dyDescent="0.35">
      <c r="A148" s="216" t="str">
        <f t="shared" si="14"/>
        <v>jeudi</v>
      </c>
      <c r="B148" s="217">
        <v>44700</v>
      </c>
      <c r="C148" s="202">
        <v>0</v>
      </c>
      <c r="D148" s="202">
        <v>67</v>
      </c>
      <c r="E148" s="202">
        <v>104</v>
      </c>
      <c r="F148" s="202">
        <v>117</v>
      </c>
      <c r="G148" s="202">
        <v>130</v>
      </c>
      <c r="H148" s="202">
        <v>104</v>
      </c>
      <c r="I148" s="202">
        <v>115</v>
      </c>
      <c r="J148" s="202">
        <v>89</v>
      </c>
      <c r="K148" s="202">
        <v>69</v>
      </c>
      <c r="L148" s="202">
        <v>35</v>
      </c>
      <c r="M148" s="202">
        <v>17</v>
      </c>
      <c r="N148" s="202">
        <v>45</v>
      </c>
      <c r="O148" s="202">
        <v>65</v>
      </c>
      <c r="P148" s="202">
        <v>69</v>
      </c>
      <c r="Q148" s="202">
        <v>97</v>
      </c>
      <c r="R148" s="202">
        <v>84</v>
      </c>
      <c r="S148" s="202">
        <v>65</v>
      </c>
      <c r="T148" s="202">
        <v>49</v>
      </c>
      <c r="U148" s="202">
        <v>46</v>
      </c>
      <c r="V148" s="202">
        <v>0</v>
      </c>
      <c r="W148" s="203">
        <f t="shared" si="15"/>
        <v>1367</v>
      </c>
    </row>
    <row r="149" spans="1:23" x14ac:dyDescent="0.35">
      <c r="A149" s="216" t="str">
        <f t="shared" si="14"/>
        <v>vendredi</v>
      </c>
      <c r="B149" s="217">
        <v>44701</v>
      </c>
      <c r="C149" s="202">
        <v>0</v>
      </c>
      <c r="D149" s="202">
        <v>75</v>
      </c>
      <c r="E149" s="202">
        <v>106</v>
      </c>
      <c r="F149" s="202">
        <v>134</v>
      </c>
      <c r="G149" s="202">
        <v>97</v>
      </c>
      <c r="H149" s="202">
        <v>89</v>
      </c>
      <c r="I149" s="202">
        <v>81</v>
      </c>
      <c r="J149" s="202">
        <v>55</v>
      </c>
      <c r="K149" s="202">
        <v>39</v>
      </c>
      <c r="L149" s="202">
        <v>26</v>
      </c>
      <c r="M149" s="202">
        <v>18</v>
      </c>
      <c r="N149" s="202">
        <v>32</v>
      </c>
      <c r="O149" s="202">
        <v>59</v>
      </c>
      <c r="P149" s="202">
        <v>57</v>
      </c>
      <c r="Q149" s="202">
        <v>50</v>
      </c>
      <c r="R149" s="202">
        <v>54</v>
      </c>
      <c r="S149" s="202">
        <v>58</v>
      </c>
      <c r="T149" s="202">
        <v>44</v>
      </c>
      <c r="U149" s="202">
        <v>45</v>
      </c>
      <c r="V149" s="202">
        <v>0</v>
      </c>
      <c r="W149" s="203">
        <f t="shared" si="15"/>
        <v>1119</v>
      </c>
    </row>
    <row r="150" spans="1:23" x14ac:dyDescent="0.35">
      <c r="A150" s="216" t="str">
        <f t="shared" si="14"/>
        <v>samedi</v>
      </c>
      <c r="B150" s="217">
        <v>44702</v>
      </c>
      <c r="C150" s="202">
        <v>0</v>
      </c>
      <c r="D150" s="202"/>
      <c r="E150" s="202"/>
      <c r="F150" s="202"/>
      <c r="G150" s="202"/>
      <c r="H150" s="202"/>
      <c r="I150" s="202"/>
      <c r="J150" s="202"/>
      <c r="K150" s="202"/>
      <c r="L150" s="202"/>
      <c r="M150" s="202"/>
      <c r="N150" s="202"/>
      <c r="O150" s="202"/>
      <c r="P150" s="202"/>
      <c r="Q150" s="202"/>
      <c r="R150" s="202"/>
      <c r="S150" s="202"/>
      <c r="T150" s="202"/>
      <c r="U150" s="202"/>
      <c r="V150" s="202">
        <v>0</v>
      </c>
      <c r="W150" s="203">
        <f t="shared" si="15"/>
        <v>0</v>
      </c>
    </row>
    <row r="151" spans="1:23" x14ac:dyDescent="0.35">
      <c r="A151" s="216" t="str">
        <f t="shared" si="14"/>
        <v>dimanche</v>
      </c>
      <c r="B151" s="217">
        <v>44703</v>
      </c>
      <c r="C151" s="202">
        <v>0</v>
      </c>
      <c r="D151" s="202"/>
      <c r="E151" s="202"/>
      <c r="F151" s="202"/>
      <c r="G151" s="202"/>
      <c r="H151" s="202"/>
      <c r="I151" s="202"/>
      <c r="J151" s="202"/>
      <c r="K151" s="202"/>
      <c r="L151" s="202"/>
      <c r="M151" s="202"/>
      <c r="N151" s="202"/>
      <c r="O151" s="202"/>
      <c r="P151" s="202"/>
      <c r="Q151" s="202"/>
      <c r="R151" s="202"/>
      <c r="S151" s="202"/>
      <c r="T151" s="202"/>
      <c r="U151" s="202"/>
      <c r="V151" s="202">
        <v>0</v>
      </c>
      <c r="W151" s="203">
        <f t="shared" si="15"/>
        <v>0</v>
      </c>
    </row>
    <row r="152" spans="1:23" x14ac:dyDescent="0.35">
      <c r="A152" s="216" t="str">
        <f t="shared" si="14"/>
        <v>lundi</v>
      </c>
      <c r="B152" s="217">
        <v>44704</v>
      </c>
      <c r="C152" s="202">
        <v>0</v>
      </c>
      <c r="D152" s="202">
        <v>79</v>
      </c>
      <c r="E152" s="202">
        <v>97</v>
      </c>
      <c r="F152" s="202">
        <v>133</v>
      </c>
      <c r="G152" s="202">
        <v>145</v>
      </c>
      <c r="H152" s="202">
        <v>116</v>
      </c>
      <c r="I152" s="202">
        <v>143</v>
      </c>
      <c r="J152" s="202">
        <v>109</v>
      </c>
      <c r="K152" s="202">
        <v>80</v>
      </c>
      <c r="L152" s="202">
        <v>31</v>
      </c>
      <c r="M152" s="202">
        <v>20</v>
      </c>
      <c r="N152" s="202">
        <v>48</v>
      </c>
      <c r="O152" s="202">
        <v>83</v>
      </c>
      <c r="P152" s="202">
        <v>100</v>
      </c>
      <c r="Q152" s="202">
        <v>85</v>
      </c>
      <c r="R152" s="202">
        <v>65</v>
      </c>
      <c r="S152" s="202">
        <v>81</v>
      </c>
      <c r="T152" s="202">
        <v>85</v>
      </c>
      <c r="U152" s="202">
        <v>50</v>
      </c>
      <c r="V152" s="202">
        <v>0</v>
      </c>
      <c r="W152" s="203">
        <f t="shared" si="15"/>
        <v>1550</v>
      </c>
    </row>
    <row r="153" spans="1:23" x14ac:dyDescent="0.35">
      <c r="A153" s="216" t="str">
        <f t="shared" si="14"/>
        <v>mardi</v>
      </c>
      <c r="B153" s="217">
        <v>44705</v>
      </c>
      <c r="C153" s="202">
        <v>0</v>
      </c>
      <c r="D153" s="202">
        <v>64</v>
      </c>
      <c r="E153" s="202">
        <v>98</v>
      </c>
      <c r="F153" s="202">
        <v>103</v>
      </c>
      <c r="G153" s="202">
        <v>105</v>
      </c>
      <c r="H153" s="202">
        <v>98</v>
      </c>
      <c r="I153" s="202">
        <v>97</v>
      </c>
      <c r="J153" s="202">
        <v>91</v>
      </c>
      <c r="K153" s="202">
        <v>68</v>
      </c>
      <c r="L153" s="202">
        <v>13</v>
      </c>
      <c r="M153" s="202">
        <v>26</v>
      </c>
      <c r="N153" s="202">
        <v>50</v>
      </c>
      <c r="O153" s="202">
        <v>52</v>
      </c>
      <c r="P153" s="202">
        <v>72</v>
      </c>
      <c r="Q153" s="202">
        <v>84</v>
      </c>
      <c r="R153" s="202">
        <v>86</v>
      </c>
      <c r="S153" s="202">
        <v>84</v>
      </c>
      <c r="T153" s="202">
        <v>62</v>
      </c>
      <c r="U153" s="202">
        <v>46</v>
      </c>
      <c r="V153" s="202">
        <v>0</v>
      </c>
      <c r="W153" s="203">
        <f t="shared" si="15"/>
        <v>1299</v>
      </c>
    </row>
    <row r="154" spans="1:23" x14ac:dyDescent="0.35">
      <c r="A154" s="216" t="str">
        <f t="shared" si="14"/>
        <v>mercredi</v>
      </c>
      <c r="B154" s="217">
        <v>44706</v>
      </c>
      <c r="C154" s="202">
        <v>0</v>
      </c>
      <c r="D154" s="202">
        <v>55</v>
      </c>
      <c r="E154" s="202">
        <v>87</v>
      </c>
      <c r="F154" s="202">
        <v>91</v>
      </c>
      <c r="G154" s="202">
        <v>104</v>
      </c>
      <c r="H154" s="202">
        <v>95</v>
      </c>
      <c r="I154" s="202">
        <v>79</v>
      </c>
      <c r="J154" s="202">
        <v>73</v>
      </c>
      <c r="K154" s="202">
        <v>51</v>
      </c>
      <c r="L154" s="202">
        <v>22</v>
      </c>
      <c r="M154" s="202">
        <v>18</v>
      </c>
      <c r="N154" s="202">
        <v>1</v>
      </c>
      <c r="O154" s="202">
        <v>2</v>
      </c>
      <c r="P154" s="202">
        <v>63</v>
      </c>
      <c r="Q154" s="202">
        <v>68</v>
      </c>
      <c r="R154" s="202">
        <v>61</v>
      </c>
      <c r="S154" s="202">
        <v>52</v>
      </c>
      <c r="T154" s="202">
        <v>52</v>
      </c>
      <c r="U154" s="202">
        <v>31</v>
      </c>
      <c r="V154" s="202">
        <v>0</v>
      </c>
      <c r="W154" s="203">
        <f t="shared" si="15"/>
        <v>1005</v>
      </c>
    </row>
    <row r="155" spans="1:23" x14ac:dyDescent="0.35">
      <c r="A155" s="216" t="str">
        <f t="shared" si="14"/>
        <v>jeudi</v>
      </c>
      <c r="B155" s="217">
        <v>44707</v>
      </c>
      <c r="C155" s="202">
        <v>0</v>
      </c>
      <c r="D155" s="202"/>
      <c r="E155" s="202"/>
      <c r="F155" s="202"/>
      <c r="G155" s="202"/>
      <c r="H155" s="202"/>
      <c r="I155" s="202"/>
      <c r="J155" s="202"/>
      <c r="K155" s="202"/>
      <c r="L155" s="202"/>
      <c r="M155" s="202"/>
      <c r="N155" s="202"/>
      <c r="O155" s="202"/>
      <c r="P155" s="202"/>
      <c r="Q155" s="202"/>
      <c r="R155" s="202"/>
      <c r="S155" s="202"/>
      <c r="T155" s="202"/>
      <c r="U155" s="202"/>
      <c r="V155" s="202">
        <v>0</v>
      </c>
      <c r="W155" s="203">
        <f t="shared" si="15"/>
        <v>0</v>
      </c>
    </row>
    <row r="156" spans="1:23" x14ac:dyDescent="0.35">
      <c r="A156" s="216" t="str">
        <f t="shared" si="14"/>
        <v>vendredi</v>
      </c>
      <c r="B156" s="217">
        <v>44708</v>
      </c>
      <c r="C156" s="202">
        <v>0</v>
      </c>
      <c r="D156" s="202">
        <v>47</v>
      </c>
      <c r="E156" s="202">
        <v>50</v>
      </c>
      <c r="F156" s="202">
        <v>41</v>
      </c>
      <c r="G156" s="202">
        <v>40</v>
      </c>
      <c r="H156" s="202">
        <v>41</v>
      </c>
      <c r="I156" s="202">
        <v>34</v>
      </c>
      <c r="J156" s="202">
        <v>38</v>
      </c>
      <c r="K156" s="202">
        <v>27</v>
      </c>
      <c r="L156" s="202">
        <v>12</v>
      </c>
      <c r="M156" s="202">
        <v>8</v>
      </c>
      <c r="N156" s="202">
        <v>8</v>
      </c>
      <c r="O156" s="202">
        <v>18</v>
      </c>
      <c r="P156" s="202">
        <v>15</v>
      </c>
      <c r="Q156" s="202">
        <v>23</v>
      </c>
      <c r="R156" s="202">
        <v>19</v>
      </c>
      <c r="S156" s="202">
        <v>17</v>
      </c>
      <c r="T156" s="202">
        <v>12</v>
      </c>
      <c r="U156" s="202">
        <v>6</v>
      </c>
      <c r="V156" s="202">
        <v>0</v>
      </c>
      <c r="W156" s="203">
        <f t="shared" si="15"/>
        <v>456</v>
      </c>
    </row>
    <row r="157" spans="1:23" x14ac:dyDescent="0.35">
      <c r="A157" s="216" t="str">
        <f t="shared" si="14"/>
        <v>samedi</v>
      </c>
      <c r="B157" s="217">
        <v>44709</v>
      </c>
      <c r="C157" s="202">
        <v>0</v>
      </c>
      <c r="D157" s="202">
        <v>0</v>
      </c>
      <c r="E157" s="202">
        <v>0</v>
      </c>
      <c r="F157" s="202">
        <v>0</v>
      </c>
      <c r="G157" s="202">
        <v>0</v>
      </c>
      <c r="H157" s="202">
        <v>0</v>
      </c>
      <c r="I157" s="202">
        <v>0</v>
      </c>
      <c r="J157" s="202">
        <v>0</v>
      </c>
      <c r="K157" s="202">
        <v>0</v>
      </c>
      <c r="L157" s="202">
        <v>0</v>
      </c>
      <c r="M157" s="202">
        <v>0</v>
      </c>
      <c r="N157" s="202">
        <v>0</v>
      </c>
      <c r="O157" s="202">
        <v>0</v>
      </c>
      <c r="P157" s="202">
        <v>0</v>
      </c>
      <c r="Q157" s="202">
        <v>0</v>
      </c>
      <c r="R157" s="202">
        <v>0</v>
      </c>
      <c r="S157" s="202">
        <v>0</v>
      </c>
      <c r="T157" s="202">
        <v>0</v>
      </c>
      <c r="U157" s="202">
        <v>0</v>
      </c>
      <c r="V157" s="202">
        <v>0</v>
      </c>
      <c r="W157" s="203">
        <f t="shared" si="15"/>
        <v>0</v>
      </c>
    </row>
    <row r="158" spans="1:23" x14ac:dyDescent="0.35">
      <c r="A158" s="216" t="str">
        <f t="shared" si="14"/>
        <v>dimanche</v>
      </c>
      <c r="B158" s="217">
        <v>44710</v>
      </c>
      <c r="C158" s="202">
        <v>0</v>
      </c>
      <c r="D158" s="202">
        <v>0</v>
      </c>
      <c r="E158" s="202">
        <v>0</v>
      </c>
      <c r="F158" s="202">
        <v>0</v>
      </c>
      <c r="G158" s="202">
        <v>0</v>
      </c>
      <c r="H158" s="202">
        <v>0</v>
      </c>
      <c r="I158" s="202">
        <v>0</v>
      </c>
      <c r="J158" s="202">
        <v>0</v>
      </c>
      <c r="K158" s="202">
        <v>0</v>
      </c>
      <c r="L158" s="202">
        <v>0</v>
      </c>
      <c r="M158" s="202">
        <v>0</v>
      </c>
      <c r="N158" s="202">
        <v>0</v>
      </c>
      <c r="O158" s="202">
        <v>0</v>
      </c>
      <c r="P158" s="202">
        <v>0</v>
      </c>
      <c r="Q158" s="202">
        <v>0</v>
      </c>
      <c r="R158" s="202">
        <v>0</v>
      </c>
      <c r="S158" s="202">
        <v>0</v>
      </c>
      <c r="T158" s="202">
        <v>0</v>
      </c>
      <c r="U158" s="202">
        <v>0</v>
      </c>
      <c r="V158" s="202">
        <v>0</v>
      </c>
      <c r="W158" s="203">
        <f t="shared" si="15"/>
        <v>0</v>
      </c>
    </row>
    <row r="159" spans="1:23" x14ac:dyDescent="0.35">
      <c r="A159" s="216" t="str">
        <f t="shared" si="14"/>
        <v>lundi</v>
      </c>
      <c r="B159" s="217">
        <v>44711</v>
      </c>
      <c r="C159" s="202">
        <v>0</v>
      </c>
      <c r="D159" s="202">
        <v>114</v>
      </c>
      <c r="E159" s="202">
        <v>185</v>
      </c>
      <c r="F159" s="202">
        <v>288</v>
      </c>
      <c r="G159" s="202">
        <v>306</v>
      </c>
      <c r="H159" s="202">
        <v>265</v>
      </c>
      <c r="I159" s="202">
        <v>150</v>
      </c>
      <c r="J159" s="202">
        <v>151</v>
      </c>
      <c r="K159" s="202">
        <v>80</v>
      </c>
      <c r="L159" s="202">
        <v>32</v>
      </c>
      <c r="M159" s="202">
        <v>31</v>
      </c>
      <c r="N159" s="202">
        <v>62</v>
      </c>
      <c r="O159" s="202">
        <v>90</v>
      </c>
      <c r="P159" s="202">
        <v>86</v>
      </c>
      <c r="Q159" s="202">
        <v>91</v>
      </c>
      <c r="R159" s="202">
        <v>76</v>
      </c>
      <c r="S159" s="202">
        <v>132</v>
      </c>
      <c r="T159" s="202">
        <v>88</v>
      </c>
      <c r="U159" s="202">
        <v>56</v>
      </c>
      <c r="V159" s="202">
        <v>0</v>
      </c>
      <c r="W159" s="203">
        <f t="shared" si="15"/>
        <v>2283</v>
      </c>
    </row>
    <row r="160" spans="1:23" x14ac:dyDescent="0.35">
      <c r="A160" s="216" t="str">
        <f t="shared" si="14"/>
        <v>mardi</v>
      </c>
      <c r="B160" s="217">
        <v>44712</v>
      </c>
      <c r="C160" s="202">
        <v>0</v>
      </c>
      <c r="D160" s="202">
        <v>89</v>
      </c>
      <c r="E160" s="202">
        <v>102</v>
      </c>
      <c r="F160" s="202">
        <v>125</v>
      </c>
      <c r="G160" s="202">
        <v>133</v>
      </c>
      <c r="H160" s="202">
        <v>105</v>
      </c>
      <c r="I160" s="202">
        <v>118</v>
      </c>
      <c r="J160" s="202">
        <v>91</v>
      </c>
      <c r="K160" s="202">
        <v>57</v>
      </c>
      <c r="L160" s="202">
        <v>33</v>
      </c>
      <c r="M160" s="202">
        <v>18</v>
      </c>
      <c r="N160" s="202">
        <v>50</v>
      </c>
      <c r="O160" s="202">
        <v>79</v>
      </c>
      <c r="P160" s="202">
        <v>89</v>
      </c>
      <c r="Q160" s="202">
        <v>110</v>
      </c>
      <c r="R160" s="202">
        <v>97</v>
      </c>
      <c r="S160" s="202">
        <v>77</v>
      </c>
      <c r="T160" s="202">
        <v>56</v>
      </c>
      <c r="U160" s="202">
        <v>39</v>
      </c>
      <c r="V160" s="202">
        <v>0</v>
      </c>
      <c r="W160" s="203">
        <f t="shared" si="15"/>
        <v>1468</v>
      </c>
    </row>
    <row r="161" spans="1:23" x14ac:dyDescent="0.35">
      <c r="A161" s="216" t="str">
        <f t="shared" si="14"/>
        <v>mercredi</v>
      </c>
      <c r="B161" s="217">
        <v>44713</v>
      </c>
      <c r="C161" s="202">
        <v>0</v>
      </c>
      <c r="D161" s="202">
        <v>68</v>
      </c>
      <c r="E161" s="202">
        <v>95</v>
      </c>
      <c r="F161" s="202">
        <v>95</v>
      </c>
      <c r="G161" s="202">
        <v>95</v>
      </c>
      <c r="H161" s="202">
        <v>100</v>
      </c>
      <c r="I161" s="202">
        <v>80</v>
      </c>
      <c r="J161" s="202">
        <v>89</v>
      </c>
      <c r="K161" s="202">
        <v>60</v>
      </c>
      <c r="L161" s="202">
        <v>23</v>
      </c>
      <c r="M161" s="202">
        <v>19</v>
      </c>
      <c r="N161" s="202">
        <v>44</v>
      </c>
      <c r="O161" s="202">
        <v>63</v>
      </c>
      <c r="P161" s="202">
        <v>81</v>
      </c>
      <c r="Q161" s="202">
        <v>60</v>
      </c>
      <c r="R161" s="202">
        <v>60</v>
      </c>
      <c r="S161" s="202">
        <v>57</v>
      </c>
      <c r="T161" s="202">
        <v>52</v>
      </c>
      <c r="U161" s="202">
        <v>38</v>
      </c>
      <c r="V161" s="202">
        <v>0</v>
      </c>
      <c r="W161" s="203">
        <f t="shared" si="15"/>
        <v>1179</v>
      </c>
    </row>
    <row r="162" spans="1:23" x14ac:dyDescent="0.35">
      <c r="A162" s="216" t="str">
        <f t="shared" si="14"/>
        <v>jeudi</v>
      </c>
      <c r="B162" s="217">
        <v>44714</v>
      </c>
      <c r="C162" s="202">
        <v>0</v>
      </c>
      <c r="D162" s="202">
        <v>69</v>
      </c>
      <c r="E162" s="202">
        <v>69</v>
      </c>
      <c r="F162" s="202">
        <v>114</v>
      </c>
      <c r="G162" s="202">
        <v>77</v>
      </c>
      <c r="H162" s="202">
        <v>87</v>
      </c>
      <c r="I162" s="202">
        <v>81</v>
      </c>
      <c r="J162" s="202">
        <v>59</v>
      </c>
      <c r="K162" s="202">
        <v>72</v>
      </c>
      <c r="L162" s="202">
        <v>21</v>
      </c>
      <c r="M162" s="202">
        <v>16</v>
      </c>
      <c r="N162" s="202">
        <v>49</v>
      </c>
      <c r="O162" s="202">
        <v>54</v>
      </c>
      <c r="P162" s="202">
        <v>79</v>
      </c>
      <c r="Q162" s="202">
        <v>65</v>
      </c>
      <c r="R162" s="202">
        <v>58</v>
      </c>
      <c r="S162" s="202">
        <v>55</v>
      </c>
      <c r="T162" s="202">
        <v>40</v>
      </c>
      <c r="U162" s="202">
        <v>46</v>
      </c>
      <c r="V162" s="202">
        <v>0</v>
      </c>
      <c r="W162" s="203">
        <f t="shared" si="15"/>
        <v>1111</v>
      </c>
    </row>
    <row r="163" spans="1:23" x14ac:dyDescent="0.35">
      <c r="A163" s="216" t="str">
        <f t="shared" si="14"/>
        <v>vendredi</v>
      </c>
      <c r="B163" s="217">
        <v>44715</v>
      </c>
      <c r="C163" s="202">
        <v>0</v>
      </c>
      <c r="D163" s="202">
        <v>66</v>
      </c>
      <c r="E163" s="202">
        <v>73</v>
      </c>
      <c r="F163" s="202">
        <v>88</v>
      </c>
      <c r="G163" s="202">
        <v>54</v>
      </c>
      <c r="H163" s="202">
        <v>73</v>
      </c>
      <c r="I163" s="202">
        <v>71</v>
      </c>
      <c r="J163" s="202">
        <v>58</v>
      </c>
      <c r="K163" s="202">
        <v>38</v>
      </c>
      <c r="L163" s="202">
        <v>16</v>
      </c>
      <c r="M163" s="202">
        <v>15</v>
      </c>
      <c r="N163" s="202">
        <v>21</v>
      </c>
      <c r="O163" s="202">
        <v>49</v>
      </c>
      <c r="P163" s="202">
        <v>49</v>
      </c>
      <c r="Q163" s="202">
        <v>42</v>
      </c>
      <c r="R163" s="202">
        <v>38</v>
      </c>
      <c r="S163" s="202">
        <v>41</v>
      </c>
      <c r="T163" s="202">
        <v>27</v>
      </c>
      <c r="U163" s="202">
        <v>20</v>
      </c>
      <c r="V163" s="202">
        <v>0</v>
      </c>
      <c r="W163" s="203">
        <f t="shared" si="15"/>
        <v>839</v>
      </c>
    </row>
    <row r="164" spans="1:23" x14ac:dyDescent="0.35">
      <c r="A164" s="216" t="str">
        <f t="shared" si="14"/>
        <v>samedi</v>
      </c>
      <c r="B164" s="217">
        <v>44716</v>
      </c>
      <c r="C164" s="202">
        <v>0</v>
      </c>
      <c r="D164" s="202"/>
      <c r="E164" s="202"/>
      <c r="F164" s="202"/>
      <c r="G164" s="202"/>
      <c r="H164" s="202"/>
      <c r="I164" s="202"/>
      <c r="J164" s="202"/>
      <c r="K164" s="202"/>
      <c r="L164" s="202"/>
      <c r="M164" s="202"/>
      <c r="N164" s="202"/>
      <c r="O164" s="202"/>
      <c r="P164" s="202"/>
      <c r="Q164" s="202"/>
      <c r="R164" s="202"/>
      <c r="S164" s="202"/>
      <c r="T164" s="202"/>
      <c r="U164" s="202"/>
      <c r="V164" s="202">
        <v>0</v>
      </c>
      <c r="W164" s="203">
        <f t="shared" si="15"/>
        <v>0</v>
      </c>
    </row>
    <row r="165" spans="1:23" x14ac:dyDescent="0.35">
      <c r="A165" s="216" t="str">
        <f t="shared" si="14"/>
        <v>dimanche</v>
      </c>
      <c r="B165" s="217">
        <v>44717</v>
      </c>
      <c r="C165" s="202">
        <v>0</v>
      </c>
      <c r="D165" s="202"/>
      <c r="E165" s="202"/>
      <c r="F165" s="202"/>
      <c r="G165" s="202"/>
      <c r="H165" s="202"/>
      <c r="I165" s="202"/>
      <c r="J165" s="202"/>
      <c r="K165" s="202"/>
      <c r="L165" s="202"/>
      <c r="M165" s="202"/>
      <c r="N165" s="202"/>
      <c r="O165" s="202"/>
      <c r="P165" s="202"/>
      <c r="Q165" s="202"/>
      <c r="R165" s="202"/>
      <c r="S165" s="202"/>
      <c r="T165" s="202"/>
      <c r="U165" s="202"/>
      <c r="V165" s="202">
        <v>0</v>
      </c>
      <c r="W165" s="203">
        <f t="shared" si="15"/>
        <v>0</v>
      </c>
    </row>
    <row r="166" spans="1:23" x14ac:dyDescent="0.35">
      <c r="A166" s="216" t="str">
        <f t="shared" si="14"/>
        <v>lundi</v>
      </c>
      <c r="B166" s="217">
        <v>44718</v>
      </c>
      <c r="C166" s="202">
        <v>0</v>
      </c>
      <c r="D166" s="202"/>
      <c r="E166" s="202"/>
      <c r="F166" s="202"/>
      <c r="G166" s="202"/>
      <c r="H166" s="202"/>
      <c r="I166" s="202"/>
      <c r="J166" s="202"/>
      <c r="K166" s="202"/>
      <c r="L166" s="202"/>
      <c r="M166" s="202"/>
      <c r="N166" s="202"/>
      <c r="O166" s="202"/>
      <c r="P166" s="202"/>
      <c r="Q166" s="202"/>
      <c r="R166" s="202"/>
      <c r="S166" s="202"/>
      <c r="T166" s="202"/>
      <c r="U166" s="202"/>
      <c r="V166" s="202">
        <v>0</v>
      </c>
      <c r="W166" s="203">
        <f t="shared" si="15"/>
        <v>0</v>
      </c>
    </row>
    <row r="167" spans="1:23" x14ac:dyDescent="0.35">
      <c r="A167" s="216" t="str">
        <f t="shared" si="14"/>
        <v>mardi</v>
      </c>
      <c r="B167" s="217">
        <v>44719</v>
      </c>
      <c r="C167" s="202">
        <v>0</v>
      </c>
      <c r="D167" s="202">
        <v>104</v>
      </c>
      <c r="E167" s="202">
        <v>123</v>
      </c>
      <c r="F167" s="202">
        <v>148</v>
      </c>
      <c r="G167" s="202">
        <v>149</v>
      </c>
      <c r="H167" s="202">
        <v>133</v>
      </c>
      <c r="I167" s="202">
        <v>129</v>
      </c>
      <c r="J167" s="202">
        <v>112</v>
      </c>
      <c r="K167" s="202">
        <v>87</v>
      </c>
      <c r="L167" s="202">
        <v>32</v>
      </c>
      <c r="M167" s="202">
        <v>35</v>
      </c>
      <c r="N167" s="202">
        <v>55</v>
      </c>
      <c r="O167" s="202">
        <v>98</v>
      </c>
      <c r="P167" s="202">
        <v>89</v>
      </c>
      <c r="Q167" s="202">
        <v>109</v>
      </c>
      <c r="R167" s="202">
        <v>47</v>
      </c>
      <c r="S167" s="202">
        <v>0</v>
      </c>
      <c r="T167" s="202">
        <v>12</v>
      </c>
      <c r="U167" s="202">
        <v>82</v>
      </c>
      <c r="V167" s="202">
        <v>0</v>
      </c>
      <c r="W167" s="203">
        <f t="shared" si="15"/>
        <v>1544</v>
      </c>
    </row>
    <row r="168" spans="1:23" x14ac:dyDescent="0.35">
      <c r="A168" s="216" t="str">
        <f t="shared" si="14"/>
        <v>mercredi</v>
      </c>
      <c r="B168" s="217">
        <v>44720</v>
      </c>
      <c r="C168" s="202">
        <v>0</v>
      </c>
      <c r="D168" s="202">
        <v>92</v>
      </c>
      <c r="E168" s="202">
        <v>108</v>
      </c>
      <c r="F168" s="202">
        <v>130</v>
      </c>
      <c r="G168" s="202">
        <v>108</v>
      </c>
      <c r="H168" s="202">
        <v>94</v>
      </c>
      <c r="I168" s="202">
        <v>85</v>
      </c>
      <c r="J168" s="202">
        <v>66</v>
      </c>
      <c r="K168" s="202">
        <v>55</v>
      </c>
      <c r="L168" s="202">
        <v>30</v>
      </c>
      <c r="M168" s="202">
        <v>12</v>
      </c>
      <c r="N168" s="202">
        <v>44</v>
      </c>
      <c r="O168" s="202">
        <v>74</v>
      </c>
      <c r="P168" s="202">
        <v>86</v>
      </c>
      <c r="Q168" s="202">
        <v>87</v>
      </c>
      <c r="R168" s="202">
        <v>72</v>
      </c>
      <c r="S168" s="202">
        <v>80</v>
      </c>
      <c r="T168" s="202">
        <v>67</v>
      </c>
      <c r="U168" s="202">
        <v>37</v>
      </c>
      <c r="V168" s="202">
        <v>0</v>
      </c>
      <c r="W168" s="203">
        <f t="shared" si="15"/>
        <v>1327</v>
      </c>
    </row>
    <row r="169" spans="1:23" x14ac:dyDescent="0.35">
      <c r="A169" s="216" t="str">
        <f t="shared" si="14"/>
        <v>jeudi</v>
      </c>
      <c r="B169" s="217">
        <v>44721</v>
      </c>
      <c r="C169" s="202">
        <v>0</v>
      </c>
      <c r="D169" s="202">
        <v>69</v>
      </c>
      <c r="E169" s="202">
        <v>104</v>
      </c>
      <c r="F169" s="202">
        <v>125</v>
      </c>
      <c r="G169" s="202">
        <v>89</v>
      </c>
      <c r="H169" s="202">
        <v>101</v>
      </c>
      <c r="I169" s="202">
        <v>88</v>
      </c>
      <c r="J169" s="202">
        <v>74</v>
      </c>
      <c r="K169" s="202">
        <v>59</v>
      </c>
      <c r="L169" s="202">
        <v>25</v>
      </c>
      <c r="M169" s="202">
        <v>15</v>
      </c>
      <c r="N169" s="202">
        <v>44</v>
      </c>
      <c r="O169" s="202">
        <v>76</v>
      </c>
      <c r="P169" s="202">
        <v>76</v>
      </c>
      <c r="Q169" s="202">
        <v>65</v>
      </c>
      <c r="R169" s="202">
        <v>73</v>
      </c>
      <c r="S169" s="202">
        <v>70</v>
      </c>
      <c r="T169" s="202">
        <v>52</v>
      </c>
      <c r="U169" s="202">
        <v>28</v>
      </c>
      <c r="V169" s="202">
        <v>0</v>
      </c>
      <c r="W169" s="203">
        <f t="shared" si="15"/>
        <v>1233</v>
      </c>
    </row>
    <row r="170" spans="1:23" x14ac:dyDescent="0.35">
      <c r="A170" s="216" t="str">
        <f t="shared" si="14"/>
        <v>vendredi</v>
      </c>
      <c r="B170" s="217">
        <v>44722</v>
      </c>
      <c r="C170" s="202">
        <v>0</v>
      </c>
      <c r="D170" s="202">
        <v>67</v>
      </c>
      <c r="E170" s="202">
        <v>86</v>
      </c>
      <c r="F170" s="202">
        <v>84</v>
      </c>
      <c r="G170" s="202">
        <v>84</v>
      </c>
      <c r="H170" s="202">
        <v>72</v>
      </c>
      <c r="I170" s="202">
        <v>61</v>
      </c>
      <c r="J170" s="202">
        <v>60</v>
      </c>
      <c r="K170" s="202">
        <v>43</v>
      </c>
      <c r="L170" s="202">
        <v>21</v>
      </c>
      <c r="M170" s="202">
        <v>14</v>
      </c>
      <c r="N170" s="202">
        <v>29</v>
      </c>
      <c r="O170" s="202">
        <v>41</v>
      </c>
      <c r="P170" s="202">
        <v>49</v>
      </c>
      <c r="Q170" s="202">
        <v>54</v>
      </c>
      <c r="R170" s="202">
        <v>37</v>
      </c>
      <c r="S170" s="202">
        <v>55</v>
      </c>
      <c r="T170" s="202">
        <v>37</v>
      </c>
      <c r="U170" s="202">
        <v>25</v>
      </c>
      <c r="V170" s="202">
        <v>0</v>
      </c>
      <c r="W170" s="203">
        <f t="shared" si="15"/>
        <v>919</v>
      </c>
    </row>
    <row r="171" spans="1:23" x14ac:dyDescent="0.35">
      <c r="A171" s="216" t="str">
        <f t="shared" si="14"/>
        <v>samedi</v>
      </c>
      <c r="B171" s="217">
        <v>44723</v>
      </c>
      <c r="C171" s="202">
        <v>0</v>
      </c>
      <c r="D171" s="202"/>
      <c r="E171" s="202"/>
      <c r="F171" s="202"/>
      <c r="G171" s="202"/>
      <c r="H171" s="202"/>
      <c r="I171" s="202"/>
      <c r="J171" s="202"/>
      <c r="K171" s="202"/>
      <c r="L171" s="202"/>
      <c r="M171" s="202"/>
      <c r="N171" s="202"/>
      <c r="O171" s="202"/>
      <c r="P171" s="202"/>
      <c r="Q171" s="202"/>
      <c r="R171" s="202"/>
      <c r="S171" s="202"/>
      <c r="T171" s="202"/>
      <c r="U171" s="202"/>
      <c r="V171" s="202">
        <v>0</v>
      </c>
      <c r="W171" s="203">
        <f t="shared" si="15"/>
        <v>0</v>
      </c>
    </row>
    <row r="172" spans="1:23" x14ac:dyDescent="0.35">
      <c r="A172" s="216" t="str">
        <f t="shared" si="14"/>
        <v>dimanche</v>
      </c>
      <c r="B172" s="217">
        <v>44724</v>
      </c>
      <c r="C172" s="202">
        <v>0</v>
      </c>
      <c r="D172" s="202"/>
      <c r="E172" s="202"/>
      <c r="F172" s="202"/>
      <c r="G172" s="202"/>
      <c r="H172" s="202"/>
      <c r="I172" s="202"/>
      <c r="J172" s="202"/>
      <c r="K172" s="202"/>
      <c r="L172" s="202"/>
      <c r="M172" s="202"/>
      <c r="N172" s="202"/>
      <c r="O172" s="202"/>
      <c r="P172" s="202"/>
      <c r="Q172" s="202"/>
      <c r="R172" s="202"/>
      <c r="S172" s="202"/>
      <c r="T172" s="202"/>
      <c r="U172" s="202"/>
      <c r="V172" s="202">
        <v>0</v>
      </c>
      <c r="W172" s="203">
        <f t="shared" si="15"/>
        <v>0</v>
      </c>
    </row>
    <row r="173" spans="1:23" x14ac:dyDescent="0.35">
      <c r="A173" s="216" t="str">
        <f t="shared" si="14"/>
        <v>lundi</v>
      </c>
      <c r="B173" s="217">
        <v>44725</v>
      </c>
      <c r="C173" s="202">
        <v>0</v>
      </c>
      <c r="D173" s="202">
        <v>4</v>
      </c>
      <c r="E173" s="202">
        <v>3</v>
      </c>
      <c r="F173" s="202">
        <v>565</v>
      </c>
      <c r="G173" s="202">
        <v>355</v>
      </c>
      <c r="H173" s="202">
        <v>141</v>
      </c>
      <c r="I173" s="202">
        <v>138</v>
      </c>
      <c r="J173" s="202">
        <v>100</v>
      </c>
      <c r="K173" s="202">
        <v>76</v>
      </c>
      <c r="L173" s="202">
        <v>44</v>
      </c>
      <c r="M173" s="202">
        <v>34</v>
      </c>
      <c r="N173" s="202">
        <v>68</v>
      </c>
      <c r="O173" s="202">
        <v>112</v>
      </c>
      <c r="P173" s="202">
        <v>94</v>
      </c>
      <c r="Q173" s="202">
        <v>91</v>
      </c>
      <c r="R173" s="202">
        <v>63</v>
      </c>
      <c r="S173" s="202">
        <v>63</v>
      </c>
      <c r="T173" s="202">
        <v>61</v>
      </c>
      <c r="U173" s="202">
        <v>42</v>
      </c>
      <c r="V173" s="202">
        <v>0</v>
      </c>
      <c r="W173" s="203">
        <f t="shared" si="15"/>
        <v>2054</v>
      </c>
    </row>
    <row r="174" spans="1:23" x14ac:dyDescent="0.35">
      <c r="A174" s="216" t="str">
        <f t="shared" si="14"/>
        <v>mardi</v>
      </c>
      <c r="B174" s="217">
        <v>44726</v>
      </c>
      <c r="C174" s="202">
        <v>0</v>
      </c>
      <c r="D174" s="202">
        <v>117</v>
      </c>
      <c r="E174" s="202">
        <v>149</v>
      </c>
      <c r="F174" s="202">
        <v>161</v>
      </c>
      <c r="G174" s="202">
        <v>164</v>
      </c>
      <c r="H174" s="202">
        <v>163</v>
      </c>
      <c r="I174" s="202">
        <v>193</v>
      </c>
      <c r="J174" s="202">
        <v>140</v>
      </c>
      <c r="K174" s="202">
        <v>50</v>
      </c>
      <c r="L174" s="202">
        <v>12</v>
      </c>
      <c r="M174" s="202">
        <v>36</v>
      </c>
      <c r="N174" s="202">
        <v>83</v>
      </c>
      <c r="O174" s="202">
        <v>104</v>
      </c>
      <c r="P174" s="202">
        <v>128</v>
      </c>
      <c r="Q174" s="202">
        <v>114</v>
      </c>
      <c r="R174" s="202">
        <v>119</v>
      </c>
      <c r="S174" s="202">
        <v>96</v>
      </c>
      <c r="T174" s="202">
        <v>79</v>
      </c>
      <c r="U174" s="202">
        <v>48</v>
      </c>
      <c r="V174" s="202">
        <v>0</v>
      </c>
      <c r="W174" s="203">
        <f t="shared" si="15"/>
        <v>1956</v>
      </c>
    </row>
    <row r="175" spans="1:23" x14ac:dyDescent="0.35">
      <c r="A175" s="216" t="str">
        <f t="shared" si="14"/>
        <v>mercredi</v>
      </c>
      <c r="B175" s="217">
        <v>44727</v>
      </c>
      <c r="C175" s="202">
        <v>0</v>
      </c>
      <c r="D175" s="202">
        <v>101</v>
      </c>
      <c r="E175" s="202">
        <v>100</v>
      </c>
      <c r="F175" s="202">
        <v>111</v>
      </c>
      <c r="G175" s="202">
        <v>118</v>
      </c>
      <c r="H175" s="202">
        <v>117</v>
      </c>
      <c r="I175" s="202">
        <v>125</v>
      </c>
      <c r="J175" s="202">
        <v>67</v>
      </c>
      <c r="K175" s="202">
        <v>67</v>
      </c>
      <c r="L175" s="202">
        <v>26</v>
      </c>
      <c r="M175" s="202">
        <v>25</v>
      </c>
      <c r="N175" s="202">
        <v>43</v>
      </c>
      <c r="O175" s="202">
        <v>69</v>
      </c>
      <c r="P175" s="202">
        <v>73</v>
      </c>
      <c r="Q175" s="202">
        <v>83</v>
      </c>
      <c r="R175" s="202">
        <v>81</v>
      </c>
      <c r="S175" s="202">
        <v>68</v>
      </c>
      <c r="T175" s="202">
        <v>69</v>
      </c>
      <c r="U175" s="202">
        <v>55</v>
      </c>
      <c r="V175" s="202">
        <v>0</v>
      </c>
      <c r="W175" s="203">
        <f t="shared" si="15"/>
        <v>1398</v>
      </c>
    </row>
    <row r="176" spans="1:23" x14ac:dyDescent="0.35">
      <c r="A176" s="216" t="str">
        <f t="shared" si="14"/>
        <v>jeudi</v>
      </c>
      <c r="B176" s="217">
        <v>44728</v>
      </c>
      <c r="C176" s="202">
        <v>0</v>
      </c>
      <c r="D176" s="202">
        <v>97</v>
      </c>
      <c r="E176" s="202">
        <v>113</v>
      </c>
      <c r="F176" s="202">
        <v>108</v>
      </c>
      <c r="G176" s="202">
        <v>112</v>
      </c>
      <c r="H176" s="202">
        <v>102</v>
      </c>
      <c r="I176" s="202">
        <v>91</v>
      </c>
      <c r="J176" s="202">
        <v>78</v>
      </c>
      <c r="K176" s="202">
        <v>50</v>
      </c>
      <c r="L176" s="202">
        <v>28</v>
      </c>
      <c r="M176" s="202">
        <v>20</v>
      </c>
      <c r="N176" s="202">
        <v>38</v>
      </c>
      <c r="O176" s="202">
        <v>66</v>
      </c>
      <c r="P176" s="202">
        <v>69</v>
      </c>
      <c r="Q176" s="202">
        <v>79</v>
      </c>
      <c r="R176" s="202">
        <v>61</v>
      </c>
      <c r="S176" s="202">
        <v>64</v>
      </c>
      <c r="T176" s="202">
        <v>55</v>
      </c>
      <c r="U176" s="202">
        <v>54</v>
      </c>
      <c r="V176" s="202">
        <v>0</v>
      </c>
      <c r="W176" s="203">
        <f t="shared" si="15"/>
        <v>1285</v>
      </c>
    </row>
    <row r="177" spans="1:23" x14ac:dyDescent="0.35">
      <c r="A177" s="216" t="str">
        <f t="shared" si="14"/>
        <v>vendredi</v>
      </c>
      <c r="B177" s="217">
        <v>44729</v>
      </c>
      <c r="C177" s="202">
        <v>0</v>
      </c>
      <c r="D177" s="202">
        <v>90</v>
      </c>
      <c r="E177" s="202">
        <v>86</v>
      </c>
      <c r="F177" s="202">
        <v>106</v>
      </c>
      <c r="G177" s="202">
        <v>96</v>
      </c>
      <c r="H177" s="202">
        <v>79</v>
      </c>
      <c r="I177" s="202">
        <v>80</v>
      </c>
      <c r="J177" s="202">
        <v>55</v>
      </c>
      <c r="K177" s="202">
        <v>38</v>
      </c>
      <c r="L177" s="202">
        <v>10</v>
      </c>
      <c r="M177" s="202">
        <v>16</v>
      </c>
      <c r="N177" s="202">
        <v>29</v>
      </c>
      <c r="O177" s="202">
        <v>33</v>
      </c>
      <c r="P177" s="202">
        <v>53</v>
      </c>
      <c r="Q177" s="202">
        <v>49</v>
      </c>
      <c r="R177" s="202">
        <v>59</v>
      </c>
      <c r="S177" s="202">
        <v>40</v>
      </c>
      <c r="T177" s="202">
        <v>39</v>
      </c>
      <c r="U177" s="202">
        <v>28</v>
      </c>
      <c r="V177" s="202">
        <v>0</v>
      </c>
      <c r="W177" s="203">
        <f t="shared" si="15"/>
        <v>986</v>
      </c>
    </row>
    <row r="178" spans="1:23" x14ac:dyDescent="0.35">
      <c r="A178" s="216" t="str">
        <f t="shared" si="14"/>
        <v>samedi</v>
      </c>
      <c r="B178" s="217">
        <v>44730</v>
      </c>
      <c r="C178" s="202">
        <v>0</v>
      </c>
      <c r="D178" s="202"/>
      <c r="E178" s="202"/>
      <c r="F178" s="202"/>
      <c r="G178" s="202"/>
      <c r="H178" s="202"/>
      <c r="I178" s="202"/>
      <c r="J178" s="202"/>
      <c r="K178" s="202"/>
      <c r="L178" s="202"/>
      <c r="M178" s="202"/>
      <c r="N178" s="202"/>
      <c r="O178" s="202"/>
      <c r="P178" s="202"/>
      <c r="Q178" s="202"/>
      <c r="R178" s="202"/>
      <c r="S178" s="202"/>
      <c r="T178" s="202"/>
      <c r="U178" s="202"/>
      <c r="V178" s="202">
        <v>0</v>
      </c>
      <c r="W178" s="203">
        <f t="shared" si="15"/>
        <v>0</v>
      </c>
    </row>
    <row r="179" spans="1:23" x14ac:dyDescent="0.35">
      <c r="A179" s="216" t="str">
        <f t="shared" si="14"/>
        <v>dimanche</v>
      </c>
      <c r="B179" s="217">
        <v>44731</v>
      </c>
      <c r="C179" s="202">
        <v>0</v>
      </c>
      <c r="D179" s="202"/>
      <c r="E179" s="202"/>
      <c r="F179" s="202"/>
      <c r="G179" s="202"/>
      <c r="H179" s="202"/>
      <c r="I179" s="202"/>
      <c r="J179" s="202"/>
      <c r="K179" s="202"/>
      <c r="L179" s="202"/>
      <c r="M179" s="202"/>
      <c r="N179" s="202"/>
      <c r="O179" s="202"/>
      <c r="P179" s="202"/>
      <c r="Q179" s="202"/>
      <c r="R179" s="202"/>
      <c r="S179" s="202"/>
      <c r="T179" s="202"/>
      <c r="U179" s="202"/>
      <c r="V179" s="202">
        <v>0</v>
      </c>
      <c r="W179" s="203">
        <f t="shared" si="15"/>
        <v>0</v>
      </c>
    </row>
    <row r="180" spans="1:23" x14ac:dyDescent="0.35">
      <c r="A180" s="216" t="str">
        <f t="shared" si="14"/>
        <v>lundi</v>
      </c>
      <c r="B180" s="217">
        <v>44732</v>
      </c>
      <c r="C180" s="202">
        <v>0</v>
      </c>
      <c r="D180" s="202">
        <v>83</v>
      </c>
      <c r="E180" s="202">
        <v>103</v>
      </c>
      <c r="F180" s="202">
        <v>120</v>
      </c>
      <c r="G180" s="202">
        <v>114</v>
      </c>
      <c r="H180" s="202">
        <v>107</v>
      </c>
      <c r="I180" s="202">
        <v>114</v>
      </c>
      <c r="J180" s="202">
        <v>101</v>
      </c>
      <c r="K180" s="202">
        <v>58</v>
      </c>
      <c r="L180" s="202">
        <v>29</v>
      </c>
      <c r="M180" s="202">
        <v>22</v>
      </c>
      <c r="N180" s="202">
        <v>39</v>
      </c>
      <c r="O180" s="202">
        <v>66</v>
      </c>
      <c r="P180" s="202">
        <v>72</v>
      </c>
      <c r="Q180" s="202">
        <v>66</v>
      </c>
      <c r="R180" s="202">
        <v>69</v>
      </c>
      <c r="S180" s="202">
        <v>72</v>
      </c>
      <c r="T180" s="202">
        <v>48</v>
      </c>
      <c r="U180" s="202">
        <v>43</v>
      </c>
      <c r="V180" s="202">
        <v>0</v>
      </c>
      <c r="W180" s="203">
        <f t="shared" si="15"/>
        <v>1326</v>
      </c>
    </row>
    <row r="181" spans="1:23" x14ac:dyDescent="0.35">
      <c r="A181" s="216" t="str">
        <f t="shared" si="14"/>
        <v>mardi</v>
      </c>
      <c r="B181" s="217">
        <v>44733</v>
      </c>
      <c r="C181" s="202">
        <v>0</v>
      </c>
      <c r="D181" s="202">
        <v>60</v>
      </c>
      <c r="E181" s="202">
        <v>81</v>
      </c>
      <c r="F181" s="202">
        <v>103</v>
      </c>
      <c r="G181" s="202">
        <v>91</v>
      </c>
      <c r="H181" s="202">
        <v>92</v>
      </c>
      <c r="I181" s="202">
        <v>63</v>
      </c>
      <c r="J181" s="202">
        <v>77</v>
      </c>
      <c r="K181" s="202">
        <v>31</v>
      </c>
      <c r="L181" s="202">
        <v>15</v>
      </c>
      <c r="M181" s="202">
        <v>16</v>
      </c>
      <c r="N181" s="202">
        <v>31</v>
      </c>
      <c r="O181" s="202">
        <v>62</v>
      </c>
      <c r="P181" s="202">
        <v>89</v>
      </c>
      <c r="Q181" s="202">
        <v>63</v>
      </c>
      <c r="R181" s="202">
        <v>57</v>
      </c>
      <c r="S181" s="202">
        <v>57</v>
      </c>
      <c r="T181" s="202">
        <v>44</v>
      </c>
      <c r="U181" s="202">
        <v>28</v>
      </c>
      <c r="V181" s="202">
        <v>0</v>
      </c>
      <c r="W181" s="203">
        <f t="shared" si="15"/>
        <v>1060</v>
      </c>
    </row>
    <row r="182" spans="1:23" x14ac:dyDescent="0.35">
      <c r="A182" s="216" t="str">
        <f t="shared" si="14"/>
        <v>mercredi</v>
      </c>
      <c r="B182" s="217">
        <v>44734</v>
      </c>
      <c r="C182" s="202">
        <v>0</v>
      </c>
      <c r="D182" s="202">
        <v>57</v>
      </c>
      <c r="E182" s="202">
        <v>76</v>
      </c>
      <c r="F182" s="202">
        <v>94</v>
      </c>
      <c r="G182" s="202">
        <v>90</v>
      </c>
      <c r="H182" s="202">
        <v>101</v>
      </c>
      <c r="I182" s="202">
        <v>50</v>
      </c>
      <c r="J182" s="202">
        <v>81</v>
      </c>
      <c r="K182" s="202">
        <v>51</v>
      </c>
      <c r="L182" s="202">
        <v>22</v>
      </c>
      <c r="M182" s="202">
        <v>10</v>
      </c>
      <c r="N182" s="202">
        <v>33</v>
      </c>
      <c r="O182" s="202">
        <v>47</v>
      </c>
      <c r="P182" s="202">
        <v>53</v>
      </c>
      <c r="Q182" s="202">
        <v>44</v>
      </c>
      <c r="R182" s="202">
        <v>64</v>
      </c>
      <c r="S182" s="202">
        <v>40</v>
      </c>
      <c r="T182" s="202">
        <v>36</v>
      </c>
      <c r="U182" s="202">
        <v>39</v>
      </c>
      <c r="V182" s="202">
        <v>0</v>
      </c>
      <c r="W182" s="203">
        <f t="shared" si="15"/>
        <v>988</v>
      </c>
    </row>
    <row r="183" spans="1:23" x14ac:dyDescent="0.35">
      <c r="A183" s="216" t="str">
        <f t="shared" si="14"/>
        <v>jeudi</v>
      </c>
      <c r="B183" s="217">
        <v>44735</v>
      </c>
      <c r="C183" s="202">
        <v>0</v>
      </c>
      <c r="D183" s="202">
        <v>65</v>
      </c>
      <c r="E183" s="202">
        <v>76</v>
      </c>
      <c r="F183" s="202">
        <v>68</v>
      </c>
      <c r="G183" s="202">
        <v>92</v>
      </c>
      <c r="H183" s="202">
        <v>81</v>
      </c>
      <c r="I183" s="202">
        <v>76</v>
      </c>
      <c r="J183" s="202">
        <v>69</v>
      </c>
      <c r="K183" s="202">
        <v>49</v>
      </c>
      <c r="L183" s="202">
        <v>14</v>
      </c>
      <c r="M183" s="202">
        <v>17</v>
      </c>
      <c r="N183" s="202">
        <v>30</v>
      </c>
      <c r="O183" s="202">
        <v>47</v>
      </c>
      <c r="P183" s="202">
        <v>45</v>
      </c>
      <c r="Q183" s="202">
        <v>61</v>
      </c>
      <c r="R183" s="202">
        <v>52</v>
      </c>
      <c r="S183" s="202">
        <v>55</v>
      </c>
      <c r="T183" s="202">
        <v>58</v>
      </c>
      <c r="U183" s="202">
        <v>39</v>
      </c>
      <c r="V183" s="202">
        <v>0</v>
      </c>
      <c r="W183" s="203">
        <f t="shared" si="15"/>
        <v>994</v>
      </c>
    </row>
    <row r="184" spans="1:23" x14ac:dyDescent="0.35">
      <c r="A184" s="216" t="str">
        <f t="shared" si="14"/>
        <v>vendredi</v>
      </c>
      <c r="B184" s="217">
        <v>44736</v>
      </c>
      <c r="C184" s="202">
        <v>0</v>
      </c>
      <c r="D184" s="202">
        <v>50</v>
      </c>
      <c r="E184" s="202">
        <v>60</v>
      </c>
      <c r="F184" s="202">
        <v>82</v>
      </c>
      <c r="G184" s="202">
        <v>71</v>
      </c>
      <c r="H184" s="202">
        <v>51</v>
      </c>
      <c r="I184" s="202">
        <v>69</v>
      </c>
      <c r="J184" s="202">
        <v>48</v>
      </c>
      <c r="K184" s="202">
        <v>41</v>
      </c>
      <c r="L184" s="202">
        <v>19</v>
      </c>
      <c r="M184" s="202">
        <v>7</v>
      </c>
      <c r="N184" s="202">
        <v>31</v>
      </c>
      <c r="O184" s="202">
        <v>30</v>
      </c>
      <c r="P184" s="202">
        <v>48</v>
      </c>
      <c r="Q184" s="202">
        <v>47</v>
      </c>
      <c r="R184" s="202">
        <v>42</v>
      </c>
      <c r="S184" s="202">
        <v>40</v>
      </c>
      <c r="T184" s="202">
        <v>20</v>
      </c>
      <c r="U184" s="202">
        <v>14</v>
      </c>
      <c r="V184" s="202">
        <v>0</v>
      </c>
      <c r="W184" s="203">
        <f t="shared" si="15"/>
        <v>770</v>
      </c>
    </row>
    <row r="185" spans="1:23" x14ac:dyDescent="0.35">
      <c r="A185" s="216" t="str">
        <f t="shared" si="14"/>
        <v>samedi</v>
      </c>
      <c r="B185" s="217">
        <v>44737</v>
      </c>
      <c r="C185" s="202">
        <v>0</v>
      </c>
      <c r="D185" s="202"/>
      <c r="E185" s="202"/>
      <c r="F185" s="202"/>
      <c r="G185" s="202"/>
      <c r="H185" s="202"/>
      <c r="I185" s="202"/>
      <c r="J185" s="202"/>
      <c r="K185" s="202"/>
      <c r="L185" s="202"/>
      <c r="M185" s="202"/>
      <c r="N185" s="202"/>
      <c r="O185" s="202"/>
      <c r="P185" s="202"/>
      <c r="Q185" s="202"/>
      <c r="R185" s="202"/>
      <c r="S185" s="202"/>
      <c r="T185" s="202"/>
      <c r="U185" s="202"/>
      <c r="V185" s="202">
        <v>0</v>
      </c>
      <c r="W185" s="203">
        <f t="shared" si="15"/>
        <v>0</v>
      </c>
    </row>
    <row r="186" spans="1:23" x14ac:dyDescent="0.35">
      <c r="A186" s="216" t="str">
        <f t="shared" si="14"/>
        <v>dimanche</v>
      </c>
      <c r="B186" s="217">
        <v>44738</v>
      </c>
      <c r="C186" s="202">
        <v>0</v>
      </c>
      <c r="D186" s="202"/>
      <c r="E186" s="202"/>
      <c r="F186" s="202"/>
      <c r="G186" s="202"/>
      <c r="H186" s="202"/>
      <c r="I186" s="202"/>
      <c r="J186" s="202"/>
      <c r="K186" s="202"/>
      <c r="L186" s="202"/>
      <c r="M186" s="202"/>
      <c r="N186" s="202"/>
      <c r="O186" s="202"/>
      <c r="P186" s="202"/>
      <c r="Q186" s="202"/>
      <c r="R186" s="202"/>
      <c r="S186" s="202"/>
      <c r="T186" s="202"/>
      <c r="U186" s="202"/>
      <c r="V186" s="202">
        <v>0</v>
      </c>
      <c r="W186" s="203">
        <f t="shared" si="15"/>
        <v>0</v>
      </c>
    </row>
    <row r="187" spans="1:23" x14ac:dyDescent="0.35">
      <c r="A187" s="216" t="str">
        <f t="shared" si="14"/>
        <v>lundi</v>
      </c>
      <c r="B187" s="217">
        <v>44739</v>
      </c>
      <c r="C187" s="202">
        <v>0</v>
      </c>
      <c r="D187" s="202">
        <v>68</v>
      </c>
      <c r="E187" s="202">
        <v>99</v>
      </c>
      <c r="F187" s="202">
        <v>125</v>
      </c>
      <c r="G187" s="202">
        <v>116</v>
      </c>
      <c r="H187" s="202">
        <v>108</v>
      </c>
      <c r="I187" s="202">
        <v>91</v>
      </c>
      <c r="J187" s="202">
        <v>87</v>
      </c>
      <c r="K187" s="202">
        <v>54</v>
      </c>
      <c r="L187" s="202">
        <v>22</v>
      </c>
      <c r="M187" s="202">
        <v>18</v>
      </c>
      <c r="N187" s="202">
        <v>49</v>
      </c>
      <c r="O187" s="202">
        <v>52</v>
      </c>
      <c r="P187" s="202">
        <v>75</v>
      </c>
      <c r="Q187" s="202">
        <v>73</v>
      </c>
      <c r="R187" s="202">
        <v>58</v>
      </c>
      <c r="S187" s="202">
        <v>59</v>
      </c>
      <c r="T187" s="202">
        <v>57</v>
      </c>
      <c r="U187" s="202">
        <v>32</v>
      </c>
      <c r="V187" s="202">
        <v>0</v>
      </c>
      <c r="W187" s="203">
        <f t="shared" si="15"/>
        <v>1243</v>
      </c>
    </row>
    <row r="188" spans="1:23" x14ac:dyDescent="0.35">
      <c r="A188" s="216" t="str">
        <f t="shared" si="14"/>
        <v>mardi</v>
      </c>
      <c r="B188" s="217">
        <v>44740</v>
      </c>
      <c r="C188" s="202">
        <v>0</v>
      </c>
      <c r="D188" s="202">
        <v>65</v>
      </c>
      <c r="E188" s="202">
        <v>98</v>
      </c>
      <c r="F188" s="202">
        <v>93</v>
      </c>
      <c r="G188" s="202">
        <v>101</v>
      </c>
      <c r="H188" s="202">
        <v>89</v>
      </c>
      <c r="I188" s="202">
        <v>95</v>
      </c>
      <c r="J188" s="202">
        <v>71</v>
      </c>
      <c r="K188" s="202">
        <v>51</v>
      </c>
      <c r="L188" s="202">
        <v>21</v>
      </c>
      <c r="M188" s="202">
        <v>18</v>
      </c>
      <c r="N188" s="202">
        <v>34</v>
      </c>
      <c r="O188" s="202">
        <v>59</v>
      </c>
      <c r="P188" s="202">
        <v>56</v>
      </c>
      <c r="Q188" s="202">
        <v>65</v>
      </c>
      <c r="R188" s="202">
        <v>63</v>
      </c>
      <c r="S188" s="202">
        <v>57</v>
      </c>
      <c r="T188" s="202">
        <v>34</v>
      </c>
      <c r="U188" s="202">
        <v>45</v>
      </c>
      <c r="V188" s="202">
        <v>0</v>
      </c>
      <c r="W188" s="203">
        <f t="shared" si="15"/>
        <v>1115</v>
      </c>
    </row>
    <row r="189" spans="1:23" x14ac:dyDescent="0.35">
      <c r="A189" s="216" t="str">
        <f t="shared" si="14"/>
        <v>mercredi</v>
      </c>
      <c r="B189" s="217">
        <v>44741</v>
      </c>
      <c r="C189" s="202">
        <v>0</v>
      </c>
      <c r="D189" s="202">
        <v>45</v>
      </c>
      <c r="E189" s="202">
        <v>89</v>
      </c>
      <c r="F189" s="202">
        <v>72</v>
      </c>
      <c r="G189" s="202">
        <v>113</v>
      </c>
      <c r="H189" s="202">
        <v>96</v>
      </c>
      <c r="I189" s="202">
        <v>70</v>
      </c>
      <c r="J189" s="202">
        <v>83</v>
      </c>
      <c r="K189" s="202">
        <v>33</v>
      </c>
      <c r="L189" s="202">
        <v>26</v>
      </c>
      <c r="M189" s="202">
        <v>11</v>
      </c>
      <c r="N189" s="202">
        <v>31</v>
      </c>
      <c r="O189" s="202">
        <v>42</v>
      </c>
      <c r="P189" s="202">
        <v>52</v>
      </c>
      <c r="Q189" s="202">
        <v>81</v>
      </c>
      <c r="R189" s="202">
        <v>55</v>
      </c>
      <c r="S189" s="202">
        <v>52</v>
      </c>
      <c r="T189" s="202">
        <v>43</v>
      </c>
      <c r="U189" s="202">
        <v>38</v>
      </c>
      <c r="V189" s="202">
        <v>0</v>
      </c>
      <c r="W189" s="203">
        <f t="shared" si="15"/>
        <v>1032</v>
      </c>
    </row>
    <row r="190" spans="1:23" x14ac:dyDescent="0.35">
      <c r="A190" s="216" t="str">
        <f t="shared" si="14"/>
        <v>jeudi</v>
      </c>
      <c r="B190" s="217">
        <v>44742</v>
      </c>
      <c r="C190" s="202">
        <v>0</v>
      </c>
      <c r="D190" s="202">
        <v>55</v>
      </c>
      <c r="E190" s="202">
        <v>85</v>
      </c>
      <c r="F190" s="202">
        <v>81</v>
      </c>
      <c r="G190" s="202">
        <v>80</v>
      </c>
      <c r="H190" s="202">
        <v>77</v>
      </c>
      <c r="I190" s="202">
        <v>75</v>
      </c>
      <c r="J190" s="202">
        <v>64</v>
      </c>
      <c r="K190" s="202">
        <v>32</v>
      </c>
      <c r="L190" s="202">
        <v>20</v>
      </c>
      <c r="M190" s="202">
        <v>14</v>
      </c>
      <c r="N190" s="202">
        <v>45</v>
      </c>
      <c r="O190" s="202">
        <v>52</v>
      </c>
      <c r="P190" s="202">
        <v>51</v>
      </c>
      <c r="Q190" s="202">
        <v>72</v>
      </c>
      <c r="R190" s="202">
        <v>40</v>
      </c>
      <c r="S190" s="202">
        <v>43</v>
      </c>
      <c r="T190" s="202">
        <v>49</v>
      </c>
      <c r="U190" s="202">
        <v>40</v>
      </c>
      <c r="V190" s="202">
        <v>0</v>
      </c>
      <c r="W190" s="203">
        <f t="shared" si="15"/>
        <v>975</v>
      </c>
    </row>
    <row r="191" spans="1:23" x14ac:dyDescent="0.35">
      <c r="A191" s="216" t="str">
        <f t="shared" si="14"/>
        <v>vendredi</v>
      </c>
      <c r="B191" s="217">
        <v>44743</v>
      </c>
      <c r="C191" s="202">
        <v>0</v>
      </c>
      <c r="D191" s="202">
        <v>69</v>
      </c>
      <c r="E191" s="202">
        <v>76</v>
      </c>
      <c r="F191" s="202">
        <v>95</v>
      </c>
      <c r="G191" s="202">
        <v>95</v>
      </c>
      <c r="H191" s="202">
        <v>79</v>
      </c>
      <c r="I191" s="202">
        <v>88</v>
      </c>
      <c r="J191" s="202">
        <v>71</v>
      </c>
      <c r="K191" s="202">
        <v>49</v>
      </c>
      <c r="L191" s="202">
        <v>24</v>
      </c>
      <c r="M191" s="202">
        <v>13</v>
      </c>
      <c r="N191" s="202">
        <v>26</v>
      </c>
      <c r="O191" s="202">
        <v>43</v>
      </c>
      <c r="P191" s="202">
        <v>47</v>
      </c>
      <c r="Q191" s="202">
        <v>37</v>
      </c>
      <c r="R191" s="202">
        <v>36</v>
      </c>
      <c r="S191" s="202">
        <v>52</v>
      </c>
      <c r="T191" s="202">
        <v>18</v>
      </c>
      <c r="U191" s="202">
        <v>21</v>
      </c>
      <c r="V191" s="202">
        <v>0</v>
      </c>
      <c r="W191" s="203">
        <f t="shared" si="15"/>
        <v>939</v>
      </c>
    </row>
    <row r="192" spans="1:23" x14ac:dyDescent="0.35">
      <c r="A192" s="216" t="str">
        <f t="shared" si="14"/>
        <v>samedi</v>
      </c>
      <c r="B192" s="217">
        <v>44744</v>
      </c>
      <c r="C192" s="202">
        <v>0</v>
      </c>
      <c r="D192" s="202"/>
      <c r="E192" s="202"/>
      <c r="F192" s="202"/>
      <c r="G192" s="202"/>
      <c r="H192" s="202"/>
      <c r="I192" s="202"/>
      <c r="J192" s="202"/>
      <c r="K192" s="202"/>
      <c r="L192" s="202"/>
      <c r="M192" s="202"/>
      <c r="N192" s="202"/>
      <c r="O192" s="202"/>
      <c r="P192" s="202"/>
      <c r="Q192" s="202"/>
      <c r="R192" s="202"/>
      <c r="S192" s="202"/>
      <c r="T192" s="202"/>
      <c r="U192" s="202"/>
      <c r="V192" s="202">
        <v>0</v>
      </c>
      <c r="W192" s="203">
        <f t="shared" si="15"/>
        <v>0</v>
      </c>
    </row>
    <row r="193" spans="1:23" x14ac:dyDescent="0.35">
      <c r="A193" s="216" t="str">
        <f t="shared" si="14"/>
        <v>dimanche</v>
      </c>
      <c r="B193" s="217">
        <v>44745</v>
      </c>
      <c r="C193" s="202">
        <v>0</v>
      </c>
      <c r="D193" s="202"/>
      <c r="E193" s="202"/>
      <c r="F193" s="202"/>
      <c r="G193" s="202"/>
      <c r="H193" s="202"/>
      <c r="I193" s="202"/>
      <c r="J193" s="202"/>
      <c r="K193" s="202"/>
      <c r="L193" s="202"/>
      <c r="M193" s="202"/>
      <c r="N193" s="202"/>
      <c r="O193" s="202"/>
      <c r="P193" s="202"/>
      <c r="Q193" s="202"/>
      <c r="R193" s="202"/>
      <c r="S193" s="202"/>
      <c r="T193" s="202"/>
      <c r="U193" s="202"/>
      <c r="V193" s="202">
        <v>0</v>
      </c>
      <c r="W193" s="203">
        <f t="shared" si="15"/>
        <v>0</v>
      </c>
    </row>
    <row r="194" spans="1:23" x14ac:dyDescent="0.35">
      <c r="A194" s="216" t="str">
        <f t="shared" si="14"/>
        <v>lundi</v>
      </c>
      <c r="B194" s="217">
        <v>44746</v>
      </c>
      <c r="C194" s="202">
        <v>0</v>
      </c>
      <c r="D194" s="202">
        <v>85</v>
      </c>
      <c r="E194" s="202">
        <v>112</v>
      </c>
      <c r="F194" s="202">
        <v>148</v>
      </c>
      <c r="G194" s="202">
        <v>138</v>
      </c>
      <c r="H194" s="202">
        <v>110</v>
      </c>
      <c r="I194" s="202">
        <v>97</v>
      </c>
      <c r="J194" s="202">
        <v>112</v>
      </c>
      <c r="K194" s="202">
        <v>85</v>
      </c>
      <c r="L194" s="202">
        <v>30</v>
      </c>
      <c r="M194" s="202">
        <v>25</v>
      </c>
      <c r="N194" s="202">
        <v>60</v>
      </c>
      <c r="O194" s="202">
        <v>74</v>
      </c>
      <c r="P194" s="202">
        <v>84</v>
      </c>
      <c r="Q194" s="202">
        <v>97</v>
      </c>
      <c r="R194" s="202">
        <v>80</v>
      </c>
      <c r="S194" s="202">
        <v>78</v>
      </c>
      <c r="T194" s="202">
        <v>69</v>
      </c>
      <c r="U194" s="202">
        <v>53</v>
      </c>
      <c r="V194" s="202">
        <v>0</v>
      </c>
      <c r="W194" s="203">
        <f t="shared" si="15"/>
        <v>1537</v>
      </c>
    </row>
    <row r="195" spans="1:23" x14ac:dyDescent="0.35">
      <c r="A195" s="216" t="str">
        <f t="shared" si="14"/>
        <v>mardi</v>
      </c>
      <c r="B195" s="217">
        <v>44747</v>
      </c>
      <c r="C195" s="202">
        <v>0</v>
      </c>
      <c r="D195" s="202">
        <v>58</v>
      </c>
      <c r="E195" s="202">
        <v>71</v>
      </c>
      <c r="F195" s="202">
        <v>98</v>
      </c>
      <c r="G195" s="202">
        <v>96</v>
      </c>
      <c r="H195" s="202">
        <v>111</v>
      </c>
      <c r="I195" s="202">
        <v>89</v>
      </c>
      <c r="J195" s="202">
        <v>78</v>
      </c>
      <c r="K195" s="202">
        <v>51</v>
      </c>
      <c r="L195" s="202">
        <v>26</v>
      </c>
      <c r="M195" s="202">
        <v>16</v>
      </c>
      <c r="N195" s="202">
        <v>52</v>
      </c>
      <c r="O195" s="202">
        <v>74</v>
      </c>
      <c r="P195" s="202">
        <v>66</v>
      </c>
      <c r="Q195" s="202">
        <v>79</v>
      </c>
      <c r="R195" s="202">
        <v>70</v>
      </c>
      <c r="S195" s="202">
        <v>83</v>
      </c>
      <c r="T195" s="202">
        <v>53</v>
      </c>
      <c r="U195" s="202">
        <v>45</v>
      </c>
      <c r="V195" s="202">
        <v>0</v>
      </c>
      <c r="W195" s="203">
        <f t="shared" si="15"/>
        <v>1216</v>
      </c>
    </row>
    <row r="196" spans="1:23" x14ac:dyDescent="0.35">
      <c r="A196" s="216" t="str">
        <f t="shared" si="14"/>
        <v>mercredi</v>
      </c>
      <c r="B196" s="217">
        <v>44748</v>
      </c>
      <c r="C196" s="202">
        <v>0</v>
      </c>
      <c r="D196" s="202">
        <v>496</v>
      </c>
      <c r="E196" s="202">
        <v>470</v>
      </c>
      <c r="F196" s="202">
        <v>323</v>
      </c>
      <c r="G196" s="202">
        <v>282</v>
      </c>
      <c r="H196" s="202">
        <v>175</v>
      </c>
      <c r="I196" s="202">
        <v>89</v>
      </c>
      <c r="J196" s="202">
        <v>110</v>
      </c>
      <c r="K196" s="202">
        <v>78</v>
      </c>
      <c r="L196" s="202">
        <v>60</v>
      </c>
      <c r="M196" s="202">
        <v>26</v>
      </c>
      <c r="N196" s="202">
        <v>65</v>
      </c>
      <c r="O196" s="202">
        <v>83</v>
      </c>
      <c r="P196" s="202">
        <v>91</v>
      </c>
      <c r="Q196" s="202">
        <v>79</v>
      </c>
      <c r="R196" s="202">
        <v>73</v>
      </c>
      <c r="S196" s="202">
        <v>58</v>
      </c>
      <c r="T196" s="202">
        <v>49</v>
      </c>
      <c r="U196" s="202">
        <v>48</v>
      </c>
      <c r="V196" s="202">
        <v>0</v>
      </c>
      <c r="W196" s="203">
        <f t="shared" si="15"/>
        <v>2655</v>
      </c>
    </row>
    <row r="197" spans="1:23" x14ac:dyDescent="0.35">
      <c r="A197" s="216" t="str">
        <f t="shared" si="14"/>
        <v>jeudi</v>
      </c>
      <c r="B197" s="217">
        <v>44749</v>
      </c>
      <c r="C197" s="202">
        <v>0</v>
      </c>
      <c r="D197" s="202">
        <v>69</v>
      </c>
      <c r="E197" s="202">
        <v>85</v>
      </c>
      <c r="F197" s="202">
        <v>85</v>
      </c>
      <c r="G197" s="202">
        <v>93</v>
      </c>
      <c r="H197" s="202">
        <v>141</v>
      </c>
      <c r="I197" s="202">
        <v>91</v>
      </c>
      <c r="J197" s="202">
        <v>70</v>
      </c>
      <c r="K197" s="202">
        <v>51</v>
      </c>
      <c r="L197" s="202">
        <v>32</v>
      </c>
      <c r="M197" s="202">
        <v>21</v>
      </c>
      <c r="N197" s="202">
        <v>39</v>
      </c>
      <c r="O197" s="202">
        <v>49</v>
      </c>
      <c r="P197" s="202">
        <v>70</v>
      </c>
      <c r="Q197" s="202">
        <v>77</v>
      </c>
      <c r="R197" s="202">
        <v>76</v>
      </c>
      <c r="S197" s="202">
        <v>62</v>
      </c>
      <c r="T197" s="202">
        <v>48</v>
      </c>
      <c r="U197" s="202">
        <v>34</v>
      </c>
      <c r="V197" s="202">
        <v>0</v>
      </c>
      <c r="W197" s="203">
        <f t="shared" si="15"/>
        <v>1193</v>
      </c>
    </row>
    <row r="198" spans="1:23" x14ac:dyDescent="0.35">
      <c r="A198" s="216" t="str">
        <f t="shared" si="14"/>
        <v>vendredi</v>
      </c>
      <c r="B198" s="217">
        <v>44750</v>
      </c>
      <c r="C198" s="202">
        <v>0</v>
      </c>
      <c r="D198" s="202">
        <v>71</v>
      </c>
      <c r="E198" s="202">
        <v>86</v>
      </c>
      <c r="F198" s="202">
        <v>96</v>
      </c>
      <c r="G198" s="202">
        <v>95</v>
      </c>
      <c r="H198" s="202">
        <v>58</v>
      </c>
      <c r="I198" s="202">
        <v>75</v>
      </c>
      <c r="J198" s="202">
        <v>61</v>
      </c>
      <c r="K198" s="202">
        <v>45</v>
      </c>
      <c r="L198" s="202">
        <v>24</v>
      </c>
      <c r="M198" s="202">
        <v>12</v>
      </c>
      <c r="N198" s="202">
        <v>23</v>
      </c>
      <c r="O198" s="202">
        <v>42</v>
      </c>
      <c r="P198" s="202">
        <v>42</v>
      </c>
      <c r="Q198" s="202">
        <v>41</v>
      </c>
      <c r="R198" s="202">
        <v>35</v>
      </c>
      <c r="S198" s="202">
        <v>51</v>
      </c>
      <c r="T198" s="202">
        <v>24</v>
      </c>
      <c r="U198" s="202">
        <v>16</v>
      </c>
      <c r="V198" s="202">
        <v>0</v>
      </c>
      <c r="W198" s="203">
        <f t="shared" si="15"/>
        <v>897</v>
      </c>
    </row>
    <row r="199" spans="1:23" x14ac:dyDescent="0.35">
      <c r="A199" s="216" t="str">
        <f t="shared" si="14"/>
        <v>samedi</v>
      </c>
      <c r="B199" s="217">
        <v>44751</v>
      </c>
      <c r="C199" s="202">
        <v>0</v>
      </c>
      <c r="D199" s="202"/>
      <c r="E199" s="202"/>
      <c r="F199" s="202"/>
      <c r="G199" s="202"/>
      <c r="H199" s="202"/>
      <c r="I199" s="202"/>
      <c r="J199" s="202"/>
      <c r="K199" s="202"/>
      <c r="L199" s="202"/>
      <c r="M199" s="202"/>
      <c r="N199" s="202"/>
      <c r="O199" s="202"/>
      <c r="P199" s="202"/>
      <c r="Q199" s="202"/>
      <c r="R199" s="202"/>
      <c r="S199" s="202"/>
      <c r="T199" s="202"/>
      <c r="U199" s="202"/>
      <c r="V199" s="202">
        <v>0</v>
      </c>
      <c r="W199" s="203">
        <f t="shared" si="15"/>
        <v>0</v>
      </c>
    </row>
    <row r="200" spans="1:23" x14ac:dyDescent="0.35">
      <c r="A200" s="216" t="str">
        <f t="shared" si="14"/>
        <v>dimanche</v>
      </c>
      <c r="B200" s="217">
        <v>44752</v>
      </c>
      <c r="C200" s="202">
        <v>0</v>
      </c>
      <c r="D200" s="202"/>
      <c r="E200" s="202"/>
      <c r="F200" s="202"/>
      <c r="G200" s="202"/>
      <c r="H200" s="202"/>
      <c r="I200" s="202"/>
      <c r="J200" s="202"/>
      <c r="K200" s="202"/>
      <c r="L200" s="202"/>
      <c r="M200" s="202"/>
      <c r="N200" s="202"/>
      <c r="O200" s="202"/>
      <c r="P200" s="202"/>
      <c r="Q200" s="202"/>
      <c r="R200" s="202"/>
      <c r="S200" s="202"/>
      <c r="T200" s="202"/>
      <c r="U200" s="202"/>
      <c r="V200" s="202">
        <v>0</v>
      </c>
      <c r="W200" s="203">
        <f t="shared" si="15"/>
        <v>0</v>
      </c>
    </row>
    <row r="201" spans="1:23" x14ac:dyDescent="0.35">
      <c r="A201" s="216" t="str">
        <f t="shared" si="14"/>
        <v>lundi</v>
      </c>
      <c r="B201" s="217">
        <v>44753</v>
      </c>
      <c r="C201" s="202">
        <v>0</v>
      </c>
      <c r="D201" s="202">
        <v>61</v>
      </c>
      <c r="E201" s="202">
        <v>103</v>
      </c>
      <c r="F201" s="202">
        <v>136</v>
      </c>
      <c r="G201" s="202">
        <v>116</v>
      </c>
      <c r="H201" s="202">
        <v>142</v>
      </c>
      <c r="I201" s="202">
        <v>99</v>
      </c>
      <c r="J201" s="202">
        <v>96</v>
      </c>
      <c r="K201" s="202">
        <v>75</v>
      </c>
      <c r="L201" s="202">
        <v>22</v>
      </c>
      <c r="M201" s="202">
        <v>22</v>
      </c>
      <c r="N201" s="202">
        <v>39</v>
      </c>
      <c r="O201" s="202">
        <v>64</v>
      </c>
      <c r="P201" s="202">
        <v>70</v>
      </c>
      <c r="Q201" s="202">
        <v>73</v>
      </c>
      <c r="R201" s="202">
        <v>55</v>
      </c>
      <c r="S201" s="202">
        <v>54</v>
      </c>
      <c r="T201" s="202">
        <v>57</v>
      </c>
      <c r="U201" s="202">
        <v>30</v>
      </c>
      <c r="V201" s="202">
        <v>0</v>
      </c>
      <c r="W201" s="203">
        <f t="shared" si="15"/>
        <v>1314</v>
      </c>
    </row>
    <row r="202" spans="1:23" x14ac:dyDescent="0.35">
      <c r="A202" s="216" t="str">
        <f t="shared" si="14"/>
        <v>mardi</v>
      </c>
      <c r="B202" s="217">
        <v>44754</v>
      </c>
      <c r="C202" s="202">
        <v>0</v>
      </c>
      <c r="D202" s="202">
        <v>68</v>
      </c>
      <c r="E202" s="202">
        <v>82</v>
      </c>
      <c r="F202" s="202">
        <v>89</v>
      </c>
      <c r="G202" s="202">
        <v>88</v>
      </c>
      <c r="H202" s="202">
        <v>79</v>
      </c>
      <c r="I202" s="202">
        <v>79</v>
      </c>
      <c r="J202" s="202">
        <v>79</v>
      </c>
      <c r="K202" s="202">
        <v>47</v>
      </c>
      <c r="L202" s="202">
        <v>19</v>
      </c>
      <c r="M202" s="202">
        <v>13</v>
      </c>
      <c r="N202" s="202">
        <v>26</v>
      </c>
      <c r="O202" s="202">
        <v>59</v>
      </c>
      <c r="P202" s="202">
        <v>55</v>
      </c>
      <c r="Q202" s="202">
        <v>62</v>
      </c>
      <c r="R202" s="202">
        <v>60</v>
      </c>
      <c r="S202" s="202">
        <v>62</v>
      </c>
      <c r="T202" s="202">
        <v>49</v>
      </c>
      <c r="U202" s="202">
        <v>31</v>
      </c>
      <c r="V202" s="202">
        <v>0</v>
      </c>
      <c r="W202" s="203">
        <f t="shared" si="15"/>
        <v>1047</v>
      </c>
    </row>
    <row r="203" spans="1:23" x14ac:dyDescent="0.35">
      <c r="A203" s="216" t="str">
        <f t="shared" si="14"/>
        <v>mercredi</v>
      </c>
      <c r="B203" s="217">
        <v>44755</v>
      </c>
      <c r="C203" s="202">
        <v>0</v>
      </c>
      <c r="D203" s="202">
        <v>43</v>
      </c>
      <c r="E203" s="202">
        <v>70</v>
      </c>
      <c r="F203" s="202">
        <v>63</v>
      </c>
      <c r="G203" s="202">
        <v>81</v>
      </c>
      <c r="H203" s="202">
        <v>67</v>
      </c>
      <c r="I203" s="202">
        <v>64</v>
      </c>
      <c r="J203" s="202">
        <v>73</v>
      </c>
      <c r="K203" s="202">
        <v>37</v>
      </c>
      <c r="L203" s="202">
        <v>21</v>
      </c>
      <c r="M203" s="202">
        <v>13</v>
      </c>
      <c r="N203" s="202">
        <v>22</v>
      </c>
      <c r="O203" s="202">
        <v>43</v>
      </c>
      <c r="P203" s="202">
        <v>43</v>
      </c>
      <c r="Q203" s="202">
        <v>50</v>
      </c>
      <c r="R203" s="202">
        <v>42</v>
      </c>
      <c r="S203" s="202">
        <v>43</v>
      </c>
      <c r="T203" s="202">
        <v>23</v>
      </c>
      <c r="U203" s="202">
        <v>25</v>
      </c>
      <c r="V203" s="202">
        <v>0</v>
      </c>
      <c r="W203" s="203">
        <f t="shared" si="15"/>
        <v>823</v>
      </c>
    </row>
    <row r="204" spans="1:23" x14ac:dyDescent="0.35">
      <c r="A204" s="216" t="str">
        <f t="shared" ref="A204:A249" si="16">TEXT(B204,"jjjj")</f>
        <v>jeudi</v>
      </c>
      <c r="B204" s="217">
        <v>44756</v>
      </c>
      <c r="C204" s="202">
        <v>0</v>
      </c>
      <c r="D204" s="202"/>
      <c r="E204" s="202"/>
      <c r="F204" s="202"/>
      <c r="G204" s="202"/>
      <c r="H204" s="202"/>
      <c r="I204" s="202"/>
      <c r="J204" s="202"/>
      <c r="K204" s="202"/>
      <c r="L204" s="202"/>
      <c r="M204" s="202"/>
      <c r="N204" s="202"/>
      <c r="O204" s="202"/>
      <c r="P204" s="202"/>
      <c r="Q204" s="202"/>
      <c r="R204" s="202"/>
      <c r="S204" s="202"/>
      <c r="T204" s="202"/>
      <c r="U204" s="202"/>
      <c r="V204" s="202">
        <v>0</v>
      </c>
      <c r="W204" s="203">
        <f t="shared" ref="W204:W249" si="17">SUM(C204:U204)</f>
        <v>0</v>
      </c>
    </row>
    <row r="205" spans="1:23" x14ac:dyDescent="0.35">
      <c r="A205" s="216" t="str">
        <f t="shared" si="16"/>
        <v>vendredi</v>
      </c>
      <c r="B205" s="217">
        <v>44757</v>
      </c>
      <c r="C205" s="202">
        <v>0</v>
      </c>
      <c r="D205" s="202">
        <v>44</v>
      </c>
      <c r="E205" s="202">
        <v>35</v>
      </c>
      <c r="F205" s="202">
        <v>46</v>
      </c>
      <c r="G205" s="202">
        <v>36</v>
      </c>
      <c r="H205" s="202">
        <v>40</v>
      </c>
      <c r="I205" s="202">
        <v>26</v>
      </c>
      <c r="J205" s="202">
        <v>32</v>
      </c>
      <c r="K205" s="202">
        <v>20</v>
      </c>
      <c r="L205" s="202">
        <v>9</v>
      </c>
      <c r="M205" s="202">
        <v>9</v>
      </c>
      <c r="N205" s="202">
        <v>17</v>
      </c>
      <c r="O205" s="202">
        <v>23</v>
      </c>
      <c r="P205" s="202">
        <v>16</v>
      </c>
      <c r="Q205" s="202">
        <v>18</v>
      </c>
      <c r="R205" s="202">
        <v>26</v>
      </c>
      <c r="S205" s="202">
        <v>18</v>
      </c>
      <c r="T205" s="202">
        <v>11</v>
      </c>
      <c r="U205" s="202">
        <v>13</v>
      </c>
      <c r="V205" s="202">
        <v>0</v>
      </c>
      <c r="W205" s="203">
        <f t="shared" si="17"/>
        <v>439</v>
      </c>
    </row>
    <row r="206" spans="1:23" x14ac:dyDescent="0.35">
      <c r="A206" s="216" t="str">
        <f t="shared" si="16"/>
        <v>samedi</v>
      </c>
      <c r="B206" s="217">
        <v>44758</v>
      </c>
      <c r="C206" s="202">
        <v>0</v>
      </c>
      <c r="D206" s="202"/>
      <c r="E206" s="202"/>
      <c r="F206" s="202"/>
      <c r="G206" s="202"/>
      <c r="H206" s="202"/>
      <c r="I206" s="202"/>
      <c r="J206" s="202"/>
      <c r="K206" s="202"/>
      <c r="L206" s="202"/>
      <c r="M206" s="202"/>
      <c r="N206" s="202"/>
      <c r="O206" s="202"/>
      <c r="P206" s="202"/>
      <c r="Q206" s="202"/>
      <c r="R206" s="202"/>
      <c r="S206" s="202"/>
      <c r="T206" s="202"/>
      <c r="U206" s="202"/>
      <c r="V206" s="202">
        <v>0</v>
      </c>
      <c r="W206" s="203">
        <f t="shared" si="17"/>
        <v>0</v>
      </c>
    </row>
    <row r="207" spans="1:23" x14ac:dyDescent="0.35">
      <c r="A207" s="216" t="str">
        <f t="shared" si="16"/>
        <v>dimanche</v>
      </c>
      <c r="B207" s="217">
        <v>44759</v>
      </c>
      <c r="C207" s="202">
        <v>0</v>
      </c>
      <c r="D207" s="202"/>
      <c r="E207" s="202"/>
      <c r="F207" s="202"/>
      <c r="G207" s="202"/>
      <c r="H207" s="202"/>
      <c r="I207" s="202"/>
      <c r="J207" s="202"/>
      <c r="K207" s="202"/>
      <c r="L207" s="202"/>
      <c r="M207" s="202"/>
      <c r="N207" s="202"/>
      <c r="O207" s="202"/>
      <c r="P207" s="202"/>
      <c r="Q207" s="202"/>
      <c r="R207" s="202"/>
      <c r="S207" s="202"/>
      <c r="T207" s="202"/>
      <c r="U207" s="202"/>
      <c r="V207" s="202">
        <v>0</v>
      </c>
      <c r="W207" s="203">
        <f t="shared" si="17"/>
        <v>0</v>
      </c>
    </row>
    <row r="208" spans="1:23" x14ac:dyDescent="0.35">
      <c r="A208" s="216" t="str">
        <f t="shared" si="16"/>
        <v>lundi</v>
      </c>
      <c r="B208" s="217">
        <v>44760</v>
      </c>
      <c r="C208" s="202">
        <v>0</v>
      </c>
      <c r="D208" s="202">
        <v>0</v>
      </c>
      <c r="E208" s="202">
        <v>0</v>
      </c>
      <c r="F208" s="202">
        <v>0</v>
      </c>
      <c r="G208" s="202">
        <v>0</v>
      </c>
      <c r="H208" s="202">
        <v>0</v>
      </c>
      <c r="I208" s="202">
        <v>0</v>
      </c>
      <c r="J208" s="202">
        <v>0</v>
      </c>
      <c r="K208" s="202">
        <v>0</v>
      </c>
      <c r="L208" s="202">
        <v>0</v>
      </c>
      <c r="M208" s="202">
        <v>0</v>
      </c>
      <c r="N208" s="202">
        <v>0</v>
      </c>
      <c r="O208" s="202">
        <v>0</v>
      </c>
      <c r="P208" s="202">
        <v>0</v>
      </c>
      <c r="Q208" s="202">
        <v>0</v>
      </c>
      <c r="R208" s="202">
        <v>0</v>
      </c>
      <c r="S208" s="202">
        <v>0</v>
      </c>
      <c r="T208" s="202">
        <v>0</v>
      </c>
      <c r="U208" s="202">
        <v>0</v>
      </c>
      <c r="V208" s="202">
        <v>0</v>
      </c>
      <c r="W208" s="203">
        <f t="shared" si="17"/>
        <v>0</v>
      </c>
    </row>
    <row r="209" spans="1:23" x14ac:dyDescent="0.35">
      <c r="A209" s="216" t="str">
        <f t="shared" si="16"/>
        <v>mardi</v>
      </c>
      <c r="B209" s="217">
        <v>44761</v>
      </c>
      <c r="C209" s="202">
        <v>0</v>
      </c>
      <c r="D209" s="202">
        <v>0</v>
      </c>
      <c r="E209" s="202">
        <v>0</v>
      </c>
      <c r="F209" s="202">
        <v>0</v>
      </c>
      <c r="G209" s="202">
        <v>0</v>
      </c>
      <c r="H209" s="202">
        <v>0</v>
      </c>
      <c r="I209" s="202">
        <v>0</v>
      </c>
      <c r="J209" s="202">
        <v>0</v>
      </c>
      <c r="K209" s="202">
        <v>0</v>
      </c>
      <c r="L209" s="202">
        <v>0</v>
      </c>
      <c r="M209" s="202">
        <v>0</v>
      </c>
      <c r="N209" s="202">
        <v>0</v>
      </c>
      <c r="O209" s="202">
        <v>0</v>
      </c>
      <c r="P209" s="202">
        <v>0</v>
      </c>
      <c r="Q209" s="202">
        <v>0</v>
      </c>
      <c r="R209" s="202">
        <v>0</v>
      </c>
      <c r="S209" s="202">
        <v>0</v>
      </c>
      <c r="T209" s="202">
        <v>0</v>
      </c>
      <c r="U209" s="202">
        <v>0</v>
      </c>
      <c r="V209" s="202">
        <v>0</v>
      </c>
      <c r="W209" s="203">
        <f t="shared" si="17"/>
        <v>0</v>
      </c>
    </row>
    <row r="210" spans="1:23" x14ac:dyDescent="0.35">
      <c r="A210" s="216" t="str">
        <f t="shared" si="16"/>
        <v>mercredi</v>
      </c>
      <c r="B210" s="217">
        <v>44762</v>
      </c>
      <c r="C210" s="202">
        <v>0</v>
      </c>
      <c r="D210" s="202">
        <v>0</v>
      </c>
      <c r="E210" s="202">
        <v>0</v>
      </c>
      <c r="F210" s="202">
        <v>0</v>
      </c>
      <c r="G210" s="202">
        <v>0</v>
      </c>
      <c r="H210" s="202">
        <v>0</v>
      </c>
      <c r="I210" s="202">
        <v>0</v>
      </c>
      <c r="J210" s="202">
        <v>0</v>
      </c>
      <c r="K210" s="202">
        <v>0</v>
      </c>
      <c r="L210" s="202">
        <v>0</v>
      </c>
      <c r="M210" s="202">
        <v>0</v>
      </c>
      <c r="N210" s="202">
        <v>0</v>
      </c>
      <c r="O210" s="202">
        <v>0</v>
      </c>
      <c r="P210" s="202">
        <v>0</v>
      </c>
      <c r="Q210" s="202">
        <v>0</v>
      </c>
      <c r="R210" s="202">
        <v>0</v>
      </c>
      <c r="S210" s="202">
        <v>0</v>
      </c>
      <c r="T210" s="202">
        <v>0</v>
      </c>
      <c r="U210" s="202">
        <v>0</v>
      </c>
      <c r="V210" s="202">
        <v>0</v>
      </c>
      <c r="W210" s="203">
        <f t="shared" si="17"/>
        <v>0</v>
      </c>
    </row>
    <row r="211" spans="1:23" x14ac:dyDescent="0.35">
      <c r="A211" s="216" t="str">
        <f t="shared" si="16"/>
        <v>jeudi</v>
      </c>
      <c r="B211" s="217">
        <v>44763</v>
      </c>
      <c r="C211" s="202">
        <v>0</v>
      </c>
      <c r="D211" s="202">
        <v>0</v>
      </c>
      <c r="E211" s="202">
        <v>0</v>
      </c>
      <c r="F211" s="202">
        <v>0</v>
      </c>
      <c r="G211" s="202">
        <v>0</v>
      </c>
      <c r="H211" s="202">
        <v>0</v>
      </c>
      <c r="I211" s="202">
        <v>0</v>
      </c>
      <c r="J211" s="202">
        <v>0</v>
      </c>
      <c r="K211" s="202">
        <v>0</v>
      </c>
      <c r="L211" s="202">
        <v>0</v>
      </c>
      <c r="M211" s="202">
        <v>0</v>
      </c>
      <c r="N211" s="202">
        <v>0</v>
      </c>
      <c r="O211" s="202">
        <v>0</v>
      </c>
      <c r="P211" s="202">
        <v>0</v>
      </c>
      <c r="Q211" s="202">
        <v>0</v>
      </c>
      <c r="R211" s="202">
        <v>0</v>
      </c>
      <c r="S211" s="202">
        <v>0</v>
      </c>
      <c r="T211" s="202">
        <v>0</v>
      </c>
      <c r="U211" s="202">
        <v>0</v>
      </c>
      <c r="V211" s="202">
        <v>0</v>
      </c>
      <c r="W211" s="203">
        <f t="shared" si="17"/>
        <v>0</v>
      </c>
    </row>
    <row r="212" spans="1:23" x14ac:dyDescent="0.35">
      <c r="A212" s="216" t="str">
        <f t="shared" si="16"/>
        <v>vendredi</v>
      </c>
      <c r="B212" s="217">
        <v>44764</v>
      </c>
      <c r="C212" s="202">
        <v>0</v>
      </c>
      <c r="D212" s="202">
        <v>0</v>
      </c>
      <c r="E212" s="202">
        <v>0</v>
      </c>
      <c r="F212" s="202">
        <v>0</v>
      </c>
      <c r="G212" s="202">
        <v>0</v>
      </c>
      <c r="H212" s="202">
        <v>0</v>
      </c>
      <c r="I212" s="202">
        <v>0</v>
      </c>
      <c r="J212" s="202">
        <v>0</v>
      </c>
      <c r="K212" s="202">
        <v>0</v>
      </c>
      <c r="L212" s="202">
        <v>0</v>
      </c>
      <c r="M212" s="202">
        <v>0</v>
      </c>
      <c r="N212" s="202">
        <v>0</v>
      </c>
      <c r="O212" s="202">
        <v>0</v>
      </c>
      <c r="P212" s="202">
        <v>0</v>
      </c>
      <c r="Q212" s="202">
        <v>0</v>
      </c>
      <c r="R212" s="202">
        <v>0</v>
      </c>
      <c r="S212" s="202">
        <v>0</v>
      </c>
      <c r="T212" s="202">
        <v>0</v>
      </c>
      <c r="U212" s="202">
        <v>0</v>
      </c>
      <c r="V212" s="202">
        <v>0</v>
      </c>
      <c r="W212" s="203">
        <f t="shared" si="17"/>
        <v>0</v>
      </c>
    </row>
    <row r="213" spans="1:23" x14ac:dyDescent="0.35">
      <c r="A213" s="216" t="str">
        <f t="shared" si="16"/>
        <v>samedi</v>
      </c>
      <c r="B213" s="217">
        <v>44765</v>
      </c>
      <c r="C213" s="202">
        <v>0</v>
      </c>
      <c r="D213" s="202"/>
      <c r="E213" s="202"/>
      <c r="F213" s="202"/>
      <c r="G213" s="202"/>
      <c r="H213" s="202"/>
      <c r="I213" s="202"/>
      <c r="J213" s="202"/>
      <c r="K213" s="202"/>
      <c r="L213" s="202"/>
      <c r="M213" s="202"/>
      <c r="N213" s="202"/>
      <c r="O213" s="202"/>
      <c r="P213" s="202"/>
      <c r="Q213" s="202"/>
      <c r="R213" s="202"/>
      <c r="S213" s="202"/>
      <c r="T213" s="202"/>
      <c r="U213" s="202"/>
      <c r="V213" s="202">
        <v>0</v>
      </c>
      <c r="W213" s="203">
        <f t="shared" si="17"/>
        <v>0</v>
      </c>
    </row>
    <row r="214" spans="1:23" x14ac:dyDescent="0.35">
      <c r="A214" s="216" t="str">
        <f t="shared" si="16"/>
        <v>dimanche</v>
      </c>
      <c r="B214" s="217">
        <v>44766</v>
      </c>
      <c r="C214" s="202">
        <v>0</v>
      </c>
      <c r="D214" s="202"/>
      <c r="E214" s="202"/>
      <c r="F214" s="202"/>
      <c r="G214" s="202"/>
      <c r="H214" s="202"/>
      <c r="I214" s="202"/>
      <c r="J214" s="202"/>
      <c r="K214" s="202"/>
      <c r="L214" s="202"/>
      <c r="M214" s="202"/>
      <c r="N214" s="202"/>
      <c r="O214" s="202"/>
      <c r="P214" s="202"/>
      <c r="Q214" s="202"/>
      <c r="R214" s="202"/>
      <c r="S214" s="202"/>
      <c r="T214" s="202"/>
      <c r="U214" s="202"/>
      <c r="V214" s="202">
        <v>0</v>
      </c>
      <c r="W214" s="203">
        <f t="shared" si="17"/>
        <v>0</v>
      </c>
    </row>
    <row r="215" spans="1:23" x14ac:dyDescent="0.35">
      <c r="A215" s="216" t="str">
        <f t="shared" si="16"/>
        <v>lundi</v>
      </c>
      <c r="B215" s="217">
        <v>44767</v>
      </c>
      <c r="C215" s="202">
        <v>0</v>
      </c>
      <c r="D215" s="202">
        <v>0</v>
      </c>
      <c r="E215" s="202">
        <v>0</v>
      </c>
      <c r="F215" s="202">
        <v>0</v>
      </c>
      <c r="G215" s="202">
        <v>0</v>
      </c>
      <c r="H215" s="202">
        <v>0</v>
      </c>
      <c r="I215" s="202">
        <v>0</v>
      </c>
      <c r="J215" s="202">
        <v>0</v>
      </c>
      <c r="K215" s="202">
        <v>0</v>
      </c>
      <c r="L215" s="202">
        <v>0</v>
      </c>
      <c r="M215" s="202">
        <v>0</v>
      </c>
      <c r="N215" s="202">
        <v>0</v>
      </c>
      <c r="O215" s="202">
        <v>0</v>
      </c>
      <c r="P215" s="202">
        <v>0</v>
      </c>
      <c r="Q215" s="202">
        <v>0</v>
      </c>
      <c r="R215" s="202">
        <v>0</v>
      </c>
      <c r="S215" s="202">
        <v>0</v>
      </c>
      <c r="T215" s="202">
        <v>0</v>
      </c>
      <c r="U215" s="202">
        <v>0</v>
      </c>
      <c r="V215" s="202">
        <v>0</v>
      </c>
      <c r="W215" s="203">
        <f t="shared" si="17"/>
        <v>0</v>
      </c>
    </row>
    <row r="216" spans="1:23" x14ac:dyDescent="0.35">
      <c r="A216" s="216" t="str">
        <f t="shared" si="16"/>
        <v>mardi</v>
      </c>
      <c r="B216" s="217">
        <v>44768</v>
      </c>
      <c r="C216" s="202">
        <v>0</v>
      </c>
      <c r="D216" s="202">
        <v>0</v>
      </c>
      <c r="E216" s="202">
        <v>0</v>
      </c>
      <c r="F216" s="202">
        <v>0</v>
      </c>
      <c r="G216" s="202">
        <v>0</v>
      </c>
      <c r="H216" s="202">
        <v>0</v>
      </c>
      <c r="I216" s="202">
        <v>0</v>
      </c>
      <c r="J216" s="202">
        <v>0</v>
      </c>
      <c r="K216" s="202">
        <v>0</v>
      </c>
      <c r="L216" s="202">
        <v>0</v>
      </c>
      <c r="M216" s="202">
        <v>0</v>
      </c>
      <c r="N216" s="202">
        <v>0</v>
      </c>
      <c r="O216" s="202">
        <v>0</v>
      </c>
      <c r="P216" s="202">
        <v>0</v>
      </c>
      <c r="Q216" s="202">
        <v>0</v>
      </c>
      <c r="R216" s="202">
        <v>0</v>
      </c>
      <c r="S216" s="202">
        <v>0</v>
      </c>
      <c r="T216" s="202">
        <v>0</v>
      </c>
      <c r="U216" s="202">
        <v>0</v>
      </c>
      <c r="V216" s="202">
        <v>0</v>
      </c>
      <c r="W216" s="203">
        <f t="shared" si="17"/>
        <v>0</v>
      </c>
    </row>
    <row r="217" spans="1:23" x14ac:dyDescent="0.35">
      <c r="A217" s="216" t="str">
        <f t="shared" si="16"/>
        <v>mercredi</v>
      </c>
      <c r="B217" s="217">
        <v>44769</v>
      </c>
      <c r="C217" s="202">
        <v>0</v>
      </c>
      <c r="D217" s="202">
        <v>0</v>
      </c>
      <c r="E217" s="202">
        <v>0</v>
      </c>
      <c r="F217" s="202">
        <v>0</v>
      </c>
      <c r="G217" s="202">
        <v>0</v>
      </c>
      <c r="H217" s="202">
        <v>0</v>
      </c>
      <c r="I217" s="202">
        <v>0</v>
      </c>
      <c r="J217" s="202">
        <v>0</v>
      </c>
      <c r="K217" s="202">
        <v>0</v>
      </c>
      <c r="L217" s="202">
        <v>0</v>
      </c>
      <c r="M217" s="202">
        <v>0</v>
      </c>
      <c r="N217" s="202">
        <v>0</v>
      </c>
      <c r="O217" s="202">
        <v>0</v>
      </c>
      <c r="P217" s="202">
        <v>0</v>
      </c>
      <c r="Q217" s="202">
        <v>0</v>
      </c>
      <c r="R217" s="202">
        <v>0</v>
      </c>
      <c r="S217" s="202">
        <v>0</v>
      </c>
      <c r="T217" s="202">
        <v>0</v>
      </c>
      <c r="U217" s="202">
        <v>0</v>
      </c>
      <c r="V217" s="202">
        <v>0</v>
      </c>
      <c r="W217" s="203">
        <f t="shared" si="17"/>
        <v>0</v>
      </c>
    </row>
    <row r="218" spans="1:23" x14ac:dyDescent="0.35">
      <c r="A218" s="216" t="str">
        <f t="shared" si="16"/>
        <v>jeudi</v>
      </c>
      <c r="B218" s="217">
        <v>44770</v>
      </c>
      <c r="C218" s="202">
        <v>0</v>
      </c>
      <c r="D218" s="202">
        <v>0</v>
      </c>
      <c r="E218" s="202">
        <v>0</v>
      </c>
      <c r="F218" s="202">
        <v>0</v>
      </c>
      <c r="G218" s="202">
        <v>0</v>
      </c>
      <c r="H218" s="202">
        <v>0</v>
      </c>
      <c r="I218" s="202">
        <v>0</v>
      </c>
      <c r="J218" s="202">
        <v>0</v>
      </c>
      <c r="K218" s="202">
        <v>0</v>
      </c>
      <c r="L218" s="202">
        <v>0</v>
      </c>
      <c r="M218" s="202">
        <v>0</v>
      </c>
      <c r="N218" s="202">
        <v>0</v>
      </c>
      <c r="O218" s="202">
        <v>0</v>
      </c>
      <c r="P218" s="202">
        <v>0</v>
      </c>
      <c r="Q218" s="202">
        <v>0</v>
      </c>
      <c r="R218" s="202">
        <v>0</v>
      </c>
      <c r="S218" s="202">
        <v>0</v>
      </c>
      <c r="T218" s="202">
        <v>0</v>
      </c>
      <c r="U218" s="202">
        <v>0</v>
      </c>
      <c r="V218" s="202">
        <v>0</v>
      </c>
      <c r="W218" s="203">
        <f t="shared" si="17"/>
        <v>0</v>
      </c>
    </row>
    <row r="219" spans="1:23" x14ac:dyDescent="0.35">
      <c r="A219" s="216" t="str">
        <f t="shared" si="16"/>
        <v>vendredi</v>
      </c>
      <c r="B219" s="217">
        <v>44771</v>
      </c>
      <c r="C219" s="202">
        <v>0</v>
      </c>
      <c r="D219" s="202">
        <v>0</v>
      </c>
      <c r="E219" s="202">
        <v>0</v>
      </c>
      <c r="F219" s="202">
        <v>0</v>
      </c>
      <c r="G219" s="202">
        <v>0</v>
      </c>
      <c r="H219" s="202">
        <v>0</v>
      </c>
      <c r="I219" s="202">
        <v>0</v>
      </c>
      <c r="J219" s="202">
        <v>0</v>
      </c>
      <c r="K219" s="202">
        <v>0</v>
      </c>
      <c r="L219" s="202">
        <v>0</v>
      </c>
      <c r="M219" s="202">
        <v>0</v>
      </c>
      <c r="N219" s="202">
        <v>0</v>
      </c>
      <c r="O219" s="202">
        <v>0</v>
      </c>
      <c r="P219" s="202">
        <v>0</v>
      </c>
      <c r="Q219" s="202">
        <v>0</v>
      </c>
      <c r="R219" s="202">
        <v>0</v>
      </c>
      <c r="S219" s="202">
        <v>0</v>
      </c>
      <c r="T219" s="202">
        <v>0</v>
      </c>
      <c r="U219" s="202">
        <v>0</v>
      </c>
      <c r="V219" s="202">
        <v>0</v>
      </c>
      <c r="W219" s="203">
        <f t="shared" si="17"/>
        <v>0</v>
      </c>
    </row>
    <row r="220" spans="1:23" x14ac:dyDescent="0.35">
      <c r="A220" s="216" t="str">
        <f t="shared" si="16"/>
        <v>samedi</v>
      </c>
      <c r="B220" s="217">
        <v>44772</v>
      </c>
      <c r="C220" s="202">
        <v>0</v>
      </c>
      <c r="D220" s="202"/>
      <c r="E220" s="202"/>
      <c r="F220" s="202"/>
      <c r="G220" s="202"/>
      <c r="H220" s="202"/>
      <c r="I220" s="202"/>
      <c r="J220" s="202"/>
      <c r="K220" s="202"/>
      <c r="L220" s="202"/>
      <c r="M220" s="202"/>
      <c r="N220" s="202"/>
      <c r="O220" s="202"/>
      <c r="P220" s="202"/>
      <c r="Q220" s="202"/>
      <c r="R220" s="202"/>
      <c r="S220" s="202"/>
      <c r="T220" s="202"/>
      <c r="U220" s="202"/>
      <c r="V220" s="202">
        <v>0</v>
      </c>
      <c r="W220" s="203">
        <f t="shared" si="17"/>
        <v>0</v>
      </c>
    </row>
    <row r="221" spans="1:23" x14ac:dyDescent="0.35">
      <c r="A221" s="216" t="str">
        <f t="shared" si="16"/>
        <v>dimanche</v>
      </c>
      <c r="B221" s="217">
        <v>44773</v>
      </c>
      <c r="C221" s="202">
        <v>0</v>
      </c>
      <c r="D221" s="202"/>
      <c r="E221" s="202"/>
      <c r="F221" s="202"/>
      <c r="G221" s="202"/>
      <c r="H221" s="202"/>
      <c r="I221" s="202"/>
      <c r="J221" s="202"/>
      <c r="K221" s="202"/>
      <c r="L221" s="202"/>
      <c r="M221" s="202"/>
      <c r="N221" s="202"/>
      <c r="O221" s="202"/>
      <c r="P221" s="202"/>
      <c r="Q221" s="202"/>
      <c r="R221" s="202"/>
      <c r="S221" s="202"/>
      <c r="T221" s="202"/>
      <c r="U221" s="202"/>
      <c r="V221" s="202">
        <v>0</v>
      </c>
      <c r="W221" s="203">
        <f t="shared" si="17"/>
        <v>0</v>
      </c>
    </row>
    <row r="222" spans="1:23" x14ac:dyDescent="0.35">
      <c r="A222" s="216" t="str">
        <f t="shared" si="16"/>
        <v>lundi</v>
      </c>
      <c r="B222" s="217">
        <v>44774</v>
      </c>
      <c r="D222" s="202"/>
      <c r="E222" s="202"/>
      <c r="F222" s="202"/>
      <c r="G222" s="202"/>
      <c r="H222" s="202"/>
      <c r="I222" s="202"/>
      <c r="J222" s="202"/>
      <c r="K222" s="202"/>
      <c r="L222" s="202"/>
      <c r="M222" s="202"/>
      <c r="N222" s="202"/>
      <c r="O222" s="202"/>
      <c r="P222" s="202"/>
      <c r="Q222" s="202"/>
      <c r="R222" s="202"/>
      <c r="S222" s="202"/>
      <c r="T222" s="202"/>
      <c r="U222" s="202"/>
      <c r="V222" s="202">
        <v>1</v>
      </c>
      <c r="W222" s="203">
        <f t="shared" si="17"/>
        <v>0</v>
      </c>
    </row>
    <row r="223" spans="1:23" x14ac:dyDescent="0.35">
      <c r="A223" s="216" t="str">
        <f t="shared" si="16"/>
        <v>mardi</v>
      </c>
      <c r="B223" s="217">
        <v>44775</v>
      </c>
      <c r="D223" s="202"/>
      <c r="E223" s="202"/>
      <c r="F223" s="202"/>
      <c r="G223" s="202"/>
      <c r="H223" s="202"/>
      <c r="I223" s="202"/>
      <c r="J223" s="202"/>
      <c r="K223" s="202"/>
      <c r="L223" s="202"/>
      <c r="M223" s="202"/>
      <c r="N223" s="202"/>
      <c r="O223" s="202"/>
      <c r="P223" s="202"/>
      <c r="Q223" s="202"/>
      <c r="R223" s="202"/>
      <c r="S223" s="202"/>
      <c r="T223" s="202"/>
      <c r="U223" s="202"/>
      <c r="V223" s="202">
        <v>2</v>
      </c>
      <c r="W223" s="203">
        <f t="shared" si="17"/>
        <v>0</v>
      </c>
    </row>
    <row r="224" spans="1:23" x14ac:dyDescent="0.35">
      <c r="A224" s="216" t="str">
        <f t="shared" si="16"/>
        <v>mercredi</v>
      </c>
      <c r="B224" s="217">
        <v>44776</v>
      </c>
      <c r="D224" s="202"/>
      <c r="E224" s="202"/>
      <c r="F224" s="202"/>
      <c r="G224" s="202"/>
      <c r="H224" s="202"/>
      <c r="I224" s="202"/>
      <c r="J224" s="202"/>
      <c r="K224" s="202"/>
      <c r="L224" s="202"/>
      <c r="M224" s="202"/>
      <c r="N224" s="202"/>
      <c r="O224" s="202"/>
      <c r="P224" s="202"/>
      <c r="Q224" s="202"/>
      <c r="R224" s="202"/>
      <c r="S224" s="202"/>
      <c r="T224" s="202"/>
      <c r="U224" s="202"/>
      <c r="V224" s="202">
        <v>3</v>
      </c>
      <c r="W224" s="203">
        <f t="shared" si="17"/>
        <v>0</v>
      </c>
    </row>
    <row r="225" spans="1:23" x14ac:dyDescent="0.35">
      <c r="A225" s="216" t="str">
        <f t="shared" si="16"/>
        <v>jeudi</v>
      </c>
      <c r="B225" s="217">
        <v>44777</v>
      </c>
      <c r="D225" s="202"/>
      <c r="E225" s="202"/>
      <c r="F225" s="202"/>
      <c r="G225" s="202"/>
      <c r="H225" s="202"/>
      <c r="I225" s="202"/>
      <c r="J225" s="202"/>
      <c r="K225" s="202"/>
      <c r="L225" s="202"/>
      <c r="M225" s="202"/>
      <c r="N225" s="202"/>
      <c r="O225" s="202"/>
      <c r="P225" s="202"/>
      <c r="Q225" s="202"/>
      <c r="R225" s="202"/>
      <c r="S225" s="202"/>
      <c r="T225" s="202"/>
      <c r="U225" s="202"/>
      <c r="V225" s="202">
        <v>4</v>
      </c>
      <c r="W225" s="203">
        <f t="shared" si="17"/>
        <v>0</v>
      </c>
    </row>
    <row r="226" spans="1:23" x14ac:dyDescent="0.35">
      <c r="A226" s="216" t="str">
        <f t="shared" si="16"/>
        <v>vendredi</v>
      </c>
      <c r="B226" s="217">
        <v>44778</v>
      </c>
      <c r="D226" s="202"/>
      <c r="E226" s="202"/>
      <c r="F226" s="202"/>
      <c r="G226" s="202"/>
      <c r="H226" s="202"/>
      <c r="I226" s="202"/>
      <c r="J226" s="202"/>
      <c r="K226" s="202"/>
      <c r="L226" s="202"/>
      <c r="M226" s="202"/>
      <c r="N226" s="202"/>
      <c r="O226" s="202"/>
      <c r="P226" s="202"/>
      <c r="Q226" s="202"/>
      <c r="R226" s="202"/>
      <c r="S226" s="202"/>
      <c r="T226" s="202"/>
      <c r="U226" s="202"/>
      <c r="V226" s="202">
        <v>5</v>
      </c>
      <c r="W226" s="203">
        <f t="shared" si="17"/>
        <v>0</v>
      </c>
    </row>
    <row r="227" spans="1:23" x14ac:dyDescent="0.35">
      <c r="A227" s="216" t="str">
        <f t="shared" si="16"/>
        <v>samedi</v>
      </c>
      <c r="B227" s="217">
        <v>44779</v>
      </c>
      <c r="D227" s="202"/>
      <c r="E227" s="202"/>
      <c r="F227" s="202"/>
      <c r="G227" s="202"/>
      <c r="H227" s="202"/>
      <c r="I227" s="202"/>
      <c r="J227" s="202"/>
      <c r="K227" s="202"/>
      <c r="L227" s="202"/>
      <c r="M227" s="202"/>
      <c r="N227" s="202"/>
      <c r="O227" s="202"/>
      <c r="P227" s="202"/>
      <c r="Q227" s="202"/>
      <c r="R227" s="202"/>
      <c r="S227" s="202"/>
      <c r="T227" s="202"/>
      <c r="U227" s="202"/>
      <c r="V227" s="202">
        <v>6</v>
      </c>
      <c r="W227" s="203">
        <f t="shared" si="17"/>
        <v>0</v>
      </c>
    </row>
    <row r="228" spans="1:23" x14ac:dyDescent="0.35">
      <c r="A228" s="216" t="str">
        <f t="shared" si="16"/>
        <v>dimanche</v>
      </c>
      <c r="B228" s="217">
        <v>44780</v>
      </c>
      <c r="D228" s="202"/>
      <c r="E228" s="202"/>
      <c r="F228" s="202"/>
      <c r="G228" s="202"/>
      <c r="H228" s="202"/>
      <c r="I228" s="202"/>
      <c r="J228" s="202"/>
      <c r="K228" s="202"/>
      <c r="L228" s="202"/>
      <c r="M228" s="202"/>
      <c r="N228" s="202"/>
      <c r="O228" s="202"/>
      <c r="P228" s="202"/>
      <c r="Q228" s="202"/>
      <c r="R228" s="202"/>
      <c r="S228" s="202"/>
      <c r="T228" s="202"/>
      <c r="U228" s="202"/>
      <c r="V228" s="202">
        <v>7</v>
      </c>
      <c r="W228" s="203">
        <f t="shared" si="17"/>
        <v>0</v>
      </c>
    </row>
    <row r="229" spans="1:23" x14ac:dyDescent="0.35">
      <c r="A229" s="216" t="str">
        <f t="shared" si="16"/>
        <v>lundi</v>
      </c>
      <c r="B229" s="217">
        <v>44781</v>
      </c>
      <c r="D229" s="202"/>
      <c r="E229" s="202"/>
      <c r="F229" s="202"/>
      <c r="G229" s="202"/>
      <c r="H229" s="202"/>
      <c r="I229" s="202"/>
      <c r="J229" s="202"/>
      <c r="K229" s="202"/>
      <c r="L229" s="202"/>
      <c r="M229" s="202"/>
      <c r="N229" s="202"/>
      <c r="O229" s="202"/>
      <c r="P229" s="202"/>
      <c r="Q229" s="202"/>
      <c r="R229" s="202"/>
      <c r="S229" s="202"/>
      <c r="T229" s="202"/>
      <c r="U229" s="202"/>
      <c r="V229" s="202">
        <v>8</v>
      </c>
      <c r="W229" s="203">
        <f t="shared" si="17"/>
        <v>0</v>
      </c>
    </row>
    <row r="230" spans="1:23" x14ac:dyDescent="0.35">
      <c r="A230" s="216" t="str">
        <f t="shared" si="16"/>
        <v>mardi</v>
      </c>
      <c r="B230" s="217">
        <v>44782</v>
      </c>
      <c r="D230" s="202"/>
      <c r="E230" s="202"/>
      <c r="F230" s="202"/>
      <c r="G230" s="202"/>
      <c r="H230" s="202"/>
      <c r="I230" s="202"/>
      <c r="J230" s="202"/>
      <c r="K230" s="202"/>
      <c r="L230" s="202"/>
      <c r="M230" s="202"/>
      <c r="N230" s="202"/>
      <c r="O230" s="202"/>
      <c r="P230" s="202"/>
      <c r="Q230" s="202"/>
      <c r="R230" s="202"/>
      <c r="S230" s="202"/>
      <c r="T230" s="202"/>
      <c r="U230" s="202"/>
      <c r="V230" s="202">
        <v>9</v>
      </c>
      <c r="W230" s="203">
        <f t="shared" si="17"/>
        <v>0</v>
      </c>
    </row>
    <row r="231" spans="1:23" x14ac:dyDescent="0.35">
      <c r="A231" s="216" t="str">
        <f t="shared" si="16"/>
        <v>mercredi</v>
      </c>
      <c r="B231" s="217">
        <v>44783</v>
      </c>
      <c r="D231" s="202"/>
      <c r="E231" s="202"/>
      <c r="F231" s="202"/>
      <c r="G231" s="202"/>
      <c r="H231" s="202"/>
      <c r="I231" s="202"/>
      <c r="J231" s="202"/>
      <c r="K231" s="202"/>
      <c r="L231" s="202"/>
      <c r="M231" s="202"/>
      <c r="N231" s="202"/>
      <c r="O231" s="202"/>
      <c r="P231" s="202"/>
      <c r="Q231" s="202"/>
      <c r="R231" s="202"/>
      <c r="S231" s="202"/>
      <c r="T231" s="202"/>
      <c r="U231" s="202"/>
      <c r="V231" s="202">
        <v>10</v>
      </c>
      <c r="W231" s="203">
        <f t="shared" si="17"/>
        <v>0</v>
      </c>
    </row>
    <row r="232" spans="1:23" x14ac:dyDescent="0.35">
      <c r="A232" s="216" t="str">
        <f t="shared" si="16"/>
        <v>jeudi</v>
      </c>
      <c r="B232" s="217">
        <v>44784</v>
      </c>
      <c r="D232" s="202"/>
      <c r="E232" s="202"/>
      <c r="F232" s="202"/>
      <c r="G232" s="202"/>
      <c r="H232" s="202"/>
      <c r="I232" s="202"/>
      <c r="J232" s="202"/>
      <c r="K232" s="202"/>
      <c r="L232" s="202"/>
      <c r="M232" s="202"/>
      <c r="N232" s="202"/>
      <c r="O232" s="202"/>
      <c r="P232" s="202"/>
      <c r="Q232" s="202"/>
      <c r="R232" s="202"/>
      <c r="S232" s="202"/>
      <c r="T232" s="202"/>
      <c r="U232" s="202"/>
      <c r="V232" s="202">
        <v>11</v>
      </c>
      <c r="W232" s="203">
        <f t="shared" si="17"/>
        <v>0</v>
      </c>
    </row>
    <row r="233" spans="1:23" x14ac:dyDescent="0.35">
      <c r="A233" s="216" t="str">
        <f t="shared" si="16"/>
        <v>vendredi</v>
      </c>
      <c r="B233" s="217">
        <v>44785</v>
      </c>
      <c r="D233" s="202"/>
      <c r="E233" s="202"/>
      <c r="F233" s="202"/>
      <c r="G233" s="202"/>
      <c r="H233" s="202"/>
      <c r="I233" s="202"/>
      <c r="J233" s="202"/>
      <c r="K233" s="202"/>
      <c r="L233" s="202"/>
      <c r="M233" s="202"/>
      <c r="N233" s="202"/>
      <c r="O233" s="202"/>
      <c r="P233" s="202"/>
      <c r="Q233" s="202"/>
      <c r="R233" s="202"/>
      <c r="S233" s="202"/>
      <c r="T233" s="202"/>
      <c r="U233" s="202"/>
      <c r="V233" s="202">
        <v>12</v>
      </c>
      <c r="W233" s="203">
        <f t="shared" si="17"/>
        <v>0</v>
      </c>
    </row>
    <row r="234" spans="1:23" x14ac:dyDescent="0.35">
      <c r="A234" s="216" t="str">
        <f t="shared" si="16"/>
        <v>samedi</v>
      </c>
      <c r="B234" s="217">
        <v>44786</v>
      </c>
      <c r="D234" s="202"/>
      <c r="E234" s="202"/>
      <c r="F234" s="202"/>
      <c r="G234" s="202"/>
      <c r="H234" s="202"/>
      <c r="I234" s="202"/>
      <c r="J234" s="202"/>
      <c r="K234" s="202"/>
      <c r="L234" s="202"/>
      <c r="M234" s="202"/>
      <c r="N234" s="202"/>
      <c r="O234" s="202"/>
      <c r="P234" s="202"/>
      <c r="Q234" s="202"/>
      <c r="R234" s="202"/>
      <c r="S234" s="202"/>
      <c r="T234" s="202"/>
      <c r="U234" s="202"/>
      <c r="V234" s="202">
        <v>13</v>
      </c>
      <c r="W234" s="203">
        <f t="shared" si="17"/>
        <v>0</v>
      </c>
    </row>
    <row r="235" spans="1:23" x14ac:dyDescent="0.35">
      <c r="A235" s="216" t="str">
        <f t="shared" si="16"/>
        <v>dimanche</v>
      </c>
      <c r="B235" s="217">
        <v>44787</v>
      </c>
      <c r="D235" s="202"/>
      <c r="E235" s="202"/>
      <c r="F235" s="202"/>
      <c r="G235" s="202"/>
      <c r="H235" s="202"/>
      <c r="I235" s="202"/>
      <c r="J235" s="202"/>
      <c r="K235" s="202"/>
      <c r="L235" s="202"/>
      <c r="M235" s="202"/>
      <c r="N235" s="202"/>
      <c r="O235" s="202"/>
      <c r="P235" s="202"/>
      <c r="Q235" s="202"/>
      <c r="R235" s="202"/>
      <c r="S235" s="202"/>
      <c r="T235" s="202"/>
      <c r="U235" s="202"/>
      <c r="V235" s="202">
        <v>14</v>
      </c>
      <c r="W235" s="203">
        <f t="shared" si="17"/>
        <v>0</v>
      </c>
    </row>
    <row r="236" spans="1:23" x14ac:dyDescent="0.35">
      <c r="A236" s="216" t="str">
        <f t="shared" si="16"/>
        <v>lundi</v>
      </c>
      <c r="B236" s="217">
        <v>44788</v>
      </c>
      <c r="D236" s="202"/>
      <c r="E236" s="202"/>
      <c r="F236" s="202"/>
      <c r="G236" s="202"/>
      <c r="H236" s="202"/>
      <c r="I236" s="202"/>
      <c r="J236" s="202"/>
      <c r="K236" s="202"/>
      <c r="L236" s="202"/>
      <c r="M236" s="202"/>
      <c r="N236" s="202"/>
      <c r="O236" s="202"/>
      <c r="P236" s="202"/>
      <c r="Q236" s="202"/>
      <c r="R236" s="202"/>
      <c r="S236" s="202"/>
      <c r="T236" s="202"/>
      <c r="U236" s="202"/>
      <c r="V236" s="202">
        <v>15</v>
      </c>
      <c r="W236" s="203">
        <f t="shared" si="17"/>
        <v>0</v>
      </c>
    </row>
    <row r="237" spans="1:23" x14ac:dyDescent="0.35">
      <c r="A237" s="216" t="str">
        <f t="shared" si="16"/>
        <v>mardi</v>
      </c>
      <c r="B237" s="217">
        <v>44789</v>
      </c>
      <c r="D237" s="202"/>
      <c r="E237" s="202"/>
      <c r="F237" s="202"/>
      <c r="G237" s="202"/>
      <c r="H237" s="202"/>
      <c r="I237" s="202"/>
      <c r="J237" s="202"/>
      <c r="K237" s="202"/>
      <c r="L237" s="202"/>
      <c r="M237" s="202"/>
      <c r="N237" s="202"/>
      <c r="O237" s="202"/>
      <c r="P237" s="202"/>
      <c r="Q237" s="202"/>
      <c r="R237" s="202"/>
      <c r="S237" s="202"/>
      <c r="T237" s="202"/>
      <c r="U237" s="202"/>
      <c r="V237" s="202">
        <v>16</v>
      </c>
      <c r="W237" s="203">
        <f t="shared" si="17"/>
        <v>0</v>
      </c>
    </row>
    <row r="238" spans="1:23" x14ac:dyDescent="0.35">
      <c r="A238" s="216" t="str">
        <f t="shared" si="16"/>
        <v>mercredi</v>
      </c>
      <c r="B238" s="217">
        <v>44790</v>
      </c>
      <c r="D238" s="202"/>
      <c r="E238" s="202"/>
      <c r="F238" s="202"/>
      <c r="G238" s="202"/>
      <c r="H238" s="202"/>
      <c r="I238" s="202"/>
      <c r="J238" s="202"/>
      <c r="K238" s="202"/>
      <c r="L238" s="202"/>
      <c r="M238" s="202"/>
      <c r="N238" s="202"/>
      <c r="O238" s="202"/>
      <c r="P238" s="202"/>
      <c r="Q238" s="202"/>
      <c r="R238" s="202"/>
      <c r="S238" s="202"/>
      <c r="T238" s="202"/>
      <c r="U238" s="202"/>
      <c r="V238" s="202">
        <v>17</v>
      </c>
      <c r="W238" s="203">
        <f t="shared" si="17"/>
        <v>0</v>
      </c>
    </row>
    <row r="239" spans="1:23" x14ac:dyDescent="0.35">
      <c r="A239" s="216" t="str">
        <f t="shared" si="16"/>
        <v>jeudi</v>
      </c>
      <c r="B239" s="217">
        <v>44791</v>
      </c>
      <c r="D239" s="202"/>
      <c r="E239" s="202"/>
      <c r="F239" s="202"/>
      <c r="G239" s="202"/>
      <c r="H239" s="202"/>
      <c r="I239" s="202"/>
      <c r="J239" s="202"/>
      <c r="K239" s="202"/>
      <c r="L239" s="202"/>
      <c r="M239" s="202"/>
      <c r="N239" s="202"/>
      <c r="O239" s="202"/>
      <c r="P239" s="202"/>
      <c r="Q239" s="202"/>
      <c r="R239" s="202"/>
      <c r="S239" s="202"/>
      <c r="T239" s="202"/>
      <c r="U239" s="202"/>
      <c r="V239" s="202">
        <v>18</v>
      </c>
      <c r="W239" s="203">
        <f t="shared" si="17"/>
        <v>0</v>
      </c>
    </row>
    <row r="240" spans="1:23" x14ac:dyDescent="0.35">
      <c r="A240" s="216" t="str">
        <f t="shared" si="16"/>
        <v>vendredi</v>
      </c>
      <c r="B240" s="217">
        <v>44792</v>
      </c>
      <c r="D240" s="202"/>
      <c r="E240" s="202"/>
      <c r="F240" s="202"/>
      <c r="G240" s="202"/>
      <c r="H240" s="202"/>
      <c r="I240" s="202"/>
      <c r="J240" s="202"/>
      <c r="K240" s="202"/>
      <c r="L240" s="202"/>
      <c r="M240" s="202"/>
      <c r="N240" s="202"/>
      <c r="O240" s="202"/>
      <c r="P240" s="202"/>
      <c r="Q240" s="202"/>
      <c r="R240" s="202"/>
      <c r="S240" s="202"/>
      <c r="T240" s="202"/>
      <c r="U240" s="202"/>
      <c r="V240" s="202">
        <v>19</v>
      </c>
      <c r="W240" s="203">
        <f t="shared" si="17"/>
        <v>0</v>
      </c>
    </row>
    <row r="241" spans="1:23" x14ac:dyDescent="0.35">
      <c r="A241" s="216" t="str">
        <f t="shared" si="16"/>
        <v>samedi</v>
      </c>
      <c r="B241" s="217">
        <v>44793</v>
      </c>
      <c r="D241" s="202"/>
      <c r="E241" s="202"/>
      <c r="F241" s="202"/>
      <c r="G241" s="202"/>
      <c r="H241" s="202"/>
      <c r="I241" s="202"/>
      <c r="J241" s="202"/>
      <c r="K241" s="202"/>
      <c r="L241" s="202"/>
      <c r="M241" s="202"/>
      <c r="N241" s="202"/>
      <c r="O241" s="202"/>
      <c r="P241" s="202"/>
      <c r="Q241" s="202"/>
      <c r="R241" s="202"/>
      <c r="S241" s="202"/>
      <c r="T241" s="202"/>
      <c r="U241" s="202"/>
      <c r="V241" s="202">
        <v>20</v>
      </c>
      <c r="W241" s="203">
        <f t="shared" si="17"/>
        <v>0</v>
      </c>
    </row>
    <row r="242" spans="1:23" x14ac:dyDescent="0.35">
      <c r="A242" s="216" t="str">
        <f t="shared" si="16"/>
        <v>dimanche</v>
      </c>
      <c r="B242" s="217">
        <v>44794</v>
      </c>
      <c r="D242" s="202"/>
      <c r="E242" s="202"/>
      <c r="F242" s="202"/>
      <c r="G242" s="202"/>
      <c r="H242" s="202"/>
      <c r="I242" s="202"/>
      <c r="J242" s="202"/>
      <c r="K242" s="202"/>
      <c r="L242" s="202"/>
      <c r="M242" s="202"/>
      <c r="N242" s="202"/>
      <c r="O242" s="202"/>
      <c r="P242" s="202"/>
      <c r="Q242" s="202"/>
      <c r="R242" s="202"/>
      <c r="S242" s="202"/>
      <c r="T242" s="202"/>
      <c r="U242" s="202"/>
      <c r="V242" s="202">
        <v>21</v>
      </c>
      <c r="W242" s="203">
        <f t="shared" si="17"/>
        <v>0</v>
      </c>
    </row>
    <row r="243" spans="1:23" x14ac:dyDescent="0.35">
      <c r="A243" s="216" t="str">
        <f t="shared" si="16"/>
        <v>lundi</v>
      </c>
      <c r="B243" s="217">
        <v>44795</v>
      </c>
      <c r="D243" s="202"/>
      <c r="E243" s="202"/>
      <c r="F243" s="202"/>
      <c r="G243" s="202"/>
      <c r="H243" s="202"/>
      <c r="I243" s="202"/>
      <c r="J243" s="202"/>
      <c r="K243" s="202"/>
      <c r="L243" s="202"/>
      <c r="M243" s="202"/>
      <c r="N243" s="202"/>
      <c r="O243" s="202"/>
      <c r="P243" s="202"/>
      <c r="Q243" s="202"/>
      <c r="R243" s="202"/>
      <c r="S243" s="202"/>
      <c r="T243" s="202"/>
      <c r="U243" s="202"/>
      <c r="V243" s="202">
        <v>22</v>
      </c>
      <c r="W243" s="203">
        <f t="shared" si="17"/>
        <v>0</v>
      </c>
    </row>
    <row r="244" spans="1:23" x14ac:dyDescent="0.35">
      <c r="A244" s="216" t="str">
        <f t="shared" si="16"/>
        <v>mardi</v>
      </c>
      <c r="B244" s="217">
        <v>44796</v>
      </c>
      <c r="D244" s="202"/>
      <c r="E244" s="202"/>
      <c r="F244" s="202"/>
      <c r="G244" s="202"/>
      <c r="H244" s="202"/>
      <c r="I244" s="202"/>
      <c r="J244" s="202"/>
      <c r="K244" s="202"/>
      <c r="L244" s="202"/>
      <c r="M244" s="202"/>
      <c r="N244" s="202"/>
      <c r="O244" s="202"/>
      <c r="P244" s="202"/>
      <c r="Q244" s="202"/>
      <c r="R244" s="202"/>
      <c r="S244" s="202"/>
      <c r="T244" s="202"/>
      <c r="U244" s="202"/>
      <c r="V244" s="202">
        <v>23</v>
      </c>
      <c r="W244" s="203">
        <f t="shared" si="17"/>
        <v>0</v>
      </c>
    </row>
    <row r="245" spans="1:23" x14ac:dyDescent="0.35">
      <c r="A245" s="216" t="str">
        <f t="shared" si="16"/>
        <v>mercredi</v>
      </c>
      <c r="B245" s="217">
        <v>44797</v>
      </c>
      <c r="D245" s="202"/>
      <c r="E245" s="202"/>
      <c r="F245" s="202"/>
      <c r="G245" s="202"/>
      <c r="H245" s="202"/>
      <c r="I245" s="202"/>
      <c r="J245" s="202"/>
      <c r="K245" s="202"/>
      <c r="L245" s="202"/>
      <c r="M245" s="202"/>
      <c r="N245" s="202"/>
      <c r="O245" s="202"/>
      <c r="P245" s="202"/>
      <c r="Q245" s="202"/>
      <c r="R245" s="202"/>
      <c r="S245" s="202"/>
      <c r="T245" s="202"/>
      <c r="U245" s="202"/>
      <c r="V245" s="202">
        <v>24</v>
      </c>
      <c r="W245" s="203">
        <f t="shared" si="17"/>
        <v>0</v>
      </c>
    </row>
    <row r="246" spans="1:23" x14ac:dyDescent="0.35">
      <c r="A246" s="216" t="str">
        <f t="shared" si="16"/>
        <v>jeudi</v>
      </c>
      <c r="B246" s="217">
        <v>44798</v>
      </c>
      <c r="D246" s="202"/>
      <c r="E246" s="202"/>
      <c r="F246" s="202"/>
      <c r="G246" s="202"/>
      <c r="H246" s="202"/>
      <c r="I246" s="202"/>
      <c r="J246" s="202"/>
      <c r="K246" s="202"/>
      <c r="L246" s="202"/>
      <c r="M246" s="202"/>
      <c r="N246" s="202"/>
      <c r="O246" s="202"/>
      <c r="P246" s="202"/>
      <c r="Q246" s="202"/>
      <c r="R246" s="202"/>
      <c r="S246" s="202"/>
      <c r="T246" s="202"/>
      <c r="U246" s="202"/>
      <c r="V246" s="202">
        <v>25</v>
      </c>
      <c r="W246" s="203">
        <f t="shared" si="17"/>
        <v>0</v>
      </c>
    </row>
    <row r="247" spans="1:23" x14ac:dyDescent="0.35">
      <c r="A247" s="216" t="str">
        <f t="shared" si="16"/>
        <v>vendredi</v>
      </c>
      <c r="B247" s="217">
        <v>44799</v>
      </c>
      <c r="D247" s="202"/>
      <c r="E247" s="202"/>
      <c r="F247" s="202"/>
      <c r="G247" s="202"/>
      <c r="H247" s="202"/>
      <c r="I247" s="202"/>
      <c r="J247" s="202"/>
      <c r="K247" s="202"/>
      <c r="L247" s="202"/>
      <c r="M247" s="202"/>
      <c r="N247" s="202"/>
      <c r="O247" s="202"/>
      <c r="P247" s="202"/>
      <c r="Q247" s="202"/>
      <c r="R247" s="202"/>
      <c r="S247" s="202"/>
      <c r="T247" s="202"/>
      <c r="U247" s="202"/>
      <c r="V247" s="202">
        <v>26</v>
      </c>
      <c r="W247" s="203">
        <f t="shared" si="17"/>
        <v>0</v>
      </c>
    </row>
    <row r="248" spans="1:23" x14ac:dyDescent="0.35">
      <c r="A248" s="216" t="str">
        <f t="shared" si="16"/>
        <v>samedi</v>
      </c>
      <c r="B248" s="217">
        <v>44800</v>
      </c>
      <c r="D248" s="202"/>
      <c r="E248" s="202"/>
      <c r="F248" s="202"/>
      <c r="G248" s="202"/>
      <c r="H248" s="202"/>
      <c r="I248" s="202"/>
      <c r="J248" s="202"/>
      <c r="K248" s="202"/>
      <c r="L248" s="202"/>
      <c r="M248" s="202"/>
      <c r="N248" s="202"/>
      <c r="O248" s="202"/>
      <c r="P248" s="202"/>
      <c r="Q248" s="202"/>
      <c r="R248" s="202"/>
      <c r="S248" s="202"/>
      <c r="T248" s="202"/>
      <c r="U248" s="202"/>
      <c r="V248" s="202">
        <v>27</v>
      </c>
      <c r="W248" s="203">
        <f t="shared" si="17"/>
        <v>0</v>
      </c>
    </row>
    <row r="249" spans="1:23" x14ac:dyDescent="0.35">
      <c r="A249" s="216" t="str">
        <f t="shared" si="16"/>
        <v>dimanche</v>
      </c>
      <c r="B249" s="217">
        <v>44801</v>
      </c>
      <c r="D249" s="202"/>
      <c r="E249" s="202"/>
      <c r="F249" s="202"/>
      <c r="G249" s="202"/>
      <c r="H249" s="202"/>
      <c r="I249" s="202"/>
      <c r="J249" s="202"/>
      <c r="K249" s="202"/>
      <c r="L249" s="202"/>
      <c r="M249" s="202"/>
      <c r="N249" s="202"/>
      <c r="O249" s="202"/>
      <c r="P249" s="202"/>
      <c r="Q249" s="202"/>
      <c r="R249" s="202"/>
      <c r="S249" s="202"/>
      <c r="T249" s="202"/>
      <c r="U249" s="202"/>
      <c r="V249" s="202">
        <v>28</v>
      </c>
      <c r="W249" s="203">
        <f t="shared" si="17"/>
        <v>0</v>
      </c>
    </row>
  </sheetData>
  <mergeCells count="2">
    <mergeCell ref="A1:A6"/>
    <mergeCell ref="A10:W10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1E490-B957-4334-AE32-3C9C7889BAC4}">
  <sheetPr codeName="Feuil5">
    <tabColor theme="4" tint="-0.249977111117893"/>
  </sheetPr>
  <dimension ref="A2:M28"/>
  <sheetViews>
    <sheetView workbookViewId="0">
      <selection activeCell="M17" sqref="M17"/>
    </sheetView>
  </sheetViews>
  <sheetFormatPr baseColWidth="10" defaultColWidth="11.453125" defaultRowHeight="12.5" x14ac:dyDescent="0.25"/>
  <cols>
    <col min="1" max="1" width="6.08984375" style="43" customWidth="1"/>
    <col min="2" max="4" width="11.453125" style="43"/>
    <col min="5" max="5" width="3.36328125" style="43" customWidth="1"/>
    <col min="6" max="6" width="14.90625" style="43" hidden="1" customWidth="1"/>
    <col min="7" max="8" width="0" style="43" hidden="1" customWidth="1"/>
    <col min="9" max="9" width="0.453125" style="43" customWidth="1"/>
    <col min="10" max="10" width="2.54296875" style="43" customWidth="1"/>
    <col min="11" max="11" width="36.453125" style="43" bestFit="1" customWidth="1"/>
    <col min="12" max="12" width="20.6328125" style="43" bestFit="1" customWidth="1"/>
    <col min="13" max="13" width="36.453125" style="43" bestFit="1" customWidth="1"/>
    <col min="14" max="16384" width="11.453125" style="43"/>
  </cols>
  <sheetData>
    <row r="2" spans="1:13" ht="13" x14ac:dyDescent="0.3">
      <c r="A2" s="41"/>
      <c r="B2" s="42" t="s">
        <v>23</v>
      </c>
      <c r="C2" s="41"/>
      <c r="D2" s="41"/>
      <c r="F2" s="41" t="s">
        <v>192</v>
      </c>
      <c r="G2" s="44">
        <v>44682</v>
      </c>
      <c r="H2" s="44">
        <v>44713</v>
      </c>
      <c r="I2" s="44">
        <v>44743</v>
      </c>
      <c r="J2" s="41"/>
      <c r="K2" s="41" t="s">
        <v>193</v>
      </c>
      <c r="L2" s="41" t="s">
        <v>194</v>
      </c>
      <c r="M2" s="41" t="s">
        <v>195</v>
      </c>
    </row>
    <row r="3" spans="1:13" ht="13" x14ac:dyDescent="0.3">
      <c r="A3" s="58" t="s">
        <v>196</v>
      </c>
      <c r="B3" s="45" t="s">
        <v>197</v>
      </c>
      <c r="C3" s="45" t="s">
        <v>198</v>
      </c>
      <c r="D3" s="45" t="s">
        <v>23</v>
      </c>
      <c r="F3" s="46"/>
      <c r="G3" s="46">
        <v>0</v>
      </c>
      <c r="H3" s="46">
        <v>0</v>
      </c>
      <c r="I3" s="46">
        <v>0</v>
      </c>
      <c r="K3" s="50" t="s">
        <v>199</v>
      </c>
      <c r="L3" s="46" t="s">
        <v>200</v>
      </c>
      <c r="M3" s="50"/>
    </row>
    <row r="4" spans="1:13" ht="13" x14ac:dyDescent="0.3">
      <c r="A4" s="57" t="s">
        <v>201</v>
      </c>
      <c r="B4" s="45" t="s">
        <v>202</v>
      </c>
      <c r="C4" s="45" t="s">
        <v>203</v>
      </c>
      <c r="D4" s="45" t="s">
        <v>23</v>
      </c>
      <c r="F4" s="46">
        <v>0</v>
      </c>
      <c r="G4" s="46" t="s">
        <v>204</v>
      </c>
      <c r="H4" s="47">
        <v>0</v>
      </c>
      <c r="I4" s="47">
        <v>0</v>
      </c>
      <c r="K4" s="50" t="s">
        <v>205</v>
      </c>
      <c r="L4" s="50"/>
      <c r="M4" s="50"/>
    </row>
    <row r="5" spans="1:13" ht="13" x14ac:dyDescent="0.3">
      <c r="A5" s="57" t="s">
        <v>201</v>
      </c>
      <c r="B5" s="45" t="s">
        <v>206</v>
      </c>
      <c r="C5" s="45" t="s">
        <v>207</v>
      </c>
      <c r="D5" s="45" t="s">
        <v>23</v>
      </c>
      <c r="F5" s="46">
        <v>0</v>
      </c>
      <c r="G5" s="46" t="s">
        <v>208</v>
      </c>
      <c r="H5" s="47">
        <v>0</v>
      </c>
      <c r="I5" s="47">
        <v>0</v>
      </c>
      <c r="K5" s="50" t="s">
        <v>209</v>
      </c>
      <c r="L5" s="50"/>
      <c r="M5" s="50"/>
    </row>
    <row r="6" spans="1:13" ht="13" x14ac:dyDescent="0.3">
      <c r="A6" s="57" t="s">
        <v>201</v>
      </c>
      <c r="B6" s="45" t="s">
        <v>210</v>
      </c>
      <c r="C6" s="45" t="s">
        <v>211</v>
      </c>
      <c r="D6" s="45" t="s">
        <v>212</v>
      </c>
      <c r="F6" s="48">
        <v>4.5</v>
      </c>
      <c r="G6" s="46">
        <v>0</v>
      </c>
      <c r="H6" s="47">
        <v>0</v>
      </c>
      <c r="I6" s="47">
        <v>0</v>
      </c>
      <c r="K6" s="50" t="s">
        <v>213</v>
      </c>
      <c r="L6" s="50"/>
      <c r="M6" s="50"/>
    </row>
    <row r="7" spans="1:13" ht="13" x14ac:dyDescent="0.3">
      <c r="A7" s="57" t="s">
        <v>201</v>
      </c>
      <c r="B7" s="45" t="s">
        <v>214</v>
      </c>
      <c r="C7" s="45" t="s">
        <v>215</v>
      </c>
      <c r="D7" s="45" t="s">
        <v>23</v>
      </c>
      <c r="F7" s="48">
        <v>1</v>
      </c>
      <c r="G7" s="46"/>
      <c r="H7" s="47"/>
      <c r="I7" s="47"/>
      <c r="K7" s="50" t="s">
        <v>216</v>
      </c>
      <c r="L7" s="50"/>
      <c r="M7" s="50"/>
    </row>
    <row r="8" spans="1:13" ht="13" x14ac:dyDescent="0.3">
      <c r="A8" s="57" t="s">
        <v>201</v>
      </c>
      <c r="B8" s="45" t="s">
        <v>217</v>
      </c>
      <c r="C8" s="45" t="s">
        <v>218</v>
      </c>
      <c r="D8" s="45" t="s">
        <v>23</v>
      </c>
      <c r="F8" s="48"/>
      <c r="G8" s="46"/>
      <c r="H8" s="47"/>
      <c r="I8" s="47"/>
      <c r="K8" s="50" t="s">
        <v>219</v>
      </c>
      <c r="L8" s="50"/>
      <c r="M8" s="50"/>
    </row>
    <row r="9" spans="1:13" ht="13" x14ac:dyDescent="0.3">
      <c r="A9" s="57"/>
      <c r="B9" s="45"/>
      <c r="C9" s="45"/>
      <c r="D9" s="45"/>
      <c r="F9" s="48"/>
      <c r="G9" s="46"/>
      <c r="H9" s="47"/>
      <c r="I9" s="47"/>
    </row>
    <row r="11" spans="1:13" ht="13" x14ac:dyDescent="0.3">
      <c r="A11" s="41"/>
      <c r="B11" s="42" t="s">
        <v>37</v>
      </c>
      <c r="C11" s="41"/>
      <c r="D11" s="41"/>
      <c r="F11" s="41" t="s">
        <v>192</v>
      </c>
      <c r="G11" s="44">
        <v>44682</v>
      </c>
      <c r="H11" s="44">
        <v>44713</v>
      </c>
      <c r="I11" s="44">
        <v>44743</v>
      </c>
      <c r="J11" s="41"/>
      <c r="K11" s="41" t="s">
        <v>220</v>
      </c>
      <c r="L11" s="41" t="s">
        <v>194</v>
      </c>
      <c r="M11" s="41"/>
    </row>
    <row r="12" spans="1:13" ht="13" x14ac:dyDescent="0.3">
      <c r="A12" s="57" t="s">
        <v>201</v>
      </c>
      <c r="B12" s="45" t="s">
        <v>221</v>
      </c>
      <c r="C12" s="45" t="s">
        <v>79</v>
      </c>
      <c r="D12" s="45" t="s">
        <v>37</v>
      </c>
      <c r="F12" s="46">
        <v>0</v>
      </c>
      <c r="G12" s="46" t="s">
        <v>222</v>
      </c>
      <c r="H12" s="47">
        <v>0</v>
      </c>
      <c r="I12" s="47">
        <v>0</v>
      </c>
      <c r="K12" s="50" t="s">
        <v>223</v>
      </c>
      <c r="L12" s="50"/>
      <c r="M12" s="50"/>
    </row>
    <row r="13" spans="1:13" ht="13" x14ac:dyDescent="0.3">
      <c r="A13" s="57" t="s">
        <v>201</v>
      </c>
      <c r="B13" s="45" t="s">
        <v>224</v>
      </c>
      <c r="C13" s="45" t="s">
        <v>225</v>
      </c>
      <c r="D13" s="45" t="s">
        <v>37</v>
      </c>
      <c r="F13" s="46">
        <v>0</v>
      </c>
      <c r="G13" s="49">
        <v>44708</v>
      </c>
      <c r="H13" s="46">
        <v>0</v>
      </c>
      <c r="I13" s="49">
        <v>44757</v>
      </c>
      <c r="K13" s="50"/>
      <c r="L13" s="50" t="s">
        <v>226</v>
      </c>
      <c r="M13" s="50"/>
    </row>
    <row r="14" spans="1:13" ht="13" x14ac:dyDescent="0.3">
      <c r="A14" s="57" t="s">
        <v>201</v>
      </c>
      <c r="B14" s="45" t="s">
        <v>227</v>
      </c>
      <c r="C14" s="45" t="s">
        <v>228</v>
      </c>
      <c r="D14" s="45" t="s">
        <v>37</v>
      </c>
      <c r="F14" s="46">
        <v>0</v>
      </c>
      <c r="G14" s="46">
        <v>0</v>
      </c>
      <c r="H14" s="46">
        <v>0</v>
      </c>
      <c r="I14" s="46">
        <v>0</v>
      </c>
      <c r="K14" s="50"/>
      <c r="L14" s="50" t="s">
        <v>226</v>
      </c>
      <c r="M14" s="50"/>
    </row>
    <row r="15" spans="1:13" ht="13" x14ac:dyDescent="0.3">
      <c r="A15" s="57" t="s">
        <v>201</v>
      </c>
      <c r="B15" s="45" t="s">
        <v>229</v>
      </c>
      <c r="C15" s="45" t="s">
        <v>230</v>
      </c>
      <c r="D15" s="45" t="s">
        <v>37</v>
      </c>
      <c r="F15" s="46">
        <v>0</v>
      </c>
      <c r="G15" s="46">
        <v>0</v>
      </c>
      <c r="H15" s="49">
        <v>44725</v>
      </c>
      <c r="I15" s="46">
        <v>0</v>
      </c>
      <c r="K15" s="50"/>
      <c r="L15" s="50" t="s">
        <v>226</v>
      </c>
      <c r="M15" s="50"/>
    </row>
    <row r="16" spans="1:13" ht="13" x14ac:dyDescent="0.3">
      <c r="A16" s="57" t="s">
        <v>201</v>
      </c>
      <c r="B16" s="45" t="s">
        <v>231</v>
      </c>
      <c r="C16" s="45" t="s">
        <v>232</v>
      </c>
      <c r="D16" s="45" t="s">
        <v>37</v>
      </c>
      <c r="F16" s="46">
        <v>0</v>
      </c>
      <c r="G16" s="46">
        <v>0</v>
      </c>
      <c r="H16" s="46" t="s">
        <v>233</v>
      </c>
      <c r="I16" s="46">
        <v>0</v>
      </c>
      <c r="K16" s="50" t="s">
        <v>234</v>
      </c>
      <c r="L16" s="51" t="s">
        <v>235</v>
      </c>
      <c r="M16" s="50"/>
    </row>
    <row r="17" spans="1:13" ht="13" x14ac:dyDescent="0.3">
      <c r="A17" s="57" t="s">
        <v>201</v>
      </c>
      <c r="B17" s="45" t="s">
        <v>236</v>
      </c>
      <c r="C17" s="45" t="s">
        <v>237</v>
      </c>
      <c r="D17" s="45" t="s">
        <v>37</v>
      </c>
      <c r="F17" s="46">
        <v>0</v>
      </c>
      <c r="G17" s="46" t="s">
        <v>238</v>
      </c>
      <c r="H17" s="46" t="s">
        <v>239</v>
      </c>
      <c r="I17" s="49"/>
      <c r="K17" s="50" t="s">
        <v>240</v>
      </c>
      <c r="L17" s="50" t="s">
        <v>241</v>
      </c>
      <c r="M17" s="50" t="s">
        <v>242</v>
      </c>
    </row>
    <row r="18" spans="1:13" ht="13" x14ac:dyDescent="0.3">
      <c r="A18" s="57" t="s">
        <v>201</v>
      </c>
      <c r="B18" s="45" t="s">
        <v>243</v>
      </c>
      <c r="C18" s="45" t="s">
        <v>244</v>
      </c>
      <c r="D18" s="45" t="s">
        <v>37</v>
      </c>
      <c r="F18" s="46">
        <v>0</v>
      </c>
      <c r="G18" s="46">
        <v>0</v>
      </c>
      <c r="H18" s="46">
        <v>0</v>
      </c>
      <c r="I18" s="46">
        <v>0</v>
      </c>
      <c r="K18" s="50" t="s">
        <v>245</v>
      </c>
      <c r="L18" s="50" t="s">
        <v>226</v>
      </c>
      <c r="M18" s="50"/>
    </row>
    <row r="20" spans="1:13" ht="13" x14ac:dyDescent="0.3">
      <c r="A20" s="41"/>
      <c r="B20" s="42" t="s">
        <v>246</v>
      </c>
      <c r="C20" s="41"/>
      <c r="D20" s="41"/>
      <c r="F20" s="41" t="s">
        <v>192</v>
      </c>
      <c r="G20" s="44">
        <v>44682</v>
      </c>
      <c r="H20" s="44">
        <v>44713</v>
      </c>
      <c r="I20" s="44">
        <v>44743</v>
      </c>
      <c r="J20" s="41"/>
      <c r="K20" s="41" t="s">
        <v>193</v>
      </c>
      <c r="L20" s="41" t="s">
        <v>194</v>
      </c>
      <c r="M20" s="41"/>
    </row>
    <row r="21" spans="1:13" ht="13" x14ac:dyDescent="0.3">
      <c r="A21" s="57" t="s">
        <v>201</v>
      </c>
      <c r="B21" s="45" t="s">
        <v>247</v>
      </c>
      <c r="C21" s="45" t="s">
        <v>248</v>
      </c>
      <c r="D21" s="45" t="s">
        <v>246</v>
      </c>
      <c r="F21" s="46">
        <v>0</v>
      </c>
      <c r="G21" s="46" t="s">
        <v>249</v>
      </c>
      <c r="H21" s="47">
        <v>0</v>
      </c>
      <c r="I21" s="47">
        <v>0</v>
      </c>
      <c r="K21" s="50"/>
      <c r="L21" s="50"/>
      <c r="M21" s="50"/>
    </row>
    <row r="22" spans="1:13" ht="13" x14ac:dyDescent="0.3">
      <c r="A22" s="45"/>
      <c r="B22" s="45"/>
      <c r="C22" s="45"/>
      <c r="D22" s="45"/>
      <c r="F22" s="46"/>
      <c r="G22" s="46"/>
      <c r="H22" s="47"/>
      <c r="I22" s="47"/>
      <c r="K22" s="50"/>
      <c r="L22" s="50"/>
      <c r="M22" s="50"/>
    </row>
    <row r="23" spans="1:13" ht="13" x14ac:dyDescent="0.3">
      <c r="A23" s="41"/>
      <c r="B23" s="42" t="s">
        <v>250</v>
      </c>
      <c r="C23" s="41"/>
      <c r="D23" s="41"/>
      <c r="F23" s="41" t="s">
        <v>192</v>
      </c>
      <c r="G23" s="44">
        <v>44682</v>
      </c>
      <c r="H23" s="44">
        <v>44713</v>
      </c>
      <c r="I23" s="44">
        <v>44743</v>
      </c>
      <c r="J23" s="41"/>
      <c r="K23" s="41" t="s">
        <v>193</v>
      </c>
      <c r="L23" s="41" t="s">
        <v>194</v>
      </c>
      <c r="M23" s="41"/>
    </row>
    <row r="24" spans="1:13" ht="13" x14ac:dyDescent="0.3">
      <c r="A24" s="57" t="s">
        <v>201</v>
      </c>
      <c r="B24" s="45" t="s">
        <v>251</v>
      </c>
      <c r="C24" s="45" t="s">
        <v>252</v>
      </c>
      <c r="D24" s="45" t="s">
        <v>253</v>
      </c>
      <c r="F24" s="46">
        <v>0</v>
      </c>
      <c r="G24" s="46">
        <v>0</v>
      </c>
      <c r="H24" s="47">
        <v>0</v>
      </c>
      <c r="I24" s="47">
        <v>0</v>
      </c>
      <c r="K24" s="50"/>
      <c r="L24" s="50"/>
      <c r="M24" s="50" t="s">
        <v>254</v>
      </c>
    </row>
    <row r="25" spans="1:13" ht="13" x14ac:dyDescent="0.3">
      <c r="A25" s="45"/>
      <c r="B25" s="45"/>
      <c r="C25" s="45"/>
      <c r="D25" s="45"/>
      <c r="F25" s="46"/>
      <c r="G25" s="46"/>
      <c r="H25" s="47"/>
      <c r="I25" s="47"/>
      <c r="K25" s="50"/>
      <c r="L25" s="50"/>
      <c r="M25" s="50"/>
    </row>
    <row r="26" spans="1:13" ht="13" x14ac:dyDescent="0.3">
      <c r="A26" s="58" t="s">
        <v>196</v>
      </c>
      <c r="B26" s="45" t="s">
        <v>255</v>
      </c>
      <c r="C26" s="45" t="s">
        <v>256</v>
      </c>
      <c r="D26" s="45" t="s">
        <v>257</v>
      </c>
      <c r="F26" s="46">
        <v>0</v>
      </c>
      <c r="G26" s="46">
        <v>0</v>
      </c>
      <c r="H26" s="46">
        <v>0</v>
      </c>
      <c r="I26" s="46">
        <v>0</v>
      </c>
      <c r="K26" s="50"/>
      <c r="L26" s="50"/>
      <c r="M26" s="50"/>
    </row>
    <row r="27" spans="1:13" ht="13" x14ac:dyDescent="0.3">
      <c r="A27" s="58" t="s">
        <v>196</v>
      </c>
      <c r="B27" s="45" t="s">
        <v>258</v>
      </c>
      <c r="C27" s="45" t="s">
        <v>259</v>
      </c>
      <c r="D27" s="45" t="s">
        <v>257</v>
      </c>
      <c r="F27" s="46">
        <v>0</v>
      </c>
      <c r="G27" s="46">
        <v>0</v>
      </c>
      <c r="H27" s="46">
        <v>0</v>
      </c>
      <c r="I27" s="46">
        <v>0</v>
      </c>
      <c r="K27" s="50" t="s">
        <v>260</v>
      </c>
      <c r="L27" s="50"/>
      <c r="M27" s="50"/>
    </row>
    <row r="28" spans="1:13" ht="13" x14ac:dyDescent="0.3">
      <c r="A28" s="58" t="s">
        <v>196</v>
      </c>
      <c r="B28" s="45" t="s">
        <v>261</v>
      </c>
      <c r="C28" s="45" t="s">
        <v>262</v>
      </c>
      <c r="D28" s="45" t="s">
        <v>263</v>
      </c>
      <c r="F28" s="46">
        <v>0</v>
      </c>
      <c r="G28" s="46">
        <v>0</v>
      </c>
      <c r="H28" s="46">
        <v>0</v>
      </c>
      <c r="I28" s="46">
        <v>0</v>
      </c>
      <c r="K28" s="50"/>
      <c r="L28" s="50"/>
      <c r="M28" s="50"/>
    </row>
  </sheetData>
  <pageMargins left="0.7" right="0.7" top="0.75" bottom="0.75" header="0.3" footer="0.3"/>
  <pageSetup paperSize="9" orientation="portrait" r:id="rId1"/>
  <headerFooter>
    <oddFooter>&amp;L&amp;1#&amp;"Tahoma"&amp;9&amp;KCF022BC2 – Usage restreint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093DA-D3DB-454C-824B-556ECCC2D6E3}">
  <sheetPr codeName="Feuil9">
    <tabColor rgb="FFFFC000"/>
    <outlinePr summaryRight="0"/>
  </sheetPr>
  <dimension ref="A1:ON572"/>
  <sheetViews>
    <sheetView zoomScaleNormal="100" workbookViewId="0">
      <pane xSplit="9" ySplit="11" topLeftCell="J12" activePane="bottomRight" state="frozen"/>
      <selection activeCell="W60" sqref="W60:W61"/>
      <selection pane="topRight" activeCell="W60" sqref="W60:W61"/>
      <selection pane="bottomLeft" activeCell="W60" sqref="W60:W61"/>
      <selection pane="bottomRight" activeCell="B36" sqref="B36"/>
    </sheetView>
  </sheetViews>
  <sheetFormatPr baseColWidth="10" defaultColWidth="5.54296875" defaultRowHeight="12" outlineLevelRow="1" outlineLevelCol="1" x14ac:dyDescent="0.3"/>
  <cols>
    <col min="1" max="1" width="6.453125" style="5" customWidth="1"/>
    <col min="2" max="2" width="20.453125" style="5" customWidth="1"/>
    <col min="3" max="3" width="5.08984375" style="5" customWidth="1"/>
    <col min="4" max="5" width="8" style="5" customWidth="1"/>
    <col min="6" max="6" width="6.08984375" style="5" customWidth="1"/>
    <col min="7" max="7" width="8.453125" style="5" customWidth="1"/>
    <col min="8" max="8" width="4.08984375" style="1" customWidth="1"/>
    <col min="9" max="9" width="1.90625" style="5" customWidth="1"/>
    <col min="10" max="16" width="5.6328125" style="5" customWidth="1" outlineLevel="1"/>
    <col min="17" max="18" width="6.6328125" style="5" customWidth="1" outlineLevel="1"/>
    <col min="19" max="21" width="5.6328125" style="5" customWidth="1" outlineLevel="1"/>
    <col min="22" max="39" width="5.54296875" style="5" customWidth="1" outlineLevel="1"/>
    <col min="40" max="40" width="6.453125" style="5" customWidth="1" outlineLevel="1"/>
    <col min="41" max="191" width="5.54296875" style="5" customWidth="1" outlineLevel="1"/>
    <col min="192" max="374" width="5.54296875" style="5" customWidth="1"/>
    <col min="375" max="375" width="2.453125" style="26" customWidth="1"/>
    <col min="376" max="376" width="5.54296875" style="1" customWidth="1" collapsed="1"/>
    <col min="377" max="377" width="7.453125" style="1" hidden="1" customWidth="1" outlineLevel="1"/>
    <col min="378" max="378" width="4.6328125" style="5" hidden="1" customWidth="1" outlineLevel="1"/>
    <col min="379" max="401" width="4.08984375" style="5" hidden="1" customWidth="1" outlineLevel="1"/>
    <col min="402" max="402" width="2.36328125" style="1" customWidth="1"/>
    <col min="403" max="16384" width="5.54296875" style="1"/>
  </cols>
  <sheetData>
    <row r="1" spans="1:404" s="3" customFormat="1" ht="12.75" customHeight="1" outlineLevel="1" x14ac:dyDescent="0.25">
      <c r="A1" s="389"/>
      <c r="B1" s="390" t="s">
        <v>0</v>
      </c>
      <c r="C1" s="501" t="s">
        <v>447</v>
      </c>
      <c r="D1" s="502"/>
      <c r="E1" s="503"/>
      <c r="F1" s="389"/>
      <c r="G1" s="10" t="s">
        <v>1</v>
      </c>
      <c r="H1" s="389"/>
    </row>
    <row r="2" spans="1:404" s="3" customFormat="1" ht="11" customHeight="1" outlineLevel="1" x14ac:dyDescent="0.3">
      <c r="A2" s="389"/>
      <c r="B2" s="390" t="s">
        <v>2</v>
      </c>
      <c r="C2" s="504" t="s">
        <v>458</v>
      </c>
      <c r="D2" s="505"/>
      <c r="E2" s="506"/>
      <c r="F2" s="389"/>
      <c r="G2" s="6" t="b">
        <v>0</v>
      </c>
      <c r="H2" s="389"/>
    </row>
    <row r="3" spans="1:404" s="3" customFormat="1" ht="11" customHeight="1" outlineLevel="1" x14ac:dyDescent="0.25">
      <c r="A3" s="389"/>
      <c r="B3" s="389" t="s">
        <v>445</v>
      </c>
      <c r="C3" s="513">
        <v>44927</v>
      </c>
      <c r="D3" s="514"/>
      <c r="E3" s="515"/>
      <c r="F3" s="389"/>
      <c r="G3" s="7" t="b">
        <v>0</v>
      </c>
      <c r="H3" s="389"/>
    </row>
    <row r="4" spans="1:404" s="3" customFormat="1" ht="11" customHeight="1" outlineLevel="1" x14ac:dyDescent="0.25">
      <c r="A4" s="389"/>
      <c r="B4" s="389" t="s">
        <v>3</v>
      </c>
      <c r="C4" s="516">
        <f ca="1">TODAY()</f>
        <v>44943</v>
      </c>
      <c r="D4" s="517"/>
      <c r="E4" s="518"/>
      <c r="F4" s="389"/>
      <c r="G4" s="8" t="b">
        <v>0</v>
      </c>
      <c r="H4" s="389"/>
    </row>
    <row r="5" spans="1:404" s="3" customFormat="1" ht="11" customHeight="1" outlineLevel="1" x14ac:dyDescent="0.25">
      <c r="A5" s="389"/>
      <c r="B5" s="389" t="s">
        <v>4</v>
      </c>
      <c r="C5" s="510" t="s">
        <v>5</v>
      </c>
      <c r="D5" s="511"/>
      <c r="E5" s="512"/>
      <c r="F5" s="389"/>
      <c r="G5" s="7" t="b">
        <v>0</v>
      </c>
      <c r="H5" s="389"/>
      <c r="GK5" s="170"/>
    </row>
    <row r="6" spans="1:404" s="3" customFormat="1" ht="11" customHeight="1" outlineLevel="1" x14ac:dyDescent="0.25">
      <c r="A6" s="389"/>
      <c r="B6" s="389" t="s">
        <v>6</v>
      </c>
      <c r="C6" s="510" t="s">
        <v>448</v>
      </c>
      <c r="D6" s="511"/>
      <c r="E6" s="512"/>
      <c r="F6" s="389"/>
      <c r="G6" s="7" t="b">
        <v>0</v>
      </c>
      <c r="H6" s="389"/>
    </row>
    <row r="7" spans="1:404" s="3" customFormat="1" ht="11" customHeight="1" outlineLevel="1" x14ac:dyDescent="0.25">
      <c r="A7" s="389"/>
      <c r="B7" s="389" t="s">
        <v>7</v>
      </c>
      <c r="C7" s="507"/>
      <c r="D7" s="508"/>
      <c r="E7" s="509"/>
      <c r="F7" s="389"/>
      <c r="G7" s="9" t="b">
        <v>0</v>
      </c>
      <c r="H7" s="389"/>
    </row>
    <row r="8" spans="1:404" s="3" customFormat="1" ht="10.5" x14ac:dyDescent="0.25">
      <c r="A8" s="389"/>
      <c r="B8" s="389"/>
      <c r="C8" s="389"/>
      <c r="D8" s="389"/>
      <c r="E8" s="389"/>
      <c r="F8" s="389"/>
      <c r="G8" s="389"/>
      <c r="H8" s="389"/>
    </row>
    <row r="9" spans="1:404" x14ac:dyDescent="0.3">
      <c r="A9" s="3"/>
      <c r="B9" s="1"/>
      <c r="C9" s="1"/>
      <c r="D9" s="30"/>
      <c r="E9" s="30"/>
      <c r="F9" s="3"/>
      <c r="G9" s="1"/>
      <c r="I9" s="28"/>
      <c r="J9" s="158" t="str">
        <f t="shared" ref="J9:BU9" si="0">IF(WEEKDAY(J$11,2)=1,"Sem "&amp;TEXT(_xlfn.ISOWEEKNUM(J$11),"0#"),"")</f>
        <v/>
      </c>
      <c r="K9" s="158" t="str">
        <f t="shared" si="0"/>
        <v>Sem 01</v>
      </c>
      <c r="L9" s="158" t="str">
        <f t="shared" si="0"/>
        <v/>
      </c>
      <c r="M9" s="158" t="str">
        <f t="shared" si="0"/>
        <v/>
      </c>
      <c r="N9" s="158" t="str">
        <f t="shared" si="0"/>
        <v/>
      </c>
      <c r="O9" s="158" t="str">
        <f t="shared" si="0"/>
        <v/>
      </c>
      <c r="P9" s="158" t="str">
        <f t="shared" si="0"/>
        <v/>
      </c>
      <c r="Q9" s="158" t="str">
        <f t="shared" si="0"/>
        <v/>
      </c>
      <c r="R9" s="158" t="str">
        <f t="shared" si="0"/>
        <v>Sem 02</v>
      </c>
      <c r="S9" s="158" t="str">
        <f t="shared" si="0"/>
        <v/>
      </c>
      <c r="T9" s="158" t="str">
        <f t="shared" si="0"/>
        <v/>
      </c>
      <c r="U9" s="158" t="str">
        <f t="shared" si="0"/>
        <v/>
      </c>
      <c r="V9" s="158" t="str">
        <f t="shared" si="0"/>
        <v/>
      </c>
      <c r="W9" s="158" t="str">
        <f t="shared" si="0"/>
        <v/>
      </c>
      <c r="X9" s="158" t="str">
        <f t="shared" si="0"/>
        <v/>
      </c>
      <c r="Y9" s="158" t="str">
        <f t="shared" si="0"/>
        <v>Sem 03</v>
      </c>
      <c r="Z9" s="158" t="str">
        <f t="shared" si="0"/>
        <v/>
      </c>
      <c r="AA9" s="158" t="str">
        <f t="shared" si="0"/>
        <v/>
      </c>
      <c r="AB9" s="158" t="str">
        <f t="shared" si="0"/>
        <v/>
      </c>
      <c r="AC9" s="158" t="str">
        <f t="shared" si="0"/>
        <v/>
      </c>
      <c r="AD9" s="158" t="str">
        <f t="shared" si="0"/>
        <v/>
      </c>
      <c r="AE9" s="158" t="str">
        <f t="shared" si="0"/>
        <v/>
      </c>
      <c r="AF9" s="158" t="str">
        <f t="shared" si="0"/>
        <v>Sem 04</v>
      </c>
      <c r="AG9" s="158" t="str">
        <f t="shared" si="0"/>
        <v/>
      </c>
      <c r="AH9" s="158" t="str">
        <f t="shared" si="0"/>
        <v/>
      </c>
      <c r="AI9" s="158" t="str">
        <f t="shared" si="0"/>
        <v/>
      </c>
      <c r="AJ9" s="158" t="str">
        <f t="shared" si="0"/>
        <v/>
      </c>
      <c r="AK9" s="158" t="str">
        <f t="shared" si="0"/>
        <v/>
      </c>
      <c r="AL9" s="158" t="str">
        <f t="shared" si="0"/>
        <v/>
      </c>
      <c r="AM9" s="158" t="str">
        <f t="shared" si="0"/>
        <v>Sem 05</v>
      </c>
      <c r="AN9" s="158" t="str">
        <f t="shared" si="0"/>
        <v/>
      </c>
      <c r="AO9" s="158" t="str">
        <f t="shared" si="0"/>
        <v/>
      </c>
      <c r="AP9" s="158" t="str">
        <f t="shared" si="0"/>
        <v/>
      </c>
      <c r="AQ9" s="158" t="str">
        <f t="shared" si="0"/>
        <v/>
      </c>
      <c r="AR9" s="158" t="str">
        <f t="shared" si="0"/>
        <v/>
      </c>
      <c r="AS9" s="158" t="str">
        <f t="shared" si="0"/>
        <v/>
      </c>
      <c r="AT9" s="158" t="str">
        <f t="shared" si="0"/>
        <v>Sem 06</v>
      </c>
      <c r="AU9" s="158" t="str">
        <f t="shared" si="0"/>
        <v/>
      </c>
      <c r="AV9" s="158" t="str">
        <f t="shared" si="0"/>
        <v/>
      </c>
      <c r="AW9" s="158" t="str">
        <f t="shared" si="0"/>
        <v/>
      </c>
      <c r="AX9" s="158" t="str">
        <f t="shared" si="0"/>
        <v/>
      </c>
      <c r="AY9" s="158" t="str">
        <f t="shared" si="0"/>
        <v/>
      </c>
      <c r="AZ9" s="158" t="str">
        <f t="shared" si="0"/>
        <v/>
      </c>
      <c r="BA9" s="158" t="str">
        <f t="shared" si="0"/>
        <v>Sem 07</v>
      </c>
      <c r="BB9" s="158" t="str">
        <f t="shared" si="0"/>
        <v/>
      </c>
      <c r="BC9" s="158" t="str">
        <f t="shared" si="0"/>
        <v/>
      </c>
      <c r="BD9" s="158" t="str">
        <f t="shared" si="0"/>
        <v/>
      </c>
      <c r="BE9" s="158" t="str">
        <f t="shared" si="0"/>
        <v/>
      </c>
      <c r="BF9" s="158" t="str">
        <f t="shared" si="0"/>
        <v/>
      </c>
      <c r="BG9" s="158" t="str">
        <f t="shared" si="0"/>
        <v/>
      </c>
      <c r="BH9" s="158" t="str">
        <f t="shared" si="0"/>
        <v>Sem 08</v>
      </c>
      <c r="BI9" s="158" t="str">
        <f t="shared" si="0"/>
        <v/>
      </c>
      <c r="BJ9" s="158" t="str">
        <f t="shared" si="0"/>
        <v/>
      </c>
      <c r="BK9" s="158" t="str">
        <f t="shared" si="0"/>
        <v/>
      </c>
      <c r="BL9" s="158" t="str">
        <f t="shared" si="0"/>
        <v/>
      </c>
      <c r="BM9" s="158" t="str">
        <f t="shared" si="0"/>
        <v/>
      </c>
      <c r="BN9" s="158" t="str">
        <f t="shared" si="0"/>
        <v/>
      </c>
      <c r="BO9" s="158" t="str">
        <f t="shared" si="0"/>
        <v>Sem 09</v>
      </c>
      <c r="BP9" s="158" t="str">
        <f t="shared" si="0"/>
        <v/>
      </c>
      <c r="BQ9" s="158" t="str">
        <f t="shared" si="0"/>
        <v/>
      </c>
      <c r="BR9" s="158" t="str">
        <f t="shared" si="0"/>
        <v/>
      </c>
      <c r="BS9" s="158" t="str">
        <f t="shared" si="0"/>
        <v/>
      </c>
      <c r="BT9" s="158" t="str">
        <f t="shared" si="0"/>
        <v/>
      </c>
      <c r="BU9" s="158" t="str">
        <f t="shared" si="0"/>
        <v/>
      </c>
      <c r="BV9" s="158" t="str">
        <f t="shared" ref="BV9:EG9" si="1">IF(WEEKDAY(BV$11,2)=1,"Sem "&amp;TEXT(_xlfn.ISOWEEKNUM(BV$11),"0#"),"")</f>
        <v>Sem 10</v>
      </c>
      <c r="BW9" s="158" t="str">
        <f t="shared" si="1"/>
        <v/>
      </c>
      <c r="BX9" s="158" t="str">
        <f t="shared" si="1"/>
        <v/>
      </c>
      <c r="BY9" s="158" t="str">
        <f t="shared" si="1"/>
        <v/>
      </c>
      <c r="BZ9" s="158" t="str">
        <f t="shared" si="1"/>
        <v/>
      </c>
      <c r="CA9" s="158" t="str">
        <f t="shared" si="1"/>
        <v/>
      </c>
      <c r="CB9" s="158" t="str">
        <f t="shared" si="1"/>
        <v/>
      </c>
      <c r="CC9" s="158" t="str">
        <f t="shared" si="1"/>
        <v>Sem 11</v>
      </c>
      <c r="CD9" s="158" t="str">
        <f t="shared" si="1"/>
        <v/>
      </c>
      <c r="CE9" s="158" t="str">
        <f t="shared" si="1"/>
        <v/>
      </c>
      <c r="CF9" s="158" t="str">
        <f t="shared" si="1"/>
        <v/>
      </c>
      <c r="CG9" s="158" t="str">
        <f t="shared" si="1"/>
        <v/>
      </c>
      <c r="CH9" s="158" t="str">
        <f t="shared" si="1"/>
        <v/>
      </c>
      <c r="CI9" s="158" t="str">
        <f t="shared" si="1"/>
        <v/>
      </c>
      <c r="CJ9" s="158" t="str">
        <f t="shared" si="1"/>
        <v>Sem 12</v>
      </c>
      <c r="CK9" s="158" t="str">
        <f t="shared" si="1"/>
        <v/>
      </c>
      <c r="CL9" s="158" t="str">
        <f t="shared" si="1"/>
        <v/>
      </c>
      <c r="CM9" s="158" t="str">
        <f t="shared" si="1"/>
        <v/>
      </c>
      <c r="CN9" s="158" t="str">
        <f t="shared" si="1"/>
        <v/>
      </c>
      <c r="CO9" s="158" t="str">
        <f t="shared" si="1"/>
        <v/>
      </c>
      <c r="CP9" s="158" t="str">
        <f t="shared" si="1"/>
        <v/>
      </c>
      <c r="CQ9" s="158" t="str">
        <f t="shared" si="1"/>
        <v>Sem 13</v>
      </c>
      <c r="CR9" s="158" t="str">
        <f t="shared" si="1"/>
        <v/>
      </c>
      <c r="CS9" s="158" t="str">
        <f t="shared" si="1"/>
        <v/>
      </c>
      <c r="CT9" s="158" t="str">
        <f t="shared" si="1"/>
        <v/>
      </c>
      <c r="CU9" s="158" t="str">
        <f t="shared" si="1"/>
        <v/>
      </c>
      <c r="CV9" s="158" t="str">
        <f t="shared" si="1"/>
        <v/>
      </c>
      <c r="CW9" s="158" t="str">
        <f t="shared" si="1"/>
        <v/>
      </c>
      <c r="CX9" s="158" t="str">
        <f t="shared" si="1"/>
        <v>Sem 14</v>
      </c>
      <c r="CY9" s="158" t="str">
        <f t="shared" si="1"/>
        <v/>
      </c>
      <c r="CZ9" s="158" t="str">
        <f t="shared" si="1"/>
        <v/>
      </c>
      <c r="DA9" s="158" t="str">
        <f t="shared" si="1"/>
        <v/>
      </c>
      <c r="DB9" s="158" t="str">
        <f t="shared" si="1"/>
        <v/>
      </c>
      <c r="DC9" s="158" t="str">
        <f t="shared" si="1"/>
        <v/>
      </c>
      <c r="DD9" s="158" t="str">
        <f t="shared" si="1"/>
        <v/>
      </c>
      <c r="DE9" s="158" t="str">
        <f t="shared" si="1"/>
        <v>Sem 15</v>
      </c>
      <c r="DF9" s="158" t="str">
        <f t="shared" si="1"/>
        <v/>
      </c>
      <c r="DG9" s="158" t="str">
        <f t="shared" si="1"/>
        <v/>
      </c>
      <c r="DH9" s="158" t="str">
        <f t="shared" si="1"/>
        <v/>
      </c>
      <c r="DI9" s="158" t="str">
        <f t="shared" si="1"/>
        <v/>
      </c>
      <c r="DJ9" s="158" t="str">
        <f t="shared" si="1"/>
        <v/>
      </c>
      <c r="DK9" s="158" t="str">
        <f t="shared" si="1"/>
        <v/>
      </c>
      <c r="DL9" s="158" t="str">
        <f t="shared" si="1"/>
        <v>Sem 16</v>
      </c>
      <c r="DM9" s="158" t="str">
        <f t="shared" si="1"/>
        <v/>
      </c>
      <c r="DN9" s="158" t="str">
        <f t="shared" si="1"/>
        <v/>
      </c>
      <c r="DO9" s="158" t="str">
        <f t="shared" si="1"/>
        <v/>
      </c>
      <c r="DP9" s="158" t="str">
        <f t="shared" si="1"/>
        <v/>
      </c>
      <c r="DQ9" s="158" t="str">
        <f t="shared" si="1"/>
        <v/>
      </c>
      <c r="DR9" s="158" t="str">
        <f t="shared" si="1"/>
        <v/>
      </c>
      <c r="DS9" s="158" t="str">
        <f t="shared" si="1"/>
        <v>Sem 17</v>
      </c>
      <c r="DT9" s="158" t="str">
        <f t="shared" si="1"/>
        <v/>
      </c>
      <c r="DU9" s="158" t="str">
        <f t="shared" si="1"/>
        <v/>
      </c>
      <c r="DV9" s="158" t="str">
        <f t="shared" si="1"/>
        <v/>
      </c>
      <c r="DW9" s="158" t="str">
        <f t="shared" si="1"/>
        <v/>
      </c>
      <c r="DX9" s="158" t="str">
        <f t="shared" si="1"/>
        <v/>
      </c>
      <c r="DY9" s="158" t="str">
        <f t="shared" si="1"/>
        <v/>
      </c>
      <c r="DZ9" s="158" t="str">
        <f t="shared" si="1"/>
        <v>Sem 18</v>
      </c>
      <c r="EA9" s="158" t="str">
        <f t="shared" si="1"/>
        <v/>
      </c>
      <c r="EB9" s="158" t="str">
        <f t="shared" si="1"/>
        <v/>
      </c>
      <c r="EC9" s="158" t="str">
        <f t="shared" si="1"/>
        <v/>
      </c>
      <c r="ED9" s="158" t="str">
        <f t="shared" si="1"/>
        <v/>
      </c>
      <c r="EE9" s="158" t="str">
        <f t="shared" si="1"/>
        <v/>
      </c>
      <c r="EF9" s="158" t="str">
        <f t="shared" si="1"/>
        <v/>
      </c>
      <c r="EG9" s="158" t="str">
        <f t="shared" si="1"/>
        <v>Sem 19</v>
      </c>
      <c r="EH9" s="158" t="str">
        <f t="shared" ref="EH9:GS9" si="2">IF(WEEKDAY(EH$11,2)=1,"Sem "&amp;TEXT(_xlfn.ISOWEEKNUM(EH$11),"0#"),"")</f>
        <v/>
      </c>
      <c r="EI9" s="158" t="str">
        <f t="shared" si="2"/>
        <v/>
      </c>
      <c r="EJ9" s="158" t="str">
        <f t="shared" si="2"/>
        <v/>
      </c>
      <c r="EK9" s="158" t="str">
        <f t="shared" si="2"/>
        <v/>
      </c>
      <c r="EL9" s="158" t="str">
        <f t="shared" si="2"/>
        <v/>
      </c>
      <c r="EM9" s="158" t="str">
        <f t="shared" si="2"/>
        <v/>
      </c>
      <c r="EN9" s="158" t="str">
        <f t="shared" si="2"/>
        <v>Sem 20</v>
      </c>
      <c r="EO9" s="158" t="str">
        <f t="shared" si="2"/>
        <v/>
      </c>
      <c r="EP9" s="158" t="str">
        <f t="shared" si="2"/>
        <v/>
      </c>
      <c r="EQ9" s="158" t="str">
        <f t="shared" si="2"/>
        <v/>
      </c>
      <c r="ER9" s="158" t="str">
        <f t="shared" si="2"/>
        <v/>
      </c>
      <c r="ES9" s="158" t="str">
        <f t="shared" si="2"/>
        <v/>
      </c>
      <c r="ET9" s="158" t="str">
        <f t="shared" si="2"/>
        <v/>
      </c>
      <c r="EU9" s="158" t="str">
        <f t="shared" si="2"/>
        <v>Sem 21</v>
      </c>
      <c r="EV9" s="158" t="str">
        <f t="shared" si="2"/>
        <v/>
      </c>
      <c r="EW9" s="158" t="str">
        <f t="shared" si="2"/>
        <v/>
      </c>
      <c r="EX9" s="158" t="str">
        <f t="shared" si="2"/>
        <v/>
      </c>
      <c r="EY9" s="158" t="str">
        <f t="shared" si="2"/>
        <v/>
      </c>
      <c r="EZ9" s="158" t="str">
        <f t="shared" si="2"/>
        <v/>
      </c>
      <c r="FA9" s="158" t="str">
        <f t="shared" si="2"/>
        <v/>
      </c>
      <c r="FB9" s="158" t="str">
        <f t="shared" si="2"/>
        <v>Sem 22</v>
      </c>
      <c r="FC9" s="158" t="str">
        <f t="shared" si="2"/>
        <v/>
      </c>
      <c r="FD9" s="158" t="str">
        <f t="shared" si="2"/>
        <v/>
      </c>
      <c r="FE9" s="158" t="str">
        <f t="shared" si="2"/>
        <v/>
      </c>
      <c r="FF9" s="158" t="str">
        <f t="shared" si="2"/>
        <v/>
      </c>
      <c r="FG9" s="158" t="str">
        <f t="shared" si="2"/>
        <v/>
      </c>
      <c r="FH9" s="158" t="str">
        <f t="shared" si="2"/>
        <v/>
      </c>
      <c r="FI9" s="158" t="str">
        <f t="shared" si="2"/>
        <v>Sem 23</v>
      </c>
      <c r="FJ9" s="158" t="str">
        <f t="shared" si="2"/>
        <v/>
      </c>
      <c r="FK9" s="158" t="str">
        <f t="shared" si="2"/>
        <v/>
      </c>
      <c r="FL9" s="158" t="str">
        <f t="shared" si="2"/>
        <v/>
      </c>
      <c r="FM9" s="158" t="str">
        <f t="shared" si="2"/>
        <v/>
      </c>
      <c r="FN9" s="158" t="str">
        <f t="shared" si="2"/>
        <v/>
      </c>
      <c r="FO9" s="158" t="str">
        <f t="shared" si="2"/>
        <v/>
      </c>
      <c r="FP9" s="158" t="str">
        <f t="shared" si="2"/>
        <v>Sem 24</v>
      </c>
      <c r="FQ9" s="158" t="str">
        <f t="shared" si="2"/>
        <v/>
      </c>
      <c r="FR9" s="158" t="str">
        <f t="shared" si="2"/>
        <v/>
      </c>
      <c r="FS9" s="158" t="str">
        <f t="shared" si="2"/>
        <v/>
      </c>
      <c r="FT9" s="158" t="str">
        <f t="shared" si="2"/>
        <v/>
      </c>
      <c r="FU9" s="158" t="str">
        <f t="shared" si="2"/>
        <v/>
      </c>
      <c r="FV9" s="158" t="str">
        <f t="shared" si="2"/>
        <v/>
      </c>
      <c r="FW9" s="158" t="str">
        <f t="shared" si="2"/>
        <v>Sem 25</v>
      </c>
      <c r="FX9" s="158" t="str">
        <f t="shared" si="2"/>
        <v/>
      </c>
      <c r="FY9" s="158" t="str">
        <f t="shared" si="2"/>
        <v/>
      </c>
      <c r="FZ9" s="158" t="str">
        <f t="shared" si="2"/>
        <v/>
      </c>
      <c r="GA9" s="158" t="str">
        <f t="shared" si="2"/>
        <v/>
      </c>
      <c r="GB9" s="158" t="str">
        <f t="shared" si="2"/>
        <v/>
      </c>
      <c r="GC9" s="158" t="str">
        <f t="shared" si="2"/>
        <v/>
      </c>
      <c r="GD9" s="158" t="str">
        <f t="shared" si="2"/>
        <v>Sem 26</v>
      </c>
      <c r="GE9" s="158" t="str">
        <f t="shared" si="2"/>
        <v/>
      </c>
      <c r="GF9" s="158" t="str">
        <f t="shared" si="2"/>
        <v/>
      </c>
      <c r="GG9" s="158" t="str">
        <f t="shared" si="2"/>
        <v/>
      </c>
      <c r="GH9" s="158" t="str">
        <f t="shared" si="2"/>
        <v/>
      </c>
      <c r="GI9" s="158" t="str">
        <f t="shared" si="2"/>
        <v/>
      </c>
      <c r="GJ9" s="158" t="str">
        <f t="shared" si="2"/>
        <v/>
      </c>
      <c r="GK9" s="158" t="str">
        <f t="shared" si="2"/>
        <v>Sem 27</v>
      </c>
      <c r="GL9" s="158" t="str">
        <f t="shared" si="2"/>
        <v/>
      </c>
      <c r="GM9" s="158" t="str">
        <f t="shared" si="2"/>
        <v/>
      </c>
      <c r="GN9" s="158" t="str">
        <f t="shared" si="2"/>
        <v/>
      </c>
      <c r="GO9" s="158" t="str">
        <f t="shared" si="2"/>
        <v/>
      </c>
      <c r="GP9" s="158" t="str">
        <f t="shared" si="2"/>
        <v/>
      </c>
      <c r="GQ9" s="158" t="str">
        <f t="shared" si="2"/>
        <v/>
      </c>
      <c r="GR9" s="158" t="str">
        <f t="shared" si="2"/>
        <v>Sem 28</v>
      </c>
      <c r="GS9" s="158" t="str">
        <f t="shared" si="2"/>
        <v/>
      </c>
      <c r="GT9" s="158" t="str">
        <f t="shared" ref="GT9:HM9" si="3">IF(WEEKDAY(GT$11,2)=1,"Sem "&amp;TEXT(_xlfn.ISOWEEKNUM(GT$11),"0#"),"")</f>
        <v/>
      </c>
      <c r="GU9" s="158" t="str">
        <f t="shared" si="3"/>
        <v/>
      </c>
      <c r="GV9" s="158" t="str">
        <f t="shared" si="3"/>
        <v/>
      </c>
      <c r="GW9" s="158" t="str">
        <f t="shared" si="3"/>
        <v/>
      </c>
      <c r="GX9" s="158" t="str">
        <f t="shared" si="3"/>
        <v/>
      </c>
      <c r="GY9" s="158" t="str">
        <f t="shared" si="3"/>
        <v>Sem 29</v>
      </c>
      <c r="GZ9" s="158" t="str">
        <f t="shared" si="3"/>
        <v/>
      </c>
      <c r="HA9" s="158" t="str">
        <f t="shared" si="3"/>
        <v/>
      </c>
      <c r="HB9" s="158" t="str">
        <f t="shared" si="3"/>
        <v/>
      </c>
      <c r="HC9" s="158" t="str">
        <f t="shared" si="3"/>
        <v/>
      </c>
      <c r="HD9" s="158" t="str">
        <f t="shared" si="3"/>
        <v/>
      </c>
      <c r="HE9" s="158" t="str">
        <f t="shared" si="3"/>
        <v/>
      </c>
      <c r="HF9" s="158" t="str">
        <f t="shared" si="3"/>
        <v>Sem 30</v>
      </c>
      <c r="HG9" s="158" t="str">
        <f t="shared" si="3"/>
        <v/>
      </c>
      <c r="HH9" s="158" t="str">
        <f t="shared" si="3"/>
        <v/>
      </c>
      <c r="HI9" s="158" t="str">
        <f t="shared" si="3"/>
        <v/>
      </c>
      <c r="HJ9" s="158" t="str">
        <f t="shared" si="3"/>
        <v/>
      </c>
      <c r="HK9" s="158" t="str">
        <f t="shared" si="3"/>
        <v/>
      </c>
      <c r="HL9" s="158" t="str">
        <f t="shared" si="3"/>
        <v/>
      </c>
      <c r="HM9" s="158" t="str">
        <f t="shared" si="3"/>
        <v>Sem 31</v>
      </c>
      <c r="HN9" s="158" t="str">
        <f>IF(WEEKDAY(HN$11,2)=1,"Sem "&amp;TEXT(_xlfn.ISOWEEKNUM(HN$11),"0#"),"")</f>
        <v/>
      </c>
      <c r="HO9" s="158" t="str">
        <f t="shared" ref="HO9:JZ9" si="4">IF(WEEKDAY(HO$11,2)=1,"Sem "&amp;TEXT(_xlfn.ISOWEEKNUM(HO$11),"0#"),"")</f>
        <v/>
      </c>
      <c r="HP9" s="158" t="str">
        <f t="shared" si="4"/>
        <v/>
      </c>
      <c r="HQ9" s="158" t="str">
        <f t="shared" si="4"/>
        <v/>
      </c>
      <c r="HR9" s="158" t="str">
        <f t="shared" si="4"/>
        <v/>
      </c>
      <c r="HS9" s="158" t="str">
        <f t="shared" si="4"/>
        <v/>
      </c>
      <c r="HT9" s="158" t="str">
        <f t="shared" si="4"/>
        <v>Sem 32</v>
      </c>
      <c r="HU9" s="158" t="str">
        <f t="shared" si="4"/>
        <v/>
      </c>
      <c r="HV9" s="158" t="str">
        <f t="shared" si="4"/>
        <v/>
      </c>
      <c r="HW9" s="158" t="str">
        <f t="shared" si="4"/>
        <v/>
      </c>
      <c r="HX9" s="158" t="str">
        <f t="shared" si="4"/>
        <v/>
      </c>
      <c r="HY9" s="158" t="str">
        <f t="shared" si="4"/>
        <v/>
      </c>
      <c r="HZ9" s="158" t="str">
        <f t="shared" si="4"/>
        <v/>
      </c>
      <c r="IA9" s="158" t="str">
        <f t="shared" si="4"/>
        <v>Sem 33</v>
      </c>
      <c r="IB9" s="158" t="str">
        <f t="shared" si="4"/>
        <v/>
      </c>
      <c r="IC9" s="158" t="str">
        <f t="shared" si="4"/>
        <v/>
      </c>
      <c r="ID9" s="158" t="str">
        <f t="shared" si="4"/>
        <v/>
      </c>
      <c r="IE9" s="158" t="str">
        <f t="shared" si="4"/>
        <v/>
      </c>
      <c r="IF9" s="158" t="str">
        <f t="shared" si="4"/>
        <v/>
      </c>
      <c r="IG9" s="158" t="str">
        <f t="shared" si="4"/>
        <v/>
      </c>
      <c r="IH9" s="158" t="str">
        <f t="shared" si="4"/>
        <v>Sem 34</v>
      </c>
      <c r="II9" s="158" t="str">
        <f t="shared" si="4"/>
        <v/>
      </c>
      <c r="IJ9" s="158" t="str">
        <f t="shared" si="4"/>
        <v/>
      </c>
      <c r="IK9" s="158" t="str">
        <f t="shared" si="4"/>
        <v/>
      </c>
      <c r="IL9" s="158" t="str">
        <f t="shared" si="4"/>
        <v/>
      </c>
      <c r="IM9" s="158" t="str">
        <f t="shared" si="4"/>
        <v/>
      </c>
      <c r="IN9" s="158" t="str">
        <f t="shared" si="4"/>
        <v/>
      </c>
      <c r="IO9" s="158" t="str">
        <f t="shared" si="4"/>
        <v>Sem 35</v>
      </c>
      <c r="IP9" s="158" t="str">
        <f t="shared" si="4"/>
        <v/>
      </c>
      <c r="IQ9" s="158" t="str">
        <f t="shared" si="4"/>
        <v/>
      </c>
      <c r="IR9" s="158" t="str">
        <f t="shared" si="4"/>
        <v/>
      </c>
      <c r="IS9" s="158" t="str">
        <f t="shared" si="4"/>
        <v/>
      </c>
      <c r="IT9" s="158" t="str">
        <f t="shared" si="4"/>
        <v/>
      </c>
      <c r="IU9" s="158" t="str">
        <f t="shared" si="4"/>
        <v/>
      </c>
      <c r="IV9" s="158" t="str">
        <f t="shared" si="4"/>
        <v>Sem 36</v>
      </c>
      <c r="IW9" s="158" t="str">
        <f t="shared" si="4"/>
        <v/>
      </c>
      <c r="IX9" s="158" t="str">
        <f t="shared" si="4"/>
        <v/>
      </c>
      <c r="IY9" s="158" t="str">
        <f t="shared" si="4"/>
        <v/>
      </c>
      <c r="IZ9" s="158" t="str">
        <f t="shared" si="4"/>
        <v/>
      </c>
      <c r="JA9" s="158" t="str">
        <f t="shared" si="4"/>
        <v/>
      </c>
      <c r="JB9" s="158" t="str">
        <f t="shared" si="4"/>
        <v/>
      </c>
      <c r="JC9" s="158" t="str">
        <f t="shared" si="4"/>
        <v>Sem 37</v>
      </c>
      <c r="JD9" s="158" t="str">
        <f t="shared" si="4"/>
        <v/>
      </c>
      <c r="JE9" s="158" t="str">
        <f t="shared" si="4"/>
        <v/>
      </c>
      <c r="JF9" s="158" t="str">
        <f t="shared" si="4"/>
        <v/>
      </c>
      <c r="JG9" s="158" t="str">
        <f t="shared" si="4"/>
        <v/>
      </c>
      <c r="JH9" s="158" t="str">
        <f t="shared" si="4"/>
        <v/>
      </c>
      <c r="JI9" s="158" t="str">
        <f t="shared" si="4"/>
        <v/>
      </c>
      <c r="JJ9" s="158" t="str">
        <f t="shared" si="4"/>
        <v>Sem 38</v>
      </c>
      <c r="JK9" s="158" t="str">
        <f t="shared" si="4"/>
        <v/>
      </c>
      <c r="JL9" s="158" t="str">
        <f t="shared" si="4"/>
        <v/>
      </c>
      <c r="JM9" s="158" t="str">
        <f t="shared" si="4"/>
        <v/>
      </c>
      <c r="JN9" s="158" t="str">
        <f t="shared" si="4"/>
        <v/>
      </c>
      <c r="JO9" s="158" t="str">
        <f t="shared" si="4"/>
        <v/>
      </c>
      <c r="JP9" s="158" t="str">
        <f t="shared" si="4"/>
        <v/>
      </c>
      <c r="JQ9" s="158" t="str">
        <f t="shared" si="4"/>
        <v>Sem 39</v>
      </c>
      <c r="JR9" s="158" t="str">
        <f t="shared" si="4"/>
        <v/>
      </c>
      <c r="JS9" s="158" t="str">
        <f t="shared" si="4"/>
        <v/>
      </c>
      <c r="JT9" s="158" t="str">
        <f t="shared" si="4"/>
        <v/>
      </c>
      <c r="JU9" s="158" t="str">
        <f t="shared" si="4"/>
        <v/>
      </c>
      <c r="JV9" s="158" t="str">
        <f t="shared" si="4"/>
        <v/>
      </c>
      <c r="JW9" s="158" t="str">
        <f t="shared" si="4"/>
        <v/>
      </c>
      <c r="JX9" s="158" t="str">
        <f t="shared" si="4"/>
        <v>Sem 40</v>
      </c>
      <c r="JY9" s="158" t="str">
        <f t="shared" si="4"/>
        <v/>
      </c>
      <c r="JZ9" s="158" t="str">
        <f t="shared" si="4"/>
        <v/>
      </c>
      <c r="KA9" s="158" t="str">
        <f t="shared" ref="KA9:ML9" si="5">IF(WEEKDAY(KA$11,2)=1,"Sem "&amp;TEXT(_xlfn.ISOWEEKNUM(KA$11),"0#"),"")</f>
        <v/>
      </c>
      <c r="KB9" s="158" t="str">
        <f t="shared" si="5"/>
        <v/>
      </c>
      <c r="KC9" s="158" t="str">
        <f t="shared" si="5"/>
        <v/>
      </c>
      <c r="KD9" s="158" t="str">
        <f t="shared" si="5"/>
        <v/>
      </c>
      <c r="KE9" s="158" t="str">
        <f t="shared" si="5"/>
        <v>Sem 41</v>
      </c>
      <c r="KF9" s="158" t="str">
        <f t="shared" si="5"/>
        <v/>
      </c>
      <c r="KG9" s="158" t="str">
        <f t="shared" si="5"/>
        <v/>
      </c>
      <c r="KH9" s="158" t="str">
        <f t="shared" si="5"/>
        <v/>
      </c>
      <c r="KI9" s="158" t="str">
        <f t="shared" si="5"/>
        <v/>
      </c>
      <c r="KJ9" s="158" t="str">
        <f t="shared" si="5"/>
        <v/>
      </c>
      <c r="KK9" s="158" t="str">
        <f t="shared" si="5"/>
        <v/>
      </c>
      <c r="KL9" s="158" t="str">
        <f t="shared" si="5"/>
        <v>Sem 42</v>
      </c>
      <c r="KM9" s="158" t="str">
        <f t="shared" si="5"/>
        <v/>
      </c>
      <c r="KN9" s="158" t="str">
        <f t="shared" si="5"/>
        <v/>
      </c>
      <c r="KO9" s="158" t="str">
        <f t="shared" si="5"/>
        <v/>
      </c>
      <c r="KP9" s="158" t="str">
        <f t="shared" si="5"/>
        <v/>
      </c>
      <c r="KQ9" s="158" t="str">
        <f t="shared" si="5"/>
        <v/>
      </c>
      <c r="KR9" s="158" t="str">
        <f t="shared" si="5"/>
        <v/>
      </c>
      <c r="KS9" s="158" t="str">
        <f t="shared" si="5"/>
        <v>Sem 43</v>
      </c>
      <c r="KT9" s="158" t="str">
        <f t="shared" si="5"/>
        <v/>
      </c>
      <c r="KU9" s="158" t="str">
        <f t="shared" si="5"/>
        <v/>
      </c>
      <c r="KV9" s="158" t="str">
        <f t="shared" si="5"/>
        <v/>
      </c>
      <c r="KW9" s="158" t="str">
        <f t="shared" si="5"/>
        <v/>
      </c>
      <c r="KX9" s="158" t="str">
        <f t="shared" si="5"/>
        <v/>
      </c>
      <c r="KY9" s="158" t="str">
        <f t="shared" si="5"/>
        <v/>
      </c>
      <c r="KZ9" s="158" t="str">
        <f t="shared" si="5"/>
        <v>Sem 44</v>
      </c>
      <c r="LA9" s="158" t="str">
        <f t="shared" si="5"/>
        <v/>
      </c>
      <c r="LB9" s="158" t="str">
        <f t="shared" si="5"/>
        <v/>
      </c>
      <c r="LC9" s="158" t="str">
        <f t="shared" si="5"/>
        <v/>
      </c>
      <c r="LD9" s="158" t="str">
        <f t="shared" si="5"/>
        <v/>
      </c>
      <c r="LE9" s="158" t="str">
        <f t="shared" si="5"/>
        <v/>
      </c>
      <c r="LF9" s="158" t="str">
        <f t="shared" si="5"/>
        <v/>
      </c>
      <c r="LG9" s="158" t="str">
        <f t="shared" si="5"/>
        <v>Sem 45</v>
      </c>
      <c r="LH9" s="158" t="str">
        <f t="shared" si="5"/>
        <v/>
      </c>
      <c r="LI9" s="158" t="str">
        <f t="shared" si="5"/>
        <v/>
      </c>
      <c r="LJ9" s="158" t="str">
        <f t="shared" si="5"/>
        <v/>
      </c>
      <c r="LK9" s="158" t="str">
        <f t="shared" si="5"/>
        <v/>
      </c>
      <c r="LL9" s="158" t="str">
        <f t="shared" si="5"/>
        <v/>
      </c>
      <c r="LM9" s="158" t="str">
        <f t="shared" si="5"/>
        <v/>
      </c>
      <c r="LN9" s="158" t="str">
        <f t="shared" si="5"/>
        <v>Sem 46</v>
      </c>
      <c r="LO9" s="158" t="str">
        <f t="shared" si="5"/>
        <v/>
      </c>
      <c r="LP9" s="158" t="str">
        <f t="shared" si="5"/>
        <v/>
      </c>
      <c r="LQ9" s="158" t="str">
        <f t="shared" si="5"/>
        <v/>
      </c>
      <c r="LR9" s="158" t="str">
        <f t="shared" si="5"/>
        <v/>
      </c>
      <c r="LS9" s="158" t="str">
        <f t="shared" si="5"/>
        <v/>
      </c>
      <c r="LT9" s="158" t="str">
        <f t="shared" si="5"/>
        <v/>
      </c>
      <c r="LU9" s="158" t="str">
        <f t="shared" si="5"/>
        <v>Sem 47</v>
      </c>
      <c r="LV9" s="158" t="str">
        <f t="shared" si="5"/>
        <v/>
      </c>
      <c r="LW9" s="158" t="str">
        <f t="shared" si="5"/>
        <v/>
      </c>
      <c r="LX9" s="158" t="str">
        <f t="shared" si="5"/>
        <v/>
      </c>
      <c r="LY9" s="158" t="str">
        <f t="shared" si="5"/>
        <v/>
      </c>
      <c r="LZ9" s="158" t="str">
        <f t="shared" si="5"/>
        <v/>
      </c>
      <c r="MA9" s="158" t="str">
        <f t="shared" si="5"/>
        <v/>
      </c>
      <c r="MB9" s="158" t="str">
        <f t="shared" si="5"/>
        <v>Sem 48</v>
      </c>
      <c r="MC9" s="158" t="str">
        <f t="shared" si="5"/>
        <v/>
      </c>
      <c r="MD9" s="158" t="str">
        <f t="shared" si="5"/>
        <v/>
      </c>
      <c r="ME9" s="158" t="str">
        <f t="shared" si="5"/>
        <v/>
      </c>
      <c r="MF9" s="158" t="str">
        <f t="shared" si="5"/>
        <v/>
      </c>
      <c r="MG9" s="158" t="str">
        <f t="shared" si="5"/>
        <v/>
      </c>
      <c r="MH9" s="158" t="str">
        <f t="shared" si="5"/>
        <v/>
      </c>
      <c r="MI9" s="158" t="str">
        <f t="shared" si="5"/>
        <v>Sem 49</v>
      </c>
      <c r="MJ9" s="158" t="str">
        <f t="shared" si="5"/>
        <v/>
      </c>
      <c r="MK9" s="158" t="str">
        <f t="shared" si="5"/>
        <v/>
      </c>
      <c r="ML9" s="158" t="str">
        <f t="shared" si="5"/>
        <v/>
      </c>
      <c r="MM9" s="158" t="str">
        <f t="shared" ref="MM9:NJ9" si="6">IF(WEEKDAY(MM$11,2)=1,"Sem "&amp;TEXT(_xlfn.ISOWEEKNUM(MM$11),"0#"),"")</f>
        <v/>
      </c>
      <c r="MN9" s="158" t="str">
        <f t="shared" si="6"/>
        <v/>
      </c>
      <c r="MO9" s="158" t="str">
        <f t="shared" si="6"/>
        <v/>
      </c>
      <c r="MP9" s="158" t="str">
        <f t="shared" si="6"/>
        <v>Sem 50</v>
      </c>
      <c r="MQ9" s="158" t="str">
        <f t="shared" si="6"/>
        <v/>
      </c>
      <c r="MR9" s="158" t="str">
        <f t="shared" si="6"/>
        <v/>
      </c>
      <c r="MS9" s="158" t="str">
        <f t="shared" si="6"/>
        <v/>
      </c>
      <c r="MT9" s="158" t="str">
        <f t="shared" si="6"/>
        <v/>
      </c>
      <c r="MU9" s="158" t="str">
        <f t="shared" si="6"/>
        <v/>
      </c>
      <c r="MV9" s="158" t="str">
        <f t="shared" si="6"/>
        <v/>
      </c>
      <c r="MW9" s="158" t="str">
        <f t="shared" si="6"/>
        <v>Sem 51</v>
      </c>
      <c r="MX9" s="158" t="str">
        <f t="shared" si="6"/>
        <v/>
      </c>
      <c r="MY9" s="158" t="str">
        <f t="shared" si="6"/>
        <v/>
      </c>
      <c r="MZ9" s="158" t="str">
        <f t="shared" si="6"/>
        <v/>
      </c>
      <c r="NA9" s="158" t="str">
        <f t="shared" si="6"/>
        <v/>
      </c>
      <c r="NB9" s="158" t="str">
        <f t="shared" si="6"/>
        <v/>
      </c>
      <c r="NC9" s="158" t="str">
        <f t="shared" si="6"/>
        <v/>
      </c>
      <c r="ND9" s="158" t="str">
        <f t="shared" si="6"/>
        <v>Sem 52</v>
      </c>
      <c r="NE9" s="158" t="str">
        <f t="shared" si="6"/>
        <v/>
      </c>
      <c r="NF9" s="158" t="str">
        <f t="shared" si="6"/>
        <v/>
      </c>
      <c r="NG9" s="158" t="str">
        <f t="shared" si="6"/>
        <v/>
      </c>
      <c r="NH9" s="158" t="str">
        <f t="shared" si="6"/>
        <v/>
      </c>
      <c r="NI9" s="158" t="str">
        <f t="shared" si="6"/>
        <v/>
      </c>
      <c r="NJ9" s="158" t="str">
        <f t="shared" si="6"/>
        <v/>
      </c>
      <c r="NK9" s="158"/>
      <c r="NN9" s="1"/>
      <c r="NO9" s="1"/>
      <c r="NP9" s="1"/>
      <c r="NQ9" s="1"/>
      <c r="NR9" s="1"/>
      <c r="NS9" s="1"/>
      <c r="NT9" s="1"/>
      <c r="NU9" s="1"/>
      <c r="NV9" s="1"/>
      <c r="NW9" s="1"/>
      <c r="NX9" s="1"/>
      <c r="NY9" s="1"/>
      <c r="NZ9" s="1"/>
      <c r="OA9" s="1"/>
      <c r="OB9" s="1"/>
      <c r="OC9" s="1"/>
      <c r="OD9" s="1"/>
      <c r="OE9" s="1"/>
      <c r="OF9" s="1"/>
      <c r="OG9" s="1"/>
      <c r="OH9" s="1"/>
      <c r="OI9" s="1"/>
      <c r="OJ9" s="1"/>
      <c r="OK9" s="1"/>
    </row>
    <row r="10" spans="1:404" ht="14.5" x14ac:dyDescent="0.35">
      <c r="A10" s="1"/>
      <c r="B10" s="1"/>
      <c r="C10" s="94" t="str">
        <f>(SUM(C12:C30)/2)&amp; " | "&amp;COUNTA(MAT_C)-2</f>
        <v>0 | 20</v>
      </c>
      <c r="D10" s="31"/>
      <c r="E10" s="95"/>
      <c r="F10" s="1"/>
      <c r="G10" s="1"/>
      <c r="I10" s="28"/>
      <c r="J10" s="15">
        <f>J11</f>
        <v>44927</v>
      </c>
      <c r="K10" s="15">
        <f t="shared" ref="K10:BV10" si="7">K11</f>
        <v>44928</v>
      </c>
      <c r="L10" s="15">
        <f t="shared" si="7"/>
        <v>44929</v>
      </c>
      <c r="M10" s="15">
        <f t="shared" si="7"/>
        <v>44930</v>
      </c>
      <c r="N10" s="15">
        <f t="shared" si="7"/>
        <v>44931</v>
      </c>
      <c r="O10" s="15">
        <f t="shared" si="7"/>
        <v>44932</v>
      </c>
      <c r="P10" s="15">
        <f t="shared" si="7"/>
        <v>44933</v>
      </c>
      <c r="Q10" s="15">
        <f t="shared" si="7"/>
        <v>44934</v>
      </c>
      <c r="R10" s="15">
        <f t="shared" si="7"/>
        <v>44935</v>
      </c>
      <c r="S10" s="15">
        <f t="shared" si="7"/>
        <v>44936</v>
      </c>
      <c r="T10" s="15">
        <f t="shared" si="7"/>
        <v>44937</v>
      </c>
      <c r="U10" s="15">
        <f t="shared" si="7"/>
        <v>44938</v>
      </c>
      <c r="V10" s="15">
        <f t="shared" si="7"/>
        <v>44939</v>
      </c>
      <c r="W10" s="15">
        <f t="shared" si="7"/>
        <v>44940</v>
      </c>
      <c r="X10" s="15">
        <f t="shared" si="7"/>
        <v>44941</v>
      </c>
      <c r="Y10" s="15">
        <f t="shared" si="7"/>
        <v>44942</v>
      </c>
      <c r="Z10" s="15">
        <f t="shared" si="7"/>
        <v>44943</v>
      </c>
      <c r="AA10" s="15">
        <f t="shared" si="7"/>
        <v>44944</v>
      </c>
      <c r="AB10" s="15">
        <f t="shared" si="7"/>
        <v>44945</v>
      </c>
      <c r="AC10" s="15">
        <f t="shared" si="7"/>
        <v>44946</v>
      </c>
      <c r="AD10" s="15">
        <f t="shared" si="7"/>
        <v>44947</v>
      </c>
      <c r="AE10" s="15">
        <f t="shared" si="7"/>
        <v>44948</v>
      </c>
      <c r="AF10" s="15">
        <f t="shared" si="7"/>
        <v>44949</v>
      </c>
      <c r="AG10" s="15">
        <f t="shared" si="7"/>
        <v>44950</v>
      </c>
      <c r="AH10" s="15">
        <f t="shared" si="7"/>
        <v>44951</v>
      </c>
      <c r="AI10" s="15">
        <f t="shared" si="7"/>
        <v>44952</v>
      </c>
      <c r="AJ10" s="15">
        <f t="shared" si="7"/>
        <v>44953</v>
      </c>
      <c r="AK10" s="15">
        <f t="shared" si="7"/>
        <v>44954</v>
      </c>
      <c r="AL10" s="15">
        <f t="shared" si="7"/>
        <v>44955</v>
      </c>
      <c r="AM10" s="15">
        <f t="shared" si="7"/>
        <v>44956</v>
      </c>
      <c r="AN10" s="15">
        <f t="shared" si="7"/>
        <v>44957</v>
      </c>
      <c r="AO10" s="15">
        <f t="shared" si="7"/>
        <v>44958</v>
      </c>
      <c r="AP10" s="15">
        <f t="shared" si="7"/>
        <v>44959</v>
      </c>
      <c r="AQ10" s="15">
        <f t="shared" si="7"/>
        <v>44960</v>
      </c>
      <c r="AR10" s="15">
        <f t="shared" si="7"/>
        <v>44961</v>
      </c>
      <c r="AS10" s="15">
        <f t="shared" si="7"/>
        <v>44962</v>
      </c>
      <c r="AT10" s="15">
        <f t="shared" si="7"/>
        <v>44963</v>
      </c>
      <c r="AU10" s="15">
        <f t="shared" si="7"/>
        <v>44964</v>
      </c>
      <c r="AV10" s="15">
        <f t="shared" si="7"/>
        <v>44965</v>
      </c>
      <c r="AW10" s="15">
        <f t="shared" si="7"/>
        <v>44966</v>
      </c>
      <c r="AX10" s="15">
        <f t="shared" si="7"/>
        <v>44967</v>
      </c>
      <c r="AY10" s="15">
        <f t="shared" si="7"/>
        <v>44968</v>
      </c>
      <c r="AZ10" s="15">
        <f t="shared" si="7"/>
        <v>44969</v>
      </c>
      <c r="BA10" s="15">
        <f t="shared" si="7"/>
        <v>44970</v>
      </c>
      <c r="BB10" s="15">
        <f t="shared" si="7"/>
        <v>44971</v>
      </c>
      <c r="BC10" s="15">
        <f t="shared" si="7"/>
        <v>44972</v>
      </c>
      <c r="BD10" s="15">
        <f t="shared" si="7"/>
        <v>44973</v>
      </c>
      <c r="BE10" s="15">
        <f t="shared" si="7"/>
        <v>44974</v>
      </c>
      <c r="BF10" s="15">
        <f t="shared" si="7"/>
        <v>44975</v>
      </c>
      <c r="BG10" s="15">
        <f t="shared" si="7"/>
        <v>44976</v>
      </c>
      <c r="BH10" s="15">
        <f t="shared" si="7"/>
        <v>44977</v>
      </c>
      <c r="BI10" s="15">
        <f t="shared" si="7"/>
        <v>44978</v>
      </c>
      <c r="BJ10" s="15">
        <f t="shared" si="7"/>
        <v>44979</v>
      </c>
      <c r="BK10" s="15">
        <f t="shared" si="7"/>
        <v>44980</v>
      </c>
      <c r="BL10" s="15">
        <f t="shared" si="7"/>
        <v>44981</v>
      </c>
      <c r="BM10" s="15">
        <f t="shared" si="7"/>
        <v>44982</v>
      </c>
      <c r="BN10" s="15">
        <f t="shared" si="7"/>
        <v>44983</v>
      </c>
      <c r="BO10" s="15">
        <f t="shared" si="7"/>
        <v>44984</v>
      </c>
      <c r="BP10" s="15">
        <f t="shared" si="7"/>
        <v>44985</v>
      </c>
      <c r="BQ10" s="15">
        <f t="shared" si="7"/>
        <v>44986</v>
      </c>
      <c r="BR10" s="15">
        <f t="shared" si="7"/>
        <v>44987</v>
      </c>
      <c r="BS10" s="15">
        <f t="shared" si="7"/>
        <v>44988</v>
      </c>
      <c r="BT10" s="15">
        <f t="shared" si="7"/>
        <v>44989</v>
      </c>
      <c r="BU10" s="15">
        <f t="shared" si="7"/>
        <v>44990</v>
      </c>
      <c r="BV10" s="15">
        <f t="shared" si="7"/>
        <v>44991</v>
      </c>
      <c r="BW10" s="15">
        <f t="shared" ref="BW10:EH10" si="8">BW11</f>
        <v>44992</v>
      </c>
      <c r="BX10" s="15">
        <f t="shared" si="8"/>
        <v>44993</v>
      </c>
      <c r="BY10" s="15">
        <f t="shared" si="8"/>
        <v>44994</v>
      </c>
      <c r="BZ10" s="15">
        <f t="shared" si="8"/>
        <v>44995</v>
      </c>
      <c r="CA10" s="15">
        <f t="shared" si="8"/>
        <v>44996</v>
      </c>
      <c r="CB10" s="15">
        <f t="shared" si="8"/>
        <v>44997</v>
      </c>
      <c r="CC10" s="15">
        <f t="shared" si="8"/>
        <v>44998</v>
      </c>
      <c r="CD10" s="15">
        <f t="shared" si="8"/>
        <v>44999</v>
      </c>
      <c r="CE10" s="15">
        <f t="shared" si="8"/>
        <v>45000</v>
      </c>
      <c r="CF10" s="15">
        <f t="shared" si="8"/>
        <v>45001</v>
      </c>
      <c r="CG10" s="15">
        <f t="shared" si="8"/>
        <v>45002</v>
      </c>
      <c r="CH10" s="15">
        <f t="shared" si="8"/>
        <v>45003</v>
      </c>
      <c r="CI10" s="15">
        <f t="shared" si="8"/>
        <v>45004</v>
      </c>
      <c r="CJ10" s="15">
        <f t="shared" si="8"/>
        <v>45005</v>
      </c>
      <c r="CK10" s="15">
        <f t="shared" si="8"/>
        <v>45006</v>
      </c>
      <c r="CL10" s="15">
        <f t="shared" si="8"/>
        <v>45007</v>
      </c>
      <c r="CM10" s="15">
        <f t="shared" si="8"/>
        <v>45008</v>
      </c>
      <c r="CN10" s="15">
        <f t="shared" si="8"/>
        <v>45009</v>
      </c>
      <c r="CO10" s="15">
        <f t="shared" si="8"/>
        <v>45010</v>
      </c>
      <c r="CP10" s="15">
        <f t="shared" si="8"/>
        <v>45011</v>
      </c>
      <c r="CQ10" s="15">
        <f t="shared" si="8"/>
        <v>45012</v>
      </c>
      <c r="CR10" s="15">
        <f t="shared" si="8"/>
        <v>45013</v>
      </c>
      <c r="CS10" s="15">
        <f t="shared" si="8"/>
        <v>45014</v>
      </c>
      <c r="CT10" s="15">
        <f t="shared" si="8"/>
        <v>45015</v>
      </c>
      <c r="CU10" s="15">
        <f t="shared" si="8"/>
        <v>45016</v>
      </c>
      <c r="CV10" s="15">
        <f t="shared" si="8"/>
        <v>45017</v>
      </c>
      <c r="CW10" s="15">
        <f t="shared" si="8"/>
        <v>45018</v>
      </c>
      <c r="CX10" s="15">
        <f t="shared" si="8"/>
        <v>45019</v>
      </c>
      <c r="CY10" s="15">
        <f t="shared" si="8"/>
        <v>45020</v>
      </c>
      <c r="CZ10" s="15">
        <f t="shared" si="8"/>
        <v>45021</v>
      </c>
      <c r="DA10" s="15">
        <f t="shared" si="8"/>
        <v>45022</v>
      </c>
      <c r="DB10" s="15">
        <f t="shared" si="8"/>
        <v>45023</v>
      </c>
      <c r="DC10" s="15">
        <f t="shared" si="8"/>
        <v>45024</v>
      </c>
      <c r="DD10" s="15">
        <f t="shared" si="8"/>
        <v>45025</v>
      </c>
      <c r="DE10" s="15">
        <f t="shared" si="8"/>
        <v>45026</v>
      </c>
      <c r="DF10" s="15">
        <f t="shared" si="8"/>
        <v>45027</v>
      </c>
      <c r="DG10" s="15">
        <f t="shared" si="8"/>
        <v>45028</v>
      </c>
      <c r="DH10" s="15">
        <f t="shared" si="8"/>
        <v>45029</v>
      </c>
      <c r="DI10" s="15">
        <f t="shared" si="8"/>
        <v>45030</v>
      </c>
      <c r="DJ10" s="15">
        <f t="shared" si="8"/>
        <v>45031</v>
      </c>
      <c r="DK10" s="15">
        <f t="shared" si="8"/>
        <v>45032</v>
      </c>
      <c r="DL10" s="15">
        <f t="shared" si="8"/>
        <v>45033</v>
      </c>
      <c r="DM10" s="15">
        <f t="shared" si="8"/>
        <v>45034</v>
      </c>
      <c r="DN10" s="15">
        <f t="shared" si="8"/>
        <v>45035</v>
      </c>
      <c r="DO10" s="15">
        <f t="shared" si="8"/>
        <v>45036</v>
      </c>
      <c r="DP10" s="15">
        <f t="shared" si="8"/>
        <v>45037</v>
      </c>
      <c r="DQ10" s="15">
        <f t="shared" si="8"/>
        <v>45038</v>
      </c>
      <c r="DR10" s="15">
        <f t="shared" si="8"/>
        <v>45039</v>
      </c>
      <c r="DS10" s="15">
        <f t="shared" si="8"/>
        <v>45040</v>
      </c>
      <c r="DT10" s="15">
        <f t="shared" si="8"/>
        <v>45041</v>
      </c>
      <c r="DU10" s="15">
        <f t="shared" si="8"/>
        <v>45042</v>
      </c>
      <c r="DV10" s="15">
        <f t="shared" si="8"/>
        <v>45043</v>
      </c>
      <c r="DW10" s="15">
        <f t="shared" si="8"/>
        <v>45044</v>
      </c>
      <c r="DX10" s="15">
        <f t="shared" si="8"/>
        <v>45045</v>
      </c>
      <c r="DY10" s="15">
        <f t="shared" si="8"/>
        <v>45046</v>
      </c>
      <c r="DZ10" s="15">
        <f t="shared" si="8"/>
        <v>45047</v>
      </c>
      <c r="EA10" s="15">
        <f t="shared" si="8"/>
        <v>45048</v>
      </c>
      <c r="EB10" s="15">
        <f t="shared" si="8"/>
        <v>45049</v>
      </c>
      <c r="EC10" s="15">
        <f t="shared" si="8"/>
        <v>45050</v>
      </c>
      <c r="ED10" s="15">
        <f t="shared" si="8"/>
        <v>45051</v>
      </c>
      <c r="EE10" s="15">
        <f t="shared" si="8"/>
        <v>45052</v>
      </c>
      <c r="EF10" s="15">
        <f t="shared" si="8"/>
        <v>45053</v>
      </c>
      <c r="EG10" s="15">
        <f t="shared" si="8"/>
        <v>45054</v>
      </c>
      <c r="EH10" s="15">
        <f t="shared" si="8"/>
        <v>45055</v>
      </c>
      <c r="EI10" s="15">
        <f t="shared" ref="EI10:GT10" si="9">EI11</f>
        <v>45056</v>
      </c>
      <c r="EJ10" s="15">
        <f t="shared" si="9"/>
        <v>45057</v>
      </c>
      <c r="EK10" s="15">
        <f t="shared" si="9"/>
        <v>45058</v>
      </c>
      <c r="EL10" s="15">
        <f t="shared" si="9"/>
        <v>45059</v>
      </c>
      <c r="EM10" s="15">
        <f t="shared" si="9"/>
        <v>45060</v>
      </c>
      <c r="EN10" s="15">
        <f t="shared" si="9"/>
        <v>45061</v>
      </c>
      <c r="EO10" s="15">
        <f t="shared" si="9"/>
        <v>45062</v>
      </c>
      <c r="EP10" s="15">
        <f t="shared" si="9"/>
        <v>45063</v>
      </c>
      <c r="EQ10" s="15">
        <f t="shared" si="9"/>
        <v>45064</v>
      </c>
      <c r="ER10" s="15">
        <f t="shared" si="9"/>
        <v>45065</v>
      </c>
      <c r="ES10" s="15">
        <f t="shared" si="9"/>
        <v>45066</v>
      </c>
      <c r="ET10" s="15">
        <f t="shared" si="9"/>
        <v>45067</v>
      </c>
      <c r="EU10" s="15">
        <f t="shared" si="9"/>
        <v>45068</v>
      </c>
      <c r="EV10" s="15">
        <f t="shared" si="9"/>
        <v>45069</v>
      </c>
      <c r="EW10" s="15">
        <f t="shared" si="9"/>
        <v>45070</v>
      </c>
      <c r="EX10" s="15">
        <f t="shared" si="9"/>
        <v>45071</v>
      </c>
      <c r="EY10" s="55">
        <f t="shared" si="9"/>
        <v>45072</v>
      </c>
      <c r="EZ10" s="15">
        <f t="shared" si="9"/>
        <v>45073</v>
      </c>
      <c r="FA10" s="15">
        <f t="shared" si="9"/>
        <v>45074</v>
      </c>
      <c r="FB10" s="15">
        <f t="shared" si="9"/>
        <v>45075</v>
      </c>
      <c r="FC10" s="15">
        <f t="shared" si="9"/>
        <v>45076</v>
      </c>
      <c r="FD10" s="15">
        <f t="shared" si="9"/>
        <v>45077</v>
      </c>
      <c r="FE10" s="15">
        <f t="shared" si="9"/>
        <v>45078</v>
      </c>
      <c r="FF10" s="15">
        <f t="shared" si="9"/>
        <v>45079</v>
      </c>
      <c r="FG10" s="15">
        <f t="shared" si="9"/>
        <v>45080</v>
      </c>
      <c r="FH10" s="15">
        <f t="shared" si="9"/>
        <v>45081</v>
      </c>
      <c r="FI10" s="15">
        <f t="shared" si="9"/>
        <v>45082</v>
      </c>
      <c r="FJ10" s="100">
        <f t="shared" si="9"/>
        <v>45083</v>
      </c>
      <c r="FK10" s="15">
        <f t="shared" si="9"/>
        <v>45084</v>
      </c>
      <c r="FL10" s="15">
        <f t="shared" si="9"/>
        <v>45085</v>
      </c>
      <c r="FM10" s="15">
        <f t="shared" si="9"/>
        <v>45086</v>
      </c>
      <c r="FN10" s="15">
        <f t="shared" si="9"/>
        <v>45087</v>
      </c>
      <c r="FO10" s="15">
        <f t="shared" si="9"/>
        <v>45088</v>
      </c>
      <c r="FP10" s="15">
        <f t="shared" si="9"/>
        <v>45089</v>
      </c>
      <c r="FQ10" s="15">
        <f t="shared" si="9"/>
        <v>45090</v>
      </c>
      <c r="FR10" s="15">
        <f t="shared" si="9"/>
        <v>45091</v>
      </c>
      <c r="FS10" s="15">
        <f t="shared" si="9"/>
        <v>45092</v>
      </c>
      <c r="FT10" s="15">
        <f t="shared" si="9"/>
        <v>45093</v>
      </c>
      <c r="FU10" s="15">
        <f t="shared" si="9"/>
        <v>45094</v>
      </c>
      <c r="FV10" s="15">
        <f t="shared" si="9"/>
        <v>45095</v>
      </c>
      <c r="FW10" s="15">
        <f t="shared" si="9"/>
        <v>45096</v>
      </c>
      <c r="FX10" s="15">
        <f t="shared" si="9"/>
        <v>45097</v>
      </c>
      <c r="FY10" s="15">
        <f t="shared" si="9"/>
        <v>45098</v>
      </c>
      <c r="FZ10" s="15">
        <f t="shared" si="9"/>
        <v>45099</v>
      </c>
      <c r="GA10" s="15">
        <f t="shared" si="9"/>
        <v>45100</v>
      </c>
      <c r="GB10" s="15">
        <f t="shared" si="9"/>
        <v>45101</v>
      </c>
      <c r="GC10" s="15">
        <f t="shared" si="9"/>
        <v>45102</v>
      </c>
      <c r="GD10" s="15">
        <f t="shared" si="9"/>
        <v>45103</v>
      </c>
      <c r="GE10" s="15">
        <f t="shared" si="9"/>
        <v>45104</v>
      </c>
      <c r="GF10" s="15">
        <f t="shared" si="9"/>
        <v>45105</v>
      </c>
      <c r="GG10" s="15">
        <f t="shared" si="9"/>
        <v>45106</v>
      </c>
      <c r="GH10" s="15">
        <f t="shared" si="9"/>
        <v>45107</v>
      </c>
      <c r="GI10" s="15">
        <f t="shared" si="9"/>
        <v>45108</v>
      </c>
      <c r="GJ10" s="15">
        <f t="shared" si="9"/>
        <v>45109</v>
      </c>
      <c r="GK10" s="15">
        <f t="shared" si="9"/>
        <v>45110</v>
      </c>
      <c r="GL10" s="15">
        <f t="shared" si="9"/>
        <v>45111</v>
      </c>
      <c r="GM10" s="15">
        <f t="shared" si="9"/>
        <v>45112</v>
      </c>
      <c r="GN10" s="15">
        <f t="shared" si="9"/>
        <v>45113</v>
      </c>
      <c r="GO10" s="15">
        <f t="shared" si="9"/>
        <v>45114</v>
      </c>
      <c r="GP10" s="15">
        <f t="shared" si="9"/>
        <v>45115</v>
      </c>
      <c r="GQ10" s="15">
        <f t="shared" si="9"/>
        <v>45116</v>
      </c>
      <c r="GR10" s="15">
        <f t="shared" si="9"/>
        <v>45117</v>
      </c>
      <c r="GS10" s="15">
        <f t="shared" si="9"/>
        <v>45118</v>
      </c>
      <c r="GT10" s="15">
        <f t="shared" si="9"/>
        <v>45119</v>
      </c>
      <c r="GU10" s="15">
        <f t="shared" ref="GU10:JF10" si="10">GU11</f>
        <v>45120</v>
      </c>
      <c r="GV10" s="100">
        <f t="shared" si="10"/>
        <v>45121</v>
      </c>
      <c r="GW10" s="15">
        <f t="shared" si="10"/>
        <v>45122</v>
      </c>
      <c r="GX10" s="15">
        <f t="shared" si="10"/>
        <v>45123</v>
      </c>
      <c r="GY10" s="15">
        <f t="shared" si="10"/>
        <v>45124</v>
      </c>
      <c r="GZ10" s="15">
        <f t="shared" si="10"/>
        <v>45125</v>
      </c>
      <c r="HA10" s="15">
        <f t="shared" si="10"/>
        <v>45126</v>
      </c>
      <c r="HB10" s="15">
        <f t="shared" si="10"/>
        <v>45127</v>
      </c>
      <c r="HC10" s="15">
        <f t="shared" si="10"/>
        <v>45128</v>
      </c>
      <c r="HD10" s="15">
        <f t="shared" si="10"/>
        <v>45129</v>
      </c>
      <c r="HE10" s="15">
        <f t="shared" si="10"/>
        <v>45130</v>
      </c>
      <c r="HF10" s="15">
        <f t="shared" si="10"/>
        <v>45131</v>
      </c>
      <c r="HG10" s="15">
        <f t="shared" si="10"/>
        <v>45132</v>
      </c>
      <c r="HH10" s="15">
        <f t="shared" si="10"/>
        <v>45133</v>
      </c>
      <c r="HI10" s="15">
        <f t="shared" si="10"/>
        <v>45134</v>
      </c>
      <c r="HJ10" s="15">
        <f t="shared" si="10"/>
        <v>45135</v>
      </c>
      <c r="HK10" s="15">
        <f t="shared" si="10"/>
        <v>45136</v>
      </c>
      <c r="HL10" s="15">
        <f t="shared" si="10"/>
        <v>45137</v>
      </c>
      <c r="HM10" s="15">
        <f t="shared" si="10"/>
        <v>45138</v>
      </c>
      <c r="HN10" s="15">
        <f t="shared" si="10"/>
        <v>45139</v>
      </c>
      <c r="HO10" s="15">
        <f t="shared" si="10"/>
        <v>45140</v>
      </c>
      <c r="HP10" s="15">
        <f t="shared" si="10"/>
        <v>45141</v>
      </c>
      <c r="HQ10" s="15">
        <f t="shared" si="10"/>
        <v>45142</v>
      </c>
      <c r="HR10" s="15">
        <f t="shared" si="10"/>
        <v>45143</v>
      </c>
      <c r="HS10" s="15">
        <f t="shared" si="10"/>
        <v>45144</v>
      </c>
      <c r="HT10" s="15">
        <f t="shared" si="10"/>
        <v>45145</v>
      </c>
      <c r="HU10" s="15">
        <f t="shared" si="10"/>
        <v>45146</v>
      </c>
      <c r="HV10" s="15">
        <f t="shared" si="10"/>
        <v>45147</v>
      </c>
      <c r="HW10" s="15">
        <f t="shared" si="10"/>
        <v>45148</v>
      </c>
      <c r="HX10" s="15">
        <f t="shared" si="10"/>
        <v>45149</v>
      </c>
      <c r="HY10" s="15">
        <f t="shared" si="10"/>
        <v>45150</v>
      </c>
      <c r="HZ10" s="15">
        <f t="shared" si="10"/>
        <v>45151</v>
      </c>
      <c r="IA10" s="15">
        <f t="shared" si="10"/>
        <v>45152</v>
      </c>
      <c r="IB10" s="100">
        <f t="shared" si="10"/>
        <v>45153</v>
      </c>
      <c r="IC10" s="15">
        <f t="shared" si="10"/>
        <v>45154</v>
      </c>
      <c r="ID10" s="15">
        <f t="shared" si="10"/>
        <v>45155</v>
      </c>
      <c r="IE10" s="15">
        <f t="shared" si="10"/>
        <v>45156</v>
      </c>
      <c r="IF10" s="15">
        <f t="shared" si="10"/>
        <v>45157</v>
      </c>
      <c r="IG10" s="15">
        <f t="shared" si="10"/>
        <v>45158</v>
      </c>
      <c r="IH10" s="15">
        <f t="shared" si="10"/>
        <v>45159</v>
      </c>
      <c r="II10" s="15">
        <f t="shared" si="10"/>
        <v>45160</v>
      </c>
      <c r="IJ10" s="15">
        <f t="shared" si="10"/>
        <v>45161</v>
      </c>
      <c r="IK10" s="15">
        <f t="shared" si="10"/>
        <v>45162</v>
      </c>
      <c r="IL10" s="15">
        <f t="shared" si="10"/>
        <v>45163</v>
      </c>
      <c r="IM10" s="15">
        <f t="shared" si="10"/>
        <v>45164</v>
      </c>
      <c r="IN10" s="15">
        <f t="shared" si="10"/>
        <v>45165</v>
      </c>
      <c r="IO10" s="15">
        <f t="shared" si="10"/>
        <v>45166</v>
      </c>
      <c r="IP10" s="15">
        <f t="shared" si="10"/>
        <v>45167</v>
      </c>
      <c r="IQ10" s="15">
        <f t="shared" si="10"/>
        <v>45168</v>
      </c>
      <c r="IR10" s="15">
        <f t="shared" si="10"/>
        <v>45169</v>
      </c>
      <c r="IS10" s="15">
        <f t="shared" si="10"/>
        <v>45170</v>
      </c>
      <c r="IT10" s="15">
        <f t="shared" si="10"/>
        <v>45171</v>
      </c>
      <c r="IU10" s="15">
        <f t="shared" si="10"/>
        <v>45172</v>
      </c>
      <c r="IV10" s="15">
        <f t="shared" si="10"/>
        <v>45173</v>
      </c>
      <c r="IW10" s="15">
        <f t="shared" si="10"/>
        <v>45174</v>
      </c>
      <c r="IX10" s="15">
        <f t="shared" si="10"/>
        <v>45175</v>
      </c>
      <c r="IY10" s="15">
        <f t="shared" si="10"/>
        <v>45176</v>
      </c>
      <c r="IZ10" s="15">
        <f t="shared" si="10"/>
        <v>45177</v>
      </c>
      <c r="JA10" s="15">
        <f t="shared" si="10"/>
        <v>45178</v>
      </c>
      <c r="JB10" s="15">
        <f t="shared" si="10"/>
        <v>45179</v>
      </c>
      <c r="JC10" s="15">
        <f t="shared" si="10"/>
        <v>45180</v>
      </c>
      <c r="JD10" s="15">
        <f t="shared" si="10"/>
        <v>45181</v>
      </c>
      <c r="JE10" s="15">
        <f t="shared" si="10"/>
        <v>45182</v>
      </c>
      <c r="JF10" s="15">
        <f t="shared" si="10"/>
        <v>45183</v>
      </c>
      <c r="JG10" s="15">
        <f t="shared" ref="JG10:LR10" si="11">JG11</f>
        <v>45184</v>
      </c>
      <c r="JH10" s="15">
        <f t="shared" si="11"/>
        <v>45185</v>
      </c>
      <c r="JI10" s="15">
        <f t="shared" si="11"/>
        <v>45186</v>
      </c>
      <c r="JJ10" s="15">
        <f t="shared" si="11"/>
        <v>45187</v>
      </c>
      <c r="JK10" s="15">
        <f t="shared" si="11"/>
        <v>45188</v>
      </c>
      <c r="JL10" s="15">
        <f t="shared" si="11"/>
        <v>45189</v>
      </c>
      <c r="JM10" s="15">
        <f t="shared" si="11"/>
        <v>45190</v>
      </c>
      <c r="JN10" s="15">
        <f t="shared" si="11"/>
        <v>45191</v>
      </c>
      <c r="JO10" s="15">
        <f t="shared" si="11"/>
        <v>45192</v>
      </c>
      <c r="JP10" s="15">
        <f t="shared" si="11"/>
        <v>45193</v>
      </c>
      <c r="JQ10" s="15">
        <f t="shared" si="11"/>
        <v>45194</v>
      </c>
      <c r="JR10" s="15">
        <f t="shared" si="11"/>
        <v>45195</v>
      </c>
      <c r="JS10" s="15">
        <f t="shared" si="11"/>
        <v>45196</v>
      </c>
      <c r="JT10" s="15">
        <f t="shared" si="11"/>
        <v>45197</v>
      </c>
      <c r="JU10" s="15">
        <f t="shared" si="11"/>
        <v>45198</v>
      </c>
      <c r="JV10" s="15">
        <f t="shared" si="11"/>
        <v>45199</v>
      </c>
      <c r="JW10" s="15">
        <f t="shared" si="11"/>
        <v>45200</v>
      </c>
      <c r="JX10" s="15">
        <f t="shared" si="11"/>
        <v>45201</v>
      </c>
      <c r="JY10" s="15">
        <f t="shared" si="11"/>
        <v>45202</v>
      </c>
      <c r="JZ10" s="15">
        <f t="shared" si="11"/>
        <v>45203</v>
      </c>
      <c r="KA10" s="15">
        <f t="shared" si="11"/>
        <v>45204</v>
      </c>
      <c r="KB10" s="15">
        <f t="shared" si="11"/>
        <v>45205</v>
      </c>
      <c r="KC10" s="15">
        <f t="shared" si="11"/>
        <v>45206</v>
      </c>
      <c r="KD10" s="15">
        <f t="shared" si="11"/>
        <v>45207</v>
      </c>
      <c r="KE10" s="15">
        <f t="shared" si="11"/>
        <v>45208</v>
      </c>
      <c r="KF10" s="15">
        <f t="shared" si="11"/>
        <v>45209</v>
      </c>
      <c r="KG10" s="15">
        <f t="shared" si="11"/>
        <v>45210</v>
      </c>
      <c r="KH10" s="15">
        <f t="shared" si="11"/>
        <v>45211</v>
      </c>
      <c r="KI10" s="15">
        <f t="shared" si="11"/>
        <v>45212</v>
      </c>
      <c r="KJ10" s="15">
        <f t="shared" si="11"/>
        <v>45213</v>
      </c>
      <c r="KK10" s="15">
        <f t="shared" si="11"/>
        <v>45214</v>
      </c>
      <c r="KL10" s="15">
        <f t="shared" si="11"/>
        <v>45215</v>
      </c>
      <c r="KM10" s="15">
        <f t="shared" si="11"/>
        <v>45216</v>
      </c>
      <c r="KN10" s="15">
        <f t="shared" si="11"/>
        <v>45217</v>
      </c>
      <c r="KO10" s="15">
        <f t="shared" si="11"/>
        <v>45218</v>
      </c>
      <c r="KP10" s="15">
        <f t="shared" si="11"/>
        <v>45219</v>
      </c>
      <c r="KQ10" s="15">
        <f t="shared" si="11"/>
        <v>45220</v>
      </c>
      <c r="KR10" s="15">
        <f t="shared" si="11"/>
        <v>45221</v>
      </c>
      <c r="KS10" s="15">
        <f t="shared" si="11"/>
        <v>45222</v>
      </c>
      <c r="KT10" s="15">
        <f t="shared" si="11"/>
        <v>45223</v>
      </c>
      <c r="KU10" s="15">
        <f t="shared" si="11"/>
        <v>45224</v>
      </c>
      <c r="KV10" s="15">
        <f t="shared" si="11"/>
        <v>45225</v>
      </c>
      <c r="KW10" s="15">
        <f t="shared" si="11"/>
        <v>45226</v>
      </c>
      <c r="KX10" s="15">
        <f t="shared" si="11"/>
        <v>45227</v>
      </c>
      <c r="KY10" s="15">
        <f t="shared" si="11"/>
        <v>45228</v>
      </c>
      <c r="KZ10" s="15">
        <f t="shared" si="11"/>
        <v>45229</v>
      </c>
      <c r="LA10" s="15">
        <f t="shared" si="11"/>
        <v>45230</v>
      </c>
      <c r="LB10" s="102">
        <f t="shared" si="11"/>
        <v>45231</v>
      </c>
      <c r="LC10" s="15">
        <f t="shared" si="11"/>
        <v>45232</v>
      </c>
      <c r="LD10" s="15">
        <f t="shared" si="11"/>
        <v>45233</v>
      </c>
      <c r="LE10" s="15">
        <f t="shared" si="11"/>
        <v>45234</v>
      </c>
      <c r="LF10" s="15">
        <f t="shared" si="11"/>
        <v>45235</v>
      </c>
      <c r="LG10" s="15">
        <f t="shared" si="11"/>
        <v>45236</v>
      </c>
      <c r="LH10" s="15">
        <f t="shared" si="11"/>
        <v>45237</v>
      </c>
      <c r="LI10" s="15">
        <f t="shared" si="11"/>
        <v>45238</v>
      </c>
      <c r="LJ10" s="15">
        <f t="shared" si="11"/>
        <v>45239</v>
      </c>
      <c r="LK10" s="15">
        <f t="shared" si="11"/>
        <v>45240</v>
      </c>
      <c r="LL10" s="102">
        <f t="shared" si="11"/>
        <v>45241</v>
      </c>
      <c r="LM10" s="15">
        <f t="shared" si="11"/>
        <v>45242</v>
      </c>
      <c r="LN10" s="15">
        <f t="shared" si="11"/>
        <v>45243</v>
      </c>
      <c r="LO10" s="15">
        <f t="shared" si="11"/>
        <v>45244</v>
      </c>
      <c r="LP10" s="15">
        <f t="shared" si="11"/>
        <v>45245</v>
      </c>
      <c r="LQ10" s="15">
        <f t="shared" si="11"/>
        <v>45246</v>
      </c>
      <c r="LR10" s="15">
        <f t="shared" si="11"/>
        <v>45247</v>
      </c>
      <c r="LS10" s="15">
        <f t="shared" ref="LS10:NJ10" si="12">LS11</f>
        <v>45248</v>
      </c>
      <c r="LT10" s="15">
        <f t="shared" si="12"/>
        <v>45249</v>
      </c>
      <c r="LU10" s="15">
        <f t="shared" si="12"/>
        <v>45250</v>
      </c>
      <c r="LV10" s="15">
        <f t="shared" si="12"/>
        <v>45251</v>
      </c>
      <c r="LW10" s="15">
        <f t="shared" si="12"/>
        <v>45252</v>
      </c>
      <c r="LX10" s="15">
        <f t="shared" si="12"/>
        <v>45253</v>
      </c>
      <c r="LY10" s="15">
        <f t="shared" si="12"/>
        <v>45254</v>
      </c>
      <c r="LZ10" s="15">
        <f t="shared" si="12"/>
        <v>45255</v>
      </c>
      <c r="MA10" s="15">
        <f t="shared" si="12"/>
        <v>45256</v>
      </c>
      <c r="MB10" s="15">
        <f t="shared" si="12"/>
        <v>45257</v>
      </c>
      <c r="MC10" s="15">
        <f t="shared" si="12"/>
        <v>45258</v>
      </c>
      <c r="MD10" s="15">
        <f t="shared" si="12"/>
        <v>45259</v>
      </c>
      <c r="ME10" s="15">
        <f t="shared" si="12"/>
        <v>45260</v>
      </c>
      <c r="MF10" s="15">
        <f t="shared" si="12"/>
        <v>45261</v>
      </c>
      <c r="MG10" s="15">
        <f t="shared" si="12"/>
        <v>45262</v>
      </c>
      <c r="MH10" s="15">
        <f t="shared" si="12"/>
        <v>45263</v>
      </c>
      <c r="MI10" s="15">
        <f t="shared" si="12"/>
        <v>45264</v>
      </c>
      <c r="MJ10" s="15">
        <f t="shared" si="12"/>
        <v>45265</v>
      </c>
      <c r="MK10" s="15">
        <f t="shared" si="12"/>
        <v>45266</v>
      </c>
      <c r="ML10" s="15">
        <f t="shared" si="12"/>
        <v>45267</v>
      </c>
      <c r="MM10" s="15">
        <f t="shared" si="12"/>
        <v>45268</v>
      </c>
      <c r="MN10" s="15">
        <f t="shared" si="12"/>
        <v>45269</v>
      </c>
      <c r="MO10" s="15">
        <f t="shared" si="12"/>
        <v>45270</v>
      </c>
      <c r="MP10" s="15">
        <f t="shared" si="12"/>
        <v>45271</v>
      </c>
      <c r="MQ10" s="15">
        <f t="shared" si="12"/>
        <v>45272</v>
      </c>
      <c r="MR10" s="15">
        <f t="shared" si="12"/>
        <v>45273</v>
      </c>
      <c r="MS10" s="15">
        <f t="shared" si="12"/>
        <v>45274</v>
      </c>
      <c r="MT10" s="15">
        <f t="shared" si="12"/>
        <v>45275</v>
      </c>
      <c r="MU10" s="15">
        <f t="shared" si="12"/>
        <v>45276</v>
      </c>
      <c r="MV10" s="15">
        <f t="shared" si="12"/>
        <v>45277</v>
      </c>
      <c r="MW10" s="15">
        <f t="shared" si="12"/>
        <v>45278</v>
      </c>
      <c r="MX10" s="15">
        <f t="shared" si="12"/>
        <v>45279</v>
      </c>
      <c r="MY10" s="15">
        <f t="shared" si="12"/>
        <v>45280</v>
      </c>
      <c r="MZ10" s="15">
        <f t="shared" si="12"/>
        <v>45281</v>
      </c>
      <c r="NA10" s="15">
        <f t="shared" si="12"/>
        <v>45282</v>
      </c>
      <c r="NB10" s="15">
        <f t="shared" si="12"/>
        <v>45283</v>
      </c>
      <c r="NC10" s="15">
        <f t="shared" si="12"/>
        <v>45284</v>
      </c>
      <c r="ND10" s="15">
        <f t="shared" si="12"/>
        <v>45285</v>
      </c>
      <c r="NE10" s="15">
        <f t="shared" si="12"/>
        <v>45286</v>
      </c>
      <c r="NF10" s="15">
        <f t="shared" si="12"/>
        <v>45287</v>
      </c>
      <c r="NG10" s="15">
        <f t="shared" si="12"/>
        <v>45288</v>
      </c>
      <c r="NH10" s="15">
        <f t="shared" si="12"/>
        <v>45289</v>
      </c>
      <c r="NI10" s="15">
        <f t="shared" si="12"/>
        <v>45290</v>
      </c>
      <c r="NJ10" s="15">
        <f t="shared" si="12"/>
        <v>45291</v>
      </c>
      <c r="NK10" s="29"/>
      <c r="NN10" s="1"/>
      <c r="NO10" s="1"/>
      <c r="NP10" s="1"/>
      <c r="NQ10" s="1"/>
      <c r="NR10" s="1"/>
      <c r="NS10" s="1"/>
      <c r="NT10" s="1"/>
      <c r="NU10" s="1"/>
      <c r="NV10" s="1"/>
      <c r="NW10" s="1"/>
      <c r="NX10" s="1"/>
      <c r="NY10" s="1"/>
      <c r="NZ10" s="1"/>
      <c r="OA10" s="1"/>
      <c r="OB10" s="1"/>
      <c r="OC10" s="1"/>
      <c r="OD10" s="1"/>
      <c r="OE10" s="1"/>
      <c r="OF10" s="1"/>
      <c r="OG10" s="1"/>
      <c r="OH10" s="1"/>
      <c r="OI10" s="1"/>
      <c r="OJ10" s="1"/>
      <c r="OK10" s="1"/>
    </row>
    <row r="11" spans="1:404" ht="29.25" customHeight="1" x14ac:dyDescent="0.3">
      <c r="A11" s="4" t="s">
        <v>8</v>
      </c>
      <c r="B11" s="4" t="s">
        <v>9</v>
      </c>
      <c r="C11" s="4" t="s">
        <v>10</v>
      </c>
      <c r="D11" s="4" t="s">
        <v>11</v>
      </c>
      <c r="E11" s="4" t="s">
        <v>12</v>
      </c>
      <c r="F11" s="4" t="s">
        <v>13</v>
      </c>
      <c r="G11" s="4" t="s">
        <v>14</v>
      </c>
      <c r="H11" s="4" t="s">
        <v>15</v>
      </c>
      <c r="I11" s="106" cm="1">
        <f t="array" ref="I11">COLUMN(I:I)</f>
        <v>9</v>
      </c>
      <c r="J11" s="36">
        <f>C3</f>
        <v>44927</v>
      </c>
      <c r="K11" s="36">
        <f t="shared" ref="K11:BV11" si="13">J11+1</f>
        <v>44928</v>
      </c>
      <c r="L11" s="36">
        <f t="shared" si="13"/>
        <v>44929</v>
      </c>
      <c r="M11" s="36">
        <f t="shared" si="13"/>
        <v>44930</v>
      </c>
      <c r="N11" s="36">
        <f t="shared" si="13"/>
        <v>44931</v>
      </c>
      <c r="O11" s="36">
        <f t="shared" si="13"/>
        <v>44932</v>
      </c>
      <c r="P11" s="36">
        <f t="shared" si="13"/>
        <v>44933</v>
      </c>
      <c r="Q11" s="36">
        <f t="shared" si="13"/>
        <v>44934</v>
      </c>
      <c r="R11" s="36">
        <f t="shared" si="13"/>
        <v>44935</v>
      </c>
      <c r="S11" s="36">
        <f t="shared" si="13"/>
        <v>44936</v>
      </c>
      <c r="T11" s="36">
        <f t="shared" si="13"/>
        <v>44937</v>
      </c>
      <c r="U11" s="36">
        <f t="shared" si="13"/>
        <v>44938</v>
      </c>
      <c r="V11" s="36">
        <f t="shared" si="13"/>
        <v>44939</v>
      </c>
      <c r="W11" s="36">
        <f t="shared" si="13"/>
        <v>44940</v>
      </c>
      <c r="X11" s="36">
        <f t="shared" si="13"/>
        <v>44941</v>
      </c>
      <c r="Y11" s="36">
        <f t="shared" si="13"/>
        <v>44942</v>
      </c>
      <c r="Z11" s="36">
        <f t="shared" si="13"/>
        <v>44943</v>
      </c>
      <c r="AA11" s="36">
        <f t="shared" si="13"/>
        <v>44944</v>
      </c>
      <c r="AB11" s="36">
        <f t="shared" si="13"/>
        <v>44945</v>
      </c>
      <c r="AC11" s="36">
        <f t="shared" si="13"/>
        <v>44946</v>
      </c>
      <c r="AD11" s="36">
        <f t="shared" si="13"/>
        <v>44947</v>
      </c>
      <c r="AE11" s="36">
        <f t="shared" si="13"/>
        <v>44948</v>
      </c>
      <c r="AF11" s="36">
        <f t="shared" si="13"/>
        <v>44949</v>
      </c>
      <c r="AG11" s="36">
        <f t="shared" si="13"/>
        <v>44950</v>
      </c>
      <c r="AH11" s="36">
        <f t="shared" si="13"/>
        <v>44951</v>
      </c>
      <c r="AI11" s="36">
        <f t="shared" si="13"/>
        <v>44952</v>
      </c>
      <c r="AJ11" s="36">
        <f t="shared" si="13"/>
        <v>44953</v>
      </c>
      <c r="AK11" s="36">
        <f t="shared" si="13"/>
        <v>44954</v>
      </c>
      <c r="AL11" s="36">
        <f t="shared" si="13"/>
        <v>44955</v>
      </c>
      <c r="AM11" s="36">
        <f t="shared" si="13"/>
        <v>44956</v>
      </c>
      <c r="AN11" s="36">
        <f t="shared" si="13"/>
        <v>44957</v>
      </c>
      <c r="AO11" s="36">
        <f t="shared" si="13"/>
        <v>44958</v>
      </c>
      <c r="AP11" s="36">
        <f t="shared" si="13"/>
        <v>44959</v>
      </c>
      <c r="AQ11" s="36">
        <f t="shared" si="13"/>
        <v>44960</v>
      </c>
      <c r="AR11" s="36">
        <f t="shared" si="13"/>
        <v>44961</v>
      </c>
      <c r="AS11" s="36">
        <f t="shared" si="13"/>
        <v>44962</v>
      </c>
      <c r="AT11" s="36">
        <f t="shared" si="13"/>
        <v>44963</v>
      </c>
      <c r="AU11" s="36">
        <f t="shared" si="13"/>
        <v>44964</v>
      </c>
      <c r="AV11" s="36">
        <f t="shared" si="13"/>
        <v>44965</v>
      </c>
      <c r="AW11" s="36">
        <f t="shared" si="13"/>
        <v>44966</v>
      </c>
      <c r="AX11" s="36">
        <f t="shared" si="13"/>
        <v>44967</v>
      </c>
      <c r="AY11" s="36">
        <f t="shared" si="13"/>
        <v>44968</v>
      </c>
      <c r="AZ11" s="36">
        <f t="shared" si="13"/>
        <v>44969</v>
      </c>
      <c r="BA11" s="36">
        <f t="shared" si="13"/>
        <v>44970</v>
      </c>
      <c r="BB11" s="36">
        <f t="shared" si="13"/>
        <v>44971</v>
      </c>
      <c r="BC11" s="36">
        <f t="shared" si="13"/>
        <v>44972</v>
      </c>
      <c r="BD11" s="36">
        <f t="shared" si="13"/>
        <v>44973</v>
      </c>
      <c r="BE11" s="36">
        <f t="shared" si="13"/>
        <v>44974</v>
      </c>
      <c r="BF11" s="36">
        <f t="shared" si="13"/>
        <v>44975</v>
      </c>
      <c r="BG11" s="36">
        <f t="shared" si="13"/>
        <v>44976</v>
      </c>
      <c r="BH11" s="36">
        <f t="shared" si="13"/>
        <v>44977</v>
      </c>
      <c r="BI11" s="36">
        <f t="shared" si="13"/>
        <v>44978</v>
      </c>
      <c r="BJ11" s="36">
        <f t="shared" si="13"/>
        <v>44979</v>
      </c>
      <c r="BK11" s="36">
        <f t="shared" si="13"/>
        <v>44980</v>
      </c>
      <c r="BL11" s="36">
        <f t="shared" si="13"/>
        <v>44981</v>
      </c>
      <c r="BM11" s="36">
        <f t="shared" si="13"/>
        <v>44982</v>
      </c>
      <c r="BN11" s="36">
        <f t="shared" si="13"/>
        <v>44983</v>
      </c>
      <c r="BO11" s="36">
        <f t="shared" si="13"/>
        <v>44984</v>
      </c>
      <c r="BP11" s="36">
        <f t="shared" si="13"/>
        <v>44985</v>
      </c>
      <c r="BQ11" s="36">
        <f t="shared" si="13"/>
        <v>44986</v>
      </c>
      <c r="BR11" s="36">
        <f t="shared" si="13"/>
        <v>44987</v>
      </c>
      <c r="BS11" s="36">
        <f t="shared" si="13"/>
        <v>44988</v>
      </c>
      <c r="BT11" s="36">
        <f t="shared" si="13"/>
        <v>44989</v>
      </c>
      <c r="BU11" s="36">
        <f t="shared" si="13"/>
        <v>44990</v>
      </c>
      <c r="BV11" s="36">
        <f t="shared" si="13"/>
        <v>44991</v>
      </c>
      <c r="BW11" s="36">
        <f t="shared" ref="BW11:EH11" si="14">BV11+1</f>
        <v>44992</v>
      </c>
      <c r="BX11" s="36">
        <f t="shared" si="14"/>
        <v>44993</v>
      </c>
      <c r="BY11" s="36">
        <f t="shared" si="14"/>
        <v>44994</v>
      </c>
      <c r="BZ11" s="36">
        <f t="shared" si="14"/>
        <v>44995</v>
      </c>
      <c r="CA11" s="36">
        <f t="shared" si="14"/>
        <v>44996</v>
      </c>
      <c r="CB11" s="36">
        <f t="shared" si="14"/>
        <v>44997</v>
      </c>
      <c r="CC11" s="36">
        <f t="shared" si="14"/>
        <v>44998</v>
      </c>
      <c r="CD11" s="36">
        <f t="shared" si="14"/>
        <v>44999</v>
      </c>
      <c r="CE11" s="36">
        <f t="shared" si="14"/>
        <v>45000</v>
      </c>
      <c r="CF11" s="36">
        <f t="shared" si="14"/>
        <v>45001</v>
      </c>
      <c r="CG11" s="36">
        <f t="shared" si="14"/>
        <v>45002</v>
      </c>
      <c r="CH11" s="36">
        <f t="shared" si="14"/>
        <v>45003</v>
      </c>
      <c r="CI11" s="36">
        <f t="shared" si="14"/>
        <v>45004</v>
      </c>
      <c r="CJ11" s="36">
        <f t="shared" si="14"/>
        <v>45005</v>
      </c>
      <c r="CK11" s="36">
        <f t="shared" si="14"/>
        <v>45006</v>
      </c>
      <c r="CL11" s="36">
        <f t="shared" si="14"/>
        <v>45007</v>
      </c>
      <c r="CM11" s="36">
        <f t="shared" si="14"/>
        <v>45008</v>
      </c>
      <c r="CN11" s="36">
        <f t="shared" si="14"/>
        <v>45009</v>
      </c>
      <c r="CO11" s="36">
        <f t="shared" si="14"/>
        <v>45010</v>
      </c>
      <c r="CP11" s="36">
        <f t="shared" si="14"/>
        <v>45011</v>
      </c>
      <c r="CQ11" s="36">
        <f t="shared" si="14"/>
        <v>45012</v>
      </c>
      <c r="CR11" s="36">
        <f t="shared" si="14"/>
        <v>45013</v>
      </c>
      <c r="CS11" s="36">
        <f t="shared" si="14"/>
        <v>45014</v>
      </c>
      <c r="CT11" s="36">
        <f t="shared" si="14"/>
        <v>45015</v>
      </c>
      <c r="CU11" s="36">
        <f t="shared" si="14"/>
        <v>45016</v>
      </c>
      <c r="CV11" s="36">
        <f t="shared" si="14"/>
        <v>45017</v>
      </c>
      <c r="CW11" s="36">
        <f t="shared" si="14"/>
        <v>45018</v>
      </c>
      <c r="CX11" s="36">
        <f t="shared" si="14"/>
        <v>45019</v>
      </c>
      <c r="CY11" s="36">
        <f t="shared" si="14"/>
        <v>45020</v>
      </c>
      <c r="CZ11" s="36">
        <f t="shared" si="14"/>
        <v>45021</v>
      </c>
      <c r="DA11" s="36">
        <f t="shared" si="14"/>
        <v>45022</v>
      </c>
      <c r="DB11" s="36">
        <f t="shared" si="14"/>
        <v>45023</v>
      </c>
      <c r="DC11" s="36">
        <f t="shared" si="14"/>
        <v>45024</v>
      </c>
      <c r="DD11" s="36">
        <f t="shared" si="14"/>
        <v>45025</v>
      </c>
      <c r="DE11" s="36">
        <f t="shared" si="14"/>
        <v>45026</v>
      </c>
      <c r="DF11" s="36">
        <f t="shared" si="14"/>
        <v>45027</v>
      </c>
      <c r="DG11" s="36">
        <f t="shared" si="14"/>
        <v>45028</v>
      </c>
      <c r="DH11" s="36">
        <f t="shared" si="14"/>
        <v>45029</v>
      </c>
      <c r="DI11" s="36">
        <f t="shared" si="14"/>
        <v>45030</v>
      </c>
      <c r="DJ11" s="36">
        <f t="shared" si="14"/>
        <v>45031</v>
      </c>
      <c r="DK11" s="36">
        <f t="shared" si="14"/>
        <v>45032</v>
      </c>
      <c r="DL11" s="36">
        <f t="shared" si="14"/>
        <v>45033</v>
      </c>
      <c r="DM11" s="36">
        <f t="shared" si="14"/>
        <v>45034</v>
      </c>
      <c r="DN11" s="36">
        <f t="shared" si="14"/>
        <v>45035</v>
      </c>
      <c r="DO11" s="36">
        <f t="shared" si="14"/>
        <v>45036</v>
      </c>
      <c r="DP11" s="36">
        <f t="shared" si="14"/>
        <v>45037</v>
      </c>
      <c r="DQ11" s="36">
        <f t="shared" si="14"/>
        <v>45038</v>
      </c>
      <c r="DR11" s="36">
        <f t="shared" si="14"/>
        <v>45039</v>
      </c>
      <c r="DS11" s="36">
        <f t="shared" si="14"/>
        <v>45040</v>
      </c>
      <c r="DT11" s="36">
        <f t="shared" si="14"/>
        <v>45041</v>
      </c>
      <c r="DU11" s="36">
        <f t="shared" si="14"/>
        <v>45042</v>
      </c>
      <c r="DV11" s="36">
        <f t="shared" si="14"/>
        <v>45043</v>
      </c>
      <c r="DW11" s="36">
        <f t="shared" si="14"/>
        <v>45044</v>
      </c>
      <c r="DX11" s="36">
        <f t="shared" si="14"/>
        <v>45045</v>
      </c>
      <c r="DY11" s="36">
        <f t="shared" si="14"/>
        <v>45046</v>
      </c>
      <c r="DZ11" s="36">
        <f t="shared" si="14"/>
        <v>45047</v>
      </c>
      <c r="EA11" s="36">
        <f t="shared" si="14"/>
        <v>45048</v>
      </c>
      <c r="EB11" s="36">
        <f t="shared" si="14"/>
        <v>45049</v>
      </c>
      <c r="EC11" s="36">
        <f t="shared" si="14"/>
        <v>45050</v>
      </c>
      <c r="ED11" s="36">
        <f t="shared" si="14"/>
        <v>45051</v>
      </c>
      <c r="EE11" s="36">
        <f t="shared" si="14"/>
        <v>45052</v>
      </c>
      <c r="EF11" s="36">
        <f t="shared" si="14"/>
        <v>45053</v>
      </c>
      <c r="EG11" s="36">
        <f t="shared" si="14"/>
        <v>45054</v>
      </c>
      <c r="EH11" s="36">
        <f t="shared" si="14"/>
        <v>45055</v>
      </c>
      <c r="EI11" s="36">
        <f t="shared" ref="EI11:GT11" si="15">EH11+1</f>
        <v>45056</v>
      </c>
      <c r="EJ11" s="36">
        <f t="shared" si="15"/>
        <v>45057</v>
      </c>
      <c r="EK11" s="36">
        <f t="shared" si="15"/>
        <v>45058</v>
      </c>
      <c r="EL11" s="36">
        <f t="shared" si="15"/>
        <v>45059</v>
      </c>
      <c r="EM11" s="36">
        <f t="shared" si="15"/>
        <v>45060</v>
      </c>
      <c r="EN11" s="36">
        <f t="shared" si="15"/>
        <v>45061</v>
      </c>
      <c r="EO11" s="36">
        <f t="shared" si="15"/>
        <v>45062</v>
      </c>
      <c r="EP11" s="36">
        <f t="shared" si="15"/>
        <v>45063</v>
      </c>
      <c r="EQ11" s="36">
        <f t="shared" si="15"/>
        <v>45064</v>
      </c>
      <c r="ER11" s="36">
        <f t="shared" si="15"/>
        <v>45065</v>
      </c>
      <c r="ES11" s="36">
        <f t="shared" si="15"/>
        <v>45066</v>
      </c>
      <c r="ET11" s="36">
        <f t="shared" si="15"/>
        <v>45067</v>
      </c>
      <c r="EU11" s="36">
        <f t="shared" si="15"/>
        <v>45068</v>
      </c>
      <c r="EV11" s="36">
        <f t="shared" si="15"/>
        <v>45069</v>
      </c>
      <c r="EW11" s="36">
        <f t="shared" si="15"/>
        <v>45070</v>
      </c>
      <c r="EX11" s="36">
        <f t="shared" si="15"/>
        <v>45071</v>
      </c>
      <c r="EY11" s="56">
        <f t="shared" si="15"/>
        <v>45072</v>
      </c>
      <c r="EZ11" s="36">
        <f t="shared" si="15"/>
        <v>45073</v>
      </c>
      <c r="FA11" s="36">
        <f t="shared" si="15"/>
        <v>45074</v>
      </c>
      <c r="FB11" s="36">
        <f t="shared" si="15"/>
        <v>45075</v>
      </c>
      <c r="FC11" s="36">
        <f t="shared" si="15"/>
        <v>45076</v>
      </c>
      <c r="FD11" s="36">
        <f t="shared" si="15"/>
        <v>45077</v>
      </c>
      <c r="FE11" s="36">
        <f t="shared" si="15"/>
        <v>45078</v>
      </c>
      <c r="FF11" s="36">
        <f t="shared" si="15"/>
        <v>45079</v>
      </c>
      <c r="FG11" s="36">
        <f t="shared" si="15"/>
        <v>45080</v>
      </c>
      <c r="FH11" s="36">
        <f t="shared" si="15"/>
        <v>45081</v>
      </c>
      <c r="FI11" s="36">
        <f t="shared" si="15"/>
        <v>45082</v>
      </c>
      <c r="FJ11" s="101">
        <f t="shared" si="15"/>
        <v>45083</v>
      </c>
      <c r="FK11" s="36">
        <f t="shared" si="15"/>
        <v>45084</v>
      </c>
      <c r="FL11" s="36">
        <f t="shared" si="15"/>
        <v>45085</v>
      </c>
      <c r="FM11" s="36">
        <f t="shared" si="15"/>
        <v>45086</v>
      </c>
      <c r="FN11" s="36">
        <f t="shared" si="15"/>
        <v>45087</v>
      </c>
      <c r="FO11" s="36">
        <f t="shared" si="15"/>
        <v>45088</v>
      </c>
      <c r="FP11" s="36">
        <f t="shared" si="15"/>
        <v>45089</v>
      </c>
      <c r="FQ11" s="36">
        <f t="shared" si="15"/>
        <v>45090</v>
      </c>
      <c r="FR11" s="36">
        <f t="shared" si="15"/>
        <v>45091</v>
      </c>
      <c r="FS11" s="36">
        <f t="shared" si="15"/>
        <v>45092</v>
      </c>
      <c r="FT11" s="36">
        <f t="shared" si="15"/>
        <v>45093</v>
      </c>
      <c r="FU11" s="36">
        <f t="shared" si="15"/>
        <v>45094</v>
      </c>
      <c r="FV11" s="36">
        <f t="shared" si="15"/>
        <v>45095</v>
      </c>
      <c r="FW11" s="36">
        <f t="shared" si="15"/>
        <v>45096</v>
      </c>
      <c r="FX11" s="36">
        <f t="shared" si="15"/>
        <v>45097</v>
      </c>
      <c r="FY11" s="36">
        <f t="shared" si="15"/>
        <v>45098</v>
      </c>
      <c r="FZ11" s="36">
        <f t="shared" si="15"/>
        <v>45099</v>
      </c>
      <c r="GA11" s="36">
        <f t="shared" si="15"/>
        <v>45100</v>
      </c>
      <c r="GB11" s="36">
        <f t="shared" si="15"/>
        <v>45101</v>
      </c>
      <c r="GC11" s="36">
        <f t="shared" si="15"/>
        <v>45102</v>
      </c>
      <c r="GD11" s="36">
        <f t="shared" si="15"/>
        <v>45103</v>
      </c>
      <c r="GE11" s="36">
        <f t="shared" si="15"/>
        <v>45104</v>
      </c>
      <c r="GF11" s="36">
        <f t="shared" si="15"/>
        <v>45105</v>
      </c>
      <c r="GG11" s="36">
        <f t="shared" si="15"/>
        <v>45106</v>
      </c>
      <c r="GH11" s="36">
        <f t="shared" si="15"/>
        <v>45107</v>
      </c>
      <c r="GI11" s="36">
        <f t="shared" si="15"/>
        <v>45108</v>
      </c>
      <c r="GJ11" s="36">
        <f t="shared" si="15"/>
        <v>45109</v>
      </c>
      <c r="GK11" s="36">
        <f t="shared" si="15"/>
        <v>45110</v>
      </c>
      <c r="GL11" s="36">
        <f t="shared" si="15"/>
        <v>45111</v>
      </c>
      <c r="GM11" s="36">
        <f t="shared" si="15"/>
        <v>45112</v>
      </c>
      <c r="GN11" s="36">
        <f t="shared" si="15"/>
        <v>45113</v>
      </c>
      <c r="GO11" s="36">
        <f t="shared" si="15"/>
        <v>45114</v>
      </c>
      <c r="GP11" s="36">
        <f t="shared" si="15"/>
        <v>45115</v>
      </c>
      <c r="GQ11" s="36">
        <f t="shared" si="15"/>
        <v>45116</v>
      </c>
      <c r="GR11" s="36">
        <f t="shared" si="15"/>
        <v>45117</v>
      </c>
      <c r="GS11" s="36">
        <f t="shared" si="15"/>
        <v>45118</v>
      </c>
      <c r="GT11" s="36">
        <f t="shared" si="15"/>
        <v>45119</v>
      </c>
      <c r="GU11" s="36">
        <f t="shared" ref="GU11:JF11" si="16">GT11+1</f>
        <v>45120</v>
      </c>
      <c r="GV11" s="101">
        <f t="shared" si="16"/>
        <v>45121</v>
      </c>
      <c r="GW11" s="36">
        <f t="shared" si="16"/>
        <v>45122</v>
      </c>
      <c r="GX11" s="36">
        <f t="shared" si="16"/>
        <v>45123</v>
      </c>
      <c r="GY11" s="36">
        <f t="shared" si="16"/>
        <v>45124</v>
      </c>
      <c r="GZ11" s="36">
        <f t="shared" si="16"/>
        <v>45125</v>
      </c>
      <c r="HA11" s="36">
        <f t="shared" si="16"/>
        <v>45126</v>
      </c>
      <c r="HB11" s="36">
        <f t="shared" si="16"/>
        <v>45127</v>
      </c>
      <c r="HC11" s="36">
        <f t="shared" si="16"/>
        <v>45128</v>
      </c>
      <c r="HD11" s="36">
        <f t="shared" si="16"/>
        <v>45129</v>
      </c>
      <c r="HE11" s="36">
        <f t="shared" si="16"/>
        <v>45130</v>
      </c>
      <c r="HF11" s="36">
        <f t="shared" si="16"/>
        <v>45131</v>
      </c>
      <c r="HG11" s="36">
        <f t="shared" si="16"/>
        <v>45132</v>
      </c>
      <c r="HH11" s="36">
        <f t="shared" si="16"/>
        <v>45133</v>
      </c>
      <c r="HI11" s="36">
        <f t="shared" si="16"/>
        <v>45134</v>
      </c>
      <c r="HJ11" s="36">
        <f t="shared" si="16"/>
        <v>45135</v>
      </c>
      <c r="HK11" s="36">
        <f t="shared" si="16"/>
        <v>45136</v>
      </c>
      <c r="HL11" s="36">
        <f t="shared" si="16"/>
        <v>45137</v>
      </c>
      <c r="HM11" s="36">
        <f t="shared" si="16"/>
        <v>45138</v>
      </c>
      <c r="HN11" s="36">
        <f t="shared" si="16"/>
        <v>45139</v>
      </c>
      <c r="HO11" s="36">
        <f t="shared" si="16"/>
        <v>45140</v>
      </c>
      <c r="HP11" s="36">
        <f t="shared" si="16"/>
        <v>45141</v>
      </c>
      <c r="HQ11" s="36">
        <f t="shared" si="16"/>
        <v>45142</v>
      </c>
      <c r="HR11" s="36">
        <f t="shared" si="16"/>
        <v>45143</v>
      </c>
      <c r="HS11" s="36">
        <f t="shared" si="16"/>
        <v>45144</v>
      </c>
      <c r="HT11" s="36">
        <f t="shared" si="16"/>
        <v>45145</v>
      </c>
      <c r="HU11" s="36">
        <f t="shared" si="16"/>
        <v>45146</v>
      </c>
      <c r="HV11" s="36">
        <f t="shared" si="16"/>
        <v>45147</v>
      </c>
      <c r="HW11" s="36">
        <f t="shared" si="16"/>
        <v>45148</v>
      </c>
      <c r="HX11" s="36">
        <f t="shared" si="16"/>
        <v>45149</v>
      </c>
      <c r="HY11" s="36">
        <f t="shared" si="16"/>
        <v>45150</v>
      </c>
      <c r="HZ11" s="36">
        <f t="shared" si="16"/>
        <v>45151</v>
      </c>
      <c r="IA11" s="36">
        <f t="shared" si="16"/>
        <v>45152</v>
      </c>
      <c r="IB11" s="101">
        <f t="shared" si="16"/>
        <v>45153</v>
      </c>
      <c r="IC11" s="36">
        <f t="shared" si="16"/>
        <v>45154</v>
      </c>
      <c r="ID11" s="36">
        <f t="shared" si="16"/>
        <v>45155</v>
      </c>
      <c r="IE11" s="36">
        <f t="shared" si="16"/>
        <v>45156</v>
      </c>
      <c r="IF11" s="36">
        <f t="shared" si="16"/>
        <v>45157</v>
      </c>
      <c r="IG11" s="36">
        <f t="shared" si="16"/>
        <v>45158</v>
      </c>
      <c r="IH11" s="36">
        <f t="shared" si="16"/>
        <v>45159</v>
      </c>
      <c r="II11" s="36">
        <f t="shared" si="16"/>
        <v>45160</v>
      </c>
      <c r="IJ11" s="36">
        <f t="shared" si="16"/>
        <v>45161</v>
      </c>
      <c r="IK11" s="36">
        <f t="shared" si="16"/>
        <v>45162</v>
      </c>
      <c r="IL11" s="36">
        <f t="shared" si="16"/>
        <v>45163</v>
      </c>
      <c r="IM11" s="36">
        <f t="shared" si="16"/>
        <v>45164</v>
      </c>
      <c r="IN11" s="36">
        <f t="shared" si="16"/>
        <v>45165</v>
      </c>
      <c r="IO11" s="36">
        <f t="shared" si="16"/>
        <v>45166</v>
      </c>
      <c r="IP11" s="36">
        <f t="shared" si="16"/>
        <v>45167</v>
      </c>
      <c r="IQ11" s="36">
        <f t="shared" si="16"/>
        <v>45168</v>
      </c>
      <c r="IR11" s="36">
        <f t="shared" si="16"/>
        <v>45169</v>
      </c>
      <c r="IS11" s="36">
        <f t="shared" si="16"/>
        <v>45170</v>
      </c>
      <c r="IT11" s="36">
        <f t="shared" si="16"/>
        <v>45171</v>
      </c>
      <c r="IU11" s="36">
        <f t="shared" si="16"/>
        <v>45172</v>
      </c>
      <c r="IV11" s="36">
        <f t="shared" si="16"/>
        <v>45173</v>
      </c>
      <c r="IW11" s="36">
        <f t="shared" si="16"/>
        <v>45174</v>
      </c>
      <c r="IX11" s="36">
        <f t="shared" si="16"/>
        <v>45175</v>
      </c>
      <c r="IY11" s="36">
        <f t="shared" si="16"/>
        <v>45176</v>
      </c>
      <c r="IZ11" s="36">
        <f t="shared" si="16"/>
        <v>45177</v>
      </c>
      <c r="JA11" s="36">
        <f t="shared" si="16"/>
        <v>45178</v>
      </c>
      <c r="JB11" s="36">
        <f t="shared" si="16"/>
        <v>45179</v>
      </c>
      <c r="JC11" s="36">
        <f t="shared" si="16"/>
        <v>45180</v>
      </c>
      <c r="JD11" s="36">
        <f t="shared" si="16"/>
        <v>45181</v>
      </c>
      <c r="JE11" s="36">
        <f t="shared" si="16"/>
        <v>45182</v>
      </c>
      <c r="JF11" s="36">
        <f t="shared" si="16"/>
        <v>45183</v>
      </c>
      <c r="JG11" s="36">
        <f t="shared" ref="JG11:LR11" si="17">JF11+1</f>
        <v>45184</v>
      </c>
      <c r="JH11" s="36">
        <f t="shared" si="17"/>
        <v>45185</v>
      </c>
      <c r="JI11" s="36">
        <f t="shared" si="17"/>
        <v>45186</v>
      </c>
      <c r="JJ11" s="36">
        <f t="shared" si="17"/>
        <v>45187</v>
      </c>
      <c r="JK11" s="36">
        <f t="shared" si="17"/>
        <v>45188</v>
      </c>
      <c r="JL11" s="36">
        <f t="shared" si="17"/>
        <v>45189</v>
      </c>
      <c r="JM11" s="36">
        <f t="shared" si="17"/>
        <v>45190</v>
      </c>
      <c r="JN11" s="36">
        <f t="shared" si="17"/>
        <v>45191</v>
      </c>
      <c r="JO11" s="36">
        <f t="shared" si="17"/>
        <v>45192</v>
      </c>
      <c r="JP11" s="36">
        <f t="shared" si="17"/>
        <v>45193</v>
      </c>
      <c r="JQ11" s="36">
        <f t="shared" si="17"/>
        <v>45194</v>
      </c>
      <c r="JR11" s="36">
        <f t="shared" si="17"/>
        <v>45195</v>
      </c>
      <c r="JS11" s="36">
        <f t="shared" si="17"/>
        <v>45196</v>
      </c>
      <c r="JT11" s="36">
        <f t="shared" si="17"/>
        <v>45197</v>
      </c>
      <c r="JU11" s="36">
        <f t="shared" si="17"/>
        <v>45198</v>
      </c>
      <c r="JV11" s="36">
        <f t="shared" si="17"/>
        <v>45199</v>
      </c>
      <c r="JW11" s="36">
        <f t="shared" si="17"/>
        <v>45200</v>
      </c>
      <c r="JX11" s="36">
        <f t="shared" si="17"/>
        <v>45201</v>
      </c>
      <c r="JY11" s="36">
        <f t="shared" si="17"/>
        <v>45202</v>
      </c>
      <c r="JZ11" s="36">
        <f t="shared" si="17"/>
        <v>45203</v>
      </c>
      <c r="KA11" s="36">
        <f t="shared" si="17"/>
        <v>45204</v>
      </c>
      <c r="KB11" s="36">
        <f t="shared" si="17"/>
        <v>45205</v>
      </c>
      <c r="KC11" s="36">
        <f t="shared" si="17"/>
        <v>45206</v>
      </c>
      <c r="KD11" s="36">
        <f t="shared" si="17"/>
        <v>45207</v>
      </c>
      <c r="KE11" s="36">
        <f t="shared" si="17"/>
        <v>45208</v>
      </c>
      <c r="KF11" s="36">
        <f t="shared" si="17"/>
        <v>45209</v>
      </c>
      <c r="KG11" s="36">
        <f t="shared" si="17"/>
        <v>45210</v>
      </c>
      <c r="KH11" s="36">
        <f t="shared" si="17"/>
        <v>45211</v>
      </c>
      <c r="KI11" s="36">
        <f t="shared" si="17"/>
        <v>45212</v>
      </c>
      <c r="KJ11" s="36">
        <f t="shared" si="17"/>
        <v>45213</v>
      </c>
      <c r="KK11" s="36">
        <f t="shared" si="17"/>
        <v>45214</v>
      </c>
      <c r="KL11" s="36">
        <f t="shared" si="17"/>
        <v>45215</v>
      </c>
      <c r="KM11" s="36">
        <f t="shared" si="17"/>
        <v>45216</v>
      </c>
      <c r="KN11" s="36">
        <f t="shared" si="17"/>
        <v>45217</v>
      </c>
      <c r="KO11" s="36">
        <f t="shared" si="17"/>
        <v>45218</v>
      </c>
      <c r="KP11" s="36">
        <f t="shared" si="17"/>
        <v>45219</v>
      </c>
      <c r="KQ11" s="36">
        <f t="shared" si="17"/>
        <v>45220</v>
      </c>
      <c r="KR11" s="36">
        <f t="shared" si="17"/>
        <v>45221</v>
      </c>
      <c r="KS11" s="36">
        <f t="shared" si="17"/>
        <v>45222</v>
      </c>
      <c r="KT11" s="36">
        <f t="shared" si="17"/>
        <v>45223</v>
      </c>
      <c r="KU11" s="36">
        <f t="shared" si="17"/>
        <v>45224</v>
      </c>
      <c r="KV11" s="36">
        <f t="shared" si="17"/>
        <v>45225</v>
      </c>
      <c r="KW11" s="36">
        <f t="shared" si="17"/>
        <v>45226</v>
      </c>
      <c r="KX11" s="36">
        <f t="shared" si="17"/>
        <v>45227</v>
      </c>
      <c r="KY11" s="36">
        <f t="shared" si="17"/>
        <v>45228</v>
      </c>
      <c r="KZ11" s="36">
        <f t="shared" si="17"/>
        <v>45229</v>
      </c>
      <c r="LA11" s="36">
        <f t="shared" si="17"/>
        <v>45230</v>
      </c>
      <c r="LB11" s="103">
        <f t="shared" si="17"/>
        <v>45231</v>
      </c>
      <c r="LC11" s="36">
        <f t="shared" si="17"/>
        <v>45232</v>
      </c>
      <c r="LD11" s="36">
        <f t="shared" si="17"/>
        <v>45233</v>
      </c>
      <c r="LE11" s="36">
        <f t="shared" si="17"/>
        <v>45234</v>
      </c>
      <c r="LF11" s="36">
        <f t="shared" si="17"/>
        <v>45235</v>
      </c>
      <c r="LG11" s="36">
        <f t="shared" si="17"/>
        <v>45236</v>
      </c>
      <c r="LH11" s="36">
        <f t="shared" si="17"/>
        <v>45237</v>
      </c>
      <c r="LI11" s="36">
        <f t="shared" si="17"/>
        <v>45238</v>
      </c>
      <c r="LJ11" s="36">
        <f t="shared" si="17"/>
        <v>45239</v>
      </c>
      <c r="LK11" s="36">
        <f t="shared" si="17"/>
        <v>45240</v>
      </c>
      <c r="LL11" s="103">
        <f t="shared" si="17"/>
        <v>45241</v>
      </c>
      <c r="LM11" s="36">
        <f t="shared" si="17"/>
        <v>45242</v>
      </c>
      <c r="LN11" s="36">
        <f t="shared" si="17"/>
        <v>45243</v>
      </c>
      <c r="LO11" s="36">
        <f t="shared" si="17"/>
        <v>45244</v>
      </c>
      <c r="LP11" s="36">
        <f t="shared" si="17"/>
        <v>45245</v>
      </c>
      <c r="LQ11" s="36">
        <f t="shared" si="17"/>
        <v>45246</v>
      </c>
      <c r="LR11" s="36">
        <f t="shared" si="17"/>
        <v>45247</v>
      </c>
      <c r="LS11" s="36">
        <f t="shared" ref="LS11:NJ11" si="18">LR11+1</f>
        <v>45248</v>
      </c>
      <c r="LT11" s="36">
        <f t="shared" si="18"/>
        <v>45249</v>
      </c>
      <c r="LU11" s="36">
        <f t="shared" si="18"/>
        <v>45250</v>
      </c>
      <c r="LV11" s="36">
        <f t="shared" si="18"/>
        <v>45251</v>
      </c>
      <c r="LW11" s="36">
        <f t="shared" si="18"/>
        <v>45252</v>
      </c>
      <c r="LX11" s="36">
        <f t="shared" si="18"/>
        <v>45253</v>
      </c>
      <c r="LY11" s="36">
        <f t="shared" si="18"/>
        <v>45254</v>
      </c>
      <c r="LZ11" s="36">
        <f t="shared" si="18"/>
        <v>45255</v>
      </c>
      <c r="MA11" s="36">
        <f t="shared" si="18"/>
        <v>45256</v>
      </c>
      <c r="MB11" s="36">
        <f t="shared" si="18"/>
        <v>45257</v>
      </c>
      <c r="MC11" s="36">
        <f t="shared" si="18"/>
        <v>45258</v>
      </c>
      <c r="MD11" s="36">
        <f t="shared" si="18"/>
        <v>45259</v>
      </c>
      <c r="ME11" s="36">
        <f t="shared" si="18"/>
        <v>45260</v>
      </c>
      <c r="MF11" s="36">
        <f t="shared" si="18"/>
        <v>45261</v>
      </c>
      <c r="MG11" s="36">
        <f t="shared" si="18"/>
        <v>45262</v>
      </c>
      <c r="MH11" s="36">
        <f t="shared" si="18"/>
        <v>45263</v>
      </c>
      <c r="MI11" s="36">
        <f t="shared" si="18"/>
        <v>45264</v>
      </c>
      <c r="MJ11" s="36">
        <f t="shared" si="18"/>
        <v>45265</v>
      </c>
      <c r="MK11" s="36">
        <f t="shared" si="18"/>
        <v>45266</v>
      </c>
      <c r="ML11" s="36">
        <f t="shared" si="18"/>
        <v>45267</v>
      </c>
      <c r="MM11" s="36">
        <f t="shared" si="18"/>
        <v>45268</v>
      </c>
      <c r="MN11" s="36">
        <f t="shared" si="18"/>
        <v>45269</v>
      </c>
      <c r="MO11" s="36">
        <f t="shared" si="18"/>
        <v>45270</v>
      </c>
      <c r="MP11" s="36">
        <f t="shared" si="18"/>
        <v>45271</v>
      </c>
      <c r="MQ11" s="36">
        <f t="shared" si="18"/>
        <v>45272</v>
      </c>
      <c r="MR11" s="36">
        <f t="shared" si="18"/>
        <v>45273</v>
      </c>
      <c r="MS11" s="36">
        <f t="shared" si="18"/>
        <v>45274</v>
      </c>
      <c r="MT11" s="36">
        <f t="shared" si="18"/>
        <v>45275</v>
      </c>
      <c r="MU11" s="36">
        <f t="shared" si="18"/>
        <v>45276</v>
      </c>
      <c r="MV11" s="36">
        <f t="shared" si="18"/>
        <v>45277</v>
      </c>
      <c r="MW11" s="36">
        <f t="shared" si="18"/>
        <v>45278</v>
      </c>
      <c r="MX11" s="36">
        <f t="shared" si="18"/>
        <v>45279</v>
      </c>
      <c r="MY11" s="36">
        <f t="shared" si="18"/>
        <v>45280</v>
      </c>
      <c r="MZ11" s="36">
        <f t="shared" si="18"/>
        <v>45281</v>
      </c>
      <c r="NA11" s="36">
        <f t="shared" si="18"/>
        <v>45282</v>
      </c>
      <c r="NB11" s="36">
        <f t="shared" si="18"/>
        <v>45283</v>
      </c>
      <c r="NC11" s="36">
        <f t="shared" si="18"/>
        <v>45284</v>
      </c>
      <c r="ND11" s="36">
        <f t="shared" si="18"/>
        <v>45285</v>
      </c>
      <c r="NE11" s="36">
        <f t="shared" si="18"/>
        <v>45286</v>
      </c>
      <c r="NF11" s="36">
        <f t="shared" si="18"/>
        <v>45287</v>
      </c>
      <c r="NG11" s="36">
        <f t="shared" si="18"/>
        <v>45288</v>
      </c>
      <c r="NH11" s="36">
        <f t="shared" si="18"/>
        <v>45289</v>
      </c>
      <c r="NI11" s="36">
        <f t="shared" si="18"/>
        <v>45290</v>
      </c>
      <c r="NJ11" s="36">
        <f t="shared" si="18"/>
        <v>45291</v>
      </c>
      <c r="NK11" s="35" t="s">
        <v>16</v>
      </c>
      <c r="NM11" s="159"/>
      <c r="NN11" s="160">
        <f>C3</f>
        <v>44927</v>
      </c>
      <c r="NO11" s="161">
        <f>DAY(EOMONTH(NN11,0))</f>
        <v>31</v>
      </c>
      <c r="NP11" s="160">
        <f>EOMONTH(NN11,0)+1</f>
        <v>44958</v>
      </c>
      <c r="NQ11" s="161">
        <f>DAY(EOMONTH(NP11,0))</f>
        <v>28</v>
      </c>
      <c r="NR11" s="160">
        <f>EOMONTH(NP11,0)+1</f>
        <v>44986</v>
      </c>
      <c r="NS11" s="161">
        <f>DAY(EOMONTH(NR11,0))</f>
        <v>31</v>
      </c>
      <c r="NT11" s="160">
        <f>EOMONTH(NR11,0)+1</f>
        <v>45017</v>
      </c>
      <c r="NU11" s="161">
        <f>DAY(EOMONTH(NT11,0))</f>
        <v>30</v>
      </c>
      <c r="NV11" s="160">
        <f>EOMONTH(NT11,0)+1</f>
        <v>45047</v>
      </c>
      <c r="NW11" s="161">
        <f>DAY(EOMONTH(NV11,0))</f>
        <v>31</v>
      </c>
      <c r="NX11" s="160">
        <f>EOMONTH(NV11,0)+1</f>
        <v>45078</v>
      </c>
      <c r="NY11" s="161">
        <f>DAY(EOMONTH(NX11,0))</f>
        <v>30</v>
      </c>
      <c r="NZ11" s="160">
        <f>EOMONTH(NX11,0)+1</f>
        <v>45108</v>
      </c>
      <c r="OA11" s="161">
        <f>DAY(EOMONTH(NZ11,0))</f>
        <v>31</v>
      </c>
      <c r="OB11" s="160">
        <f>EOMONTH(NZ11,0)+1</f>
        <v>45139</v>
      </c>
      <c r="OC11" s="161">
        <f>DAY(EOMONTH(OB11,0))</f>
        <v>31</v>
      </c>
      <c r="OD11" s="160">
        <f>EOMONTH(OB11,0)+1</f>
        <v>45170</v>
      </c>
      <c r="OE11" s="161">
        <f>DAY(EOMONTH(OD11,0))</f>
        <v>30</v>
      </c>
      <c r="OF11" s="160">
        <f>EOMONTH(OD11,0)+1</f>
        <v>45200</v>
      </c>
      <c r="OG11" s="161">
        <f>DAY(EOMONTH(OF11,0))</f>
        <v>31</v>
      </c>
      <c r="OH11" s="160">
        <f>EOMONTH(OF11,0)+1</f>
        <v>45231</v>
      </c>
      <c r="OI11" s="161">
        <f>DAY(EOMONTH(OH11,0))</f>
        <v>30</v>
      </c>
      <c r="OJ11" s="160">
        <f>EOMONTH(OH11,0)+1</f>
        <v>45261</v>
      </c>
      <c r="OK11" s="162">
        <f>DAY(EOMONTH(OJ11,0))</f>
        <v>31</v>
      </c>
      <c r="OM11" s="500" t="s">
        <v>17</v>
      </c>
      <c r="ON11" s="500"/>
    </row>
    <row r="12" spans="1:404" ht="11.4" customHeight="1" x14ac:dyDescent="0.3">
      <c r="A12" s="394">
        <v>0</v>
      </c>
      <c r="B12" s="381"/>
      <c r="C12" s="53"/>
      <c r="D12" s="392"/>
      <c r="E12" s="53"/>
      <c r="F12" s="53"/>
      <c r="G12" s="104"/>
      <c r="H12" s="108">
        <v>2</v>
      </c>
      <c r="I12" s="28"/>
      <c r="J12" s="382"/>
      <c r="K12" s="388"/>
      <c r="L12" s="385"/>
      <c r="M12" s="384"/>
      <c r="N12" s="382"/>
      <c r="O12" s="382"/>
      <c r="P12" s="382"/>
      <c r="Q12" s="382"/>
      <c r="R12" s="382"/>
      <c r="S12" s="382"/>
      <c r="T12" s="382"/>
      <c r="U12" s="382"/>
      <c r="V12" s="382"/>
      <c r="W12" s="382"/>
      <c r="X12" s="382"/>
      <c r="Y12" s="382"/>
      <c r="Z12" s="382"/>
      <c r="AA12" s="382"/>
      <c r="AB12" s="382"/>
      <c r="AC12" s="382"/>
      <c r="AD12" s="382"/>
      <c r="AE12" s="382"/>
      <c r="AF12" s="382"/>
      <c r="AG12" s="382"/>
      <c r="AH12" s="382"/>
      <c r="AI12" s="382"/>
      <c r="AJ12" s="382"/>
      <c r="AK12" s="382"/>
      <c r="AL12" s="382"/>
      <c r="AM12" s="382"/>
      <c r="AN12" s="382"/>
      <c r="AO12" s="382"/>
      <c r="AP12" s="382"/>
      <c r="AQ12" s="382"/>
      <c r="AR12" s="382"/>
      <c r="AS12" s="382"/>
      <c r="AT12" s="382"/>
      <c r="AU12" s="382"/>
      <c r="AV12" s="382"/>
      <c r="AW12" s="382"/>
      <c r="AX12" s="382"/>
      <c r="AY12" s="382"/>
      <c r="AZ12" s="382"/>
      <c r="BA12" s="382"/>
      <c r="BB12" s="382"/>
      <c r="BC12" s="382"/>
      <c r="BD12" s="382"/>
      <c r="BE12" s="382"/>
      <c r="BF12" s="382"/>
      <c r="BG12" s="382"/>
      <c r="BH12" s="382"/>
      <c r="BI12" s="382"/>
      <c r="BJ12" s="382"/>
      <c r="BK12" s="382"/>
      <c r="BL12" s="382"/>
      <c r="BM12" s="382"/>
      <c r="BN12" s="382"/>
      <c r="BO12" s="382"/>
      <c r="BP12" s="382"/>
      <c r="BQ12" s="382"/>
      <c r="BR12" s="382"/>
      <c r="BS12" s="382"/>
      <c r="BT12" s="382"/>
      <c r="BU12" s="382"/>
      <c r="BV12" s="382"/>
      <c r="BW12" s="382"/>
      <c r="BX12" s="382"/>
      <c r="BY12" s="382"/>
      <c r="BZ12" s="382"/>
      <c r="CA12" s="382"/>
      <c r="CB12" s="382"/>
      <c r="CC12" s="382"/>
      <c r="CD12" s="382"/>
      <c r="CE12" s="382"/>
      <c r="CF12" s="382"/>
      <c r="CG12" s="382"/>
      <c r="CH12" s="382"/>
      <c r="CI12" s="382"/>
      <c r="CJ12" s="382"/>
      <c r="CK12" s="382"/>
      <c r="CL12" s="382"/>
      <c r="CM12" s="382"/>
      <c r="CN12" s="382"/>
      <c r="CO12" s="382"/>
      <c r="CP12" s="382"/>
      <c r="CQ12" s="382"/>
      <c r="CR12" s="382"/>
      <c r="CS12" s="382"/>
      <c r="CT12" s="382"/>
      <c r="CU12" s="382"/>
      <c r="CV12" s="382"/>
      <c r="CW12" s="382"/>
      <c r="CX12" s="382"/>
      <c r="CY12" s="382"/>
      <c r="CZ12" s="382"/>
      <c r="DA12" s="382"/>
      <c r="DB12" s="382"/>
      <c r="DC12" s="382"/>
      <c r="DD12" s="382"/>
      <c r="DE12" s="382"/>
      <c r="DF12" s="382"/>
      <c r="DG12" s="382"/>
      <c r="DH12" s="382"/>
      <c r="DI12" s="382"/>
      <c r="DJ12" s="382"/>
      <c r="DK12" s="382"/>
      <c r="DL12" s="382"/>
      <c r="DM12" s="382"/>
      <c r="DN12" s="382"/>
      <c r="DO12" s="382"/>
      <c r="DP12" s="382"/>
      <c r="DQ12" s="382"/>
      <c r="DR12" s="382"/>
      <c r="DS12" s="382"/>
      <c r="DT12" s="382"/>
      <c r="DU12" s="382"/>
      <c r="DV12" s="382"/>
      <c r="DW12" s="382"/>
      <c r="DX12" s="382"/>
      <c r="DY12" s="382"/>
      <c r="DZ12" s="382"/>
      <c r="EA12" s="382"/>
      <c r="EB12" s="382"/>
      <c r="EC12" s="382"/>
      <c r="ED12" s="382"/>
      <c r="EE12" s="382"/>
      <c r="EF12" s="382"/>
      <c r="EG12" s="382"/>
      <c r="EH12" s="382"/>
      <c r="EI12" s="382"/>
      <c r="EJ12" s="382"/>
      <c r="EK12" s="382"/>
      <c r="EL12" s="382"/>
      <c r="EM12" s="382"/>
      <c r="EN12" s="382"/>
      <c r="EO12" s="382"/>
      <c r="EP12" s="382"/>
      <c r="EQ12" s="382"/>
      <c r="ER12" s="382"/>
      <c r="ES12" s="382"/>
      <c r="ET12" s="382"/>
      <c r="EU12" s="382"/>
      <c r="EV12" s="382"/>
      <c r="EW12" s="382"/>
      <c r="EX12" s="382"/>
      <c r="EY12" s="382"/>
      <c r="EZ12" s="382"/>
      <c r="FA12" s="382"/>
      <c r="FB12" s="382"/>
      <c r="FC12" s="382"/>
      <c r="FD12" s="382"/>
      <c r="FE12" s="382"/>
      <c r="FF12" s="382"/>
      <c r="FG12" s="382"/>
      <c r="FH12" s="382"/>
      <c r="FI12" s="382"/>
      <c r="FJ12" s="382"/>
      <c r="FK12" s="382"/>
      <c r="FL12" s="382"/>
      <c r="FM12" s="382"/>
      <c r="FN12" s="382"/>
      <c r="FO12" s="382"/>
      <c r="FP12" s="382"/>
      <c r="FQ12" s="382"/>
      <c r="FR12" s="382"/>
      <c r="FS12" s="382"/>
      <c r="FT12" s="382"/>
      <c r="FU12" s="382"/>
      <c r="FV12" s="382"/>
      <c r="FW12" s="382"/>
      <c r="FX12" s="382"/>
      <c r="FY12" s="382"/>
      <c r="FZ12" s="382"/>
      <c r="GA12" s="382"/>
      <c r="GB12" s="382"/>
      <c r="GC12" s="382"/>
      <c r="GD12" s="382"/>
      <c r="GE12" s="382"/>
      <c r="GF12" s="382"/>
      <c r="GG12" s="382"/>
      <c r="GH12" s="382"/>
      <c r="GI12" s="382"/>
      <c r="GJ12" s="382"/>
      <c r="GK12" s="382"/>
      <c r="GL12" s="382"/>
      <c r="GM12" s="382"/>
      <c r="GN12" s="382"/>
      <c r="GO12" s="382"/>
      <c r="GP12" s="382"/>
      <c r="GQ12" s="382"/>
      <c r="GR12" s="382"/>
      <c r="GS12" s="382"/>
      <c r="GT12" s="382"/>
      <c r="GU12" s="382"/>
      <c r="GV12" s="382"/>
      <c r="GW12" s="382"/>
      <c r="GX12" s="382"/>
      <c r="GY12" s="382"/>
      <c r="GZ12" s="382"/>
      <c r="HA12" s="382"/>
      <c r="HB12" s="382"/>
      <c r="HC12" s="382"/>
      <c r="HD12" s="382"/>
      <c r="HE12" s="382"/>
      <c r="HF12" s="382"/>
      <c r="HG12" s="382"/>
      <c r="HH12" s="382"/>
      <c r="HI12" s="382"/>
      <c r="HJ12" s="382"/>
      <c r="HK12" s="382"/>
      <c r="HL12" s="382"/>
      <c r="HM12" s="382"/>
      <c r="HN12" s="382"/>
      <c r="HO12" s="382"/>
      <c r="HP12" s="382"/>
      <c r="HQ12" s="382"/>
      <c r="HR12" s="382"/>
      <c r="HS12" s="382"/>
      <c r="HT12" s="382"/>
      <c r="HU12" s="382"/>
      <c r="HV12" s="382"/>
      <c r="HW12" s="382"/>
      <c r="HX12" s="382"/>
      <c r="HY12" s="382"/>
      <c r="HZ12" s="382"/>
      <c r="IA12" s="382"/>
      <c r="IB12" s="382"/>
      <c r="IC12" s="382"/>
      <c r="ID12" s="382"/>
      <c r="IE12" s="382"/>
      <c r="IF12" s="382"/>
      <c r="IG12" s="382"/>
      <c r="IH12" s="382"/>
      <c r="II12" s="382"/>
      <c r="IJ12" s="382"/>
      <c r="IK12" s="382"/>
      <c r="IL12" s="382"/>
      <c r="IM12" s="382"/>
      <c r="IN12" s="382"/>
      <c r="IO12" s="382"/>
      <c r="IP12" s="382"/>
      <c r="IQ12" s="382"/>
      <c r="IR12" s="382"/>
      <c r="IS12" s="382"/>
      <c r="IT12" s="382"/>
      <c r="IU12" s="382"/>
      <c r="IV12" s="382"/>
      <c r="IW12" s="382"/>
      <c r="IX12" s="382"/>
      <c r="IY12" s="382"/>
      <c r="IZ12" s="382"/>
      <c r="JA12" s="382"/>
      <c r="JB12" s="382"/>
      <c r="JC12" s="382"/>
      <c r="JD12" s="382"/>
      <c r="JE12" s="382"/>
      <c r="JF12" s="382"/>
      <c r="JG12" s="382"/>
      <c r="JH12" s="382"/>
      <c r="JI12" s="382"/>
      <c r="JJ12" s="382"/>
      <c r="JK12" s="382"/>
      <c r="JL12" s="382"/>
      <c r="JM12" s="382"/>
      <c r="JN12" s="382"/>
      <c r="JO12" s="382"/>
      <c r="JP12" s="382"/>
      <c r="JQ12" s="382"/>
      <c r="JR12" s="382"/>
      <c r="JS12" s="382"/>
      <c r="JT12" s="382"/>
      <c r="JU12" s="382"/>
      <c r="JV12" s="382"/>
      <c r="JW12" s="382"/>
      <c r="JX12" s="382"/>
      <c r="JY12" s="382"/>
      <c r="JZ12" s="382"/>
      <c r="KA12" s="382"/>
      <c r="KB12" s="382"/>
      <c r="KC12" s="382"/>
      <c r="KD12" s="382"/>
      <c r="KE12" s="382"/>
      <c r="KF12" s="382"/>
      <c r="KG12" s="382"/>
      <c r="KH12" s="382"/>
      <c r="KI12" s="382"/>
      <c r="KJ12" s="382"/>
      <c r="KK12" s="382"/>
      <c r="KL12" s="382"/>
      <c r="KM12" s="382"/>
      <c r="KN12" s="382"/>
      <c r="KO12" s="382"/>
      <c r="KP12" s="382"/>
      <c r="KQ12" s="382"/>
      <c r="KR12" s="382"/>
      <c r="KS12" s="382"/>
      <c r="KT12" s="382"/>
      <c r="KU12" s="382"/>
      <c r="KV12" s="382"/>
      <c r="KW12" s="382"/>
      <c r="KX12" s="382"/>
      <c r="KY12" s="382"/>
      <c r="KZ12" s="382"/>
      <c r="LA12" s="382"/>
      <c r="LB12" s="382"/>
      <c r="LC12" s="382"/>
      <c r="LD12" s="382"/>
      <c r="LE12" s="382"/>
      <c r="LF12" s="382"/>
      <c r="LG12" s="382"/>
      <c r="LH12" s="382"/>
      <c r="LI12" s="382"/>
      <c r="LJ12" s="382"/>
      <c r="LK12" s="382"/>
      <c r="LL12" s="382"/>
      <c r="LM12" s="382"/>
      <c r="LN12" s="382"/>
      <c r="LO12" s="382"/>
      <c r="LP12" s="382"/>
      <c r="LQ12" s="382"/>
      <c r="LR12" s="382"/>
      <c r="LS12" s="382"/>
      <c r="LT12" s="382"/>
      <c r="LU12" s="382"/>
      <c r="LV12" s="382"/>
      <c r="LW12" s="382"/>
      <c r="LX12" s="382"/>
      <c r="LY12" s="382"/>
      <c r="LZ12" s="382"/>
      <c r="MA12" s="382"/>
      <c r="MB12" s="382"/>
      <c r="MC12" s="382"/>
      <c r="MD12" s="382"/>
      <c r="ME12" s="382"/>
      <c r="MF12" s="382"/>
      <c r="MG12" s="382"/>
      <c r="MH12" s="382"/>
      <c r="MI12" s="382"/>
      <c r="MJ12" s="382"/>
      <c r="MK12" s="382"/>
      <c r="ML12" s="382"/>
      <c r="MM12" s="382"/>
      <c r="MN12" s="382"/>
      <c r="MO12" s="382"/>
      <c r="MP12" s="382"/>
      <c r="MQ12" s="382"/>
      <c r="MR12" s="382"/>
      <c r="MS12" s="382"/>
      <c r="MT12" s="382"/>
      <c r="MU12" s="382"/>
      <c r="MV12" s="382"/>
      <c r="MW12" s="382"/>
      <c r="MX12" s="382"/>
      <c r="MY12" s="382"/>
      <c r="MZ12" s="382"/>
      <c r="NA12" s="382"/>
      <c r="NB12" s="382"/>
      <c r="NC12" s="382"/>
      <c r="ND12" s="382"/>
      <c r="NE12" s="382"/>
      <c r="NF12" s="382"/>
      <c r="NG12" s="382"/>
      <c r="NH12" s="382"/>
      <c r="NI12" s="382"/>
      <c r="NJ12" s="388"/>
      <c r="NK12" s="34"/>
      <c r="NM12" s="163">
        <f>A12</f>
        <v>0</v>
      </c>
      <c r="NN12" s="39">
        <f ca="1">COUNTIF(INDIRECT((ADDRESS(ROW(NO13),$I$11+(MATCH(NN$11,L.DATE,0))))&amp;":"&amp;(ADDRESS(ROW(NO13),$I$11+NO$11+(MATCH(NN$11,L.DATE,0))-1))),"&gt;=0")-NO12</f>
        <v>0</v>
      </c>
      <c r="NO12" s="40">
        <f ca="1">SUM(INDIRECT((ADDRESS(ROW(NO13),$I$11+(MATCH(NN$11,L.DATE,0))))&amp;":"&amp;(ADDRESS(ROW(NO13),$I$11+NO$11+(MATCH(NN$11,L.DATE,0))-1))))</f>
        <v>0</v>
      </c>
      <c r="NP12" s="39">
        <f ca="1">COUNTIF(INDIRECT((ADDRESS(ROW(NQ13),$I$11+(MATCH(NP$11,L.DATE,0))))&amp;":"&amp;(ADDRESS(ROW(NQ13),$I$11+NQ$11+(MATCH(NP$11,L.DATE,0))-1))),"&gt;=0")-NQ12</f>
        <v>0</v>
      </c>
      <c r="NQ12" s="40">
        <f ca="1">SUM(INDIRECT((ADDRESS(ROW(NQ13),$I$11+(MATCH(NP$11,L.DATE,0))))&amp;":"&amp;(ADDRESS(ROW(NQ13),$I$11+NQ$11+(MATCH(NP$11,L.DATE,0))-1))))</f>
        <v>0</v>
      </c>
      <c r="NR12" s="39">
        <f ca="1">COUNTIF(INDIRECT((ADDRESS(ROW(NS13),$I$11+(MATCH(NR$11,L.DATE,0))))&amp;":"&amp;(ADDRESS(ROW(NS13),$I$11+NS$11+(MATCH(NR$11,L.DATE,0))-1))),"&gt;=0")-NS12</f>
        <v>0</v>
      </c>
      <c r="NS12" s="40">
        <f ca="1">SUM(INDIRECT((ADDRESS(ROW(NS13),$I$11+(MATCH(NR$11,L.DATE,0))))&amp;":"&amp;(ADDRESS(ROW(NS13),$I$11+NS$11+(MATCH(NR$11,L.DATE,0))-1))))</f>
        <v>0</v>
      </c>
      <c r="NT12" s="39">
        <f ca="1">COUNTIF(INDIRECT((ADDRESS(ROW(NU13),$I$11+(MATCH(NT$11,L.DATE,0))))&amp;":"&amp;(ADDRESS(ROW(NU13),$I$11+NU$11+(MATCH(NT$11,L.DATE,0))-1))),"&gt;=0")-NU12</f>
        <v>0</v>
      </c>
      <c r="NU12" s="40">
        <f ca="1">SUM(INDIRECT((ADDRESS(ROW(NU13),$I$11+(MATCH(NT$11,L.DATE,0))))&amp;":"&amp;(ADDRESS(ROW(NU13),$I$11+NU$11+(MATCH(NT$11,L.DATE,0))-1))))</f>
        <v>0</v>
      </c>
      <c r="NV12" s="39">
        <f ca="1">COUNTIF(INDIRECT((ADDRESS(ROW(NW13),$I$11+(MATCH(NV$11,L.DATE,0))))&amp;":"&amp;(ADDRESS(ROW(NW13),$I$11+NW$11+(MATCH(NV$11,L.DATE,0))-1))),"&gt;=0")-NW12</f>
        <v>0</v>
      </c>
      <c r="NW12" s="40">
        <f ca="1">SUM(INDIRECT((ADDRESS(ROW(NW13),$I$11+(MATCH(NV$11,L.DATE,0))))&amp;":"&amp;(ADDRESS(ROW(NW13),$I$11+NW$11+(MATCH(NV$11,L.DATE,0))-1))))</f>
        <v>0</v>
      </c>
      <c r="NX12" s="39">
        <f ca="1">COUNTIF(INDIRECT((ADDRESS(ROW(NY13),$I$11+(MATCH(NX$11,L.DATE,0))))&amp;":"&amp;(ADDRESS(ROW(NY13),$I$11+NY$11+(MATCH(NX$11,L.DATE,0))-1))),"&gt;=0")-NY12</f>
        <v>0</v>
      </c>
      <c r="NY12" s="40">
        <f ca="1">SUM(INDIRECT((ADDRESS(ROW(NY13),$I$11+(MATCH(NX$11,L.DATE,0))))&amp;":"&amp;(ADDRESS(ROW(NY13),$I$11+NY$11+(MATCH(NX$11,L.DATE,0))-1))))</f>
        <v>0</v>
      </c>
      <c r="NZ12" s="39">
        <f ca="1">COUNTIF(INDIRECT((ADDRESS(ROW(OA13),$I$11+(MATCH(NZ$11,L.DATE,0))))&amp;":"&amp;(ADDRESS(ROW(OA13),$I$11+OA$11+(MATCH(NZ$11,L.DATE,0))-1))),"&gt;=0")-OA12</f>
        <v>0</v>
      </c>
      <c r="OA12" s="40">
        <f ca="1">SUM(INDIRECT((ADDRESS(ROW(OA13),$I$11+(MATCH(NZ$11,L.DATE,0))))&amp;":"&amp;(ADDRESS(ROW(OA13),$I$11+OA$11+(MATCH(NZ$11,L.DATE,0))-1))))</f>
        <v>0</v>
      </c>
      <c r="OB12" s="39">
        <f ca="1">COUNTIF(INDIRECT((ADDRESS(ROW(OC13),$I$11+(MATCH(OB$11,L.DATE,0))))&amp;":"&amp;(ADDRESS(ROW(OC13),$I$11+OC$11+(MATCH(OB$11,L.DATE,0))-1))),"&gt;=0")-OC12</f>
        <v>0</v>
      </c>
      <c r="OC12" s="40">
        <f ca="1">SUM(INDIRECT((ADDRESS(ROW(OC13),$I$11+(MATCH(OB$11,L.DATE,0))))&amp;":"&amp;(ADDRESS(ROW(OC13),$I$11+OC$11+(MATCH(OB$11,L.DATE,0))-1))))</f>
        <v>0</v>
      </c>
      <c r="OD12" s="39">
        <f ca="1">COUNTIF(INDIRECT((ADDRESS(ROW(OE13),$I$11+(MATCH(OD$11,L.DATE,0))))&amp;":"&amp;(ADDRESS(ROW(OE13),$I$11+OE$11+(MATCH(OD$11,L.DATE,0))-1))),"&gt;=0")-OE12</f>
        <v>0</v>
      </c>
      <c r="OE12" s="40">
        <f ca="1">SUM(INDIRECT((ADDRESS(ROW(OE13),$I$11+(MATCH(OD$11,L.DATE,0))))&amp;":"&amp;(ADDRESS(ROW(OE13),$I$11+OE$11+(MATCH(OD$11,L.DATE,0))-1))))</f>
        <v>0</v>
      </c>
      <c r="OF12" s="39">
        <f ca="1">COUNTIF(INDIRECT((ADDRESS(ROW(OG13),$I$11+(MATCH(OF$11,L.DATE,0))))&amp;":"&amp;(ADDRESS(ROW(OG13),$I$11+OG$11+(MATCH(OF$11,L.DATE,0))-1))),"&gt;=0")-OG12</f>
        <v>0</v>
      </c>
      <c r="OG12" s="40">
        <f ca="1">SUM(INDIRECT((ADDRESS(ROW(OG13),$I$11+(MATCH(OF$11,L.DATE,0))))&amp;":"&amp;(ADDRESS(ROW(OG13),$I$11+OG$11+(MATCH(OF$11,L.DATE,0))-1))))</f>
        <v>0</v>
      </c>
      <c r="OH12" s="39">
        <f ca="1">COUNTIF(INDIRECT((ADDRESS(ROW(OI13),$I$11+(MATCH(OH$11,L.DATE,0))))&amp;":"&amp;(ADDRESS(ROW(OI13),$I$11+OI$11+(MATCH(OH$11,L.DATE,0))-1))),"&gt;=0")-OI12</f>
        <v>0</v>
      </c>
      <c r="OI12" s="40">
        <f ca="1">SUM(INDIRECT((ADDRESS(ROW(OI13),$I$11+(MATCH(OH$11,L.DATE,0))))&amp;":"&amp;(ADDRESS(ROW(OI13),$I$11+OI$11+(MATCH(OH$11,L.DATE,0))-1))))</f>
        <v>0</v>
      </c>
      <c r="OJ12" s="39">
        <f ca="1">COUNTIF(INDIRECT((ADDRESS(ROW(OK13),$I$11+(MATCH(OJ$11,L.DATE,0))))&amp;":"&amp;(ADDRESS(ROW(OK13),$I$11+OK$11+(MATCH(OJ$11,L.DATE,0))-1))),"&gt;=0")-OK12</f>
        <v>0</v>
      </c>
      <c r="OK12" s="164">
        <f ca="1">SUM(INDIRECT((ADDRESS(ROW(OK13),$I$11+(MATCH(OJ$11,L.DATE,0))))&amp;":"&amp;(ADDRESS(ROW(OK13),$I$11+OK$11+(MATCH(OJ$11,L.DATE,0))-1))))</f>
        <v>0</v>
      </c>
      <c r="OM12" s="39">
        <f ca="1">NN12+NP12+NR12+NT12+NV12+NX12+NZ12+OB12+OD12+OF12+OJ12+OH12</f>
        <v>0</v>
      </c>
      <c r="ON12" s="40">
        <f ca="1">NO12+NQ12+NS12+NU12+NW12+NY12+OA12+OC12+OE12+OG12+OK12+OI12</f>
        <v>0</v>
      </c>
    </row>
    <row r="13" spans="1:404" x14ac:dyDescent="0.3">
      <c r="A13" s="33"/>
      <c r="B13" s="16">
        <f t="shared" ref="B13:H13" si="19">B12</f>
        <v>0</v>
      </c>
      <c r="C13" s="16">
        <f t="shared" si="19"/>
        <v>0</v>
      </c>
      <c r="D13" s="16">
        <f t="shared" si="19"/>
        <v>0</v>
      </c>
      <c r="E13" s="16">
        <f t="shared" si="19"/>
        <v>0</v>
      </c>
      <c r="F13" s="16">
        <f t="shared" si="19"/>
        <v>0</v>
      </c>
      <c r="G13" s="105">
        <f t="shared" si="19"/>
        <v>0</v>
      </c>
      <c r="H13" s="109">
        <f t="shared" si="19"/>
        <v>2</v>
      </c>
      <c r="I13" s="28"/>
      <c r="J13" s="382"/>
      <c r="K13" s="383"/>
      <c r="L13" s="386"/>
      <c r="M13" s="384"/>
      <c r="N13" s="382"/>
      <c r="O13" s="382"/>
      <c r="P13" s="382"/>
      <c r="Q13" s="382"/>
      <c r="R13" s="382"/>
      <c r="S13" s="382"/>
      <c r="T13" s="382"/>
      <c r="U13" s="382"/>
      <c r="V13" s="382"/>
      <c r="W13" s="382"/>
      <c r="X13" s="382"/>
      <c r="Y13" s="382"/>
      <c r="Z13" s="382"/>
      <c r="AA13" s="382"/>
      <c r="AB13" s="382"/>
      <c r="AC13" s="382"/>
      <c r="AD13" s="382"/>
      <c r="AE13" s="382"/>
      <c r="AF13" s="382"/>
      <c r="AG13" s="382"/>
      <c r="AH13" s="382"/>
      <c r="AI13" s="382"/>
      <c r="AJ13" s="382"/>
      <c r="AK13" s="382"/>
      <c r="AL13" s="382"/>
      <c r="AM13" s="382"/>
      <c r="AN13" s="382"/>
      <c r="AO13" s="382"/>
      <c r="AP13" s="382"/>
      <c r="AQ13" s="382"/>
      <c r="AR13" s="382"/>
      <c r="AS13" s="382"/>
      <c r="AT13" s="382"/>
      <c r="AU13" s="382"/>
      <c r="AV13" s="382"/>
      <c r="AW13" s="382"/>
      <c r="AX13" s="382"/>
      <c r="AY13" s="382"/>
      <c r="AZ13" s="382"/>
      <c r="BA13" s="382"/>
      <c r="BB13" s="382"/>
      <c r="BC13" s="382"/>
      <c r="BD13" s="382"/>
      <c r="BE13" s="382"/>
      <c r="BF13" s="382"/>
      <c r="BG13" s="382"/>
      <c r="BH13" s="382"/>
      <c r="BI13" s="382"/>
      <c r="BJ13" s="382"/>
      <c r="BK13" s="382"/>
      <c r="BL13" s="382"/>
      <c r="BM13" s="382"/>
      <c r="BN13" s="382"/>
      <c r="BO13" s="382"/>
      <c r="BP13" s="382"/>
      <c r="BQ13" s="382"/>
      <c r="BR13" s="382"/>
      <c r="BS13" s="382"/>
      <c r="BT13" s="382"/>
      <c r="BU13" s="382"/>
      <c r="BV13" s="382"/>
      <c r="BW13" s="382"/>
      <c r="BX13" s="382"/>
      <c r="BY13" s="382"/>
      <c r="BZ13" s="382"/>
      <c r="CA13" s="382"/>
      <c r="CB13" s="382"/>
      <c r="CC13" s="382"/>
      <c r="CD13" s="382"/>
      <c r="CE13" s="382"/>
      <c r="CF13" s="382"/>
      <c r="CG13" s="382"/>
      <c r="CH13" s="382"/>
      <c r="CI13" s="382"/>
      <c r="CJ13" s="382"/>
      <c r="CK13" s="382"/>
      <c r="CL13" s="382"/>
      <c r="CM13" s="382"/>
      <c r="CN13" s="382"/>
      <c r="CO13" s="382"/>
      <c r="CP13" s="382"/>
      <c r="CQ13" s="382"/>
      <c r="CR13" s="382"/>
      <c r="CS13" s="382"/>
      <c r="CT13" s="382"/>
      <c r="CU13" s="382"/>
      <c r="CV13" s="382"/>
      <c r="CW13" s="382"/>
      <c r="CX13" s="382"/>
      <c r="CY13" s="382"/>
      <c r="CZ13" s="382"/>
      <c r="DA13" s="382"/>
      <c r="DB13" s="382"/>
      <c r="DC13" s="382"/>
      <c r="DD13" s="382"/>
      <c r="DE13" s="382"/>
      <c r="DF13" s="382"/>
      <c r="DG13" s="382"/>
      <c r="DH13" s="382"/>
      <c r="DI13" s="382"/>
      <c r="DJ13" s="382"/>
      <c r="DK13" s="382"/>
      <c r="DL13" s="382"/>
      <c r="DM13" s="382"/>
      <c r="DN13" s="382"/>
      <c r="DO13" s="382"/>
      <c r="DP13" s="382"/>
      <c r="DQ13" s="382"/>
      <c r="DR13" s="382"/>
      <c r="DS13" s="382"/>
      <c r="DT13" s="382"/>
      <c r="DU13" s="382"/>
      <c r="DV13" s="382"/>
      <c r="DW13" s="382"/>
      <c r="DX13" s="382"/>
      <c r="DY13" s="382"/>
      <c r="DZ13" s="382"/>
      <c r="EA13" s="382"/>
      <c r="EB13" s="382"/>
      <c r="EC13" s="382"/>
      <c r="ED13" s="382"/>
      <c r="EE13" s="382"/>
      <c r="EF13" s="382"/>
      <c r="EG13" s="382"/>
      <c r="EH13" s="382"/>
      <c r="EI13" s="382"/>
      <c r="EJ13" s="382"/>
      <c r="EK13" s="382"/>
      <c r="EL13" s="382"/>
      <c r="EM13" s="382"/>
      <c r="EN13" s="382"/>
      <c r="EO13" s="382"/>
      <c r="EP13" s="382"/>
      <c r="EQ13" s="382"/>
      <c r="ER13" s="382"/>
      <c r="ES13" s="382"/>
      <c r="ET13" s="382"/>
      <c r="EU13" s="382"/>
      <c r="EV13" s="382"/>
      <c r="EW13" s="382"/>
      <c r="EX13" s="382"/>
      <c r="EY13" s="382"/>
      <c r="EZ13" s="382"/>
      <c r="FA13" s="382"/>
      <c r="FB13" s="382"/>
      <c r="FC13" s="382"/>
      <c r="FD13" s="382"/>
      <c r="FE13" s="382"/>
      <c r="FF13" s="382"/>
      <c r="FG13" s="382"/>
      <c r="FH13" s="382"/>
      <c r="FI13" s="382"/>
      <c r="FJ13" s="382"/>
      <c r="FK13" s="382"/>
      <c r="FL13" s="382"/>
      <c r="FM13" s="382"/>
      <c r="FN13" s="382"/>
      <c r="FO13" s="382"/>
      <c r="FP13" s="382"/>
      <c r="FQ13" s="382"/>
      <c r="FR13" s="382"/>
      <c r="FS13" s="382"/>
      <c r="FT13" s="382"/>
      <c r="FU13" s="382"/>
      <c r="FV13" s="382"/>
      <c r="FW13" s="382"/>
      <c r="FX13" s="382"/>
      <c r="FY13" s="382"/>
      <c r="FZ13" s="382"/>
      <c r="GA13" s="382"/>
      <c r="GB13" s="382"/>
      <c r="GC13" s="382"/>
      <c r="GD13" s="382"/>
      <c r="GE13" s="382"/>
      <c r="GF13" s="382"/>
      <c r="GG13" s="382"/>
      <c r="GH13" s="382"/>
      <c r="GI13" s="382"/>
      <c r="GJ13" s="382"/>
      <c r="GK13" s="382"/>
      <c r="GL13" s="382"/>
      <c r="GM13" s="382"/>
      <c r="GN13" s="382"/>
      <c r="GO13" s="382"/>
      <c r="GP13" s="382"/>
      <c r="GQ13" s="382"/>
      <c r="GR13" s="382"/>
      <c r="GS13" s="382"/>
      <c r="GT13" s="382"/>
      <c r="GU13" s="382"/>
      <c r="GV13" s="382"/>
      <c r="GW13" s="382"/>
      <c r="GX13" s="382"/>
      <c r="GY13" s="382"/>
      <c r="GZ13" s="382"/>
      <c r="HA13" s="382"/>
      <c r="HB13" s="382"/>
      <c r="HC13" s="382"/>
      <c r="HD13" s="382"/>
      <c r="HE13" s="382"/>
      <c r="HF13" s="382"/>
      <c r="HG13" s="382"/>
      <c r="HH13" s="382"/>
      <c r="HI13" s="382"/>
      <c r="HJ13" s="382"/>
      <c r="HK13" s="382"/>
      <c r="HL13" s="382"/>
      <c r="HM13" s="382"/>
      <c r="HN13" s="382"/>
      <c r="HO13" s="382"/>
      <c r="HP13" s="382"/>
      <c r="HQ13" s="382"/>
      <c r="HR13" s="382"/>
      <c r="HS13" s="382"/>
      <c r="HT13" s="382"/>
      <c r="HU13" s="382"/>
      <c r="HV13" s="382"/>
      <c r="HW13" s="382"/>
      <c r="HX13" s="382"/>
      <c r="HY13" s="382"/>
      <c r="HZ13" s="382"/>
      <c r="IA13" s="382"/>
      <c r="IB13" s="382"/>
      <c r="IC13" s="382"/>
      <c r="ID13" s="382"/>
      <c r="IE13" s="382"/>
      <c r="IF13" s="382"/>
      <c r="IG13" s="382"/>
      <c r="IH13" s="382"/>
      <c r="II13" s="382"/>
      <c r="IJ13" s="382"/>
      <c r="IK13" s="382"/>
      <c r="IL13" s="382"/>
      <c r="IM13" s="382"/>
      <c r="IN13" s="382"/>
      <c r="IO13" s="382"/>
      <c r="IP13" s="382"/>
      <c r="IQ13" s="382"/>
      <c r="IR13" s="382"/>
      <c r="IS13" s="382"/>
      <c r="IT13" s="382"/>
      <c r="IU13" s="382"/>
      <c r="IV13" s="382"/>
      <c r="IW13" s="382"/>
      <c r="IX13" s="382"/>
      <c r="IY13" s="382"/>
      <c r="IZ13" s="382"/>
      <c r="JA13" s="382"/>
      <c r="JB13" s="382"/>
      <c r="JC13" s="382"/>
      <c r="JD13" s="382"/>
      <c r="JE13" s="382"/>
      <c r="JF13" s="382"/>
      <c r="JG13" s="382"/>
      <c r="JH13" s="382"/>
      <c r="JI13" s="382"/>
      <c r="JJ13" s="382"/>
      <c r="JK13" s="382"/>
      <c r="JL13" s="382"/>
      <c r="JM13" s="382"/>
      <c r="JN13" s="382"/>
      <c r="JO13" s="382"/>
      <c r="JP13" s="382"/>
      <c r="JQ13" s="382"/>
      <c r="JR13" s="382"/>
      <c r="JS13" s="382"/>
      <c r="JT13" s="382"/>
      <c r="JU13" s="382"/>
      <c r="JV13" s="382"/>
      <c r="JW13" s="382"/>
      <c r="JX13" s="382"/>
      <c r="JY13" s="382"/>
      <c r="JZ13" s="382"/>
      <c r="KA13" s="382"/>
      <c r="KB13" s="382"/>
      <c r="KC13" s="382"/>
      <c r="KD13" s="382"/>
      <c r="KE13" s="382"/>
      <c r="KF13" s="382"/>
      <c r="KG13" s="382"/>
      <c r="KH13" s="382"/>
      <c r="KI13" s="382"/>
      <c r="KJ13" s="382"/>
      <c r="KK13" s="382"/>
      <c r="KL13" s="382"/>
      <c r="KM13" s="382"/>
      <c r="KN13" s="382"/>
      <c r="KO13" s="382"/>
      <c r="KP13" s="382"/>
      <c r="KQ13" s="382"/>
      <c r="KR13" s="382"/>
      <c r="KS13" s="382"/>
      <c r="KT13" s="382"/>
      <c r="KU13" s="382"/>
      <c r="KV13" s="382"/>
      <c r="KW13" s="382"/>
      <c r="KX13" s="382"/>
      <c r="KY13" s="382"/>
      <c r="KZ13" s="382"/>
      <c r="LA13" s="382"/>
      <c r="LB13" s="382"/>
      <c r="LC13" s="382"/>
      <c r="LD13" s="382"/>
      <c r="LE13" s="382"/>
      <c r="LF13" s="382"/>
      <c r="LG13" s="382"/>
      <c r="LH13" s="382"/>
      <c r="LI13" s="382"/>
      <c r="LJ13" s="382"/>
      <c r="LK13" s="382"/>
      <c r="LL13" s="382"/>
      <c r="LM13" s="382"/>
      <c r="LN13" s="382"/>
      <c r="LO13" s="382"/>
      <c r="LP13" s="382"/>
      <c r="LQ13" s="382"/>
      <c r="LR13" s="382"/>
      <c r="LS13" s="382"/>
      <c r="LT13" s="382"/>
      <c r="LU13" s="382"/>
      <c r="LV13" s="382"/>
      <c r="LW13" s="382"/>
      <c r="LX13" s="382"/>
      <c r="LY13" s="382"/>
      <c r="LZ13" s="382"/>
      <c r="MA13" s="382"/>
      <c r="MB13" s="382"/>
      <c r="MC13" s="382"/>
      <c r="MD13" s="382"/>
      <c r="ME13" s="382"/>
      <c r="MF13" s="382"/>
      <c r="MG13" s="382"/>
      <c r="MH13" s="382"/>
      <c r="MI13" s="382"/>
      <c r="MJ13" s="382"/>
      <c r="MK13" s="382"/>
      <c r="ML13" s="382"/>
      <c r="MM13" s="382"/>
      <c r="MN13" s="382"/>
      <c r="MO13" s="382"/>
      <c r="MP13" s="382"/>
      <c r="MQ13" s="382"/>
      <c r="MR13" s="382"/>
      <c r="MS13" s="382"/>
      <c r="MT13" s="382"/>
      <c r="MU13" s="382"/>
      <c r="MV13" s="382"/>
      <c r="MW13" s="382"/>
      <c r="MX13" s="382"/>
      <c r="MY13" s="382"/>
      <c r="MZ13" s="382"/>
      <c r="NA13" s="382"/>
      <c r="NB13" s="382"/>
      <c r="NC13" s="382"/>
      <c r="ND13" s="382"/>
      <c r="NE13" s="382"/>
      <c r="NF13" s="382"/>
      <c r="NG13" s="382"/>
      <c r="NH13" s="382"/>
      <c r="NI13" s="382"/>
      <c r="NJ13" s="388"/>
      <c r="NK13" s="34"/>
      <c r="NM13" s="380" t="str">
        <f>NM12&amp;".b"</f>
        <v>0.b</v>
      </c>
      <c r="NN13" s="371" t="str" cm="1">
        <f t="array" aca="1" ref="NN13" ca="1">IF(xcomp(INDIRECT((ADDRESS(ROW(NN12),$I$11+(MATCH(NN$11,L.DATE,0))))&amp;":"&amp;(ADDRESS(ROW(NN12),$I$11+NO$11+(MATCH(NN$11,L.DATE,0))-1))),L.ABSP)=0,"",xcomp(INDIRECT((ADDRESS(ROW(NN12),$I$11+(MATCH(NN$11,L.DATE,0))))&amp;":"&amp;(ADDRESS(ROW(NN12),$I$11+NO$11+(MATCH(NN$11,L.DATE,0))-1))),L.ABSP))</f>
        <v/>
      </c>
      <c r="NO13" s="372" t="str" cm="1">
        <f t="array" aca="1" ref="NO13" ca="1">IF(xcomp(INDIRECT((ADDRESS(ROW(NO12),$I$11+(MATCH(NN$11,L.DATE,0))))&amp;":"&amp;(ADDRESS(ROW(NO12),$I$11+NO$11+(MATCH(NN$11,L.DATE,0))-1))),L.ABS.NP)=0,"",xcomp(INDIRECT((ADDRESS(ROW(NO12),$I$11+(MATCH(NN$11,L.DATE,0))))&amp;":"&amp;(ADDRESS(ROW(NO12),$I$11+NO$11+(MATCH(NN$11,L.DATE,0))-1))),L.ABS.NP))</f>
        <v/>
      </c>
      <c r="NP13" s="371" t="str" cm="1">
        <f t="array" aca="1" ref="NP13" ca="1">IF(xcomp(INDIRECT((ADDRESS(ROW(NP12),$I$11+(MATCH(NP$11,L.DATE,0))))&amp;":"&amp;(ADDRESS(ROW(NP12),$I$11+NQ$11+(MATCH(NP$11,L.DATE,0))-1))),L.ABSP)=0,"",xcomp(INDIRECT((ADDRESS(ROW(NP12),$I$11+(MATCH(NP$11,L.DATE,0))))&amp;":"&amp;(ADDRESS(ROW(NP12),$I$11+NQ$11+(MATCH(NP$11,L.DATE,0))-1))),L.ABSP))</f>
        <v/>
      </c>
      <c r="NQ13" s="372" t="str" cm="1">
        <f t="array" aca="1" ref="NQ13" ca="1">IF(xcomp(INDIRECT((ADDRESS(ROW(NQ12),$I$11+(MATCH(NP$11,L.DATE,0))))&amp;":"&amp;(ADDRESS(ROW(NQ12),$I$11+NQ$11+(MATCH(NP$11,L.DATE,0))-1))),L.ABS.NP)=0,"",xcomp(INDIRECT((ADDRESS(ROW(NQ12),$I$11+(MATCH(NP$11,L.DATE,0))))&amp;":"&amp;(ADDRESS(ROW(NQ12),$I$11+NQ$11+(MATCH(NP$11,L.DATE,0))-1))),L.ABS.NP))</f>
        <v/>
      </c>
      <c r="NR13" s="371" t="str" cm="1">
        <f t="array" aca="1" ref="NR13" ca="1">IF(xcomp(INDIRECT((ADDRESS(ROW(NR12),$I$11+(MATCH(NR$11,L.DATE,0))))&amp;":"&amp;(ADDRESS(ROW(NR12),$I$11+NS$11+(MATCH(NR$11,L.DATE,0))-1))),L.ABSP)=0,"",xcomp(INDIRECT((ADDRESS(ROW(NR12),$I$11+(MATCH(NR$11,L.DATE,0))))&amp;":"&amp;(ADDRESS(ROW(NR12),$I$11+NS$11+(MATCH(NR$11,L.DATE,0))-1))),L.ABSP))</f>
        <v/>
      </c>
      <c r="NS13" s="372" t="str" cm="1">
        <f t="array" aca="1" ref="NS13" ca="1">IF(xcomp(INDIRECT((ADDRESS(ROW(NS12),$I$11+(MATCH(NR$11,L.DATE,0))))&amp;":"&amp;(ADDRESS(ROW(NS12),$I$11+NS$11+(MATCH(NR$11,L.DATE,0))-1))),L.ABS.NP)=0,"",xcomp(INDIRECT((ADDRESS(ROW(NS12),$I$11+(MATCH(NR$11,L.DATE,0))))&amp;":"&amp;(ADDRESS(ROW(NS12),$I$11+NS$11+(MATCH(NR$11,L.DATE,0))-1))),L.ABS.NP))</f>
        <v/>
      </c>
      <c r="NT13" s="371" t="str" cm="1">
        <f t="array" aca="1" ref="NT13" ca="1">IF(xcomp(INDIRECT((ADDRESS(ROW(NT12),$I$11+(MATCH(NT$11,L.DATE,0))))&amp;":"&amp;(ADDRESS(ROW(NT12),$I$11+NU$11+(MATCH(NT$11,L.DATE,0))-1))),L.ABSP)=0,"",xcomp(INDIRECT((ADDRESS(ROW(NT12),$I$11+(MATCH(NT$11,L.DATE,0))))&amp;":"&amp;(ADDRESS(ROW(NT12),$I$11+NU$11+(MATCH(NT$11,L.DATE,0))-1))),L.ABSP))</f>
        <v/>
      </c>
      <c r="NU13" s="372" t="str" cm="1">
        <f t="array" aca="1" ref="NU13" ca="1">IF(xcomp(INDIRECT((ADDRESS(ROW(NU12),$I$11+(MATCH(NT$11,L.DATE,0))))&amp;":"&amp;(ADDRESS(ROW(NU12),$I$11+NU$11+(MATCH(NT$11,L.DATE,0))-1))),L.ABS.NP)=0,"",xcomp(INDIRECT((ADDRESS(ROW(NU12),$I$11+(MATCH(NT$11,L.DATE,0))))&amp;":"&amp;(ADDRESS(ROW(NU12),$I$11+NU$11+(MATCH(NT$11,L.DATE,0))-1))),L.ABS.NP))</f>
        <v/>
      </c>
      <c r="NV13" s="371" t="str" cm="1">
        <f t="array" aca="1" ref="NV13" ca="1">IF(xcomp(INDIRECT((ADDRESS(ROW(NV12),$I$11+(MATCH(NV$11,L.DATE,0))))&amp;":"&amp;(ADDRESS(ROW(NV12),$I$11+NW$11+(MATCH(NV$11,L.DATE,0))-1))),L.ABSP)=0,"",xcomp(INDIRECT((ADDRESS(ROW(NV12),$I$11+(MATCH(NV$11,L.DATE,0))))&amp;":"&amp;(ADDRESS(ROW(NV12),$I$11+NW$11+(MATCH(NV$11,L.DATE,0))-1))),L.ABSP))</f>
        <v/>
      </c>
      <c r="NW13" s="372" t="str" cm="1">
        <f t="array" aca="1" ref="NW13" ca="1">IF(xcomp(INDIRECT((ADDRESS(ROW(NW12),$I$11+(MATCH(NV$11,L.DATE,0))))&amp;":"&amp;(ADDRESS(ROW(NW12),$I$11+NW$11+(MATCH(NV$11,L.DATE,0))-1))),L.ABS.NP)=0,"",xcomp(INDIRECT((ADDRESS(ROW(NW12),$I$11+(MATCH(NV$11,L.DATE,0))))&amp;":"&amp;(ADDRESS(ROW(NW12),$I$11+NW$11+(MATCH(NV$11,L.DATE,0))-1))),L.ABS.NP))</f>
        <v/>
      </c>
      <c r="NX13" s="371" t="str" cm="1">
        <f t="array" aca="1" ref="NX13" ca="1">IF(xcomp(INDIRECT((ADDRESS(ROW(NX12),$I$11+(MATCH(NX$11,L.DATE,0))))&amp;":"&amp;(ADDRESS(ROW(NX12),$I$11+NY$11+(MATCH(NX$11,L.DATE,0))-1))),L.ABSP)=0,"",xcomp(INDIRECT((ADDRESS(ROW(NX12),$I$11+(MATCH(NX$11,L.DATE,0))))&amp;":"&amp;(ADDRESS(ROW(NX12),$I$11+NY$11+(MATCH(NX$11,L.DATE,0))-1))),L.ABSP))</f>
        <v/>
      </c>
      <c r="NY13" s="372" t="str" cm="1">
        <f t="array" aca="1" ref="NY13" ca="1">IF(xcomp(INDIRECT((ADDRESS(ROW(NY12),$I$11+(MATCH(NX$11,L.DATE,0))))&amp;":"&amp;(ADDRESS(ROW(NY12),$I$11+NY$11+(MATCH(NX$11,L.DATE,0))-1))),L.ABS.NP)=0,"",xcomp(INDIRECT((ADDRESS(ROW(NY12),$I$11+(MATCH(NX$11,L.DATE,0))))&amp;":"&amp;(ADDRESS(ROW(NY12),$I$11+NY$11+(MATCH(NX$11,L.DATE,0))-1))),L.ABS.NP))</f>
        <v/>
      </c>
      <c r="NZ13" s="371" t="str" cm="1">
        <f t="array" aca="1" ref="NZ13" ca="1">IF(xcomp(INDIRECT((ADDRESS(ROW(NZ12),$I$11+(MATCH(NZ$11,L.DATE,0))))&amp;":"&amp;(ADDRESS(ROW(NZ12),$I$11+OA$11+(MATCH(NZ$11,L.DATE,0))-1))),L.ABSP)=0,"",xcomp(INDIRECT((ADDRESS(ROW(NZ12),$I$11+(MATCH(NZ$11,L.DATE,0))))&amp;":"&amp;(ADDRESS(ROW(NZ12),$I$11+OA$11+(MATCH(NZ$11,L.DATE,0))-1))),L.ABSP))</f>
        <v/>
      </c>
      <c r="OA13" s="372" t="str" cm="1">
        <f t="array" aca="1" ref="OA13" ca="1">IF(xcomp(INDIRECT((ADDRESS(ROW(OA12),$I$11+(MATCH(NZ$11,L.DATE,0))))&amp;":"&amp;(ADDRESS(ROW(OA12),$I$11+OA$11+(MATCH(NZ$11,L.DATE,0))-1))),L.ABS.NP)=0,"",xcomp(INDIRECT((ADDRESS(ROW(OA12),$I$11+(MATCH(NZ$11,L.DATE,0))))&amp;":"&amp;(ADDRESS(ROW(OA12),$I$11+OA$11+(MATCH(NZ$11,L.DATE,0))-1))),L.ABS.NP))</f>
        <v/>
      </c>
      <c r="OB13" s="371" t="str" cm="1">
        <f t="array" aca="1" ref="OB13" ca="1">IF(xcomp(INDIRECT((ADDRESS(ROW(OB12),$I$11+(MATCH(OB$11,L.DATE,0))))&amp;":"&amp;(ADDRESS(ROW(OB12),$I$11+OC$11+(MATCH(OB$11,L.DATE,0))-1))),L.ABSP)=0,"",xcomp(INDIRECT((ADDRESS(ROW(OB12),$I$11+(MATCH(OB$11,L.DATE,0))))&amp;":"&amp;(ADDRESS(ROW(OB12),$I$11+OC$11+(MATCH(OB$11,L.DATE,0))-1))),L.ABSP))</f>
        <v/>
      </c>
      <c r="OC13" s="372" t="str" cm="1">
        <f t="array" aca="1" ref="OC13" ca="1">IF(xcomp(INDIRECT((ADDRESS(ROW(OC12),$I$11+(MATCH(OB$11,L.DATE,0))))&amp;":"&amp;(ADDRESS(ROW(OC12),$I$11+OC$11+(MATCH(OB$11,L.DATE,0))-1))),L.ABS.NP)=0,"",xcomp(INDIRECT((ADDRESS(ROW(OC12),$I$11+(MATCH(OB$11,L.DATE,0))))&amp;":"&amp;(ADDRESS(ROW(OC12),$I$11+OC$11+(MATCH(OB$11,L.DATE,0))-1))),L.ABS.NP))</f>
        <v/>
      </c>
      <c r="OD13" s="371" t="str" cm="1">
        <f t="array" aca="1" ref="OD13" ca="1">IF(xcomp(INDIRECT((ADDRESS(ROW(OD12),$I$11+(MATCH(OD$11,L.DATE,0))))&amp;":"&amp;(ADDRESS(ROW(OD12),$I$11+OE$11+(MATCH(OD$11,L.DATE,0))-1))),L.ABSP)=0,"",xcomp(INDIRECT((ADDRESS(ROW(OD12),$I$11+(MATCH(OD$11,L.DATE,0))))&amp;":"&amp;(ADDRESS(ROW(OD12),$I$11+OE$11+(MATCH(OD$11,L.DATE,0))-1))),L.ABSP))</f>
        <v/>
      </c>
      <c r="OE13" s="372" t="str" cm="1">
        <f t="array" aca="1" ref="OE13" ca="1">IF(xcomp(INDIRECT((ADDRESS(ROW(OE12),$I$11+(MATCH(OD$11,L.DATE,0))))&amp;":"&amp;(ADDRESS(ROW(OE12),$I$11+OE$11+(MATCH(OD$11,L.DATE,0))-1))),L.ABS.NP)=0,"",xcomp(INDIRECT((ADDRESS(ROW(OE12),$I$11+(MATCH(OD$11,L.DATE,0))))&amp;":"&amp;(ADDRESS(ROW(OE12),$I$11+OE$11+(MATCH(OD$11,L.DATE,0))-1))),L.ABS.NP))</f>
        <v/>
      </c>
      <c r="OF13" s="371" t="str" cm="1">
        <f t="array" aca="1" ref="OF13" ca="1">IF(xcomp(INDIRECT((ADDRESS(ROW(OF12),$I$11+(MATCH(OF$11,L.DATE,0))))&amp;":"&amp;(ADDRESS(ROW(OF12),$I$11+OG$11+(MATCH(OF$11,L.DATE,0))-1))),L.ABSP)=0,"",xcomp(INDIRECT((ADDRESS(ROW(OF12),$I$11+(MATCH(OF$11,L.DATE,0))))&amp;":"&amp;(ADDRESS(ROW(OF12),$I$11+OG$11+(MATCH(OF$11,L.DATE,0))-1))),L.ABSP))</f>
        <v/>
      </c>
      <c r="OG13" s="372" t="str" cm="1">
        <f t="array" aca="1" ref="OG13" ca="1">IF(xcomp(INDIRECT((ADDRESS(ROW(OG12),$I$11+(MATCH(OF$11,L.DATE,0))))&amp;":"&amp;(ADDRESS(ROW(OG12),$I$11+OG$11+(MATCH(OF$11,L.DATE,0))-1))),L.ABS.NP)=0,"",xcomp(INDIRECT((ADDRESS(ROW(OG12),$I$11+(MATCH(OF$11,L.DATE,0))))&amp;":"&amp;(ADDRESS(ROW(OG12),$I$11+OG$11+(MATCH(OF$11,L.DATE,0))-1))),L.ABS.NP))</f>
        <v/>
      </c>
      <c r="OH13" s="371" t="str" cm="1">
        <f t="array" aca="1" ref="OH13" ca="1">IF(xcomp(INDIRECT((ADDRESS(ROW(OH12),$I$11+(MATCH(OH$11,L.DATE,0))))&amp;":"&amp;(ADDRESS(ROW(OH12),$I$11+OI$11+(MATCH(OH$11,L.DATE,0))-1))),L.ABSP)=0,"",xcomp(INDIRECT((ADDRESS(ROW(OH12),$I$11+(MATCH(OH$11,L.DATE,0))))&amp;":"&amp;(ADDRESS(ROW(OH12),$I$11+OI$11+(MATCH(OH$11,L.DATE,0))-1))),L.ABSP))</f>
        <v/>
      </c>
      <c r="OI13" s="372" t="str" cm="1">
        <f t="array" aca="1" ref="OI13" ca="1">IF(xcomp(INDIRECT((ADDRESS(ROW(OI12),$I$11+(MATCH(OH$11,L.DATE,0))))&amp;":"&amp;(ADDRESS(ROW(OI12),$I$11+OI$11+(MATCH(OH$11,L.DATE,0))-1))),L.ABS.NP)=0,"",xcomp(INDIRECT((ADDRESS(ROW(OI12),$I$11+(MATCH(OH$11,L.DATE,0))))&amp;":"&amp;(ADDRESS(ROW(OI12),$I$11+OI$11+(MATCH(OH$11,L.DATE,0))-1))),L.ABS.NP))</f>
        <v/>
      </c>
      <c r="OJ13" s="371" t="str" cm="1">
        <f t="array" aca="1" ref="OJ13" ca="1">IF(xcomp(INDIRECT((ADDRESS(ROW(OJ12),$I$11+(MATCH(OJ$11,L.DATE,0))))&amp;":"&amp;(ADDRESS(ROW(OJ12),$I$11+OK$11+(MATCH(OJ$11,L.DATE,0))-1))),L.ABSP)=0,"",xcomp(INDIRECT((ADDRESS(ROW(OJ12),$I$11+(MATCH(OJ$11,L.DATE,0))))&amp;":"&amp;(ADDRESS(ROW(OJ12),$I$11+OK$11+(MATCH(OJ$11,L.DATE,0))-1))),L.ABSP))</f>
        <v/>
      </c>
      <c r="OK13" s="372" t="str" cm="1">
        <f t="array" aca="1" ref="OK13" ca="1">IF(xcomp(INDIRECT((ADDRESS(ROW(OK12),$I$11+(MATCH(OJ$11,L.DATE,0))))&amp;":"&amp;(ADDRESS(ROW(OK12),$I$11+OK$11+(MATCH(OJ$11,L.DATE,0))-1))),L.ABS.NP)=0,"",xcomp(INDIRECT((ADDRESS(ROW(OK12),$I$11+(MATCH(OJ$11,L.DATE,0))))&amp;":"&amp;(ADDRESS(ROW(OK12),$I$11+OK$11+(MATCH(OJ$11,L.DATE,0))-1))),L.ABS.NP))</f>
        <v/>
      </c>
    </row>
    <row r="14" spans="1:404" ht="12" customHeight="1" x14ac:dyDescent="0.3">
      <c r="A14" s="394">
        <v>0</v>
      </c>
      <c r="B14" s="381"/>
      <c r="C14" s="53"/>
      <c r="D14" s="392"/>
      <c r="E14" s="53"/>
      <c r="F14" s="53"/>
      <c r="G14" s="104"/>
      <c r="H14" s="108">
        <v>2</v>
      </c>
      <c r="I14" s="28"/>
      <c r="J14" s="382"/>
      <c r="K14" s="387"/>
      <c r="L14" s="387"/>
      <c r="M14" s="382"/>
      <c r="N14" s="382"/>
      <c r="O14" s="382"/>
      <c r="P14" s="382"/>
      <c r="Q14" s="382"/>
      <c r="R14" s="382"/>
      <c r="S14" s="382"/>
      <c r="T14" s="382"/>
      <c r="U14" s="382"/>
      <c r="V14" s="382"/>
      <c r="W14" s="382"/>
      <c r="X14" s="382"/>
      <c r="Y14" s="382"/>
      <c r="Z14" s="382"/>
      <c r="AA14" s="382"/>
      <c r="AB14" s="382"/>
      <c r="AC14" s="382"/>
      <c r="AD14" s="382"/>
      <c r="AE14" s="382"/>
      <c r="AF14" s="382"/>
      <c r="AG14" s="382"/>
      <c r="AH14" s="382"/>
      <c r="AI14" s="382"/>
      <c r="AJ14" s="382"/>
      <c r="AK14" s="382"/>
      <c r="AL14" s="382"/>
      <c r="AM14" s="382"/>
      <c r="AN14" s="382"/>
      <c r="AO14" s="382"/>
      <c r="AP14" s="382"/>
      <c r="AQ14" s="382"/>
      <c r="AR14" s="382"/>
      <c r="AS14" s="382"/>
      <c r="AT14" s="382"/>
      <c r="AU14" s="382"/>
      <c r="AV14" s="382"/>
      <c r="AW14" s="382"/>
      <c r="AX14" s="382"/>
      <c r="AY14" s="382"/>
      <c r="AZ14" s="382"/>
      <c r="BA14" s="382"/>
      <c r="BB14" s="382"/>
      <c r="BC14" s="382"/>
      <c r="BD14" s="382"/>
      <c r="BE14" s="382"/>
      <c r="BF14" s="382"/>
      <c r="BG14" s="382"/>
      <c r="BH14" s="382"/>
      <c r="BI14" s="382"/>
      <c r="BJ14" s="382"/>
      <c r="BK14" s="382"/>
      <c r="BL14" s="382"/>
      <c r="BM14" s="382"/>
      <c r="BN14" s="382"/>
      <c r="BO14" s="382"/>
      <c r="BP14" s="382"/>
      <c r="BQ14" s="382"/>
      <c r="BR14" s="382"/>
      <c r="BS14" s="382"/>
      <c r="BT14" s="382"/>
      <c r="BU14" s="382"/>
      <c r="BV14" s="382"/>
      <c r="BW14" s="382"/>
      <c r="BX14" s="382"/>
      <c r="BY14" s="382"/>
      <c r="BZ14" s="382"/>
      <c r="CA14" s="382"/>
      <c r="CB14" s="382"/>
      <c r="CC14" s="382"/>
      <c r="CD14" s="382"/>
      <c r="CE14" s="382"/>
      <c r="CF14" s="382"/>
      <c r="CG14" s="382"/>
      <c r="CH14" s="382"/>
      <c r="CI14" s="382"/>
      <c r="CJ14" s="382"/>
      <c r="CK14" s="382"/>
      <c r="CL14" s="382"/>
      <c r="CM14" s="382"/>
      <c r="CN14" s="382"/>
      <c r="CO14" s="382"/>
      <c r="CP14" s="382"/>
      <c r="CQ14" s="382"/>
      <c r="CR14" s="382"/>
      <c r="CS14" s="382"/>
      <c r="CT14" s="382"/>
      <c r="CU14" s="382"/>
      <c r="CV14" s="382"/>
      <c r="CW14" s="382"/>
      <c r="CX14" s="382"/>
      <c r="CY14" s="382"/>
      <c r="CZ14" s="382"/>
      <c r="DA14" s="382"/>
      <c r="DB14" s="382"/>
      <c r="DC14" s="382"/>
      <c r="DD14" s="382"/>
      <c r="DE14" s="382"/>
      <c r="DF14" s="382"/>
      <c r="DG14" s="382"/>
      <c r="DH14" s="382"/>
      <c r="DI14" s="382"/>
      <c r="DJ14" s="382"/>
      <c r="DK14" s="382"/>
      <c r="DL14" s="382"/>
      <c r="DM14" s="382"/>
      <c r="DN14" s="382"/>
      <c r="DO14" s="382"/>
      <c r="DP14" s="382"/>
      <c r="DQ14" s="382"/>
      <c r="DR14" s="382"/>
      <c r="DS14" s="382"/>
      <c r="DT14" s="382"/>
      <c r="DU14" s="382"/>
      <c r="DV14" s="382"/>
      <c r="DW14" s="382"/>
      <c r="DX14" s="382"/>
      <c r="DY14" s="382"/>
      <c r="DZ14" s="382"/>
      <c r="EA14" s="382"/>
      <c r="EB14" s="382"/>
      <c r="EC14" s="382"/>
      <c r="ED14" s="382"/>
      <c r="EE14" s="382"/>
      <c r="EF14" s="382"/>
      <c r="EG14" s="382"/>
      <c r="EH14" s="382"/>
      <c r="EI14" s="382"/>
      <c r="EJ14" s="382"/>
      <c r="EK14" s="382"/>
      <c r="EL14" s="382"/>
      <c r="EM14" s="382"/>
      <c r="EN14" s="382"/>
      <c r="EO14" s="382"/>
      <c r="EP14" s="382"/>
      <c r="EQ14" s="382"/>
      <c r="ER14" s="382"/>
      <c r="ES14" s="382"/>
      <c r="ET14" s="382"/>
      <c r="EU14" s="382"/>
      <c r="EV14" s="382"/>
      <c r="EW14" s="382"/>
      <c r="EX14" s="382"/>
      <c r="EY14" s="382"/>
      <c r="EZ14" s="382"/>
      <c r="FA14" s="382"/>
      <c r="FB14" s="382"/>
      <c r="FC14" s="382"/>
      <c r="FD14" s="382"/>
      <c r="FE14" s="382"/>
      <c r="FF14" s="382"/>
      <c r="FG14" s="382"/>
      <c r="FH14" s="382"/>
      <c r="FI14" s="382"/>
      <c r="FJ14" s="382"/>
      <c r="FK14" s="382"/>
      <c r="FL14" s="382"/>
      <c r="FM14" s="382"/>
      <c r="FN14" s="382"/>
      <c r="FO14" s="382"/>
      <c r="FP14" s="382"/>
      <c r="FQ14" s="382"/>
      <c r="FR14" s="382"/>
      <c r="FS14" s="382"/>
      <c r="FT14" s="382"/>
      <c r="FU14" s="382"/>
      <c r="FV14" s="382"/>
      <c r="FW14" s="382"/>
      <c r="FX14" s="382"/>
      <c r="FY14" s="382"/>
      <c r="FZ14" s="382"/>
      <c r="GA14" s="382"/>
      <c r="GB14" s="382"/>
      <c r="GC14" s="382"/>
      <c r="GD14" s="382"/>
      <c r="GE14" s="382"/>
      <c r="GF14" s="382"/>
      <c r="GG14" s="382"/>
      <c r="GH14" s="382"/>
      <c r="GI14" s="382"/>
      <c r="GJ14" s="382"/>
      <c r="GK14" s="382"/>
      <c r="GL14" s="382"/>
      <c r="GM14" s="382"/>
      <c r="GN14" s="382"/>
      <c r="GO14" s="382"/>
      <c r="GP14" s="382"/>
      <c r="GQ14" s="382"/>
      <c r="GR14" s="382"/>
      <c r="GS14" s="382"/>
      <c r="GT14" s="382"/>
      <c r="GU14" s="382"/>
      <c r="GV14" s="382"/>
      <c r="GW14" s="382"/>
      <c r="GX14" s="382"/>
      <c r="GY14" s="382"/>
      <c r="GZ14" s="382"/>
      <c r="HA14" s="382"/>
      <c r="HB14" s="382"/>
      <c r="HC14" s="382"/>
      <c r="HD14" s="382"/>
      <c r="HE14" s="382"/>
      <c r="HF14" s="382"/>
      <c r="HG14" s="382"/>
      <c r="HH14" s="382"/>
      <c r="HI14" s="382"/>
      <c r="HJ14" s="382"/>
      <c r="HK14" s="382"/>
      <c r="HL14" s="382"/>
      <c r="HM14" s="382"/>
      <c r="HN14" s="382"/>
      <c r="HO14" s="382"/>
      <c r="HP14" s="382"/>
      <c r="HQ14" s="382"/>
      <c r="HR14" s="382"/>
      <c r="HS14" s="382"/>
      <c r="HT14" s="382"/>
      <c r="HU14" s="382"/>
      <c r="HV14" s="382"/>
      <c r="HW14" s="382"/>
      <c r="HX14" s="382"/>
      <c r="HY14" s="382"/>
      <c r="HZ14" s="382"/>
      <c r="IA14" s="382"/>
      <c r="IB14" s="382"/>
      <c r="IC14" s="382"/>
      <c r="ID14" s="382"/>
      <c r="IE14" s="382"/>
      <c r="IF14" s="382"/>
      <c r="IG14" s="382"/>
      <c r="IH14" s="382"/>
      <c r="II14" s="382"/>
      <c r="IJ14" s="382"/>
      <c r="IK14" s="382"/>
      <c r="IL14" s="382"/>
      <c r="IM14" s="382"/>
      <c r="IN14" s="382"/>
      <c r="IO14" s="382"/>
      <c r="IP14" s="382"/>
      <c r="IQ14" s="382"/>
      <c r="IR14" s="382"/>
      <c r="IS14" s="382"/>
      <c r="IT14" s="382"/>
      <c r="IU14" s="382"/>
      <c r="IV14" s="382"/>
      <c r="IW14" s="382"/>
      <c r="IX14" s="382"/>
      <c r="IY14" s="382"/>
      <c r="IZ14" s="382"/>
      <c r="JA14" s="382"/>
      <c r="JB14" s="382"/>
      <c r="JC14" s="382"/>
      <c r="JD14" s="382"/>
      <c r="JE14" s="382"/>
      <c r="JF14" s="382"/>
      <c r="JG14" s="382"/>
      <c r="JH14" s="382"/>
      <c r="JI14" s="382"/>
      <c r="JJ14" s="382"/>
      <c r="JK14" s="382"/>
      <c r="JL14" s="382"/>
      <c r="JM14" s="382"/>
      <c r="JN14" s="382"/>
      <c r="JO14" s="382"/>
      <c r="JP14" s="382"/>
      <c r="JQ14" s="382"/>
      <c r="JR14" s="382"/>
      <c r="JS14" s="382"/>
      <c r="JT14" s="382"/>
      <c r="JU14" s="382"/>
      <c r="JV14" s="382"/>
      <c r="JW14" s="382"/>
      <c r="JX14" s="382"/>
      <c r="JY14" s="382"/>
      <c r="JZ14" s="382"/>
      <c r="KA14" s="382"/>
      <c r="KB14" s="382"/>
      <c r="KC14" s="382"/>
      <c r="KD14" s="382"/>
      <c r="KE14" s="382"/>
      <c r="KF14" s="382"/>
      <c r="KG14" s="382"/>
      <c r="KH14" s="382"/>
      <c r="KI14" s="382"/>
      <c r="KJ14" s="382"/>
      <c r="KK14" s="382"/>
      <c r="KL14" s="382"/>
      <c r="KM14" s="382"/>
      <c r="KN14" s="382"/>
      <c r="KO14" s="382"/>
      <c r="KP14" s="382"/>
      <c r="KQ14" s="382"/>
      <c r="KR14" s="382"/>
      <c r="KS14" s="382"/>
      <c r="KT14" s="382"/>
      <c r="KU14" s="382"/>
      <c r="KV14" s="382"/>
      <c r="KW14" s="382"/>
      <c r="KX14" s="382"/>
      <c r="KY14" s="382"/>
      <c r="KZ14" s="382"/>
      <c r="LA14" s="382"/>
      <c r="LB14" s="382"/>
      <c r="LC14" s="382"/>
      <c r="LD14" s="382"/>
      <c r="LE14" s="382"/>
      <c r="LF14" s="382"/>
      <c r="LG14" s="382"/>
      <c r="LH14" s="382"/>
      <c r="LI14" s="382"/>
      <c r="LJ14" s="382"/>
      <c r="LK14" s="382"/>
      <c r="LL14" s="382"/>
      <c r="LM14" s="382"/>
      <c r="LN14" s="382"/>
      <c r="LO14" s="382"/>
      <c r="LP14" s="382"/>
      <c r="LQ14" s="382"/>
      <c r="LR14" s="382"/>
      <c r="LS14" s="382"/>
      <c r="LT14" s="382"/>
      <c r="LU14" s="382"/>
      <c r="LV14" s="382"/>
      <c r="LW14" s="382"/>
      <c r="LX14" s="382"/>
      <c r="LY14" s="382"/>
      <c r="LZ14" s="382"/>
      <c r="MA14" s="382"/>
      <c r="MB14" s="382"/>
      <c r="MC14" s="382"/>
      <c r="MD14" s="382"/>
      <c r="ME14" s="382"/>
      <c r="MF14" s="382"/>
      <c r="MG14" s="382"/>
      <c r="MH14" s="382"/>
      <c r="MI14" s="382"/>
      <c r="MJ14" s="382"/>
      <c r="MK14" s="382"/>
      <c r="ML14" s="382"/>
      <c r="MM14" s="382"/>
      <c r="MN14" s="382"/>
      <c r="MO14" s="382"/>
      <c r="MP14" s="382"/>
      <c r="MQ14" s="382"/>
      <c r="MR14" s="382"/>
      <c r="MS14" s="382"/>
      <c r="MT14" s="382"/>
      <c r="MU14" s="382"/>
      <c r="MV14" s="382"/>
      <c r="MW14" s="382"/>
      <c r="MX14" s="382"/>
      <c r="MY14" s="382"/>
      <c r="MZ14" s="382"/>
      <c r="NA14" s="382"/>
      <c r="NB14" s="382"/>
      <c r="NC14" s="382"/>
      <c r="ND14" s="382"/>
      <c r="NE14" s="382"/>
      <c r="NF14" s="382"/>
      <c r="NG14" s="382"/>
      <c r="NH14" s="382"/>
      <c r="NI14" s="382"/>
      <c r="NJ14" s="388"/>
      <c r="NK14" s="34"/>
      <c r="NM14" s="159">
        <f>A14</f>
        <v>0</v>
      </c>
      <c r="NN14" s="373">
        <f ca="1">COUNTIF(INDIRECT((ADDRESS(ROW(NO15),$I$11+(MATCH(NN$11,L.DATE,0))))&amp;":"&amp;(ADDRESS(ROW(NO15),$I$11+NO$11+(MATCH(NN$11,L.DATE,0))-1))),"&gt;=0")-NO14</f>
        <v>0</v>
      </c>
      <c r="NO14" s="374">
        <f ca="1">SUM(INDIRECT((ADDRESS(ROW(NO15),$I$11+(MATCH(NN$11,L.DATE,0))))&amp;":"&amp;(ADDRESS(ROW(NO15),$I$11+NO$11+(MATCH(NN$11,L.DATE,0))-1))))</f>
        <v>0</v>
      </c>
      <c r="NP14" s="373">
        <f ca="1">COUNTIF(INDIRECT((ADDRESS(ROW(NQ15),$I$11+(MATCH(NP$11,L.DATE,0))))&amp;":"&amp;(ADDRESS(ROW(NQ15),$I$11+NQ$11+(MATCH(NP$11,L.DATE,0))-1))),"&gt;=0")-NQ14</f>
        <v>0</v>
      </c>
      <c r="NQ14" s="374">
        <f ca="1">SUM(INDIRECT((ADDRESS(ROW(NQ15),$I$11+(MATCH(NP$11,L.DATE,0))))&amp;":"&amp;(ADDRESS(ROW(NQ15),$I$11+NQ$11+(MATCH(NP$11,L.DATE,0))-1))))</f>
        <v>0</v>
      </c>
      <c r="NR14" s="373">
        <f ca="1">COUNTIF(INDIRECT((ADDRESS(ROW(NS15),$I$11+(MATCH(NR$11,L.DATE,0))))&amp;":"&amp;(ADDRESS(ROW(NS15),$I$11+NS$11+(MATCH(NR$11,L.DATE,0))-1))),"&gt;=0")-NS14</f>
        <v>0</v>
      </c>
      <c r="NS14" s="374">
        <f ca="1">SUM(INDIRECT((ADDRESS(ROW(NS15),$I$11+(MATCH(NR$11,L.DATE,0))))&amp;":"&amp;(ADDRESS(ROW(NS15),$I$11+NS$11+(MATCH(NR$11,L.DATE,0))-1))))</f>
        <v>0</v>
      </c>
      <c r="NT14" s="373">
        <f ca="1">COUNTIF(INDIRECT((ADDRESS(ROW(NU15),$I$11+(MATCH(NT$11,L.DATE,0))))&amp;":"&amp;(ADDRESS(ROW(NU15),$I$11+NU$11+(MATCH(NT$11,L.DATE,0))-1))),"&gt;=0")-NU14</f>
        <v>0</v>
      </c>
      <c r="NU14" s="374">
        <f ca="1">SUM(INDIRECT((ADDRESS(ROW(NU15),$I$11+(MATCH(NT$11,L.DATE,0))))&amp;":"&amp;(ADDRESS(ROW(NU15),$I$11+NU$11+(MATCH(NT$11,L.DATE,0))-1))))</f>
        <v>0</v>
      </c>
      <c r="NV14" s="373">
        <f ca="1">COUNTIF(INDIRECT((ADDRESS(ROW(NW15),$I$11+(MATCH(NV$11,L.DATE,0))))&amp;":"&amp;(ADDRESS(ROW(NW15),$I$11+NW$11+(MATCH(NV$11,L.DATE,0))-1))),"&gt;=0")-NW14</f>
        <v>0</v>
      </c>
      <c r="NW14" s="374">
        <f ca="1">SUM(INDIRECT((ADDRESS(ROW(NW15),$I$11+(MATCH(NV$11,L.DATE,0))))&amp;":"&amp;(ADDRESS(ROW(NW15),$I$11+NW$11+(MATCH(NV$11,L.DATE,0))-1))))</f>
        <v>0</v>
      </c>
      <c r="NX14" s="373">
        <f ca="1">COUNTIF(INDIRECT((ADDRESS(ROW(NY15),$I$11+(MATCH(NX$11,L.DATE,0))))&amp;":"&amp;(ADDRESS(ROW(NY15),$I$11+NY$11+(MATCH(NX$11,L.DATE,0))-1))),"&gt;=0")-NY14</f>
        <v>0</v>
      </c>
      <c r="NY14" s="374">
        <f ca="1">SUM(INDIRECT((ADDRESS(ROW(NY15),$I$11+(MATCH(NX$11,L.DATE,0))))&amp;":"&amp;(ADDRESS(ROW(NY15),$I$11+NY$11+(MATCH(NX$11,L.DATE,0))-1))))</f>
        <v>0</v>
      </c>
      <c r="NZ14" s="373">
        <f ca="1">COUNTIF(INDIRECT((ADDRESS(ROW(OA15),$I$11+(MATCH(NZ$11,L.DATE,0))))&amp;":"&amp;(ADDRESS(ROW(OA15),$I$11+OA$11+(MATCH(NZ$11,L.DATE,0))-1))),"&gt;=0")-OA14</f>
        <v>0</v>
      </c>
      <c r="OA14" s="374">
        <f ca="1">SUM(INDIRECT((ADDRESS(ROW(OA15),$I$11+(MATCH(NZ$11,L.DATE,0))))&amp;":"&amp;(ADDRESS(ROW(OA15),$I$11+OA$11+(MATCH(NZ$11,L.DATE,0))-1))))</f>
        <v>0</v>
      </c>
      <c r="OB14" s="373">
        <f ca="1">COUNTIF(INDIRECT((ADDRESS(ROW(OC15),$I$11+(MATCH(OB$11,L.DATE,0))))&amp;":"&amp;(ADDRESS(ROW(OC15),$I$11+OC$11+(MATCH(OB$11,L.DATE,0))-1))),"&gt;=0")-OC14</f>
        <v>0</v>
      </c>
      <c r="OC14" s="374">
        <f ca="1">SUM(INDIRECT((ADDRESS(ROW(OC15),$I$11+(MATCH(OB$11,L.DATE,0))))&amp;":"&amp;(ADDRESS(ROW(OC15),$I$11+OC$11+(MATCH(OB$11,L.DATE,0))-1))))</f>
        <v>0</v>
      </c>
      <c r="OD14" s="373">
        <f ca="1">COUNTIF(INDIRECT((ADDRESS(ROW(OE15),$I$11+(MATCH(OD$11,L.DATE,0))))&amp;":"&amp;(ADDRESS(ROW(OE15),$I$11+OE$11+(MATCH(OD$11,L.DATE,0))-1))),"&gt;=0")-OE14</f>
        <v>0</v>
      </c>
      <c r="OE14" s="374">
        <f ca="1">SUM(INDIRECT((ADDRESS(ROW(OE15),$I$11+(MATCH(OD$11,L.DATE,0))))&amp;":"&amp;(ADDRESS(ROW(OE15),$I$11+OE$11+(MATCH(OD$11,L.DATE,0))-1))))</f>
        <v>0</v>
      </c>
      <c r="OF14" s="373">
        <f ca="1">COUNTIF(INDIRECT((ADDRESS(ROW(OG15),$I$11+(MATCH(OF$11,L.DATE,0))))&amp;":"&amp;(ADDRESS(ROW(OG15),$I$11+OG$11+(MATCH(OF$11,L.DATE,0))-1))),"&gt;=0")-OG14</f>
        <v>0</v>
      </c>
      <c r="OG14" s="374">
        <f ca="1">SUM(INDIRECT((ADDRESS(ROW(OG15),$I$11+(MATCH(OF$11,L.DATE,0))))&amp;":"&amp;(ADDRESS(ROW(OG15),$I$11+OG$11+(MATCH(OF$11,L.DATE,0))-1))))</f>
        <v>0</v>
      </c>
      <c r="OH14" s="373">
        <f ca="1">COUNTIF(INDIRECT((ADDRESS(ROW(OI15),$I$11+(MATCH(OH$11,L.DATE,0))))&amp;":"&amp;(ADDRESS(ROW(OI15),$I$11+OI$11+(MATCH(OH$11,L.DATE,0))-1))),"&gt;=0")-OI14</f>
        <v>0</v>
      </c>
      <c r="OI14" s="374">
        <f ca="1">SUM(INDIRECT((ADDRESS(ROW(OI15),$I$11+(MATCH(OH$11,L.DATE,0))))&amp;":"&amp;(ADDRESS(ROW(OI15),$I$11+OI$11+(MATCH(OH$11,L.DATE,0))-1))))</f>
        <v>0</v>
      </c>
      <c r="OJ14" s="373">
        <f ca="1">COUNTIF(INDIRECT((ADDRESS(ROW(OK15),$I$11+(MATCH(OJ$11,L.DATE,0))))&amp;":"&amp;(ADDRESS(ROW(OK15),$I$11+OK$11+(MATCH(OJ$11,L.DATE,0))-1))),"&gt;=0")-OK14</f>
        <v>0</v>
      </c>
      <c r="OK14" s="375">
        <f ca="1">SUM(INDIRECT((ADDRESS(ROW(OK15),$I$11+(MATCH(OJ$11,L.DATE,0))))&amp;":"&amp;(ADDRESS(ROW(OK15),$I$11+OK$11+(MATCH(OJ$11,L.DATE,0))-1))))</f>
        <v>0</v>
      </c>
      <c r="OM14" s="39">
        <f ca="1">NN14+NP14+NR14+NT14+NV14+NX14+NZ14+OB14+OD14+OF14+OJ14+OH14</f>
        <v>0</v>
      </c>
      <c r="ON14" s="40">
        <f ca="1">NO14+NQ14+NS14+NU14+NW14+NY14+OA14+OC14+OE14+OG14+OK14+OI14</f>
        <v>0</v>
      </c>
    </row>
    <row r="15" spans="1:404" x14ac:dyDescent="0.3">
      <c r="A15" s="33"/>
      <c r="B15" s="16">
        <f t="shared" ref="B15:H15" si="20">B14</f>
        <v>0</v>
      </c>
      <c r="C15" s="16">
        <f t="shared" si="20"/>
        <v>0</v>
      </c>
      <c r="D15" s="16">
        <f t="shared" si="20"/>
        <v>0</v>
      </c>
      <c r="E15" s="16">
        <f t="shared" si="20"/>
        <v>0</v>
      </c>
      <c r="F15" s="16">
        <f t="shared" si="20"/>
        <v>0</v>
      </c>
      <c r="G15" s="105">
        <f t="shared" si="20"/>
        <v>0</v>
      </c>
      <c r="H15" s="109">
        <f t="shared" si="20"/>
        <v>2</v>
      </c>
      <c r="I15" s="28"/>
      <c r="J15" s="382"/>
      <c r="K15" s="382"/>
      <c r="L15" s="382"/>
      <c r="M15" s="382"/>
      <c r="N15" s="382"/>
      <c r="O15" s="382"/>
      <c r="P15" s="382"/>
      <c r="Q15" s="382"/>
      <c r="R15" s="382"/>
      <c r="S15" s="382"/>
      <c r="T15" s="382"/>
      <c r="U15" s="382"/>
      <c r="V15" s="382"/>
      <c r="W15" s="382"/>
      <c r="X15" s="382"/>
      <c r="Y15" s="382"/>
      <c r="Z15" s="382"/>
      <c r="AA15" s="382"/>
      <c r="AB15" s="382"/>
      <c r="AC15" s="382"/>
      <c r="AD15" s="382"/>
      <c r="AE15" s="382"/>
      <c r="AF15" s="382"/>
      <c r="AG15" s="382"/>
      <c r="AH15" s="382"/>
      <c r="AI15" s="382"/>
      <c r="AJ15" s="382"/>
      <c r="AK15" s="382"/>
      <c r="AL15" s="382"/>
      <c r="AM15" s="382"/>
      <c r="AN15" s="382"/>
      <c r="AO15" s="382"/>
      <c r="AP15" s="382"/>
      <c r="AQ15" s="382"/>
      <c r="AR15" s="382"/>
      <c r="AS15" s="382"/>
      <c r="AT15" s="382"/>
      <c r="AU15" s="382"/>
      <c r="AV15" s="382"/>
      <c r="AW15" s="382"/>
      <c r="AX15" s="382"/>
      <c r="AY15" s="382"/>
      <c r="AZ15" s="382"/>
      <c r="BA15" s="382"/>
      <c r="BB15" s="382"/>
      <c r="BC15" s="382"/>
      <c r="BD15" s="382"/>
      <c r="BE15" s="382"/>
      <c r="BF15" s="382"/>
      <c r="BG15" s="382"/>
      <c r="BH15" s="382"/>
      <c r="BI15" s="382"/>
      <c r="BJ15" s="382"/>
      <c r="BK15" s="382"/>
      <c r="BL15" s="382"/>
      <c r="BM15" s="382"/>
      <c r="BN15" s="382"/>
      <c r="BO15" s="382"/>
      <c r="BP15" s="382"/>
      <c r="BQ15" s="382"/>
      <c r="BR15" s="382"/>
      <c r="BS15" s="382"/>
      <c r="BT15" s="382"/>
      <c r="BU15" s="382"/>
      <c r="BV15" s="382"/>
      <c r="BW15" s="382"/>
      <c r="BX15" s="382"/>
      <c r="BY15" s="382"/>
      <c r="BZ15" s="382"/>
      <c r="CA15" s="382"/>
      <c r="CB15" s="382"/>
      <c r="CC15" s="382"/>
      <c r="CD15" s="382"/>
      <c r="CE15" s="382"/>
      <c r="CF15" s="382"/>
      <c r="CG15" s="382"/>
      <c r="CH15" s="382"/>
      <c r="CI15" s="382"/>
      <c r="CJ15" s="382"/>
      <c r="CK15" s="382"/>
      <c r="CL15" s="382"/>
      <c r="CM15" s="382"/>
      <c r="CN15" s="382"/>
      <c r="CO15" s="382"/>
      <c r="CP15" s="382"/>
      <c r="CQ15" s="382"/>
      <c r="CR15" s="382"/>
      <c r="CS15" s="382"/>
      <c r="CT15" s="382"/>
      <c r="CU15" s="382"/>
      <c r="CV15" s="382"/>
      <c r="CW15" s="382"/>
      <c r="CX15" s="382"/>
      <c r="CY15" s="382"/>
      <c r="CZ15" s="382"/>
      <c r="DA15" s="382"/>
      <c r="DB15" s="382"/>
      <c r="DC15" s="382"/>
      <c r="DD15" s="382"/>
      <c r="DE15" s="382"/>
      <c r="DF15" s="382"/>
      <c r="DG15" s="382"/>
      <c r="DH15" s="382"/>
      <c r="DI15" s="382"/>
      <c r="DJ15" s="382"/>
      <c r="DK15" s="382"/>
      <c r="DL15" s="382"/>
      <c r="DM15" s="382"/>
      <c r="DN15" s="382"/>
      <c r="DO15" s="382"/>
      <c r="DP15" s="382"/>
      <c r="DQ15" s="382"/>
      <c r="DR15" s="382"/>
      <c r="DS15" s="382"/>
      <c r="DT15" s="382"/>
      <c r="DU15" s="382"/>
      <c r="DV15" s="382"/>
      <c r="DW15" s="382"/>
      <c r="DX15" s="382"/>
      <c r="DY15" s="382"/>
      <c r="DZ15" s="382"/>
      <c r="EA15" s="382"/>
      <c r="EB15" s="382"/>
      <c r="EC15" s="382"/>
      <c r="ED15" s="382"/>
      <c r="EE15" s="382"/>
      <c r="EF15" s="382"/>
      <c r="EG15" s="382"/>
      <c r="EH15" s="382"/>
      <c r="EI15" s="382"/>
      <c r="EJ15" s="382"/>
      <c r="EK15" s="382"/>
      <c r="EL15" s="382"/>
      <c r="EM15" s="382"/>
      <c r="EN15" s="382"/>
      <c r="EO15" s="382"/>
      <c r="EP15" s="382"/>
      <c r="EQ15" s="382"/>
      <c r="ER15" s="382"/>
      <c r="ES15" s="382"/>
      <c r="ET15" s="382"/>
      <c r="EU15" s="382"/>
      <c r="EV15" s="382"/>
      <c r="EW15" s="382"/>
      <c r="EX15" s="382"/>
      <c r="EY15" s="382"/>
      <c r="EZ15" s="382"/>
      <c r="FA15" s="382"/>
      <c r="FB15" s="382"/>
      <c r="FC15" s="382"/>
      <c r="FD15" s="382"/>
      <c r="FE15" s="382"/>
      <c r="FF15" s="382"/>
      <c r="FG15" s="382"/>
      <c r="FH15" s="382"/>
      <c r="FI15" s="382"/>
      <c r="FJ15" s="382"/>
      <c r="FK15" s="382"/>
      <c r="FL15" s="382"/>
      <c r="FM15" s="382"/>
      <c r="FN15" s="382"/>
      <c r="FO15" s="382"/>
      <c r="FP15" s="382"/>
      <c r="FQ15" s="382"/>
      <c r="FR15" s="382"/>
      <c r="FS15" s="382"/>
      <c r="FT15" s="382"/>
      <c r="FU15" s="382"/>
      <c r="FV15" s="382"/>
      <c r="FW15" s="382"/>
      <c r="FX15" s="382"/>
      <c r="FY15" s="382"/>
      <c r="FZ15" s="382"/>
      <c r="GA15" s="382"/>
      <c r="GB15" s="382"/>
      <c r="GC15" s="382"/>
      <c r="GD15" s="382"/>
      <c r="GE15" s="382"/>
      <c r="GF15" s="382"/>
      <c r="GG15" s="382"/>
      <c r="GH15" s="382"/>
      <c r="GI15" s="382"/>
      <c r="GJ15" s="382"/>
      <c r="GK15" s="382"/>
      <c r="GL15" s="382"/>
      <c r="GM15" s="382"/>
      <c r="GN15" s="382"/>
      <c r="GO15" s="382"/>
      <c r="GP15" s="382"/>
      <c r="GQ15" s="382"/>
      <c r="GR15" s="382"/>
      <c r="GS15" s="382"/>
      <c r="GT15" s="382"/>
      <c r="GU15" s="382"/>
      <c r="GV15" s="382"/>
      <c r="GW15" s="382"/>
      <c r="GX15" s="382"/>
      <c r="GY15" s="382"/>
      <c r="GZ15" s="382"/>
      <c r="HA15" s="382"/>
      <c r="HB15" s="382"/>
      <c r="HC15" s="382"/>
      <c r="HD15" s="382"/>
      <c r="HE15" s="382"/>
      <c r="HF15" s="382"/>
      <c r="HG15" s="382"/>
      <c r="HH15" s="382"/>
      <c r="HI15" s="382"/>
      <c r="HJ15" s="382"/>
      <c r="HK15" s="382"/>
      <c r="HL15" s="382"/>
      <c r="HM15" s="382"/>
      <c r="HN15" s="382"/>
      <c r="HO15" s="382"/>
      <c r="HP15" s="382"/>
      <c r="HQ15" s="382"/>
      <c r="HR15" s="382"/>
      <c r="HS15" s="382"/>
      <c r="HT15" s="382"/>
      <c r="HU15" s="382"/>
      <c r="HV15" s="382"/>
      <c r="HW15" s="382"/>
      <c r="HX15" s="382"/>
      <c r="HY15" s="382"/>
      <c r="HZ15" s="382"/>
      <c r="IA15" s="382"/>
      <c r="IB15" s="382"/>
      <c r="IC15" s="382"/>
      <c r="ID15" s="382"/>
      <c r="IE15" s="382"/>
      <c r="IF15" s="382"/>
      <c r="IG15" s="382"/>
      <c r="IH15" s="382"/>
      <c r="II15" s="382"/>
      <c r="IJ15" s="382"/>
      <c r="IK15" s="382"/>
      <c r="IL15" s="382"/>
      <c r="IM15" s="382"/>
      <c r="IN15" s="382"/>
      <c r="IO15" s="382"/>
      <c r="IP15" s="382"/>
      <c r="IQ15" s="382"/>
      <c r="IR15" s="382"/>
      <c r="IS15" s="382"/>
      <c r="IT15" s="382"/>
      <c r="IU15" s="382"/>
      <c r="IV15" s="382"/>
      <c r="IW15" s="382"/>
      <c r="IX15" s="382"/>
      <c r="IY15" s="382"/>
      <c r="IZ15" s="382"/>
      <c r="JA15" s="382"/>
      <c r="JB15" s="382"/>
      <c r="JC15" s="382"/>
      <c r="JD15" s="382"/>
      <c r="JE15" s="382"/>
      <c r="JF15" s="382"/>
      <c r="JG15" s="382"/>
      <c r="JH15" s="382"/>
      <c r="JI15" s="382"/>
      <c r="JJ15" s="382"/>
      <c r="JK15" s="382"/>
      <c r="JL15" s="382"/>
      <c r="JM15" s="382"/>
      <c r="JN15" s="382"/>
      <c r="JO15" s="382"/>
      <c r="JP15" s="382"/>
      <c r="JQ15" s="382"/>
      <c r="JR15" s="382"/>
      <c r="JS15" s="382"/>
      <c r="JT15" s="382"/>
      <c r="JU15" s="382"/>
      <c r="JV15" s="382"/>
      <c r="JW15" s="382"/>
      <c r="JX15" s="382"/>
      <c r="JY15" s="382"/>
      <c r="JZ15" s="382"/>
      <c r="KA15" s="382"/>
      <c r="KB15" s="382"/>
      <c r="KC15" s="382"/>
      <c r="KD15" s="382"/>
      <c r="KE15" s="382"/>
      <c r="KF15" s="382"/>
      <c r="KG15" s="382"/>
      <c r="KH15" s="382"/>
      <c r="KI15" s="382"/>
      <c r="KJ15" s="382"/>
      <c r="KK15" s="382"/>
      <c r="KL15" s="382"/>
      <c r="KM15" s="382"/>
      <c r="KN15" s="382"/>
      <c r="KO15" s="382"/>
      <c r="KP15" s="382"/>
      <c r="KQ15" s="382"/>
      <c r="KR15" s="382"/>
      <c r="KS15" s="382"/>
      <c r="KT15" s="382"/>
      <c r="KU15" s="382"/>
      <c r="KV15" s="382"/>
      <c r="KW15" s="382"/>
      <c r="KX15" s="382"/>
      <c r="KY15" s="382"/>
      <c r="KZ15" s="382"/>
      <c r="LA15" s="382"/>
      <c r="LB15" s="382"/>
      <c r="LC15" s="382"/>
      <c r="LD15" s="382"/>
      <c r="LE15" s="382"/>
      <c r="LF15" s="382"/>
      <c r="LG15" s="382"/>
      <c r="LH15" s="382"/>
      <c r="LI15" s="382"/>
      <c r="LJ15" s="382"/>
      <c r="LK15" s="382"/>
      <c r="LL15" s="382"/>
      <c r="LM15" s="382"/>
      <c r="LN15" s="382"/>
      <c r="LO15" s="382"/>
      <c r="LP15" s="382"/>
      <c r="LQ15" s="382"/>
      <c r="LR15" s="382"/>
      <c r="LS15" s="382"/>
      <c r="LT15" s="382"/>
      <c r="LU15" s="382"/>
      <c r="LV15" s="382"/>
      <c r="LW15" s="382"/>
      <c r="LX15" s="382"/>
      <c r="LY15" s="382"/>
      <c r="LZ15" s="382"/>
      <c r="MA15" s="382"/>
      <c r="MB15" s="382"/>
      <c r="MC15" s="382"/>
      <c r="MD15" s="382"/>
      <c r="ME15" s="382"/>
      <c r="MF15" s="382"/>
      <c r="MG15" s="382"/>
      <c r="MH15" s="382"/>
      <c r="MI15" s="382"/>
      <c r="MJ15" s="382"/>
      <c r="MK15" s="382"/>
      <c r="ML15" s="382"/>
      <c r="MM15" s="382"/>
      <c r="MN15" s="382"/>
      <c r="MO15" s="382"/>
      <c r="MP15" s="382"/>
      <c r="MQ15" s="382"/>
      <c r="MR15" s="382"/>
      <c r="MS15" s="382"/>
      <c r="MT15" s="382"/>
      <c r="MU15" s="382"/>
      <c r="MV15" s="382"/>
      <c r="MW15" s="382"/>
      <c r="MX15" s="382"/>
      <c r="MY15" s="382"/>
      <c r="MZ15" s="382"/>
      <c r="NA15" s="382"/>
      <c r="NB15" s="382"/>
      <c r="NC15" s="382"/>
      <c r="ND15" s="382"/>
      <c r="NE15" s="382"/>
      <c r="NF15" s="382"/>
      <c r="NG15" s="382"/>
      <c r="NH15" s="382"/>
      <c r="NI15" s="382"/>
      <c r="NJ15" s="388"/>
      <c r="NK15" s="34"/>
      <c r="NM15" s="379" t="str">
        <f>NM14&amp;".b"</f>
        <v>0.b</v>
      </c>
      <c r="NN15" s="376" t="str" cm="1">
        <f t="array" aca="1" ref="NN15" ca="1">IF(xcomp(INDIRECT((ADDRESS(ROW(NN14),$I$11+(MATCH(NN$11,L.DATE,0))))&amp;":"&amp;(ADDRESS(ROW(NN14),$I$11+NO$11+(MATCH(NN$11,L.DATE,0))-1))),L.ABSP)=0,"",xcomp(INDIRECT((ADDRESS(ROW(NN14),$I$11+(MATCH(NN$11,L.DATE,0))))&amp;":"&amp;(ADDRESS(ROW(NN14),$I$11+NO$11+(MATCH(NN$11,L.DATE,0))-1))),L.ABSP))</f>
        <v/>
      </c>
      <c r="NO15" s="377" t="str" cm="1">
        <f t="array" aca="1" ref="NO15" ca="1">IF(xcomp(INDIRECT((ADDRESS(ROW(NO14),$I$11+(MATCH(NN$11,L.DATE,0))))&amp;":"&amp;(ADDRESS(ROW(NO14),$I$11+NO$11+(MATCH(NN$11,L.DATE,0))-1))),L.ABS.NP)=0,"",xcomp(INDIRECT((ADDRESS(ROW(NO14),$I$11+(MATCH(NN$11,L.DATE,0))))&amp;":"&amp;(ADDRESS(ROW(NO14),$I$11+NO$11+(MATCH(NN$11,L.DATE,0))-1))),L.ABS.NP))</f>
        <v/>
      </c>
      <c r="NP15" s="376" t="str" cm="1">
        <f t="array" aca="1" ref="NP15" ca="1">IF(xcomp(INDIRECT((ADDRESS(ROW(NP14),$I$11+(MATCH(NP$11,L.DATE,0))))&amp;":"&amp;(ADDRESS(ROW(NP14),$I$11+NQ$11+(MATCH(NP$11,L.DATE,0))-1))),L.ABSP)=0,"",xcomp(INDIRECT((ADDRESS(ROW(NP14),$I$11+(MATCH(NP$11,L.DATE,0))))&amp;":"&amp;(ADDRESS(ROW(NP14),$I$11+NQ$11+(MATCH(NP$11,L.DATE,0))-1))),L.ABSP))</f>
        <v/>
      </c>
      <c r="NQ15" s="377" t="str" cm="1">
        <f t="array" aca="1" ref="NQ15" ca="1">IF(xcomp(INDIRECT((ADDRESS(ROW(NQ14),$I$11+(MATCH(NP$11,L.DATE,0))))&amp;":"&amp;(ADDRESS(ROW(NQ14),$I$11+NQ$11+(MATCH(NP$11,L.DATE,0))-1))),L.ABS.NP)=0,"",xcomp(INDIRECT((ADDRESS(ROW(NQ14),$I$11+(MATCH(NP$11,L.DATE,0))))&amp;":"&amp;(ADDRESS(ROW(NQ14),$I$11+NQ$11+(MATCH(NP$11,L.DATE,0))-1))),L.ABS.NP))</f>
        <v/>
      </c>
      <c r="NR15" s="376" t="str" cm="1">
        <f t="array" aca="1" ref="NR15" ca="1">IF(xcomp(INDIRECT((ADDRESS(ROW(NR14),$I$11+(MATCH(NR$11,L.DATE,0))))&amp;":"&amp;(ADDRESS(ROW(NR14),$I$11+NS$11+(MATCH(NR$11,L.DATE,0))-1))),L.ABSP)=0,"",xcomp(INDIRECT((ADDRESS(ROW(NR14),$I$11+(MATCH(NR$11,L.DATE,0))))&amp;":"&amp;(ADDRESS(ROW(NR14),$I$11+NS$11+(MATCH(NR$11,L.DATE,0))-1))),L.ABSP))</f>
        <v/>
      </c>
      <c r="NS15" s="377" t="str" cm="1">
        <f t="array" aca="1" ref="NS15" ca="1">IF(xcomp(INDIRECT((ADDRESS(ROW(NS14),$I$11+(MATCH(NR$11,L.DATE,0))))&amp;":"&amp;(ADDRESS(ROW(NS14),$I$11+NS$11+(MATCH(NR$11,L.DATE,0))-1))),L.ABS.NP)=0,"",xcomp(INDIRECT((ADDRESS(ROW(NS14),$I$11+(MATCH(NR$11,L.DATE,0))))&amp;":"&amp;(ADDRESS(ROW(NS14),$I$11+NS$11+(MATCH(NR$11,L.DATE,0))-1))),L.ABS.NP))</f>
        <v/>
      </c>
      <c r="NT15" s="376" t="str" cm="1">
        <f t="array" aca="1" ref="NT15" ca="1">IF(xcomp(INDIRECT((ADDRESS(ROW(NT14),$I$11+(MATCH(NT$11,L.DATE,0))))&amp;":"&amp;(ADDRESS(ROW(NT14),$I$11+NU$11+(MATCH(NT$11,L.DATE,0))-1))),L.ABSP)=0,"",xcomp(INDIRECT((ADDRESS(ROW(NT14),$I$11+(MATCH(NT$11,L.DATE,0))))&amp;":"&amp;(ADDRESS(ROW(NT14),$I$11+NU$11+(MATCH(NT$11,L.DATE,0))-1))),L.ABSP))</f>
        <v/>
      </c>
      <c r="NU15" s="377" t="str" cm="1">
        <f t="array" aca="1" ref="NU15" ca="1">IF(xcomp(INDIRECT((ADDRESS(ROW(NU14),$I$11+(MATCH(NT$11,L.DATE,0))))&amp;":"&amp;(ADDRESS(ROW(NU14),$I$11+NU$11+(MATCH(NT$11,L.DATE,0))-1))),L.ABS.NP)=0,"",xcomp(INDIRECT((ADDRESS(ROW(NU14),$I$11+(MATCH(NT$11,L.DATE,0))))&amp;":"&amp;(ADDRESS(ROW(NU14),$I$11+NU$11+(MATCH(NT$11,L.DATE,0))-1))),L.ABS.NP))</f>
        <v/>
      </c>
      <c r="NV15" s="376" t="str" cm="1">
        <f t="array" aca="1" ref="NV15" ca="1">IF(xcomp(INDIRECT((ADDRESS(ROW(NV14),$I$11+(MATCH(NV$11,L.DATE,0))))&amp;":"&amp;(ADDRESS(ROW(NV14),$I$11+NW$11+(MATCH(NV$11,L.DATE,0))-1))),L.ABSP)=0,"",xcomp(INDIRECT((ADDRESS(ROW(NV14),$I$11+(MATCH(NV$11,L.DATE,0))))&amp;":"&amp;(ADDRESS(ROW(NV14),$I$11+NW$11+(MATCH(NV$11,L.DATE,0))-1))),L.ABSP))</f>
        <v/>
      </c>
      <c r="NW15" s="377" t="str" cm="1">
        <f t="array" aca="1" ref="NW15" ca="1">IF(xcomp(INDIRECT((ADDRESS(ROW(NW14),$I$11+(MATCH(NV$11,L.DATE,0))))&amp;":"&amp;(ADDRESS(ROW(NW14),$I$11+NW$11+(MATCH(NV$11,L.DATE,0))-1))),L.ABS.NP)=0,"",xcomp(INDIRECT((ADDRESS(ROW(NW14),$I$11+(MATCH(NV$11,L.DATE,0))))&amp;":"&amp;(ADDRESS(ROW(NW14),$I$11+NW$11+(MATCH(NV$11,L.DATE,0))-1))),L.ABS.NP))</f>
        <v/>
      </c>
      <c r="NX15" s="376" t="str" cm="1">
        <f t="array" aca="1" ref="NX15" ca="1">IF(xcomp(INDIRECT((ADDRESS(ROW(NX14),$I$11+(MATCH(NX$11,L.DATE,0))))&amp;":"&amp;(ADDRESS(ROW(NX14),$I$11+NY$11+(MATCH(NX$11,L.DATE,0))-1))),L.ABSP)=0,"",xcomp(INDIRECT((ADDRESS(ROW(NX14),$I$11+(MATCH(NX$11,L.DATE,0))))&amp;":"&amp;(ADDRESS(ROW(NX14),$I$11+NY$11+(MATCH(NX$11,L.DATE,0))-1))),L.ABSP))</f>
        <v/>
      </c>
      <c r="NY15" s="377" t="str" cm="1">
        <f t="array" aca="1" ref="NY15" ca="1">IF(xcomp(INDIRECT((ADDRESS(ROW(NY14),$I$11+(MATCH(NX$11,L.DATE,0))))&amp;":"&amp;(ADDRESS(ROW(NY14),$I$11+NY$11+(MATCH(NX$11,L.DATE,0))-1))),L.ABS.NP)=0,"",xcomp(INDIRECT((ADDRESS(ROW(NY14),$I$11+(MATCH(NX$11,L.DATE,0))))&amp;":"&amp;(ADDRESS(ROW(NY14),$I$11+NY$11+(MATCH(NX$11,L.DATE,0))-1))),L.ABS.NP))</f>
        <v/>
      </c>
      <c r="NZ15" s="376" t="str" cm="1">
        <f t="array" aca="1" ref="NZ15" ca="1">IF(xcomp(INDIRECT((ADDRESS(ROW(NZ14),$I$11+(MATCH(NZ$11,L.DATE,0))))&amp;":"&amp;(ADDRESS(ROW(NZ14),$I$11+OA$11+(MATCH(NZ$11,L.DATE,0))-1))),L.ABSP)=0,"",xcomp(INDIRECT((ADDRESS(ROW(NZ14),$I$11+(MATCH(NZ$11,L.DATE,0))))&amp;":"&amp;(ADDRESS(ROW(NZ14),$I$11+OA$11+(MATCH(NZ$11,L.DATE,0))-1))),L.ABSP))</f>
        <v/>
      </c>
      <c r="OA15" s="377" t="str" cm="1">
        <f t="array" aca="1" ref="OA15" ca="1">IF(xcomp(INDIRECT((ADDRESS(ROW(OA14),$I$11+(MATCH(NZ$11,L.DATE,0))))&amp;":"&amp;(ADDRESS(ROW(OA14),$I$11+OA$11+(MATCH(NZ$11,L.DATE,0))-1))),L.ABS.NP)=0,"",xcomp(INDIRECT((ADDRESS(ROW(OA14),$I$11+(MATCH(NZ$11,L.DATE,0))))&amp;":"&amp;(ADDRESS(ROW(OA14),$I$11+OA$11+(MATCH(NZ$11,L.DATE,0))-1))),L.ABS.NP))</f>
        <v/>
      </c>
      <c r="OB15" s="376" t="str" cm="1">
        <f t="array" aca="1" ref="OB15" ca="1">IF(xcomp(INDIRECT((ADDRESS(ROW(OB14),$I$11+(MATCH(OB$11,L.DATE,0))))&amp;":"&amp;(ADDRESS(ROW(OB14),$I$11+OC$11+(MATCH(OB$11,L.DATE,0))-1))),L.ABSP)=0,"",xcomp(INDIRECT((ADDRESS(ROW(OB14),$I$11+(MATCH(OB$11,L.DATE,0))))&amp;":"&amp;(ADDRESS(ROW(OB14),$I$11+OC$11+(MATCH(OB$11,L.DATE,0))-1))),L.ABSP))</f>
        <v/>
      </c>
      <c r="OC15" s="377" t="str" cm="1">
        <f t="array" aca="1" ref="OC15" ca="1">IF(xcomp(INDIRECT((ADDRESS(ROW(OC14),$I$11+(MATCH(OB$11,L.DATE,0))))&amp;":"&amp;(ADDRESS(ROW(OC14),$I$11+OC$11+(MATCH(OB$11,L.DATE,0))-1))),L.ABS.NP)=0,"",xcomp(INDIRECT((ADDRESS(ROW(OC14),$I$11+(MATCH(OB$11,L.DATE,0))))&amp;":"&amp;(ADDRESS(ROW(OC14),$I$11+OC$11+(MATCH(OB$11,L.DATE,0))-1))),L.ABS.NP))</f>
        <v/>
      </c>
      <c r="OD15" s="376" t="str" cm="1">
        <f t="array" aca="1" ref="OD15" ca="1">IF(xcomp(INDIRECT((ADDRESS(ROW(OD14),$I$11+(MATCH(OD$11,L.DATE,0))))&amp;":"&amp;(ADDRESS(ROW(OD14),$I$11+OE$11+(MATCH(OD$11,L.DATE,0))-1))),L.ABSP)=0,"",xcomp(INDIRECT((ADDRESS(ROW(OD14),$I$11+(MATCH(OD$11,L.DATE,0))))&amp;":"&amp;(ADDRESS(ROW(OD14),$I$11+OE$11+(MATCH(OD$11,L.DATE,0))-1))),L.ABSP))</f>
        <v/>
      </c>
      <c r="OE15" s="377" t="str" cm="1">
        <f t="array" aca="1" ref="OE15" ca="1">IF(xcomp(INDIRECT((ADDRESS(ROW(OE14),$I$11+(MATCH(OD$11,L.DATE,0))))&amp;":"&amp;(ADDRESS(ROW(OE14),$I$11+OE$11+(MATCH(OD$11,L.DATE,0))-1))),L.ABS.NP)=0,"",xcomp(INDIRECT((ADDRESS(ROW(OE14),$I$11+(MATCH(OD$11,L.DATE,0))))&amp;":"&amp;(ADDRESS(ROW(OE14),$I$11+OE$11+(MATCH(OD$11,L.DATE,0))-1))),L.ABS.NP))</f>
        <v/>
      </c>
      <c r="OF15" s="376" t="str" cm="1">
        <f t="array" aca="1" ref="OF15" ca="1">IF(xcomp(INDIRECT((ADDRESS(ROW(OF14),$I$11+(MATCH(OF$11,L.DATE,0))))&amp;":"&amp;(ADDRESS(ROW(OF14),$I$11+OG$11+(MATCH(OF$11,L.DATE,0))-1))),L.ABSP)=0,"",xcomp(INDIRECT((ADDRESS(ROW(OF14),$I$11+(MATCH(OF$11,L.DATE,0))))&amp;":"&amp;(ADDRESS(ROW(OF14),$I$11+OG$11+(MATCH(OF$11,L.DATE,0))-1))),L.ABSP))</f>
        <v/>
      </c>
      <c r="OG15" s="377" t="str" cm="1">
        <f t="array" aca="1" ref="OG15" ca="1">IF(xcomp(INDIRECT((ADDRESS(ROW(OG14),$I$11+(MATCH(OF$11,L.DATE,0))))&amp;":"&amp;(ADDRESS(ROW(OG14),$I$11+OG$11+(MATCH(OF$11,L.DATE,0))-1))),L.ABS.NP)=0,"",xcomp(INDIRECT((ADDRESS(ROW(OG14),$I$11+(MATCH(OF$11,L.DATE,0))))&amp;":"&amp;(ADDRESS(ROW(OG14),$I$11+OG$11+(MATCH(OF$11,L.DATE,0))-1))),L.ABS.NP))</f>
        <v/>
      </c>
      <c r="OH15" s="376" t="str" cm="1">
        <f t="array" aca="1" ref="OH15" ca="1">IF(xcomp(INDIRECT((ADDRESS(ROW(OH14),$I$11+(MATCH(OH$11,L.DATE,0))))&amp;":"&amp;(ADDRESS(ROW(OH14),$I$11+OI$11+(MATCH(OH$11,L.DATE,0))-1))),L.ABSP)=0,"",xcomp(INDIRECT((ADDRESS(ROW(OH14),$I$11+(MATCH(OH$11,L.DATE,0))))&amp;":"&amp;(ADDRESS(ROW(OH14),$I$11+OI$11+(MATCH(OH$11,L.DATE,0))-1))),L.ABSP))</f>
        <v/>
      </c>
      <c r="OI15" s="377" t="str" cm="1">
        <f t="array" aca="1" ref="OI15" ca="1">IF(xcomp(INDIRECT((ADDRESS(ROW(OI14),$I$11+(MATCH(OH$11,L.DATE,0))))&amp;":"&amp;(ADDRESS(ROW(OI14),$I$11+OI$11+(MATCH(OH$11,L.DATE,0))-1))),L.ABS.NP)=0,"",xcomp(INDIRECT((ADDRESS(ROW(OI14),$I$11+(MATCH(OH$11,L.DATE,0))))&amp;":"&amp;(ADDRESS(ROW(OI14),$I$11+OI$11+(MATCH(OH$11,L.DATE,0))-1))),L.ABS.NP))</f>
        <v/>
      </c>
      <c r="OJ15" s="376" t="str" cm="1">
        <f t="array" aca="1" ref="OJ15" ca="1">IF(xcomp(INDIRECT((ADDRESS(ROW(OJ14),$I$11+(MATCH(OJ$11,L.DATE,0))))&amp;":"&amp;(ADDRESS(ROW(OJ14),$I$11+OK$11+(MATCH(OJ$11,L.DATE,0))-1))),L.ABSP)=0,"",xcomp(INDIRECT((ADDRESS(ROW(OJ14),$I$11+(MATCH(OJ$11,L.DATE,0))))&amp;":"&amp;(ADDRESS(ROW(OJ14),$I$11+OK$11+(MATCH(OJ$11,L.DATE,0))-1))),L.ABSP))</f>
        <v/>
      </c>
      <c r="OK15" s="378" t="str" cm="1">
        <f t="array" aca="1" ref="OK15" ca="1">IF(xcomp(INDIRECT((ADDRESS(ROW(OK14),$I$11+(MATCH(OJ$11,L.DATE,0))))&amp;":"&amp;(ADDRESS(ROW(OK14),$I$11+OK$11+(MATCH(OJ$11,L.DATE,0))-1))),L.ABS.NP)=0,"",xcomp(INDIRECT((ADDRESS(ROW(OK14),$I$11+(MATCH(OJ$11,L.DATE,0))))&amp;":"&amp;(ADDRESS(ROW(OK14),$I$11+OK$11+(MATCH(OJ$11,L.DATE,0))-1))),L.ABS.NP))</f>
        <v/>
      </c>
    </row>
    <row r="16" spans="1:404" ht="12" customHeight="1" x14ac:dyDescent="0.3">
      <c r="A16" s="394">
        <v>0</v>
      </c>
      <c r="B16" s="381"/>
      <c r="C16" s="53"/>
      <c r="D16" s="392"/>
      <c r="E16" s="53"/>
      <c r="F16" s="53"/>
      <c r="G16" s="104"/>
      <c r="H16" s="108">
        <v>2</v>
      </c>
      <c r="I16" s="28"/>
      <c r="J16" s="382"/>
      <c r="K16" s="382"/>
      <c r="L16" s="382"/>
      <c r="M16" s="382"/>
      <c r="N16" s="382"/>
      <c r="O16" s="382"/>
      <c r="P16" s="382"/>
      <c r="Q16" s="382"/>
      <c r="R16" s="382"/>
      <c r="S16" s="382"/>
      <c r="T16" s="382"/>
      <c r="U16" s="382"/>
      <c r="V16" s="382"/>
      <c r="W16" s="382"/>
      <c r="X16" s="382"/>
      <c r="Y16" s="382"/>
      <c r="Z16" s="382"/>
      <c r="AA16" s="382"/>
      <c r="AB16" s="382"/>
      <c r="AC16" s="382"/>
      <c r="AD16" s="382"/>
      <c r="AE16" s="382"/>
      <c r="AF16" s="382"/>
      <c r="AG16" s="382"/>
      <c r="AH16" s="382"/>
      <c r="AI16" s="382"/>
      <c r="AJ16" s="382"/>
      <c r="AK16" s="382"/>
      <c r="AL16" s="382"/>
      <c r="AM16" s="382"/>
      <c r="AN16" s="382"/>
      <c r="AO16" s="382"/>
      <c r="AP16" s="382"/>
      <c r="AQ16" s="382"/>
      <c r="AR16" s="382"/>
      <c r="AS16" s="382"/>
      <c r="AT16" s="382"/>
      <c r="AU16" s="382"/>
      <c r="AV16" s="382"/>
      <c r="AW16" s="382"/>
      <c r="AX16" s="382"/>
      <c r="AY16" s="382"/>
      <c r="AZ16" s="382"/>
      <c r="BA16" s="382"/>
      <c r="BB16" s="382"/>
      <c r="BC16" s="382"/>
      <c r="BD16" s="382"/>
      <c r="BE16" s="382"/>
      <c r="BF16" s="382"/>
      <c r="BG16" s="382"/>
      <c r="BH16" s="382"/>
      <c r="BI16" s="382"/>
      <c r="BJ16" s="382"/>
      <c r="BK16" s="382"/>
      <c r="BL16" s="382"/>
      <c r="BM16" s="382"/>
      <c r="BN16" s="382"/>
      <c r="BO16" s="382"/>
      <c r="BP16" s="382"/>
      <c r="BQ16" s="382"/>
      <c r="BR16" s="382"/>
      <c r="BS16" s="382"/>
      <c r="BT16" s="382"/>
      <c r="BU16" s="382"/>
      <c r="BV16" s="382"/>
      <c r="BW16" s="382"/>
      <c r="BX16" s="382"/>
      <c r="BY16" s="382"/>
      <c r="BZ16" s="382"/>
      <c r="CA16" s="382"/>
      <c r="CB16" s="382"/>
      <c r="CC16" s="382"/>
      <c r="CD16" s="382"/>
      <c r="CE16" s="382"/>
      <c r="CF16" s="382"/>
      <c r="CG16" s="382"/>
      <c r="CH16" s="382"/>
      <c r="CI16" s="382"/>
      <c r="CJ16" s="382"/>
      <c r="CK16" s="382"/>
      <c r="CL16" s="382"/>
      <c r="CM16" s="382"/>
      <c r="CN16" s="382"/>
      <c r="CO16" s="382"/>
      <c r="CP16" s="382"/>
      <c r="CQ16" s="382"/>
      <c r="CR16" s="382"/>
      <c r="CS16" s="382"/>
      <c r="CT16" s="382"/>
      <c r="CU16" s="382"/>
      <c r="CV16" s="382"/>
      <c r="CW16" s="382"/>
      <c r="CX16" s="382"/>
      <c r="CY16" s="382"/>
      <c r="CZ16" s="382"/>
      <c r="DA16" s="382"/>
      <c r="DB16" s="382"/>
      <c r="DC16" s="382"/>
      <c r="DD16" s="382"/>
      <c r="DE16" s="382"/>
      <c r="DF16" s="382"/>
      <c r="DG16" s="382"/>
      <c r="DH16" s="382"/>
      <c r="DI16" s="382"/>
      <c r="DJ16" s="382"/>
      <c r="DK16" s="382"/>
      <c r="DL16" s="382"/>
      <c r="DM16" s="382"/>
      <c r="DN16" s="382"/>
      <c r="DO16" s="382"/>
      <c r="DP16" s="382"/>
      <c r="DQ16" s="382"/>
      <c r="DR16" s="382"/>
      <c r="DS16" s="382"/>
      <c r="DT16" s="382"/>
      <c r="DU16" s="382"/>
      <c r="DV16" s="382"/>
      <c r="DW16" s="382"/>
      <c r="DX16" s="382"/>
      <c r="DY16" s="382"/>
      <c r="DZ16" s="382"/>
      <c r="EA16" s="382"/>
      <c r="EB16" s="382"/>
      <c r="EC16" s="382"/>
      <c r="ED16" s="382"/>
      <c r="EE16" s="382"/>
      <c r="EF16" s="382"/>
      <c r="EG16" s="382"/>
      <c r="EH16" s="382"/>
      <c r="EI16" s="382"/>
      <c r="EJ16" s="382"/>
      <c r="EK16" s="382"/>
      <c r="EL16" s="382"/>
      <c r="EM16" s="382"/>
      <c r="EN16" s="382"/>
      <c r="EO16" s="382"/>
      <c r="EP16" s="382"/>
      <c r="EQ16" s="382"/>
      <c r="ER16" s="382"/>
      <c r="ES16" s="382"/>
      <c r="ET16" s="382"/>
      <c r="EU16" s="382"/>
      <c r="EV16" s="382"/>
      <c r="EW16" s="382"/>
      <c r="EX16" s="382"/>
      <c r="EY16" s="382"/>
      <c r="EZ16" s="382"/>
      <c r="FA16" s="382"/>
      <c r="FB16" s="382"/>
      <c r="FC16" s="382"/>
      <c r="FD16" s="382"/>
      <c r="FE16" s="382"/>
      <c r="FF16" s="382"/>
      <c r="FG16" s="382"/>
      <c r="FH16" s="382"/>
      <c r="FI16" s="382"/>
      <c r="FJ16" s="382"/>
      <c r="FK16" s="382"/>
      <c r="FL16" s="382"/>
      <c r="FM16" s="382"/>
      <c r="FN16" s="382"/>
      <c r="FO16" s="382"/>
      <c r="FP16" s="382"/>
      <c r="FQ16" s="382"/>
      <c r="FR16" s="382"/>
      <c r="FS16" s="382"/>
      <c r="FT16" s="382"/>
      <c r="FU16" s="382"/>
      <c r="FV16" s="382"/>
      <c r="FW16" s="382"/>
      <c r="FX16" s="382"/>
      <c r="FY16" s="382"/>
      <c r="FZ16" s="382"/>
      <c r="GA16" s="382"/>
      <c r="GB16" s="382"/>
      <c r="GC16" s="382"/>
      <c r="GD16" s="382"/>
      <c r="GE16" s="382"/>
      <c r="GF16" s="382"/>
      <c r="GG16" s="382"/>
      <c r="GH16" s="382"/>
      <c r="GI16" s="382"/>
      <c r="GJ16" s="382"/>
      <c r="GK16" s="382"/>
      <c r="GL16" s="382"/>
      <c r="GM16" s="382"/>
      <c r="GN16" s="382"/>
      <c r="GO16" s="382"/>
      <c r="GP16" s="382"/>
      <c r="GQ16" s="382"/>
      <c r="GR16" s="382"/>
      <c r="GS16" s="382"/>
      <c r="GT16" s="382"/>
      <c r="GU16" s="382"/>
      <c r="GV16" s="382"/>
      <c r="GW16" s="382"/>
      <c r="GX16" s="382"/>
      <c r="GY16" s="382"/>
      <c r="GZ16" s="382"/>
      <c r="HA16" s="382"/>
      <c r="HB16" s="382"/>
      <c r="HC16" s="382"/>
      <c r="HD16" s="382"/>
      <c r="HE16" s="382"/>
      <c r="HF16" s="382"/>
      <c r="HG16" s="382"/>
      <c r="HH16" s="382"/>
      <c r="HI16" s="382"/>
      <c r="HJ16" s="382"/>
      <c r="HK16" s="382"/>
      <c r="HL16" s="382"/>
      <c r="HM16" s="382"/>
      <c r="HN16" s="382"/>
      <c r="HO16" s="382"/>
      <c r="HP16" s="382"/>
      <c r="HQ16" s="382"/>
      <c r="HR16" s="382"/>
      <c r="HS16" s="382"/>
      <c r="HT16" s="382"/>
      <c r="HU16" s="382"/>
      <c r="HV16" s="382"/>
      <c r="HW16" s="382"/>
      <c r="HX16" s="382"/>
      <c r="HY16" s="382"/>
      <c r="HZ16" s="382"/>
      <c r="IA16" s="382"/>
      <c r="IB16" s="382"/>
      <c r="IC16" s="382"/>
      <c r="ID16" s="382"/>
      <c r="IE16" s="382"/>
      <c r="IF16" s="382"/>
      <c r="IG16" s="382"/>
      <c r="IH16" s="382"/>
      <c r="II16" s="382"/>
      <c r="IJ16" s="382"/>
      <c r="IK16" s="382"/>
      <c r="IL16" s="382"/>
      <c r="IM16" s="382"/>
      <c r="IN16" s="382"/>
      <c r="IO16" s="382"/>
      <c r="IP16" s="382"/>
      <c r="IQ16" s="382"/>
      <c r="IR16" s="382"/>
      <c r="IS16" s="382"/>
      <c r="IT16" s="382"/>
      <c r="IU16" s="382"/>
      <c r="IV16" s="382"/>
      <c r="IW16" s="382"/>
      <c r="IX16" s="382"/>
      <c r="IY16" s="382"/>
      <c r="IZ16" s="382"/>
      <c r="JA16" s="382"/>
      <c r="JB16" s="382"/>
      <c r="JC16" s="382"/>
      <c r="JD16" s="382"/>
      <c r="JE16" s="382"/>
      <c r="JF16" s="382"/>
      <c r="JG16" s="382"/>
      <c r="JH16" s="382"/>
      <c r="JI16" s="382"/>
      <c r="JJ16" s="382"/>
      <c r="JK16" s="382"/>
      <c r="JL16" s="382"/>
      <c r="JM16" s="382"/>
      <c r="JN16" s="382"/>
      <c r="JO16" s="382"/>
      <c r="JP16" s="382"/>
      <c r="JQ16" s="382"/>
      <c r="JR16" s="382"/>
      <c r="JS16" s="382"/>
      <c r="JT16" s="382"/>
      <c r="JU16" s="382"/>
      <c r="JV16" s="382"/>
      <c r="JW16" s="382"/>
      <c r="JX16" s="382"/>
      <c r="JY16" s="382"/>
      <c r="JZ16" s="382"/>
      <c r="KA16" s="382"/>
      <c r="KB16" s="382"/>
      <c r="KC16" s="382"/>
      <c r="KD16" s="382"/>
      <c r="KE16" s="382"/>
      <c r="KF16" s="382"/>
      <c r="KG16" s="382"/>
      <c r="KH16" s="382"/>
      <c r="KI16" s="382"/>
      <c r="KJ16" s="382"/>
      <c r="KK16" s="382"/>
      <c r="KL16" s="382"/>
      <c r="KM16" s="382"/>
      <c r="KN16" s="382"/>
      <c r="KO16" s="382"/>
      <c r="KP16" s="382"/>
      <c r="KQ16" s="382"/>
      <c r="KR16" s="382"/>
      <c r="KS16" s="382"/>
      <c r="KT16" s="382"/>
      <c r="KU16" s="382"/>
      <c r="KV16" s="382"/>
      <c r="KW16" s="382"/>
      <c r="KX16" s="382"/>
      <c r="KY16" s="382"/>
      <c r="KZ16" s="382"/>
      <c r="LA16" s="382"/>
      <c r="LB16" s="382"/>
      <c r="LC16" s="382"/>
      <c r="LD16" s="382"/>
      <c r="LE16" s="382"/>
      <c r="LF16" s="382"/>
      <c r="LG16" s="382"/>
      <c r="LH16" s="382"/>
      <c r="LI16" s="382"/>
      <c r="LJ16" s="382"/>
      <c r="LK16" s="382"/>
      <c r="LL16" s="382"/>
      <c r="LM16" s="382"/>
      <c r="LN16" s="382"/>
      <c r="LO16" s="382"/>
      <c r="LP16" s="382"/>
      <c r="LQ16" s="382"/>
      <c r="LR16" s="382"/>
      <c r="LS16" s="382"/>
      <c r="LT16" s="382"/>
      <c r="LU16" s="382"/>
      <c r="LV16" s="382"/>
      <c r="LW16" s="382"/>
      <c r="LX16" s="382"/>
      <c r="LY16" s="382"/>
      <c r="LZ16" s="382"/>
      <c r="MA16" s="382"/>
      <c r="MB16" s="382"/>
      <c r="MC16" s="382"/>
      <c r="MD16" s="382"/>
      <c r="ME16" s="382"/>
      <c r="MF16" s="382"/>
      <c r="MG16" s="382"/>
      <c r="MH16" s="382"/>
      <c r="MI16" s="382"/>
      <c r="MJ16" s="382"/>
      <c r="MK16" s="382"/>
      <c r="ML16" s="382"/>
      <c r="MM16" s="382"/>
      <c r="MN16" s="382"/>
      <c r="MO16" s="382"/>
      <c r="MP16" s="382"/>
      <c r="MQ16" s="382"/>
      <c r="MR16" s="382"/>
      <c r="MS16" s="382"/>
      <c r="MT16" s="382"/>
      <c r="MU16" s="382"/>
      <c r="MV16" s="382"/>
      <c r="MW16" s="382"/>
      <c r="MX16" s="382"/>
      <c r="MY16" s="382"/>
      <c r="MZ16" s="382"/>
      <c r="NA16" s="382"/>
      <c r="NB16" s="382"/>
      <c r="NC16" s="382"/>
      <c r="ND16" s="382"/>
      <c r="NE16" s="382"/>
      <c r="NF16" s="382"/>
      <c r="NG16" s="382"/>
      <c r="NH16" s="382"/>
      <c r="NI16" s="382"/>
      <c r="NJ16" s="388"/>
      <c r="NK16" s="34"/>
      <c r="NM16" s="159">
        <f>A16</f>
        <v>0</v>
      </c>
      <c r="NN16" s="373">
        <f ca="1">COUNTIF(INDIRECT((ADDRESS(ROW(NO17),$I$11+(MATCH(NN$11,L.DATE,0))))&amp;":"&amp;(ADDRESS(ROW(NO17),$I$11+NO$11+(MATCH(NN$11,L.DATE,0))-1))),"&gt;=0")-NO16</f>
        <v>0</v>
      </c>
      <c r="NO16" s="374">
        <f ca="1">SUM(INDIRECT((ADDRESS(ROW(NO17),$I$11+(MATCH(NN$11,L.DATE,0))))&amp;":"&amp;(ADDRESS(ROW(NO17),$I$11+NO$11+(MATCH(NN$11,L.DATE,0))-1))))</f>
        <v>0</v>
      </c>
      <c r="NP16" s="373">
        <f ca="1">COUNTIF(INDIRECT((ADDRESS(ROW(NQ17),$I$11+(MATCH(NP$11,L.DATE,0))))&amp;":"&amp;(ADDRESS(ROW(NQ17),$I$11+NQ$11+(MATCH(NP$11,L.DATE,0))-1))),"&gt;=0")-NQ16</f>
        <v>0</v>
      </c>
      <c r="NQ16" s="374">
        <f ca="1">SUM(INDIRECT((ADDRESS(ROW(NQ17),$I$11+(MATCH(NP$11,L.DATE,0))))&amp;":"&amp;(ADDRESS(ROW(NQ17),$I$11+NQ$11+(MATCH(NP$11,L.DATE,0))-1))))</f>
        <v>0</v>
      </c>
      <c r="NR16" s="373">
        <f ca="1">COUNTIF(INDIRECT((ADDRESS(ROW(NS17),$I$11+(MATCH(NR$11,L.DATE,0))))&amp;":"&amp;(ADDRESS(ROW(NS17),$I$11+NS$11+(MATCH(NR$11,L.DATE,0))-1))),"&gt;=0")-NS16</f>
        <v>0</v>
      </c>
      <c r="NS16" s="374">
        <f ca="1">SUM(INDIRECT((ADDRESS(ROW(NS17),$I$11+(MATCH(NR$11,L.DATE,0))))&amp;":"&amp;(ADDRESS(ROW(NS17),$I$11+NS$11+(MATCH(NR$11,L.DATE,0))-1))))</f>
        <v>0</v>
      </c>
      <c r="NT16" s="373">
        <f ca="1">COUNTIF(INDIRECT((ADDRESS(ROW(NU17),$I$11+(MATCH(NT$11,L.DATE,0))))&amp;":"&amp;(ADDRESS(ROW(NU17),$I$11+NU$11+(MATCH(NT$11,L.DATE,0))-1))),"&gt;=0")-NU16</f>
        <v>0</v>
      </c>
      <c r="NU16" s="374">
        <f ca="1">SUM(INDIRECT((ADDRESS(ROW(NU17),$I$11+(MATCH(NT$11,L.DATE,0))))&amp;":"&amp;(ADDRESS(ROW(NU17),$I$11+NU$11+(MATCH(NT$11,L.DATE,0))-1))))</f>
        <v>0</v>
      </c>
      <c r="NV16" s="373">
        <f ca="1">COUNTIF(INDIRECT((ADDRESS(ROW(NW17),$I$11+(MATCH(NV$11,L.DATE,0))))&amp;":"&amp;(ADDRESS(ROW(NW17),$I$11+NW$11+(MATCH(NV$11,L.DATE,0))-1))),"&gt;=0")-NW16</f>
        <v>0</v>
      </c>
      <c r="NW16" s="374">
        <f ca="1">SUM(INDIRECT((ADDRESS(ROW(NW17),$I$11+(MATCH(NV$11,L.DATE,0))))&amp;":"&amp;(ADDRESS(ROW(NW17),$I$11+NW$11+(MATCH(NV$11,L.DATE,0))-1))))</f>
        <v>0</v>
      </c>
      <c r="NX16" s="373">
        <f ca="1">COUNTIF(INDIRECT((ADDRESS(ROW(NY17),$I$11+(MATCH(NX$11,L.DATE,0))))&amp;":"&amp;(ADDRESS(ROW(NY17),$I$11+NY$11+(MATCH(NX$11,L.DATE,0))-1))),"&gt;=0")-NY16</f>
        <v>0</v>
      </c>
      <c r="NY16" s="374">
        <f ca="1">SUM(INDIRECT((ADDRESS(ROW(NY17),$I$11+(MATCH(NX$11,L.DATE,0))))&amp;":"&amp;(ADDRESS(ROW(NY17),$I$11+NY$11+(MATCH(NX$11,L.DATE,0))-1))))</f>
        <v>0</v>
      </c>
      <c r="NZ16" s="373">
        <f ca="1">COUNTIF(INDIRECT((ADDRESS(ROW(OA17),$I$11+(MATCH(NZ$11,L.DATE,0))))&amp;":"&amp;(ADDRESS(ROW(OA17),$I$11+OA$11+(MATCH(NZ$11,L.DATE,0))-1))),"&gt;=0")-OA16</f>
        <v>0</v>
      </c>
      <c r="OA16" s="374">
        <f ca="1">SUM(INDIRECT((ADDRESS(ROW(OA17),$I$11+(MATCH(NZ$11,L.DATE,0))))&amp;":"&amp;(ADDRESS(ROW(OA17),$I$11+OA$11+(MATCH(NZ$11,L.DATE,0))-1))))</f>
        <v>0</v>
      </c>
      <c r="OB16" s="373">
        <f ca="1">COUNTIF(INDIRECT((ADDRESS(ROW(OC17),$I$11+(MATCH(OB$11,L.DATE,0))))&amp;":"&amp;(ADDRESS(ROW(OC17),$I$11+OC$11+(MATCH(OB$11,L.DATE,0))-1))),"&gt;=0")-OC16</f>
        <v>0</v>
      </c>
      <c r="OC16" s="374">
        <f ca="1">SUM(INDIRECT((ADDRESS(ROW(OC17),$I$11+(MATCH(OB$11,L.DATE,0))))&amp;":"&amp;(ADDRESS(ROW(OC17),$I$11+OC$11+(MATCH(OB$11,L.DATE,0))-1))))</f>
        <v>0</v>
      </c>
      <c r="OD16" s="373">
        <f ca="1">COUNTIF(INDIRECT((ADDRESS(ROW(OE17),$I$11+(MATCH(OD$11,L.DATE,0))))&amp;":"&amp;(ADDRESS(ROW(OE17),$I$11+OE$11+(MATCH(OD$11,L.DATE,0))-1))),"&gt;=0")-OE16</f>
        <v>0</v>
      </c>
      <c r="OE16" s="374">
        <f ca="1">SUM(INDIRECT((ADDRESS(ROW(OE17),$I$11+(MATCH(OD$11,L.DATE,0))))&amp;":"&amp;(ADDRESS(ROW(OE17),$I$11+OE$11+(MATCH(OD$11,L.DATE,0))-1))))</f>
        <v>0</v>
      </c>
      <c r="OF16" s="373">
        <f ca="1">COUNTIF(INDIRECT((ADDRESS(ROW(OG17),$I$11+(MATCH(OF$11,L.DATE,0))))&amp;":"&amp;(ADDRESS(ROW(OG17),$I$11+OG$11+(MATCH(OF$11,L.DATE,0))-1))),"&gt;=0")-OG16</f>
        <v>0</v>
      </c>
      <c r="OG16" s="374">
        <f ca="1">SUM(INDIRECT((ADDRESS(ROW(OG17),$I$11+(MATCH(OF$11,L.DATE,0))))&amp;":"&amp;(ADDRESS(ROW(OG17),$I$11+OG$11+(MATCH(OF$11,L.DATE,0))-1))))</f>
        <v>0</v>
      </c>
      <c r="OH16" s="373">
        <f ca="1">COUNTIF(INDIRECT((ADDRESS(ROW(OI17),$I$11+(MATCH(OH$11,L.DATE,0))))&amp;":"&amp;(ADDRESS(ROW(OI17),$I$11+OI$11+(MATCH(OH$11,L.DATE,0))-1))),"&gt;=0")-OI16</f>
        <v>0</v>
      </c>
      <c r="OI16" s="374">
        <f ca="1">SUM(INDIRECT((ADDRESS(ROW(OI17),$I$11+(MATCH(OH$11,L.DATE,0))))&amp;":"&amp;(ADDRESS(ROW(OI17),$I$11+OI$11+(MATCH(OH$11,L.DATE,0))-1))))</f>
        <v>0</v>
      </c>
      <c r="OJ16" s="373">
        <f ca="1">COUNTIF(INDIRECT((ADDRESS(ROW(OK17),$I$11+(MATCH(OJ$11,L.DATE,0))))&amp;":"&amp;(ADDRESS(ROW(OK17),$I$11+OK$11+(MATCH(OJ$11,L.DATE,0))-1))),"&gt;=0")-OK16</f>
        <v>0</v>
      </c>
      <c r="OK16" s="375">
        <f ca="1">SUM(INDIRECT((ADDRESS(ROW(OK17),$I$11+(MATCH(OJ$11,L.DATE,0))))&amp;":"&amp;(ADDRESS(ROW(OK17),$I$11+OK$11+(MATCH(OJ$11,L.DATE,0))-1))))</f>
        <v>0</v>
      </c>
      <c r="OM16" s="39">
        <f ca="1">NN16+NP16+NR16+NT16+NV16+NX16+NZ16+OB16+OD16+OF16+OJ16+OH16</f>
        <v>0</v>
      </c>
      <c r="ON16" s="40">
        <f ca="1">NO16+NQ16+NS16+NU16+NW16+NY16+OA16+OC16+OE16+OG16+OK16+OI16</f>
        <v>0</v>
      </c>
    </row>
    <row r="17" spans="1:404" x14ac:dyDescent="0.3">
      <c r="A17" s="33"/>
      <c r="B17" s="16">
        <f t="shared" ref="B17:H17" si="21">B16</f>
        <v>0</v>
      </c>
      <c r="C17" s="16">
        <f t="shared" si="21"/>
        <v>0</v>
      </c>
      <c r="D17" s="16">
        <f t="shared" si="21"/>
        <v>0</v>
      </c>
      <c r="E17" s="16">
        <f t="shared" si="21"/>
        <v>0</v>
      </c>
      <c r="F17" s="16">
        <f t="shared" si="21"/>
        <v>0</v>
      </c>
      <c r="G17" s="105">
        <f t="shared" si="21"/>
        <v>0</v>
      </c>
      <c r="H17" s="109">
        <f t="shared" si="21"/>
        <v>2</v>
      </c>
      <c r="I17" s="28"/>
      <c r="J17" s="382"/>
      <c r="K17" s="382"/>
      <c r="L17" s="382"/>
      <c r="M17" s="382"/>
      <c r="N17" s="382"/>
      <c r="O17" s="382"/>
      <c r="P17" s="382"/>
      <c r="Q17" s="382"/>
      <c r="R17" s="382"/>
      <c r="S17" s="382"/>
      <c r="T17" s="382"/>
      <c r="U17" s="382"/>
      <c r="V17" s="382"/>
      <c r="W17" s="382"/>
      <c r="X17" s="382"/>
      <c r="Y17" s="382"/>
      <c r="Z17" s="382"/>
      <c r="AA17" s="382"/>
      <c r="AB17" s="382"/>
      <c r="AC17" s="382"/>
      <c r="AD17" s="382"/>
      <c r="AE17" s="382"/>
      <c r="AF17" s="382"/>
      <c r="AG17" s="382"/>
      <c r="AH17" s="382"/>
      <c r="AI17" s="382"/>
      <c r="AJ17" s="382"/>
      <c r="AK17" s="382"/>
      <c r="AL17" s="382"/>
      <c r="AM17" s="382"/>
      <c r="AN17" s="382"/>
      <c r="AO17" s="382"/>
      <c r="AP17" s="382"/>
      <c r="AQ17" s="382"/>
      <c r="AR17" s="382"/>
      <c r="AS17" s="382"/>
      <c r="AT17" s="382"/>
      <c r="AU17" s="382"/>
      <c r="AV17" s="382"/>
      <c r="AW17" s="382"/>
      <c r="AX17" s="382"/>
      <c r="AY17" s="382"/>
      <c r="AZ17" s="382"/>
      <c r="BA17" s="382"/>
      <c r="BB17" s="382"/>
      <c r="BC17" s="382"/>
      <c r="BD17" s="382"/>
      <c r="BE17" s="382"/>
      <c r="BF17" s="382"/>
      <c r="BG17" s="382"/>
      <c r="BH17" s="382"/>
      <c r="BI17" s="382"/>
      <c r="BJ17" s="382"/>
      <c r="BK17" s="382"/>
      <c r="BL17" s="382"/>
      <c r="BM17" s="382"/>
      <c r="BN17" s="382"/>
      <c r="BO17" s="382"/>
      <c r="BP17" s="382"/>
      <c r="BQ17" s="382"/>
      <c r="BR17" s="382"/>
      <c r="BS17" s="382"/>
      <c r="BT17" s="382"/>
      <c r="BU17" s="382"/>
      <c r="BV17" s="382"/>
      <c r="BW17" s="382"/>
      <c r="BX17" s="382"/>
      <c r="BY17" s="382"/>
      <c r="BZ17" s="382"/>
      <c r="CA17" s="382"/>
      <c r="CB17" s="382"/>
      <c r="CC17" s="382"/>
      <c r="CD17" s="382"/>
      <c r="CE17" s="382"/>
      <c r="CF17" s="382"/>
      <c r="CG17" s="382"/>
      <c r="CH17" s="382"/>
      <c r="CI17" s="382"/>
      <c r="CJ17" s="382"/>
      <c r="CK17" s="382"/>
      <c r="CL17" s="382"/>
      <c r="CM17" s="382"/>
      <c r="CN17" s="382"/>
      <c r="CO17" s="382"/>
      <c r="CP17" s="382"/>
      <c r="CQ17" s="382"/>
      <c r="CR17" s="382"/>
      <c r="CS17" s="382"/>
      <c r="CT17" s="382"/>
      <c r="CU17" s="382"/>
      <c r="CV17" s="382"/>
      <c r="CW17" s="382"/>
      <c r="CX17" s="382"/>
      <c r="CY17" s="382"/>
      <c r="CZ17" s="382"/>
      <c r="DA17" s="382"/>
      <c r="DB17" s="382"/>
      <c r="DC17" s="382"/>
      <c r="DD17" s="382"/>
      <c r="DE17" s="382"/>
      <c r="DF17" s="382"/>
      <c r="DG17" s="382"/>
      <c r="DH17" s="382"/>
      <c r="DI17" s="382"/>
      <c r="DJ17" s="382"/>
      <c r="DK17" s="382"/>
      <c r="DL17" s="382"/>
      <c r="DM17" s="382"/>
      <c r="DN17" s="382"/>
      <c r="DO17" s="382"/>
      <c r="DP17" s="382"/>
      <c r="DQ17" s="382"/>
      <c r="DR17" s="382"/>
      <c r="DS17" s="382"/>
      <c r="DT17" s="382"/>
      <c r="DU17" s="382"/>
      <c r="DV17" s="382"/>
      <c r="DW17" s="382"/>
      <c r="DX17" s="382"/>
      <c r="DY17" s="382"/>
      <c r="DZ17" s="382"/>
      <c r="EA17" s="382"/>
      <c r="EB17" s="382"/>
      <c r="EC17" s="382"/>
      <c r="ED17" s="382"/>
      <c r="EE17" s="382"/>
      <c r="EF17" s="382"/>
      <c r="EG17" s="382"/>
      <c r="EH17" s="382"/>
      <c r="EI17" s="382"/>
      <c r="EJ17" s="382"/>
      <c r="EK17" s="382"/>
      <c r="EL17" s="382"/>
      <c r="EM17" s="382"/>
      <c r="EN17" s="382"/>
      <c r="EO17" s="382"/>
      <c r="EP17" s="382"/>
      <c r="EQ17" s="382"/>
      <c r="ER17" s="382"/>
      <c r="ES17" s="382"/>
      <c r="ET17" s="382"/>
      <c r="EU17" s="382"/>
      <c r="EV17" s="382"/>
      <c r="EW17" s="382"/>
      <c r="EX17" s="382"/>
      <c r="EY17" s="382"/>
      <c r="EZ17" s="382"/>
      <c r="FA17" s="382"/>
      <c r="FB17" s="382"/>
      <c r="FC17" s="382"/>
      <c r="FD17" s="382"/>
      <c r="FE17" s="382"/>
      <c r="FF17" s="382"/>
      <c r="FG17" s="382"/>
      <c r="FH17" s="382"/>
      <c r="FI17" s="382"/>
      <c r="FJ17" s="382"/>
      <c r="FK17" s="382"/>
      <c r="FL17" s="382"/>
      <c r="FM17" s="382"/>
      <c r="FN17" s="382"/>
      <c r="FO17" s="382"/>
      <c r="FP17" s="382"/>
      <c r="FQ17" s="382"/>
      <c r="FR17" s="382"/>
      <c r="FS17" s="382"/>
      <c r="FT17" s="382"/>
      <c r="FU17" s="382"/>
      <c r="FV17" s="382"/>
      <c r="FW17" s="382"/>
      <c r="FX17" s="382"/>
      <c r="FY17" s="382"/>
      <c r="FZ17" s="382"/>
      <c r="GA17" s="382"/>
      <c r="GB17" s="382"/>
      <c r="GC17" s="382"/>
      <c r="GD17" s="382"/>
      <c r="GE17" s="382"/>
      <c r="GF17" s="382"/>
      <c r="GG17" s="382"/>
      <c r="GH17" s="382"/>
      <c r="GI17" s="382"/>
      <c r="GJ17" s="382"/>
      <c r="GK17" s="382"/>
      <c r="GL17" s="382"/>
      <c r="GM17" s="382"/>
      <c r="GN17" s="382"/>
      <c r="GO17" s="382"/>
      <c r="GP17" s="382"/>
      <c r="GQ17" s="382"/>
      <c r="GR17" s="382"/>
      <c r="GS17" s="382"/>
      <c r="GT17" s="382"/>
      <c r="GU17" s="382"/>
      <c r="GV17" s="382"/>
      <c r="GW17" s="382"/>
      <c r="GX17" s="382"/>
      <c r="GY17" s="382"/>
      <c r="GZ17" s="382"/>
      <c r="HA17" s="382"/>
      <c r="HB17" s="382"/>
      <c r="HC17" s="382"/>
      <c r="HD17" s="382"/>
      <c r="HE17" s="382"/>
      <c r="HF17" s="382"/>
      <c r="HG17" s="382"/>
      <c r="HH17" s="382"/>
      <c r="HI17" s="382"/>
      <c r="HJ17" s="382"/>
      <c r="HK17" s="382"/>
      <c r="HL17" s="382"/>
      <c r="HM17" s="382"/>
      <c r="HN17" s="382"/>
      <c r="HO17" s="382"/>
      <c r="HP17" s="382"/>
      <c r="HQ17" s="382"/>
      <c r="HR17" s="382"/>
      <c r="HS17" s="382"/>
      <c r="HT17" s="382"/>
      <c r="HU17" s="382"/>
      <c r="HV17" s="382"/>
      <c r="HW17" s="382"/>
      <c r="HX17" s="382"/>
      <c r="HY17" s="382"/>
      <c r="HZ17" s="382"/>
      <c r="IA17" s="382"/>
      <c r="IB17" s="382"/>
      <c r="IC17" s="382"/>
      <c r="ID17" s="382"/>
      <c r="IE17" s="382"/>
      <c r="IF17" s="382"/>
      <c r="IG17" s="382"/>
      <c r="IH17" s="382"/>
      <c r="II17" s="382"/>
      <c r="IJ17" s="382"/>
      <c r="IK17" s="382"/>
      <c r="IL17" s="382"/>
      <c r="IM17" s="382"/>
      <c r="IN17" s="382"/>
      <c r="IO17" s="382"/>
      <c r="IP17" s="382"/>
      <c r="IQ17" s="382"/>
      <c r="IR17" s="382"/>
      <c r="IS17" s="382"/>
      <c r="IT17" s="382"/>
      <c r="IU17" s="382"/>
      <c r="IV17" s="382"/>
      <c r="IW17" s="382"/>
      <c r="IX17" s="382"/>
      <c r="IY17" s="382"/>
      <c r="IZ17" s="382"/>
      <c r="JA17" s="382"/>
      <c r="JB17" s="382"/>
      <c r="JC17" s="382"/>
      <c r="JD17" s="382"/>
      <c r="JE17" s="382"/>
      <c r="JF17" s="382"/>
      <c r="JG17" s="382"/>
      <c r="JH17" s="382"/>
      <c r="JI17" s="382"/>
      <c r="JJ17" s="382"/>
      <c r="JK17" s="382"/>
      <c r="JL17" s="382"/>
      <c r="JM17" s="382"/>
      <c r="JN17" s="382"/>
      <c r="JO17" s="382"/>
      <c r="JP17" s="382"/>
      <c r="JQ17" s="382"/>
      <c r="JR17" s="382"/>
      <c r="JS17" s="382"/>
      <c r="JT17" s="382"/>
      <c r="JU17" s="382"/>
      <c r="JV17" s="382"/>
      <c r="JW17" s="382"/>
      <c r="JX17" s="382"/>
      <c r="JY17" s="382"/>
      <c r="JZ17" s="382"/>
      <c r="KA17" s="382"/>
      <c r="KB17" s="382"/>
      <c r="KC17" s="382"/>
      <c r="KD17" s="382"/>
      <c r="KE17" s="382"/>
      <c r="KF17" s="382"/>
      <c r="KG17" s="382"/>
      <c r="KH17" s="382"/>
      <c r="KI17" s="382"/>
      <c r="KJ17" s="382"/>
      <c r="KK17" s="382"/>
      <c r="KL17" s="382"/>
      <c r="KM17" s="382"/>
      <c r="KN17" s="382"/>
      <c r="KO17" s="382"/>
      <c r="KP17" s="382"/>
      <c r="KQ17" s="382"/>
      <c r="KR17" s="382"/>
      <c r="KS17" s="382"/>
      <c r="KT17" s="382"/>
      <c r="KU17" s="382"/>
      <c r="KV17" s="382"/>
      <c r="KW17" s="382"/>
      <c r="KX17" s="382"/>
      <c r="KY17" s="382"/>
      <c r="KZ17" s="382"/>
      <c r="LA17" s="382"/>
      <c r="LB17" s="382"/>
      <c r="LC17" s="382"/>
      <c r="LD17" s="382"/>
      <c r="LE17" s="382"/>
      <c r="LF17" s="382"/>
      <c r="LG17" s="382"/>
      <c r="LH17" s="382"/>
      <c r="LI17" s="382"/>
      <c r="LJ17" s="382"/>
      <c r="LK17" s="382"/>
      <c r="LL17" s="382"/>
      <c r="LM17" s="382"/>
      <c r="LN17" s="382"/>
      <c r="LO17" s="382"/>
      <c r="LP17" s="382"/>
      <c r="LQ17" s="382"/>
      <c r="LR17" s="382"/>
      <c r="LS17" s="382"/>
      <c r="LT17" s="382"/>
      <c r="LU17" s="382"/>
      <c r="LV17" s="382"/>
      <c r="LW17" s="382"/>
      <c r="LX17" s="382"/>
      <c r="LY17" s="382"/>
      <c r="LZ17" s="382"/>
      <c r="MA17" s="382"/>
      <c r="MB17" s="382"/>
      <c r="MC17" s="382"/>
      <c r="MD17" s="382"/>
      <c r="ME17" s="382"/>
      <c r="MF17" s="382"/>
      <c r="MG17" s="382"/>
      <c r="MH17" s="382"/>
      <c r="MI17" s="382"/>
      <c r="MJ17" s="382"/>
      <c r="MK17" s="382"/>
      <c r="ML17" s="382"/>
      <c r="MM17" s="382"/>
      <c r="MN17" s="382"/>
      <c r="MO17" s="382"/>
      <c r="MP17" s="382"/>
      <c r="MQ17" s="382"/>
      <c r="MR17" s="382"/>
      <c r="MS17" s="382"/>
      <c r="MT17" s="382"/>
      <c r="MU17" s="382"/>
      <c r="MV17" s="382"/>
      <c r="MW17" s="382"/>
      <c r="MX17" s="382"/>
      <c r="MY17" s="382"/>
      <c r="MZ17" s="382"/>
      <c r="NA17" s="382"/>
      <c r="NB17" s="382"/>
      <c r="NC17" s="382"/>
      <c r="ND17" s="382"/>
      <c r="NE17" s="382"/>
      <c r="NF17" s="382"/>
      <c r="NG17" s="382"/>
      <c r="NH17" s="382"/>
      <c r="NI17" s="382"/>
      <c r="NJ17" s="388"/>
      <c r="NK17" s="34"/>
      <c r="NM17" s="379" t="str">
        <f>NM16&amp;".b"</f>
        <v>0.b</v>
      </c>
      <c r="NN17" s="376" t="str" cm="1">
        <f t="array" aca="1" ref="NN17" ca="1">IF(xcomp(INDIRECT((ADDRESS(ROW(NN16),$I$11+(MATCH(NN$11,L.DATE,0))))&amp;":"&amp;(ADDRESS(ROW(NN16),$I$11+NO$11+(MATCH(NN$11,L.DATE,0))-1))),L.ABSP)=0,"",xcomp(INDIRECT((ADDRESS(ROW(NN16),$I$11+(MATCH(NN$11,L.DATE,0))))&amp;":"&amp;(ADDRESS(ROW(NN16),$I$11+NO$11+(MATCH(NN$11,L.DATE,0))-1))),L.ABSP))</f>
        <v/>
      </c>
      <c r="NO17" s="377" t="str" cm="1">
        <f t="array" aca="1" ref="NO17" ca="1">IF(xcomp(INDIRECT((ADDRESS(ROW(NO16),$I$11+(MATCH(NN$11,L.DATE,0))))&amp;":"&amp;(ADDRESS(ROW(NO16),$I$11+NO$11+(MATCH(NN$11,L.DATE,0))-1))),L.ABS.NP)=0,"",xcomp(INDIRECT((ADDRESS(ROW(NO16),$I$11+(MATCH(NN$11,L.DATE,0))))&amp;":"&amp;(ADDRESS(ROW(NO16),$I$11+NO$11+(MATCH(NN$11,L.DATE,0))-1))),L.ABS.NP))</f>
        <v/>
      </c>
      <c r="NP17" s="376" t="str" cm="1">
        <f t="array" aca="1" ref="NP17" ca="1">IF(xcomp(INDIRECT((ADDRESS(ROW(NP16),$I$11+(MATCH(NP$11,L.DATE,0))))&amp;":"&amp;(ADDRESS(ROW(NP16),$I$11+NQ$11+(MATCH(NP$11,L.DATE,0))-1))),L.ABSP)=0,"",xcomp(INDIRECT((ADDRESS(ROW(NP16),$I$11+(MATCH(NP$11,L.DATE,0))))&amp;":"&amp;(ADDRESS(ROW(NP16),$I$11+NQ$11+(MATCH(NP$11,L.DATE,0))-1))),L.ABSP))</f>
        <v/>
      </c>
      <c r="NQ17" s="377" t="str" cm="1">
        <f t="array" aca="1" ref="NQ17" ca="1">IF(xcomp(INDIRECT((ADDRESS(ROW(NQ16),$I$11+(MATCH(NP$11,L.DATE,0))))&amp;":"&amp;(ADDRESS(ROW(NQ16),$I$11+NQ$11+(MATCH(NP$11,L.DATE,0))-1))),L.ABS.NP)=0,"",xcomp(INDIRECT((ADDRESS(ROW(NQ16),$I$11+(MATCH(NP$11,L.DATE,0))))&amp;":"&amp;(ADDRESS(ROW(NQ16),$I$11+NQ$11+(MATCH(NP$11,L.DATE,0))-1))),L.ABS.NP))</f>
        <v/>
      </c>
      <c r="NR17" s="376" t="str" cm="1">
        <f t="array" aca="1" ref="NR17" ca="1">IF(xcomp(INDIRECT((ADDRESS(ROW(NR16),$I$11+(MATCH(NR$11,L.DATE,0))))&amp;":"&amp;(ADDRESS(ROW(NR16),$I$11+NS$11+(MATCH(NR$11,L.DATE,0))-1))),L.ABSP)=0,"",xcomp(INDIRECT((ADDRESS(ROW(NR16),$I$11+(MATCH(NR$11,L.DATE,0))))&amp;":"&amp;(ADDRESS(ROW(NR16),$I$11+NS$11+(MATCH(NR$11,L.DATE,0))-1))),L.ABSP))</f>
        <v/>
      </c>
      <c r="NS17" s="377" t="str" cm="1">
        <f t="array" aca="1" ref="NS17" ca="1">IF(xcomp(INDIRECT((ADDRESS(ROW(NS16),$I$11+(MATCH(NR$11,L.DATE,0))))&amp;":"&amp;(ADDRESS(ROW(NS16),$I$11+NS$11+(MATCH(NR$11,L.DATE,0))-1))),L.ABS.NP)=0,"",xcomp(INDIRECT((ADDRESS(ROW(NS16),$I$11+(MATCH(NR$11,L.DATE,0))))&amp;":"&amp;(ADDRESS(ROW(NS16),$I$11+NS$11+(MATCH(NR$11,L.DATE,0))-1))),L.ABS.NP))</f>
        <v/>
      </c>
      <c r="NT17" s="376" t="str" cm="1">
        <f t="array" aca="1" ref="NT17" ca="1">IF(xcomp(INDIRECT((ADDRESS(ROW(NT16),$I$11+(MATCH(NT$11,L.DATE,0))))&amp;":"&amp;(ADDRESS(ROW(NT16),$I$11+NU$11+(MATCH(NT$11,L.DATE,0))-1))),L.ABSP)=0,"",xcomp(INDIRECT((ADDRESS(ROW(NT16),$I$11+(MATCH(NT$11,L.DATE,0))))&amp;":"&amp;(ADDRESS(ROW(NT16),$I$11+NU$11+(MATCH(NT$11,L.DATE,0))-1))),L.ABSP))</f>
        <v/>
      </c>
      <c r="NU17" s="377" t="str" cm="1">
        <f t="array" aca="1" ref="NU17" ca="1">IF(xcomp(INDIRECT((ADDRESS(ROW(NU16),$I$11+(MATCH(NT$11,L.DATE,0))))&amp;":"&amp;(ADDRESS(ROW(NU16),$I$11+NU$11+(MATCH(NT$11,L.DATE,0))-1))),L.ABS.NP)=0,"",xcomp(INDIRECT((ADDRESS(ROW(NU16),$I$11+(MATCH(NT$11,L.DATE,0))))&amp;":"&amp;(ADDRESS(ROW(NU16),$I$11+NU$11+(MATCH(NT$11,L.DATE,0))-1))),L.ABS.NP))</f>
        <v/>
      </c>
      <c r="NV17" s="376" t="str" cm="1">
        <f t="array" aca="1" ref="NV17" ca="1">IF(xcomp(INDIRECT((ADDRESS(ROW(NV16),$I$11+(MATCH(NV$11,L.DATE,0))))&amp;":"&amp;(ADDRESS(ROW(NV16),$I$11+NW$11+(MATCH(NV$11,L.DATE,0))-1))),L.ABSP)=0,"",xcomp(INDIRECT((ADDRESS(ROW(NV16),$I$11+(MATCH(NV$11,L.DATE,0))))&amp;":"&amp;(ADDRESS(ROW(NV16),$I$11+NW$11+(MATCH(NV$11,L.DATE,0))-1))),L.ABSP))</f>
        <v/>
      </c>
      <c r="NW17" s="377" t="str" cm="1">
        <f t="array" aca="1" ref="NW17" ca="1">IF(xcomp(INDIRECT((ADDRESS(ROW(NW16),$I$11+(MATCH(NV$11,L.DATE,0))))&amp;":"&amp;(ADDRESS(ROW(NW16),$I$11+NW$11+(MATCH(NV$11,L.DATE,0))-1))),L.ABS.NP)=0,"",xcomp(INDIRECT((ADDRESS(ROW(NW16),$I$11+(MATCH(NV$11,L.DATE,0))))&amp;":"&amp;(ADDRESS(ROW(NW16),$I$11+NW$11+(MATCH(NV$11,L.DATE,0))-1))),L.ABS.NP))</f>
        <v/>
      </c>
      <c r="NX17" s="376" t="str" cm="1">
        <f t="array" aca="1" ref="NX17" ca="1">IF(xcomp(INDIRECT((ADDRESS(ROW(NX16),$I$11+(MATCH(NX$11,L.DATE,0))))&amp;":"&amp;(ADDRESS(ROW(NX16),$I$11+NY$11+(MATCH(NX$11,L.DATE,0))-1))),L.ABSP)=0,"",xcomp(INDIRECT((ADDRESS(ROW(NX16),$I$11+(MATCH(NX$11,L.DATE,0))))&amp;":"&amp;(ADDRESS(ROW(NX16),$I$11+NY$11+(MATCH(NX$11,L.DATE,0))-1))),L.ABSP))</f>
        <v/>
      </c>
      <c r="NY17" s="377" t="str" cm="1">
        <f t="array" aca="1" ref="NY17" ca="1">IF(xcomp(INDIRECT((ADDRESS(ROW(NY16),$I$11+(MATCH(NX$11,L.DATE,0))))&amp;":"&amp;(ADDRESS(ROW(NY16),$I$11+NY$11+(MATCH(NX$11,L.DATE,0))-1))),L.ABS.NP)=0,"",xcomp(INDIRECT((ADDRESS(ROW(NY16),$I$11+(MATCH(NX$11,L.DATE,0))))&amp;":"&amp;(ADDRESS(ROW(NY16),$I$11+NY$11+(MATCH(NX$11,L.DATE,0))-1))),L.ABS.NP))</f>
        <v/>
      </c>
      <c r="NZ17" s="376" t="str" cm="1">
        <f t="array" aca="1" ref="NZ17" ca="1">IF(xcomp(INDIRECT((ADDRESS(ROW(NZ16),$I$11+(MATCH(NZ$11,L.DATE,0))))&amp;":"&amp;(ADDRESS(ROW(NZ16),$I$11+OA$11+(MATCH(NZ$11,L.DATE,0))-1))),L.ABSP)=0,"",xcomp(INDIRECT((ADDRESS(ROW(NZ16),$I$11+(MATCH(NZ$11,L.DATE,0))))&amp;":"&amp;(ADDRESS(ROW(NZ16),$I$11+OA$11+(MATCH(NZ$11,L.DATE,0))-1))),L.ABSP))</f>
        <v/>
      </c>
      <c r="OA17" s="377" t="str" cm="1">
        <f t="array" aca="1" ref="OA17" ca="1">IF(xcomp(INDIRECT((ADDRESS(ROW(OA16),$I$11+(MATCH(NZ$11,L.DATE,0))))&amp;":"&amp;(ADDRESS(ROW(OA16),$I$11+OA$11+(MATCH(NZ$11,L.DATE,0))-1))),L.ABS.NP)=0,"",xcomp(INDIRECT((ADDRESS(ROW(OA16),$I$11+(MATCH(NZ$11,L.DATE,0))))&amp;":"&amp;(ADDRESS(ROW(OA16),$I$11+OA$11+(MATCH(NZ$11,L.DATE,0))-1))),L.ABS.NP))</f>
        <v/>
      </c>
      <c r="OB17" s="376" t="str" cm="1">
        <f t="array" aca="1" ref="OB17" ca="1">IF(xcomp(INDIRECT((ADDRESS(ROW(OB16),$I$11+(MATCH(OB$11,L.DATE,0))))&amp;":"&amp;(ADDRESS(ROW(OB16),$I$11+OC$11+(MATCH(OB$11,L.DATE,0))-1))),L.ABSP)=0,"",xcomp(INDIRECT((ADDRESS(ROW(OB16),$I$11+(MATCH(OB$11,L.DATE,0))))&amp;":"&amp;(ADDRESS(ROW(OB16),$I$11+OC$11+(MATCH(OB$11,L.DATE,0))-1))),L.ABSP))</f>
        <v/>
      </c>
      <c r="OC17" s="377" t="str" cm="1">
        <f t="array" aca="1" ref="OC17" ca="1">IF(xcomp(INDIRECT((ADDRESS(ROW(OC16),$I$11+(MATCH(OB$11,L.DATE,0))))&amp;":"&amp;(ADDRESS(ROW(OC16),$I$11+OC$11+(MATCH(OB$11,L.DATE,0))-1))),L.ABS.NP)=0,"",xcomp(INDIRECT((ADDRESS(ROW(OC16),$I$11+(MATCH(OB$11,L.DATE,0))))&amp;":"&amp;(ADDRESS(ROW(OC16),$I$11+OC$11+(MATCH(OB$11,L.DATE,0))-1))),L.ABS.NP))</f>
        <v/>
      </c>
      <c r="OD17" s="376" t="str" cm="1">
        <f t="array" aca="1" ref="OD17" ca="1">IF(xcomp(INDIRECT((ADDRESS(ROW(OD16),$I$11+(MATCH(OD$11,L.DATE,0))))&amp;":"&amp;(ADDRESS(ROW(OD16),$I$11+OE$11+(MATCH(OD$11,L.DATE,0))-1))),L.ABSP)=0,"",xcomp(INDIRECT((ADDRESS(ROW(OD16),$I$11+(MATCH(OD$11,L.DATE,0))))&amp;":"&amp;(ADDRESS(ROW(OD16),$I$11+OE$11+(MATCH(OD$11,L.DATE,0))-1))),L.ABSP))</f>
        <v/>
      </c>
      <c r="OE17" s="377" t="str" cm="1">
        <f t="array" aca="1" ref="OE17" ca="1">IF(xcomp(INDIRECT((ADDRESS(ROW(OE16),$I$11+(MATCH(OD$11,L.DATE,0))))&amp;":"&amp;(ADDRESS(ROW(OE16),$I$11+OE$11+(MATCH(OD$11,L.DATE,0))-1))),L.ABS.NP)=0,"",xcomp(INDIRECT((ADDRESS(ROW(OE16),$I$11+(MATCH(OD$11,L.DATE,0))))&amp;":"&amp;(ADDRESS(ROW(OE16),$I$11+OE$11+(MATCH(OD$11,L.DATE,0))-1))),L.ABS.NP))</f>
        <v/>
      </c>
      <c r="OF17" s="376" t="str" cm="1">
        <f t="array" aca="1" ref="OF17" ca="1">IF(xcomp(INDIRECT((ADDRESS(ROW(OF16),$I$11+(MATCH(OF$11,L.DATE,0))))&amp;":"&amp;(ADDRESS(ROW(OF16),$I$11+OG$11+(MATCH(OF$11,L.DATE,0))-1))),L.ABSP)=0,"",xcomp(INDIRECT((ADDRESS(ROW(OF16),$I$11+(MATCH(OF$11,L.DATE,0))))&amp;":"&amp;(ADDRESS(ROW(OF16),$I$11+OG$11+(MATCH(OF$11,L.DATE,0))-1))),L.ABSP))</f>
        <v/>
      </c>
      <c r="OG17" s="377" t="str" cm="1">
        <f t="array" aca="1" ref="OG17" ca="1">IF(xcomp(INDIRECT((ADDRESS(ROW(OG16),$I$11+(MATCH(OF$11,L.DATE,0))))&amp;":"&amp;(ADDRESS(ROW(OG16),$I$11+OG$11+(MATCH(OF$11,L.DATE,0))-1))),L.ABS.NP)=0,"",xcomp(INDIRECT((ADDRESS(ROW(OG16),$I$11+(MATCH(OF$11,L.DATE,0))))&amp;":"&amp;(ADDRESS(ROW(OG16),$I$11+OG$11+(MATCH(OF$11,L.DATE,0))-1))),L.ABS.NP))</f>
        <v/>
      </c>
      <c r="OH17" s="376" t="str" cm="1">
        <f t="array" aca="1" ref="OH17" ca="1">IF(xcomp(INDIRECT((ADDRESS(ROW(OH16),$I$11+(MATCH(OH$11,L.DATE,0))))&amp;":"&amp;(ADDRESS(ROW(OH16),$I$11+OI$11+(MATCH(OH$11,L.DATE,0))-1))),L.ABSP)=0,"",xcomp(INDIRECT((ADDRESS(ROW(OH16),$I$11+(MATCH(OH$11,L.DATE,0))))&amp;":"&amp;(ADDRESS(ROW(OH16),$I$11+OI$11+(MATCH(OH$11,L.DATE,0))-1))),L.ABSP))</f>
        <v/>
      </c>
      <c r="OI17" s="377" t="str" cm="1">
        <f t="array" aca="1" ref="OI17" ca="1">IF(xcomp(INDIRECT((ADDRESS(ROW(OI16),$I$11+(MATCH(OH$11,L.DATE,0))))&amp;":"&amp;(ADDRESS(ROW(OI16),$I$11+OI$11+(MATCH(OH$11,L.DATE,0))-1))),L.ABS.NP)=0,"",xcomp(INDIRECT((ADDRESS(ROW(OI16),$I$11+(MATCH(OH$11,L.DATE,0))))&amp;":"&amp;(ADDRESS(ROW(OI16),$I$11+OI$11+(MATCH(OH$11,L.DATE,0))-1))),L.ABS.NP))</f>
        <v/>
      </c>
      <c r="OJ17" s="376" t="str" cm="1">
        <f t="array" aca="1" ref="OJ17" ca="1">IF(xcomp(INDIRECT((ADDRESS(ROW(OJ16),$I$11+(MATCH(OJ$11,L.DATE,0))))&amp;":"&amp;(ADDRESS(ROW(OJ16),$I$11+OK$11+(MATCH(OJ$11,L.DATE,0))-1))),L.ABSP)=0,"",xcomp(INDIRECT((ADDRESS(ROW(OJ16),$I$11+(MATCH(OJ$11,L.DATE,0))))&amp;":"&amp;(ADDRESS(ROW(OJ16),$I$11+OK$11+(MATCH(OJ$11,L.DATE,0))-1))),L.ABSP))</f>
        <v/>
      </c>
      <c r="OK17" s="378" t="str" cm="1">
        <f t="array" aca="1" ref="OK17" ca="1">IF(xcomp(INDIRECT((ADDRESS(ROW(OK16),$I$11+(MATCH(OJ$11,L.DATE,0))))&amp;":"&amp;(ADDRESS(ROW(OK16),$I$11+OK$11+(MATCH(OJ$11,L.DATE,0))-1))),L.ABS.NP)=0,"",xcomp(INDIRECT((ADDRESS(ROW(OK16),$I$11+(MATCH(OJ$11,L.DATE,0))))&amp;":"&amp;(ADDRESS(ROW(OK16),$I$11+OK$11+(MATCH(OJ$11,L.DATE,0))-1))),L.ABS.NP))</f>
        <v/>
      </c>
    </row>
    <row r="18" spans="1:404" ht="12" customHeight="1" x14ac:dyDescent="0.3">
      <c r="A18" s="394">
        <v>0</v>
      </c>
      <c r="B18" s="381"/>
      <c r="C18" s="53"/>
      <c r="D18" s="392"/>
      <c r="E18" s="53"/>
      <c r="F18" s="53"/>
      <c r="G18" s="104"/>
      <c r="H18" s="108">
        <v>2</v>
      </c>
      <c r="I18" s="28"/>
      <c r="J18" s="382"/>
      <c r="K18" s="382"/>
      <c r="L18" s="382"/>
      <c r="M18" s="382"/>
      <c r="N18" s="382"/>
      <c r="O18" s="382"/>
      <c r="P18" s="382"/>
      <c r="Q18" s="382"/>
      <c r="R18" s="382"/>
      <c r="S18" s="382"/>
      <c r="T18" s="382"/>
      <c r="U18" s="382"/>
      <c r="V18" s="382"/>
      <c r="W18" s="382"/>
      <c r="X18" s="382"/>
      <c r="Y18" s="382"/>
      <c r="Z18" s="382"/>
      <c r="AA18" s="382"/>
      <c r="AB18" s="382"/>
      <c r="AC18" s="382"/>
      <c r="AD18" s="382"/>
      <c r="AE18" s="382"/>
      <c r="AF18" s="382"/>
      <c r="AG18" s="382"/>
      <c r="AH18" s="382"/>
      <c r="AI18" s="382"/>
      <c r="AJ18" s="382"/>
      <c r="AK18" s="382"/>
      <c r="AL18" s="382"/>
      <c r="AM18" s="382"/>
      <c r="AN18" s="382"/>
      <c r="AO18" s="382"/>
      <c r="AP18" s="382"/>
      <c r="AQ18" s="382"/>
      <c r="AR18" s="382"/>
      <c r="AS18" s="382"/>
      <c r="AT18" s="382"/>
      <c r="AU18" s="382"/>
      <c r="AV18" s="382"/>
      <c r="AW18" s="382"/>
      <c r="AX18" s="382"/>
      <c r="AY18" s="382"/>
      <c r="AZ18" s="382"/>
      <c r="BA18" s="382"/>
      <c r="BB18" s="382"/>
      <c r="BC18" s="382"/>
      <c r="BD18" s="382"/>
      <c r="BE18" s="382"/>
      <c r="BF18" s="382"/>
      <c r="BG18" s="382"/>
      <c r="BH18" s="382"/>
      <c r="BI18" s="382"/>
      <c r="BJ18" s="382"/>
      <c r="BK18" s="382"/>
      <c r="BL18" s="382"/>
      <c r="BM18" s="382"/>
      <c r="BN18" s="382"/>
      <c r="BO18" s="382"/>
      <c r="BP18" s="382"/>
      <c r="BQ18" s="382"/>
      <c r="BR18" s="382"/>
      <c r="BS18" s="382"/>
      <c r="BT18" s="382"/>
      <c r="BU18" s="382"/>
      <c r="BV18" s="382"/>
      <c r="BW18" s="382"/>
      <c r="BX18" s="382"/>
      <c r="BY18" s="382"/>
      <c r="BZ18" s="382"/>
      <c r="CA18" s="382"/>
      <c r="CB18" s="382"/>
      <c r="CC18" s="382"/>
      <c r="CD18" s="382"/>
      <c r="CE18" s="382"/>
      <c r="CF18" s="382"/>
      <c r="CG18" s="382"/>
      <c r="CH18" s="382"/>
      <c r="CI18" s="382"/>
      <c r="CJ18" s="382"/>
      <c r="CK18" s="382"/>
      <c r="CL18" s="382"/>
      <c r="CM18" s="382"/>
      <c r="CN18" s="382"/>
      <c r="CO18" s="382"/>
      <c r="CP18" s="382"/>
      <c r="CQ18" s="382"/>
      <c r="CR18" s="382"/>
      <c r="CS18" s="382"/>
      <c r="CT18" s="382"/>
      <c r="CU18" s="382"/>
      <c r="CV18" s="382"/>
      <c r="CW18" s="382"/>
      <c r="CX18" s="382"/>
      <c r="CY18" s="382"/>
      <c r="CZ18" s="382"/>
      <c r="DA18" s="382"/>
      <c r="DB18" s="382"/>
      <c r="DC18" s="382"/>
      <c r="DD18" s="382"/>
      <c r="DE18" s="382"/>
      <c r="DF18" s="382"/>
      <c r="DG18" s="382"/>
      <c r="DH18" s="382"/>
      <c r="DI18" s="382"/>
      <c r="DJ18" s="382"/>
      <c r="DK18" s="382"/>
      <c r="DL18" s="382"/>
      <c r="DM18" s="382"/>
      <c r="DN18" s="382"/>
      <c r="DO18" s="382"/>
      <c r="DP18" s="382"/>
      <c r="DQ18" s="382"/>
      <c r="DR18" s="382"/>
      <c r="DS18" s="382"/>
      <c r="DT18" s="382"/>
      <c r="DU18" s="382"/>
      <c r="DV18" s="382"/>
      <c r="DW18" s="382"/>
      <c r="DX18" s="382"/>
      <c r="DY18" s="382"/>
      <c r="DZ18" s="382"/>
      <c r="EA18" s="382"/>
      <c r="EB18" s="382"/>
      <c r="EC18" s="382"/>
      <c r="ED18" s="382"/>
      <c r="EE18" s="382"/>
      <c r="EF18" s="382"/>
      <c r="EG18" s="382"/>
      <c r="EH18" s="382"/>
      <c r="EI18" s="382"/>
      <c r="EJ18" s="382"/>
      <c r="EK18" s="382"/>
      <c r="EL18" s="382"/>
      <c r="EM18" s="382"/>
      <c r="EN18" s="382"/>
      <c r="EO18" s="382"/>
      <c r="EP18" s="382"/>
      <c r="EQ18" s="382"/>
      <c r="ER18" s="382"/>
      <c r="ES18" s="382"/>
      <c r="ET18" s="382"/>
      <c r="EU18" s="382"/>
      <c r="EV18" s="382"/>
      <c r="EW18" s="382"/>
      <c r="EX18" s="382"/>
      <c r="EY18" s="382"/>
      <c r="EZ18" s="382"/>
      <c r="FA18" s="382"/>
      <c r="FB18" s="382"/>
      <c r="FC18" s="382"/>
      <c r="FD18" s="382"/>
      <c r="FE18" s="382"/>
      <c r="FF18" s="382"/>
      <c r="FG18" s="382"/>
      <c r="FH18" s="382"/>
      <c r="FI18" s="382"/>
      <c r="FJ18" s="382"/>
      <c r="FK18" s="382"/>
      <c r="FL18" s="382"/>
      <c r="FM18" s="382"/>
      <c r="FN18" s="382"/>
      <c r="FO18" s="382"/>
      <c r="FP18" s="382"/>
      <c r="FQ18" s="382"/>
      <c r="FR18" s="382"/>
      <c r="FS18" s="382"/>
      <c r="FT18" s="382"/>
      <c r="FU18" s="382"/>
      <c r="FV18" s="382"/>
      <c r="FW18" s="382"/>
      <c r="FX18" s="382"/>
      <c r="FY18" s="382"/>
      <c r="FZ18" s="382"/>
      <c r="GA18" s="382"/>
      <c r="GB18" s="382"/>
      <c r="GC18" s="382"/>
      <c r="GD18" s="382"/>
      <c r="GE18" s="382"/>
      <c r="GF18" s="382"/>
      <c r="GG18" s="382"/>
      <c r="GH18" s="382"/>
      <c r="GI18" s="382"/>
      <c r="GJ18" s="382"/>
      <c r="GK18" s="382"/>
      <c r="GL18" s="382"/>
      <c r="GM18" s="382"/>
      <c r="GN18" s="382"/>
      <c r="GO18" s="382"/>
      <c r="GP18" s="382"/>
      <c r="GQ18" s="382"/>
      <c r="GR18" s="382"/>
      <c r="GS18" s="382"/>
      <c r="GT18" s="382"/>
      <c r="GU18" s="382"/>
      <c r="GV18" s="382"/>
      <c r="GW18" s="382"/>
      <c r="GX18" s="382"/>
      <c r="GY18" s="382"/>
      <c r="GZ18" s="382"/>
      <c r="HA18" s="382"/>
      <c r="HB18" s="382"/>
      <c r="HC18" s="382"/>
      <c r="HD18" s="382"/>
      <c r="HE18" s="382"/>
      <c r="HF18" s="382"/>
      <c r="HG18" s="382"/>
      <c r="HH18" s="382"/>
      <c r="HI18" s="382"/>
      <c r="HJ18" s="382"/>
      <c r="HK18" s="382"/>
      <c r="HL18" s="382"/>
      <c r="HM18" s="382"/>
      <c r="HN18" s="382"/>
      <c r="HO18" s="382"/>
      <c r="HP18" s="382"/>
      <c r="HQ18" s="382"/>
      <c r="HR18" s="382"/>
      <c r="HS18" s="382"/>
      <c r="HT18" s="382"/>
      <c r="HU18" s="382"/>
      <c r="HV18" s="382"/>
      <c r="HW18" s="382"/>
      <c r="HX18" s="382"/>
      <c r="HY18" s="382"/>
      <c r="HZ18" s="382"/>
      <c r="IA18" s="382"/>
      <c r="IB18" s="382"/>
      <c r="IC18" s="382"/>
      <c r="ID18" s="382"/>
      <c r="IE18" s="382"/>
      <c r="IF18" s="382"/>
      <c r="IG18" s="382"/>
      <c r="IH18" s="382"/>
      <c r="II18" s="382"/>
      <c r="IJ18" s="382"/>
      <c r="IK18" s="382"/>
      <c r="IL18" s="382"/>
      <c r="IM18" s="382"/>
      <c r="IN18" s="382"/>
      <c r="IO18" s="382"/>
      <c r="IP18" s="382"/>
      <c r="IQ18" s="382"/>
      <c r="IR18" s="382"/>
      <c r="IS18" s="382"/>
      <c r="IT18" s="382"/>
      <c r="IU18" s="382"/>
      <c r="IV18" s="382"/>
      <c r="IW18" s="382"/>
      <c r="IX18" s="382"/>
      <c r="IY18" s="382"/>
      <c r="IZ18" s="382"/>
      <c r="JA18" s="382"/>
      <c r="JB18" s="382"/>
      <c r="JC18" s="382"/>
      <c r="JD18" s="382"/>
      <c r="JE18" s="382"/>
      <c r="JF18" s="382"/>
      <c r="JG18" s="382"/>
      <c r="JH18" s="382"/>
      <c r="JI18" s="382"/>
      <c r="JJ18" s="382"/>
      <c r="JK18" s="382"/>
      <c r="JL18" s="382"/>
      <c r="JM18" s="382"/>
      <c r="JN18" s="382"/>
      <c r="JO18" s="382"/>
      <c r="JP18" s="382"/>
      <c r="JQ18" s="382"/>
      <c r="JR18" s="382"/>
      <c r="JS18" s="382"/>
      <c r="JT18" s="382"/>
      <c r="JU18" s="382"/>
      <c r="JV18" s="382"/>
      <c r="JW18" s="382"/>
      <c r="JX18" s="382"/>
      <c r="JY18" s="382"/>
      <c r="JZ18" s="382"/>
      <c r="KA18" s="382"/>
      <c r="KB18" s="382"/>
      <c r="KC18" s="382"/>
      <c r="KD18" s="382"/>
      <c r="KE18" s="382"/>
      <c r="KF18" s="382"/>
      <c r="KG18" s="382"/>
      <c r="KH18" s="382"/>
      <c r="KI18" s="382"/>
      <c r="KJ18" s="382"/>
      <c r="KK18" s="382"/>
      <c r="KL18" s="382"/>
      <c r="KM18" s="382"/>
      <c r="KN18" s="382"/>
      <c r="KO18" s="382"/>
      <c r="KP18" s="382"/>
      <c r="KQ18" s="382"/>
      <c r="KR18" s="382"/>
      <c r="KS18" s="382"/>
      <c r="KT18" s="382"/>
      <c r="KU18" s="382"/>
      <c r="KV18" s="382"/>
      <c r="KW18" s="382"/>
      <c r="KX18" s="382"/>
      <c r="KY18" s="382"/>
      <c r="KZ18" s="382"/>
      <c r="LA18" s="382"/>
      <c r="LB18" s="382"/>
      <c r="LC18" s="382"/>
      <c r="LD18" s="382"/>
      <c r="LE18" s="382"/>
      <c r="LF18" s="382"/>
      <c r="LG18" s="382"/>
      <c r="LH18" s="382"/>
      <c r="LI18" s="382"/>
      <c r="LJ18" s="382"/>
      <c r="LK18" s="382"/>
      <c r="LL18" s="382"/>
      <c r="LM18" s="382"/>
      <c r="LN18" s="382"/>
      <c r="LO18" s="382"/>
      <c r="LP18" s="382"/>
      <c r="LQ18" s="382"/>
      <c r="LR18" s="382"/>
      <c r="LS18" s="382"/>
      <c r="LT18" s="382"/>
      <c r="LU18" s="382"/>
      <c r="LV18" s="382"/>
      <c r="LW18" s="382"/>
      <c r="LX18" s="382"/>
      <c r="LY18" s="382"/>
      <c r="LZ18" s="382"/>
      <c r="MA18" s="382"/>
      <c r="MB18" s="382"/>
      <c r="MC18" s="382"/>
      <c r="MD18" s="382"/>
      <c r="ME18" s="382"/>
      <c r="MF18" s="382"/>
      <c r="MG18" s="382"/>
      <c r="MH18" s="382"/>
      <c r="MI18" s="382"/>
      <c r="MJ18" s="382"/>
      <c r="MK18" s="382"/>
      <c r="ML18" s="382"/>
      <c r="MM18" s="382"/>
      <c r="MN18" s="382"/>
      <c r="MO18" s="382"/>
      <c r="MP18" s="382"/>
      <c r="MQ18" s="382"/>
      <c r="MR18" s="382"/>
      <c r="MS18" s="382"/>
      <c r="MT18" s="382"/>
      <c r="MU18" s="382"/>
      <c r="MV18" s="382"/>
      <c r="MW18" s="382"/>
      <c r="MX18" s="382"/>
      <c r="MY18" s="382"/>
      <c r="MZ18" s="382"/>
      <c r="NA18" s="382"/>
      <c r="NB18" s="382"/>
      <c r="NC18" s="382"/>
      <c r="ND18" s="382"/>
      <c r="NE18" s="382"/>
      <c r="NF18" s="382"/>
      <c r="NG18" s="382"/>
      <c r="NH18" s="382"/>
      <c r="NI18" s="382"/>
      <c r="NJ18" s="388"/>
      <c r="NK18" s="34"/>
      <c r="NM18" s="159">
        <f>A18</f>
        <v>0</v>
      </c>
      <c r="NN18" s="373">
        <f ca="1">COUNTIF(INDIRECT((ADDRESS(ROW(NO19),$I$11+(MATCH(NN$11,L.DATE,0))))&amp;":"&amp;(ADDRESS(ROW(NO19),$I$11+NO$11+(MATCH(NN$11,L.DATE,0))-1))),"&gt;=0")-NO18</f>
        <v>0</v>
      </c>
      <c r="NO18" s="374">
        <f ca="1">SUM(INDIRECT((ADDRESS(ROW(NO19),$I$11+(MATCH(NN$11,L.DATE,0))))&amp;":"&amp;(ADDRESS(ROW(NO19),$I$11+NO$11+(MATCH(NN$11,L.DATE,0))-1))))</f>
        <v>0</v>
      </c>
      <c r="NP18" s="373">
        <f ca="1">COUNTIF(INDIRECT((ADDRESS(ROW(NQ19),$I$11+(MATCH(NP$11,L.DATE,0))))&amp;":"&amp;(ADDRESS(ROW(NQ19),$I$11+NQ$11+(MATCH(NP$11,L.DATE,0))-1))),"&gt;=0")-NQ18</f>
        <v>0</v>
      </c>
      <c r="NQ18" s="374">
        <f ca="1">SUM(INDIRECT((ADDRESS(ROW(NQ19),$I$11+(MATCH(NP$11,L.DATE,0))))&amp;":"&amp;(ADDRESS(ROW(NQ19),$I$11+NQ$11+(MATCH(NP$11,L.DATE,0))-1))))</f>
        <v>0</v>
      </c>
      <c r="NR18" s="373">
        <f ca="1">COUNTIF(INDIRECT((ADDRESS(ROW(NS19),$I$11+(MATCH(NR$11,L.DATE,0))))&amp;":"&amp;(ADDRESS(ROW(NS19),$I$11+NS$11+(MATCH(NR$11,L.DATE,0))-1))),"&gt;=0")-NS18</f>
        <v>0</v>
      </c>
      <c r="NS18" s="374">
        <f ca="1">SUM(INDIRECT((ADDRESS(ROW(NS19),$I$11+(MATCH(NR$11,L.DATE,0))))&amp;":"&amp;(ADDRESS(ROW(NS19),$I$11+NS$11+(MATCH(NR$11,L.DATE,0))-1))))</f>
        <v>0</v>
      </c>
      <c r="NT18" s="373">
        <f ca="1">COUNTIF(INDIRECT((ADDRESS(ROW(NU19),$I$11+(MATCH(NT$11,L.DATE,0))))&amp;":"&amp;(ADDRESS(ROW(NU19),$I$11+NU$11+(MATCH(NT$11,L.DATE,0))-1))),"&gt;=0")-NU18</f>
        <v>0</v>
      </c>
      <c r="NU18" s="374">
        <f ca="1">SUM(INDIRECT((ADDRESS(ROW(NU19),$I$11+(MATCH(NT$11,L.DATE,0))))&amp;":"&amp;(ADDRESS(ROW(NU19),$I$11+NU$11+(MATCH(NT$11,L.DATE,0))-1))))</f>
        <v>0</v>
      </c>
      <c r="NV18" s="373">
        <f ca="1">COUNTIF(INDIRECT((ADDRESS(ROW(NW19),$I$11+(MATCH(NV$11,L.DATE,0))))&amp;":"&amp;(ADDRESS(ROW(NW19),$I$11+NW$11+(MATCH(NV$11,L.DATE,0))-1))),"&gt;=0")-NW18</f>
        <v>0</v>
      </c>
      <c r="NW18" s="374">
        <f ca="1">SUM(INDIRECT((ADDRESS(ROW(NW19),$I$11+(MATCH(NV$11,L.DATE,0))))&amp;":"&amp;(ADDRESS(ROW(NW19),$I$11+NW$11+(MATCH(NV$11,L.DATE,0))-1))))</f>
        <v>0</v>
      </c>
      <c r="NX18" s="373">
        <f ca="1">COUNTIF(INDIRECT((ADDRESS(ROW(NY19),$I$11+(MATCH(NX$11,L.DATE,0))))&amp;":"&amp;(ADDRESS(ROW(NY19),$I$11+NY$11+(MATCH(NX$11,L.DATE,0))-1))),"&gt;=0")-NY18</f>
        <v>0</v>
      </c>
      <c r="NY18" s="374">
        <f ca="1">SUM(INDIRECT((ADDRESS(ROW(NY19),$I$11+(MATCH(NX$11,L.DATE,0))))&amp;":"&amp;(ADDRESS(ROW(NY19),$I$11+NY$11+(MATCH(NX$11,L.DATE,0))-1))))</f>
        <v>0</v>
      </c>
      <c r="NZ18" s="373">
        <f ca="1">COUNTIF(INDIRECT((ADDRESS(ROW(OA19),$I$11+(MATCH(NZ$11,L.DATE,0))))&amp;":"&amp;(ADDRESS(ROW(OA19),$I$11+OA$11+(MATCH(NZ$11,L.DATE,0))-1))),"&gt;=0")-OA18</f>
        <v>0</v>
      </c>
      <c r="OA18" s="374">
        <f ca="1">SUM(INDIRECT((ADDRESS(ROW(OA19),$I$11+(MATCH(NZ$11,L.DATE,0))))&amp;":"&amp;(ADDRESS(ROW(OA19),$I$11+OA$11+(MATCH(NZ$11,L.DATE,0))-1))))</f>
        <v>0</v>
      </c>
      <c r="OB18" s="373">
        <f ca="1">COUNTIF(INDIRECT((ADDRESS(ROW(OC19),$I$11+(MATCH(OB$11,L.DATE,0))))&amp;":"&amp;(ADDRESS(ROW(OC19),$I$11+OC$11+(MATCH(OB$11,L.DATE,0))-1))),"&gt;=0")-OC18</f>
        <v>0</v>
      </c>
      <c r="OC18" s="374">
        <f ca="1">SUM(INDIRECT((ADDRESS(ROW(OC19),$I$11+(MATCH(OB$11,L.DATE,0))))&amp;":"&amp;(ADDRESS(ROW(OC19),$I$11+OC$11+(MATCH(OB$11,L.DATE,0))-1))))</f>
        <v>0</v>
      </c>
      <c r="OD18" s="373">
        <f ca="1">COUNTIF(INDIRECT((ADDRESS(ROW(OE19),$I$11+(MATCH(OD$11,L.DATE,0))))&amp;":"&amp;(ADDRESS(ROW(OE19),$I$11+OE$11+(MATCH(OD$11,L.DATE,0))-1))),"&gt;=0")-OE18</f>
        <v>0</v>
      </c>
      <c r="OE18" s="374">
        <f ca="1">SUM(INDIRECT((ADDRESS(ROW(OE19),$I$11+(MATCH(OD$11,L.DATE,0))))&amp;":"&amp;(ADDRESS(ROW(OE19),$I$11+OE$11+(MATCH(OD$11,L.DATE,0))-1))))</f>
        <v>0</v>
      </c>
      <c r="OF18" s="373">
        <f ca="1">COUNTIF(INDIRECT((ADDRESS(ROW(OG19),$I$11+(MATCH(OF$11,L.DATE,0))))&amp;":"&amp;(ADDRESS(ROW(OG19),$I$11+OG$11+(MATCH(OF$11,L.DATE,0))-1))),"&gt;=0")-OG18</f>
        <v>0</v>
      </c>
      <c r="OG18" s="374">
        <f ca="1">SUM(INDIRECT((ADDRESS(ROW(OG19),$I$11+(MATCH(OF$11,L.DATE,0))))&amp;":"&amp;(ADDRESS(ROW(OG19),$I$11+OG$11+(MATCH(OF$11,L.DATE,0))-1))))</f>
        <v>0</v>
      </c>
      <c r="OH18" s="373">
        <f ca="1">COUNTIF(INDIRECT((ADDRESS(ROW(OI19),$I$11+(MATCH(OH$11,L.DATE,0))))&amp;":"&amp;(ADDRESS(ROW(OI19),$I$11+OI$11+(MATCH(OH$11,L.DATE,0))-1))),"&gt;=0")-OI18</f>
        <v>0</v>
      </c>
      <c r="OI18" s="374">
        <f ca="1">SUM(INDIRECT((ADDRESS(ROW(OI19),$I$11+(MATCH(OH$11,L.DATE,0))))&amp;":"&amp;(ADDRESS(ROW(OI19),$I$11+OI$11+(MATCH(OH$11,L.DATE,0))-1))))</f>
        <v>0</v>
      </c>
      <c r="OJ18" s="373">
        <f ca="1">COUNTIF(INDIRECT((ADDRESS(ROW(OK19),$I$11+(MATCH(OJ$11,L.DATE,0))))&amp;":"&amp;(ADDRESS(ROW(OK19),$I$11+OK$11+(MATCH(OJ$11,L.DATE,0))-1))),"&gt;=0")-OK18</f>
        <v>0</v>
      </c>
      <c r="OK18" s="375">
        <f ca="1">SUM(INDIRECT((ADDRESS(ROW(OK19),$I$11+(MATCH(OJ$11,L.DATE,0))))&amp;":"&amp;(ADDRESS(ROW(OK19),$I$11+OK$11+(MATCH(OJ$11,L.DATE,0))-1))))</f>
        <v>0</v>
      </c>
      <c r="OM18" s="39">
        <f ca="1">NN18+NP18+NR18+NT18+NV18+NX18+NZ18+OB18+OD18+OF18+OJ18+OH18</f>
        <v>0</v>
      </c>
      <c r="ON18" s="40">
        <f ca="1">NO18+NQ18+NS18+NU18+NW18+NY18+OA18+OC18+OE18+OG18+OK18+OI18</f>
        <v>0</v>
      </c>
    </row>
    <row r="19" spans="1:404" x14ac:dyDescent="0.3">
      <c r="A19" s="33"/>
      <c r="B19" s="16">
        <f t="shared" ref="B19:H19" si="22">B18</f>
        <v>0</v>
      </c>
      <c r="C19" s="16">
        <f t="shared" si="22"/>
        <v>0</v>
      </c>
      <c r="D19" s="16">
        <f t="shared" si="22"/>
        <v>0</v>
      </c>
      <c r="E19" s="16">
        <f t="shared" si="22"/>
        <v>0</v>
      </c>
      <c r="F19" s="16">
        <f t="shared" si="22"/>
        <v>0</v>
      </c>
      <c r="G19" s="105">
        <f t="shared" si="22"/>
        <v>0</v>
      </c>
      <c r="H19" s="109">
        <f t="shared" si="22"/>
        <v>2</v>
      </c>
      <c r="I19" s="28"/>
      <c r="J19" s="382"/>
      <c r="K19" s="382"/>
      <c r="L19" s="382"/>
      <c r="M19" s="382"/>
      <c r="N19" s="382"/>
      <c r="O19" s="382"/>
      <c r="P19" s="382"/>
      <c r="Q19" s="382"/>
      <c r="R19" s="382"/>
      <c r="S19" s="382"/>
      <c r="T19" s="382"/>
      <c r="U19" s="382"/>
      <c r="V19" s="382"/>
      <c r="W19" s="382"/>
      <c r="X19" s="382"/>
      <c r="Y19" s="382"/>
      <c r="Z19" s="382"/>
      <c r="AA19" s="382"/>
      <c r="AB19" s="382"/>
      <c r="AC19" s="382"/>
      <c r="AD19" s="382"/>
      <c r="AE19" s="382"/>
      <c r="AF19" s="382"/>
      <c r="AG19" s="382"/>
      <c r="AH19" s="382"/>
      <c r="AI19" s="382"/>
      <c r="AJ19" s="382"/>
      <c r="AK19" s="382"/>
      <c r="AL19" s="382"/>
      <c r="AM19" s="382"/>
      <c r="AN19" s="382"/>
      <c r="AO19" s="382"/>
      <c r="AP19" s="382"/>
      <c r="AQ19" s="382"/>
      <c r="AR19" s="382"/>
      <c r="AS19" s="382"/>
      <c r="AT19" s="382"/>
      <c r="AU19" s="382"/>
      <c r="AV19" s="382"/>
      <c r="AW19" s="382"/>
      <c r="AX19" s="382"/>
      <c r="AY19" s="382"/>
      <c r="AZ19" s="382"/>
      <c r="BA19" s="382"/>
      <c r="BB19" s="382"/>
      <c r="BC19" s="382"/>
      <c r="BD19" s="382"/>
      <c r="BE19" s="382"/>
      <c r="BF19" s="382"/>
      <c r="BG19" s="382"/>
      <c r="BH19" s="382"/>
      <c r="BI19" s="382"/>
      <c r="BJ19" s="382"/>
      <c r="BK19" s="382"/>
      <c r="BL19" s="382"/>
      <c r="BM19" s="382"/>
      <c r="BN19" s="382"/>
      <c r="BO19" s="382"/>
      <c r="BP19" s="382"/>
      <c r="BQ19" s="382"/>
      <c r="BR19" s="382"/>
      <c r="BS19" s="382"/>
      <c r="BT19" s="382"/>
      <c r="BU19" s="382"/>
      <c r="BV19" s="382"/>
      <c r="BW19" s="382"/>
      <c r="BX19" s="382"/>
      <c r="BY19" s="382"/>
      <c r="BZ19" s="382"/>
      <c r="CA19" s="382"/>
      <c r="CB19" s="382"/>
      <c r="CC19" s="382"/>
      <c r="CD19" s="382"/>
      <c r="CE19" s="382"/>
      <c r="CF19" s="382"/>
      <c r="CG19" s="382"/>
      <c r="CH19" s="382"/>
      <c r="CI19" s="382"/>
      <c r="CJ19" s="382"/>
      <c r="CK19" s="382"/>
      <c r="CL19" s="382"/>
      <c r="CM19" s="382"/>
      <c r="CN19" s="382"/>
      <c r="CO19" s="382"/>
      <c r="CP19" s="382"/>
      <c r="CQ19" s="382"/>
      <c r="CR19" s="382"/>
      <c r="CS19" s="382"/>
      <c r="CT19" s="382"/>
      <c r="CU19" s="382"/>
      <c r="CV19" s="382"/>
      <c r="CW19" s="382"/>
      <c r="CX19" s="382"/>
      <c r="CY19" s="382"/>
      <c r="CZ19" s="382"/>
      <c r="DA19" s="382"/>
      <c r="DB19" s="382"/>
      <c r="DC19" s="382"/>
      <c r="DD19" s="382"/>
      <c r="DE19" s="382"/>
      <c r="DF19" s="382"/>
      <c r="DG19" s="382"/>
      <c r="DH19" s="382"/>
      <c r="DI19" s="382"/>
      <c r="DJ19" s="382"/>
      <c r="DK19" s="382"/>
      <c r="DL19" s="382"/>
      <c r="DM19" s="382"/>
      <c r="DN19" s="382"/>
      <c r="DO19" s="382"/>
      <c r="DP19" s="382"/>
      <c r="DQ19" s="382"/>
      <c r="DR19" s="382"/>
      <c r="DS19" s="382"/>
      <c r="DT19" s="382"/>
      <c r="DU19" s="382"/>
      <c r="DV19" s="382"/>
      <c r="DW19" s="382"/>
      <c r="DX19" s="382"/>
      <c r="DY19" s="382"/>
      <c r="DZ19" s="382"/>
      <c r="EA19" s="382"/>
      <c r="EB19" s="382"/>
      <c r="EC19" s="382"/>
      <c r="ED19" s="382"/>
      <c r="EE19" s="382"/>
      <c r="EF19" s="382"/>
      <c r="EG19" s="382"/>
      <c r="EH19" s="382"/>
      <c r="EI19" s="382"/>
      <c r="EJ19" s="382"/>
      <c r="EK19" s="382"/>
      <c r="EL19" s="382"/>
      <c r="EM19" s="382"/>
      <c r="EN19" s="382"/>
      <c r="EO19" s="382"/>
      <c r="EP19" s="382"/>
      <c r="EQ19" s="382"/>
      <c r="ER19" s="382"/>
      <c r="ES19" s="382"/>
      <c r="ET19" s="382"/>
      <c r="EU19" s="382"/>
      <c r="EV19" s="382"/>
      <c r="EW19" s="382"/>
      <c r="EX19" s="382"/>
      <c r="EY19" s="382"/>
      <c r="EZ19" s="382"/>
      <c r="FA19" s="382"/>
      <c r="FB19" s="382"/>
      <c r="FC19" s="382"/>
      <c r="FD19" s="382"/>
      <c r="FE19" s="382"/>
      <c r="FF19" s="382"/>
      <c r="FG19" s="382"/>
      <c r="FH19" s="382"/>
      <c r="FI19" s="382"/>
      <c r="FJ19" s="382"/>
      <c r="FK19" s="382"/>
      <c r="FL19" s="382"/>
      <c r="FM19" s="382"/>
      <c r="FN19" s="382"/>
      <c r="FO19" s="382"/>
      <c r="FP19" s="382"/>
      <c r="FQ19" s="382"/>
      <c r="FR19" s="382"/>
      <c r="FS19" s="382"/>
      <c r="FT19" s="382"/>
      <c r="FU19" s="382"/>
      <c r="FV19" s="382"/>
      <c r="FW19" s="382"/>
      <c r="FX19" s="382"/>
      <c r="FY19" s="382"/>
      <c r="FZ19" s="382"/>
      <c r="GA19" s="382"/>
      <c r="GB19" s="382"/>
      <c r="GC19" s="382"/>
      <c r="GD19" s="382"/>
      <c r="GE19" s="382"/>
      <c r="GF19" s="382"/>
      <c r="GG19" s="382"/>
      <c r="GH19" s="382"/>
      <c r="GI19" s="382"/>
      <c r="GJ19" s="382"/>
      <c r="GK19" s="382"/>
      <c r="GL19" s="382"/>
      <c r="GM19" s="382"/>
      <c r="GN19" s="382"/>
      <c r="GO19" s="382"/>
      <c r="GP19" s="382"/>
      <c r="GQ19" s="382"/>
      <c r="GR19" s="382"/>
      <c r="GS19" s="382"/>
      <c r="GT19" s="382"/>
      <c r="GU19" s="382"/>
      <c r="GV19" s="382"/>
      <c r="GW19" s="382"/>
      <c r="GX19" s="382"/>
      <c r="GY19" s="382"/>
      <c r="GZ19" s="382"/>
      <c r="HA19" s="382"/>
      <c r="HB19" s="382"/>
      <c r="HC19" s="382"/>
      <c r="HD19" s="382"/>
      <c r="HE19" s="382"/>
      <c r="HF19" s="382"/>
      <c r="HG19" s="382"/>
      <c r="HH19" s="382"/>
      <c r="HI19" s="382"/>
      <c r="HJ19" s="382"/>
      <c r="HK19" s="382"/>
      <c r="HL19" s="382"/>
      <c r="HM19" s="382"/>
      <c r="HN19" s="382"/>
      <c r="HO19" s="382"/>
      <c r="HP19" s="382"/>
      <c r="HQ19" s="382"/>
      <c r="HR19" s="382"/>
      <c r="HS19" s="382"/>
      <c r="HT19" s="382"/>
      <c r="HU19" s="382"/>
      <c r="HV19" s="382"/>
      <c r="HW19" s="382"/>
      <c r="HX19" s="382"/>
      <c r="HY19" s="382"/>
      <c r="HZ19" s="382"/>
      <c r="IA19" s="382"/>
      <c r="IB19" s="382"/>
      <c r="IC19" s="382"/>
      <c r="ID19" s="382"/>
      <c r="IE19" s="382"/>
      <c r="IF19" s="382"/>
      <c r="IG19" s="382"/>
      <c r="IH19" s="382"/>
      <c r="II19" s="382"/>
      <c r="IJ19" s="382"/>
      <c r="IK19" s="382"/>
      <c r="IL19" s="382"/>
      <c r="IM19" s="382"/>
      <c r="IN19" s="382"/>
      <c r="IO19" s="382"/>
      <c r="IP19" s="382"/>
      <c r="IQ19" s="382"/>
      <c r="IR19" s="382"/>
      <c r="IS19" s="382"/>
      <c r="IT19" s="382"/>
      <c r="IU19" s="382"/>
      <c r="IV19" s="382"/>
      <c r="IW19" s="382"/>
      <c r="IX19" s="382"/>
      <c r="IY19" s="382"/>
      <c r="IZ19" s="382"/>
      <c r="JA19" s="382"/>
      <c r="JB19" s="382"/>
      <c r="JC19" s="382"/>
      <c r="JD19" s="382"/>
      <c r="JE19" s="382"/>
      <c r="JF19" s="382"/>
      <c r="JG19" s="382"/>
      <c r="JH19" s="382"/>
      <c r="JI19" s="382"/>
      <c r="JJ19" s="382"/>
      <c r="JK19" s="382"/>
      <c r="JL19" s="382"/>
      <c r="JM19" s="382"/>
      <c r="JN19" s="382"/>
      <c r="JO19" s="382"/>
      <c r="JP19" s="382"/>
      <c r="JQ19" s="382"/>
      <c r="JR19" s="382"/>
      <c r="JS19" s="382"/>
      <c r="JT19" s="382"/>
      <c r="JU19" s="382"/>
      <c r="JV19" s="382"/>
      <c r="JW19" s="382"/>
      <c r="JX19" s="382"/>
      <c r="JY19" s="382"/>
      <c r="JZ19" s="382"/>
      <c r="KA19" s="382"/>
      <c r="KB19" s="382"/>
      <c r="KC19" s="382"/>
      <c r="KD19" s="382"/>
      <c r="KE19" s="382"/>
      <c r="KF19" s="382"/>
      <c r="KG19" s="382"/>
      <c r="KH19" s="382"/>
      <c r="KI19" s="382"/>
      <c r="KJ19" s="382"/>
      <c r="KK19" s="382"/>
      <c r="KL19" s="382"/>
      <c r="KM19" s="382"/>
      <c r="KN19" s="382"/>
      <c r="KO19" s="382"/>
      <c r="KP19" s="382"/>
      <c r="KQ19" s="382"/>
      <c r="KR19" s="382"/>
      <c r="KS19" s="382"/>
      <c r="KT19" s="382"/>
      <c r="KU19" s="382"/>
      <c r="KV19" s="382"/>
      <c r="KW19" s="382"/>
      <c r="KX19" s="382"/>
      <c r="KY19" s="382"/>
      <c r="KZ19" s="382"/>
      <c r="LA19" s="382"/>
      <c r="LB19" s="382"/>
      <c r="LC19" s="382"/>
      <c r="LD19" s="382"/>
      <c r="LE19" s="382"/>
      <c r="LF19" s="382"/>
      <c r="LG19" s="382"/>
      <c r="LH19" s="382"/>
      <c r="LI19" s="382"/>
      <c r="LJ19" s="382"/>
      <c r="LK19" s="382"/>
      <c r="LL19" s="382"/>
      <c r="LM19" s="382"/>
      <c r="LN19" s="382"/>
      <c r="LO19" s="382"/>
      <c r="LP19" s="382"/>
      <c r="LQ19" s="382"/>
      <c r="LR19" s="382"/>
      <c r="LS19" s="382"/>
      <c r="LT19" s="382"/>
      <c r="LU19" s="382"/>
      <c r="LV19" s="382"/>
      <c r="LW19" s="382"/>
      <c r="LX19" s="382"/>
      <c r="LY19" s="382"/>
      <c r="LZ19" s="382"/>
      <c r="MA19" s="382"/>
      <c r="MB19" s="382"/>
      <c r="MC19" s="382"/>
      <c r="MD19" s="382"/>
      <c r="ME19" s="382"/>
      <c r="MF19" s="382"/>
      <c r="MG19" s="382"/>
      <c r="MH19" s="382"/>
      <c r="MI19" s="382"/>
      <c r="MJ19" s="382"/>
      <c r="MK19" s="382"/>
      <c r="ML19" s="382"/>
      <c r="MM19" s="382"/>
      <c r="MN19" s="382"/>
      <c r="MO19" s="382"/>
      <c r="MP19" s="382"/>
      <c r="MQ19" s="382"/>
      <c r="MR19" s="382"/>
      <c r="MS19" s="382"/>
      <c r="MT19" s="382"/>
      <c r="MU19" s="382"/>
      <c r="MV19" s="382"/>
      <c r="MW19" s="382"/>
      <c r="MX19" s="382"/>
      <c r="MY19" s="382"/>
      <c r="MZ19" s="382"/>
      <c r="NA19" s="382"/>
      <c r="NB19" s="382"/>
      <c r="NC19" s="382"/>
      <c r="ND19" s="382"/>
      <c r="NE19" s="382"/>
      <c r="NF19" s="382"/>
      <c r="NG19" s="382"/>
      <c r="NH19" s="382"/>
      <c r="NI19" s="382"/>
      <c r="NJ19" s="388"/>
      <c r="NK19" s="34"/>
      <c r="NM19" s="379" t="str">
        <f>NM18&amp;".b"</f>
        <v>0.b</v>
      </c>
      <c r="NN19" s="376" t="str" cm="1">
        <f t="array" aca="1" ref="NN19" ca="1">IF(xcomp(INDIRECT((ADDRESS(ROW(NN18),$I$11+(MATCH(NN$11,L.DATE,0))))&amp;":"&amp;(ADDRESS(ROW(NN18),$I$11+NO$11+(MATCH(NN$11,L.DATE,0))-1))),L.ABSP)=0,"",xcomp(INDIRECT((ADDRESS(ROW(NN18),$I$11+(MATCH(NN$11,L.DATE,0))))&amp;":"&amp;(ADDRESS(ROW(NN18),$I$11+NO$11+(MATCH(NN$11,L.DATE,0))-1))),L.ABSP))</f>
        <v/>
      </c>
      <c r="NO19" s="377" t="str" cm="1">
        <f t="array" aca="1" ref="NO19" ca="1">IF(xcomp(INDIRECT((ADDRESS(ROW(NO18),$I$11+(MATCH(NN$11,L.DATE,0))))&amp;":"&amp;(ADDRESS(ROW(NO18),$I$11+NO$11+(MATCH(NN$11,L.DATE,0))-1))),L.ABS.NP)=0,"",xcomp(INDIRECT((ADDRESS(ROW(NO18),$I$11+(MATCH(NN$11,L.DATE,0))))&amp;":"&amp;(ADDRESS(ROW(NO18),$I$11+NO$11+(MATCH(NN$11,L.DATE,0))-1))),L.ABS.NP))</f>
        <v/>
      </c>
      <c r="NP19" s="376" t="str" cm="1">
        <f t="array" aca="1" ref="NP19" ca="1">IF(xcomp(INDIRECT((ADDRESS(ROW(NP18),$I$11+(MATCH(NP$11,L.DATE,0))))&amp;":"&amp;(ADDRESS(ROW(NP18),$I$11+NQ$11+(MATCH(NP$11,L.DATE,0))-1))),L.ABSP)=0,"",xcomp(INDIRECT((ADDRESS(ROW(NP18),$I$11+(MATCH(NP$11,L.DATE,0))))&amp;":"&amp;(ADDRESS(ROW(NP18),$I$11+NQ$11+(MATCH(NP$11,L.DATE,0))-1))),L.ABSP))</f>
        <v/>
      </c>
      <c r="NQ19" s="377" t="str" cm="1">
        <f t="array" aca="1" ref="NQ19" ca="1">IF(xcomp(INDIRECT((ADDRESS(ROW(NQ18),$I$11+(MATCH(NP$11,L.DATE,0))))&amp;":"&amp;(ADDRESS(ROW(NQ18),$I$11+NQ$11+(MATCH(NP$11,L.DATE,0))-1))),L.ABS.NP)=0,"",xcomp(INDIRECT((ADDRESS(ROW(NQ18),$I$11+(MATCH(NP$11,L.DATE,0))))&amp;":"&amp;(ADDRESS(ROW(NQ18),$I$11+NQ$11+(MATCH(NP$11,L.DATE,0))-1))),L.ABS.NP))</f>
        <v/>
      </c>
      <c r="NR19" s="376" t="str" cm="1">
        <f t="array" aca="1" ref="NR19" ca="1">IF(xcomp(INDIRECT((ADDRESS(ROW(NR18),$I$11+(MATCH(NR$11,L.DATE,0))))&amp;":"&amp;(ADDRESS(ROW(NR18),$I$11+NS$11+(MATCH(NR$11,L.DATE,0))-1))),L.ABSP)=0,"",xcomp(INDIRECT((ADDRESS(ROW(NR18),$I$11+(MATCH(NR$11,L.DATE,0))))&amp;":"&amp;(ADDRESS(ROW(NR18),$I$11+NS$11+(MATCH(NR$11,L.DATE,0))-1))),L.ABSP))</f>
        <v/>
      </c>
      <c r="NS19" s="377" t="str" cm="1">
        <f t="array" aca="1" ref="NS19" ca="1">IF(xcomp(INDIRECT((ADDRESS(ROW(NS18),$I$11+(MATCH(NR$11,L.DATE,0))))&amp;":"&amp;(ADDRESS(ROW(NS18),$I$11+NS$11+(MATCH(NR$11,L.DATE,0))-1))),L.ABS.NP)=0,"",xcomp(INDIRECT((ADDRESS(ROW(NS18),$I$11+(MATCH(NR$11,L.DATE,0))))&amp;":"&amp;(ADDRESS(ROW(NS18),$I$11+NS$11+(MATCH(NR$11,L.DATE,0))-1))),L.ABS.NP))</f>
        <v/>
      </c>
      <c r="NT19" s="376" t="str" cm="1">
        <f t="array" aca="1" ref="NT19" ca="1">IF(xcomp(INDIRECT((ADDRESS(ROW(NT18),$I$11+(MATCH(NT$11,L.DATE,0))))&amp;":"&amp;(ADDRESS(ROW(NT18),$I$11+NU$11+(MATCH(NT$11,L.DATE,0))-1))),L.ABSP)=0,"",xcomp(INDIRECT((ADDRESS(ROW(NT18),$I$11+(MATCH(NT$11,L.DATE,0))))&amp;":"&amp;(ADDRESS(ROW(NT18),$I$11+NU$11+(MATCH(NT$11,L.DATE,0))-1))),L.ABSP))</f>
        <v/>
      </c>
      <c r="NU19" s="377" t="str" cm="1">
        <f t="array" aca="1" ref="NU19" ca="1">IF(xcomp(INDIRECT((ADDRESS(ROW(NU18),$I$11+(MATCH(NT$11,L.DATE,0))))&amp;":"&amp;(ADDRESS(ROW(NU18),$I$11+NU$11+(MATCH(NT$11,L.DATE,0))-1))),L.ABS.NP)=0,"",xcomp(INDIRECT((ADDRESS(ROW(NU18),$I$11+(MATCH(NT$11,L.DATE,0))))&amp;":"&amp;(ADDRESS(ROW(NU18),$I$11+NU$11+(MATCH(NT$11,L.DATE,0))-1))),L.ABS.NP))</f>
        <v/>
      </c>
      <c r="NV19" s="376" t="str" cm="1">
        <f t="array" aca="1" ref="NV19" ca="1">IF(xcomp(INDIRECT((ADDRESS(ROW(NV18),$I$11+(MATCH(NV$11,L.DATE,0))))&amp;":"&amp;(ADDRESS(ROW(NV18),$I$11+NW$11+(MATCH(NV$11,L.DATE,0))-1))),L.ABSP)=0,"",xcomp(INDIRECT((ADDRESS(ROW(NV18),$I$11+(MATCH(NV$11,L.DATE,0))))&amp;":"&amp;(ADDRESS(ROW(NV18),$I$11+NW$11+(MATCH(NV$11,L.DATE,0))-1))),L.ABSP))</f>
        <v/>
      </c>
      <c r="NW19" s="377" t="str" cm="1">
        <f t="array" aca="1" ref="NW19" ca="1">IF(xcomp(INDIRECT((ADDRESS(ROW(NW18),$I$11+(MATCH(NV$11,L.DATE,0))))&amp;":"&amp;(ADDRESS(ROW(NW18),$I$11+NW$11+(MATCH(NV$11,L.DATE,0))-1))),L.ABS.NP)=0,"",xcomp(INDIRECT((ADDRESS(ROW(NW18),$I$11+(MATCH(NV$11,L.DATE,0))))&amp;":"&amp;(ADDRESS(ROW(NW18),$I$11+NW$11+(MATCH(NV$11,L.DATE,0))-1))),L.ABS.NP))</f>
        <v/>
      </c>
      <c r="NX19" s="376" t="str" cm="1">
        <f t="array" aca="1" ref="NX19" ca="1">IF(xcomp(INDIRECT((ADDRESS(ROW(NX18),$I$11+(MATCH(NX$11,L.DATE,0))))&amp;":"&amp;(ADDRESS(ROW(NX18),$I$11+NY$11+(MATCH(NX$11,L.DATE,0))-1))),L.ABSP)=0,"",xcomp(INDIRECT((ADDRESS(ROW(NX18),$I$11+(MATCH(NX$11,L.DATE,0))))&amp;":"&amp;(ADDRESS(ROW(NX18),$I$11+NY$11+(MATCH(NX$11,L.DATE,0))-1))),L.ABSP))</f>
        <v/>
      </c>
      <c r="NY19" s="377" t="str" cm="1">
        <f t="array" aca="1" ref="NY19" ca="1">IF(xcomp(INDIRECT((ADDRESS(ROW(NY18),$I$11+(MATCH(NX$11,L.DATE,0))))&amp;":"&amp;(ADDRESS(ROW(NY18),$I$11+NY$11+(MATCH(NX$11,L.DATE,0))-1))),L.ABS.NP)=0,"",xcomp(INDIRECT((ADDRESS(ROW(NY18),$I$11+(MATCH(NX$11,L.DATE,0))))&amp;":"&amp;(ADDRESS(ROW(NY18),$I$11+NY$11+(MATCH(NX$11,L.DATE,0))-1))),L.ABS.NP))</f>
        <v/>
      </c>
      <c r="NZ19" s="376" t="str" cm="1">
        <f t="array" aca="1" ref="NZ19" ca="1">IF(xcomp(INDIRECT((ADDRESS(ROW(NZ18),$I$11+(MATCH(NZ$11,L.DATE,0))))&amp;":"&amp;(ADDRESS(ROW(NZ18),$I$11+OA$11+(MATCH(NZ$11,L.DATE,0))-1))),L.ABSP)=0,"",xcomp(INDIRECT((ADDRESS(ROW(NZ18),$I$11+(MATCH(NZ$11,L.DATE,0))))&amp;":"&amp;(ADDRESS(ROW(NZ18),$I$11+OA$11+(MATCH(NZ$11,L.DATE,0))-1))),L.ABSP))</f>
        <v/>
      </c>
      <c r="OA19" s="377" t="str" cm="1">
        <f t="array" aca="1" ref="OA19" ca="1">IF(xcomp(INDIRECT((ADDRESS(ROW(OA18),$I$11+(MATCH(NZ$11,L.DATE,0))))&amp;":"&amp;(ADDRESS(ROW(OA18),$I$11+OA$11+(MATCH(NZ$11,L.DATE,0))-1))),L.ABS.NP)=0,"",xcomp(INDIRECT((ADDRESS(ROW(OA18),$I$11+(MATCH(NZ$11,L.DATE,0))))&amp;":"&amp;(ADDRESS(ROW(OA18),$I$11+OA$11+(MATCH(NZ$11,L.DATE,0))-1))),L.ABS.NP))</f>
        <v/>
      </c>
      <c r="OB19" s="376" t="str" cm="1">
        <f t="array" aca="1" ref="OB19" ca="1">IF(xcomp(INDIRECT((ADDRESS(ROW(OB18),$I$11+(MATCH(OB$11,L.DATE,0))))&amp;":"&amp;(ADDRESS(ROW(OB18),$I$11+OC$11+(MATCH(OB$11,L.DATE,0))-1))),L.ABSP)=0,"",xcomp(INDIRECT((ADDRESS(ROW(OB18),$I$11+(MATCH(OB$11,L.DATE,0))))&amp;":"&amp;(ADDRESS(ROW(OB18),$I$11+OC$11+(MATCH(OB$11,L.DATE,0))-1))),L.ABSP))</f>
        <v/>
      </c>
      <c r="OC19" s="377" t="str" cm="1">
        <f t="array" aca="1" ref="OC19" ca="1">IF(xcomp(INDIRECT((ADDRESS(ROW(OC18),$I$11+(MATCH(OB$11,L.DATE,0))))&amp;":"&amp;(ADDRESS(ROW(OC18),$I$11+OC$11+(MATCH(OB$11,L.DATE,0))-1))),L.ABS.NP)=0,"",xcomp(INDIRECT((ADDRESS(ROW(OC18),$I$11+(MATCH(OB$11,L.DATE,0))))&amp;":"&amp;(ADDRESS(ROW(OC18),$I$11+OC$11+(MATCH(OB$11,L.DATE,0))-1))),L.ABS.NP))</f>
        <v/>
      </c>
      <c r="OD19" s="376" t="str" cm="1">
        <f t="array" aca="1" ref="OD19" ca="1">IF(xcomp(INDIRECT((ADDRESS(ROW(OD18),$I$11+(MATCH(OD$11,L.DATE,0))))&amp;":"&amp;(ADDRESS(ROW(OD18),$I$11+OE$11+(MATCH(OD$11,L.DATE,0))-1))),L.ABSP)=0,"",xcomp(INDIRECT((ADDRESS(ROW(OD18),$I$11+(MATCH(OD$11,L.DATE,0))))&amp;":"&amp;(ADDRESS(ROW(OD18),$I$11+OE$11+(MATCH(OD$11,L.DATE,0))-1))),L.ABSP))</f>
        <v/>
      </c>
      <c r="OE19" s="377" t="str" cm="1">
        <f t="array" aca="1" ref="OE19" ca="1">IF(xcomp(INDIRECT((ADDRESS(ROW(OE18),$I$11+(MATCH(OD$11,L.DATE,0))))&amp;":"&amp;(ADDRESS(ROW(OE18),$I$11+OE$11+(MATCH(OD$11,L.DATE,0))-1))),L.ABS.NP)=0,"",xcomp(INDIRECT((ADDRESS(ROW(OE18),$I$11+(MATCH(OD$11,L.DATE,0))))&amp;":"&amp;(ADDRESS(ROW(OE18),$I$11+OE$11+(MATCH(OD$11,L.DATE,0))-1))),L.ABS.NP))</f>
        <v/>
      </c>
      <c r="OF19" s="376" t="str" cm="1">
        <f t="array" aca="1" ref="OF19" ca="1">IF(xcomp(INDIRECT((ADDRESS(ROW(OF18),$I$11+(MATCH(OF$11,L.DATE,0))))&amp;":"&amp;(ADDRESS(ROW(OF18),$I$11+OG$11+(MATCH(OF$11,L.DATE,0))-1))),L.ABSP)=0,"",xcomp(INDIRECT((ADDRESS(ROW(OF18),$I$11+(MATCH(OF$11,L.DATE,0))))&amp;":"&amp;(ADDRESS(ROW(OF18),$I$11+OG$11+(MATCH(OF$11,L.DATE,0))-1))),L.ABSP))</f>
        <v/>
      </c>
      <c r="OG19" s="377" t="str" cm="1">
        <f t="array" aca="1" ref="OG19" ca="1">IF(xcomp(INDIRECT((ADDRESS(ROW(OG18),$I$11+(MATCH(OF$11,L.DATE,0))))&amp;":"&amp;(ADDRESS(ROW(OG18),$I$11+OG$11+(MATCH(OF$11,L.DATE,0))-1))),L.ABS.NP)=0,"",xcomp(INDIRECT((ADDRESS(ROW(OG18),$I$11+(MATCH(OF$11,L.DATE,0))))&amp;":"&amp;(ADDRESS(ROW(OG18),$I$11+OG$11+(MATCH(OF$11,L.DATE,0))-1))),L.ABS.NP))</f>
        <v/>
      </c>
      <c r="OH19" s="376" t="str" cm="1">
        <f t="array" aca="1" ref="OH19" ca="1">IF(xcomp(INDIRECT((ADDRESS(ROW(OH18),$I$11+(MATCH(OH$11,L.DATE,0))))&amp;":"&amp;(ADDRESS(ROW(OH18),$I$11+OI$11+(MATCH(OH$11,L.DATE,0))-1))),L.ABSP)=0,"",xcomp(INDIRECT((ADDRESS(ROW(OH18),$I$11+(MATCH(OH$11,L.DATE,0))))&amp;":"&amp;(ADDRESS(ROW(OH18),$I$11+OI$11+(MATCH(OH$11,L.DATE,0))-1))),L.ABSP))</f>
        <v/>
      </c>
      <c r="OI19" s="377" t="str" cm="1">
        <f t="array" aca="1" ref="OI19" ca="1">IF(xcomp(INDIRECT((ADDRESS(ROW(OI18),$I$11+(MATCH(OH$11,L.DATE,0))))&amp;":"&amp;(ADDRESS(ROW(OI18),$I$11+OI$11+(MATCH(OH$11,L.DATE,0))-1))),L.ABS.NP)=0,"",xcomp(INDIRECT((ADDRESS(ROW(OI18),$I$11+(MATCH(OH$11,L.DATE,0))))&amp;":"&amp;(ADDRESS(ROW(OI18),$I$11+OI$11+(MATCH(OH$11,L.DATE,0))-1))),L.ABS.NP))</f>
        <v/>
      </c>
      <c r="OJ19" s="376" t="str" cm="1">
        <f t="array" aca="1" ref="OJ19" ca="1">IF(xcomp(INDIRECT((ADDRESS(ROW(OJ18),$I$11+(MATCH(OJ$11,L.DATE,0))))&amp;":"&amp;(ADDRESS(ROW(OJ18),$I$11+OK$11+(MATCH(OJ$11,L.DATE,0))-1))),L.ABSP)=0,"",xcomp(INDIRECT((ADDRESS(ROW(OJ18),$I$11+(MATCH(OJ$11,L.DATE,0))))&amp;":"&amp;(ADDRESS(ROW(OJ18),$I$11+OK$11+(MATCH(OJ$11,L.DATE,0))-1))),L.ABSP))</f>
        <v/>
      </c>
      <c r="OK19" s="378" t="str" cm="1">
        <f t="array" aca="1" ref="OK19" ca="1">IF(xcomp(INDIRECT((ADDRESS(ROW(OK18),$I$11+(MATCH(OJ$11,L.DATE,0))))&amp;":"&amp;(ADDRESS(ROW(OK18),$I$11+OK$11+(MATCH(OJ$11,L.DATE,0))-1))),L.ABS.NP)=0,"",xcomp(INDIRECT((ADDRESS(ROW(OK18),$I$11+(MATCH(OJ$11,L.DATE,0))))&amp;":"&amp;(ADDRESS(ROW(OK18),$I$11+OK$11+(MATCH(OJ$11,L.DATE,0))-1))),L.ABS.NP))</f>
        <v/>
      </c>
    </row>
    <row r="20" spans="1:404" ht="12" customHeight="1" x14ac:dyDescent="0.3">
      <c r="A20" s="394">
        <v>0</v>
      </c>
      <c r="B20" s="381"/>
      <c r="C20" s="53"/>
      <c r="D20" s="392"/>
      <c r="E20" s="53"/>
      <c r="F20" s="53"/>
      <c r="G20" s="104"/>
      <c r="H20" s="108">
        <v>2</v>
      </c>
      <c r="I20" s="28"/>
      <c r="J20" s="382"/>
      <c r="K20" s="382"/>
      <c r="L20" s="382"/>
      <c r="M20" s="382"/>
      <c r="N20" s="382"/>
      <c r="O20" s="382"/>
      <c r="P20" s="382"/>
      <c r="Q20" s="382"/>
      <c r="R20" s="382"/>
      <c r="S20" s="382"/>
      <c r="T20" s="382"/>
      <c r="U20" s="382"/>
      <c r="V20" s="382"/>
      <c r="W20" s="382"/>
      <c r="X20" s="382"/>
      <c r="Y20" s="382"/>
      <c r="Z20" s="382"/>
      <c r="AA20" s="382"/>
      <c r="AB20" s="382"/>
      <c r="AC20" s="382"/>
      <c r="AD20" s="382"/>
      <c r="AE20" s="382"/>
      <c r="AF20" s="382"/>
      <c r="AG20" s="382"/>
      <c r="AH20" s="382"/>
      <c r="AI20" s="382"/>
      <c r="AJ20" s="382"/>
      <c r="AK20" s="382"/>
      <c r="AL20" s="382"/>
      <c r="AM20" s="382"/>
      <c r="AN20" s="382"/>
      <c r="AO20" s="382"/>
      <c r="AP20" s="382"/>
      <c r="AQ20" s="382"/>
      <c r="AR20" s="382"/>
      <c r="AS20" s="382"/>
      <c r="AT20" s="382"/>
      <c r="AU20" s="382"/>
      <c r="AV20" s="382"/>
      <c r="AW20" s="382"/>
      <c r="AX20" s="382"/>
      <c r="AY20" s="382"/>
      <c r="AZ20" s="382"/>
      <c r="BA20" s="382"/>
      <c r="BB20" s="382"/>
      <c r="BC20" s="382"/>
      <c r="BD20" s="382"/>
      <c r="BE20" s="382"/>
      <c r="BF20" s="382"/>
      <c r="BG20" s="382"/>
      <c r="BH20" s="382"/>
      <c r="BI20" s="382"/>
      <c r="BJ20" s="382"/>
      <c r="BK20" s="382"/>
      <c r="BL20" s="382"/>
      <c r="BM20" s="382"/>
      <c r="BN20" s="382"/>
      <c r="BO20" s="382"/>
      <c r="BP20" s="382"/>
      <c r="BQ20" s="382"/>
      <c r="BR20" s="382"/>
      <c r="BS20" s="382"/>
      <c r="BT20" s="382"/>
      <c r="BU20" s="382"/>
      <c r="BV20" s="382"/>
      <c r="BW20" s="382"/>
      <c r="BX20" s="382"/>
      <c r="BY20" s="382"/>
      <c r="BZ20" s="382"/>
      <c r="CA20" s="382"/>
      <c r="CB20" s="382"/>
      <c r="CC20" s="382"/>
      <c r="CD20" s="382"/>
      <c r="CE20" s="382"/>
      <c r="CF20" s="382"/>
      <c r="CG20" s="382"/>
      <c r="CH20" s="382"/>
      <c r="CI20" s="382"/>
      <c r="CJ20" s="382"/>
      <c r="CK20" s="382"/>
      <c r="CL20" s="382"/>
      <c r="CM20" s="382"/>
      <c r="CN20" s="382"/>
      <c r="CO20" s="382"/>
      <c r="CP20" s="382"/>
      <c r="CQ20" s="382"/>
      <c r="CR20" s="382"/>
      <c r="CS20" s="382"/>
      <c r="CT20" s="382"/>
      <c r="CU20" s="382"/>
      <c r="CV20" s="382"/>
      <c r="CW20" s="382"/>
      <c r="CX20" s="382"/>
      <c r="CY20" s="382"/>
      <c r="CZ20" s="382"/>
      <c r="DA20" s="382"/>
      <c r="DB20" s="382"/>
      <c r="DC20" s="382"/>
      <c r="DD20" s="382"/>
      <c r="DE20" s="382"/>
      <c r="DF20" s="382"/>
      <c r="DG20" s="382"/>
      <c r="DH20" s="382"/>
      <c r="DI20" s="382"/>
      <c r="DJ20" s="382"/>
      <c r="DK20" s="382"/>
      <c r="DL20" s="382"/>
      <c r="DM20" s="382"/>
      <c r="DN20" s="382"/>
      <c r="DO20" s="382"/>
      <c r="DP20" s="382"/>
      <c r="DQ20" s="382"/>
      <c r="DR20" s="382"/>
      <c r="DS20" s="382"/>
      <c r="DT20" s="382"/>
      <c r="DU20" s="382"/>
      <c r="DV20" s="382"/>
      <c r="DW20" s="382"/>
      <c r="DX20" s="382"/>
      <c r="DY20" s="382"/>
      <c r="DZ20" s="382"/>
      <c r="EA20" s="382"/>
      <c r="EB20" s="382"/>
      <c r="EC20" s="382"/>
      <c r="ED20" s="382"/>
      <c r="EE20" s="382"/>
      <c r="EF20" s="382"/>
      <c r="EG20" s="382"/>
      <c r="EH20" s="382"/>
      <c r="EI20" s="382"/>
      <c r="EJ20" s="382"/>
      <c r="EK20" s="382"/>
      <c r="EL20" s="382"/>
      <c r="EM20" s="382"/>
      <c r="EN20" s="382"/>
      <c r="EO20" s="382"/>
      <c r="EP20" s="382"/>
      <c r="EQ20" s="382"/>
      <c r="ER20" s="382"/>
      <c r="ES20" s="382"/>
      <c r="ET20" s="382"/>
      <c r="EU20" s="382"/>
      <c r="EV20" s="382"/>
      <c r="EW20" s="382"/>
      <c r="EX20" s="382"/>
      <c r="EY20" s="382"/>
      <c r="EZ20" s="382"/>
      <c r="FA20" s="382"/>
      <c r="FB20" s="382"/>
      <c r="FC20" s="382"/>
      <c r="FD20" s="382"/>
      <c r="FE20" s="382"/>
      <c r="FF20" s="382"/>
      <c r="FG20" s="382"/>
      <c r="FH20" s="382"/>
      <c r="FI20" s="382"/>
      <c r="FJ20" s="382"/>
      <c r="FK20" s="382"/>
      <c r="FL20" s="382"/>
      <c r="FM20" s="382"/>
      <c r="FN20" s="382"/>
      <c r="FO20" s="382"/>
      <c r="FP20" s="382"/>
      <c r="FQ20" s="382"/>
      <c r="FR20" s="382"/>
      <c r="FS20" s="382"/>
      <c r="FT20" s="382"/>
      <c r="FU20" s="382"/>
      <c r="FV20" s="382"/>
      <c r="FW20" s="382"/>
      <c r="FX20" s="382"/>
      <c r="FY20" s="382"/>
      <c r="FZ20" s="382"/>
      <c r="GA20" s="382"/>
      <c r="GB20" s="382"/>
      <c r="GC20" s="382"/>
      <c r="GD20" s="382"/>
      <c r="GE20" s="382"/>
      <c r="GF20" s="382"/>
      <c r="GG20" s="382"/>
      <c r="GH20" s="382"/>
      <c r="GI20" s="382"/>
      <c r="GJ20" s="382"/>
      <c r="GK20" s="382"/>
      <c r="GL20" s="382"/>
      <c r="GM20" s="382"/>
      <c r="GN20" s="382"/>
      <c r="GO20" s="382"/>
      <c r="GP20" s="382"/>
      <c r="GQ20" s="382"/>
      <c r="GR20" s="382"/>
      <c r="GS20" s="382"/>
      <c r="GT20" s="382"/>
      <c r="GU20" s="382"/>
      <c r="GV20" s="382"/>
      <c r="GW20" s="382"/>
      <c r="GX20" s="382"/>
      <c r="GY20" s="382"/>
      <c r="GZ20" s="382"/>
      <c r="HA20" s="382"/>
      <c r="HB20" s="382"/>
      <c r="HC20" s="382"/>
      <c r="HD20" s="382"/>
      <c r="HE20" s="382"/>
      <c r="HF20" s="382"/>
      <c r="HG20" s="382"/>
      <c r="HH20" s="382"/>
      <c r="HI20" s="382"/>
      <c r="HJ20" s="382"/>
      <c r="HK20" s="382"/>
      <c r="HL20" s="382"/>
      <c r="HM20" s="382"/>
      <c r="HN20" s="382"/>
      <c r="HO20" s="382"/>
      <c r="HP20" s="382"/>
      <c r="HQ20" s="382"/>
      <c r="HR20" s="382"/>
      <c r="HS20" s="382"/>
      <c r="HT20" s="382"/>
      <c r="HU20" s="382"/>
      <c r="HV20" s="382"/>
      <c r="HW20" s="382"/>
      <c r="HX20" s="382"/>
      <c r="HY20" s="382"/>
      <c r="HZ20" s="382"/>
      <c r="IA20" s="382"/>
      <c r="IB20" s="382"/>
      <c r="IC20" s="382"/>
      <c r="ID20" s="382"/>
      <c r="IE20" s="382"/>
      <c r="IF20" s="382"/>
      <c r="IG20" s="382"/>
      <c r="IH20" s="382"/>
      <c r="II20" s="382"/>
      <c r="IJ20" s="382"/>
      <c r="IK20" s="382"/>
      <c r="IL20" s="382"/>
      <c r="IM20" s="382"/>
      <c r="IN20" s="382"/>
      <c r="IO20" s="382"/>
      <c r="IP20" s="382"/>
      <c r="IQ20" s="382"/>
      <c r="IR20" s="382"/>
      <c r="IS20" s="382"/>
      <c r="IT20" s="382"/>
      <c r="IU20" s="382"/>
      <c r="IV20" s="382"/>
      <c r="IW20" s="382"/>
      <c r="IX20" s="382"/>
      <c r="IY20" s="382"/>
      <c r="IZ20" s="382"/>
      <c r="JA20" s="382"/>
      <c r="JB20" s="382"/>
      <c r="JC20" s="382"/>
      <c r="JD20" s="382"/>
      <c r="JE20" s="382"/>
      <c r="JF20" s="382"/>
      <c r="JG20" s="382"/>
      <c r="JH20" s="382"/>
      <c r="JI20" s="382"/>
      <c r="JJ20" s="382"/>
      <c r="JK20" s="382"/>
      <c r="JL20" s="382"/>
      <c r="JM20" s="382"/>
      <c r="JN20" s="382"/>
      <c r="JO20" s="382"/>
      <c r="JP20" s="382"/>
      <c r="JQ20" s="382"/>
      <c r="JR20" s="382"/>
      <c r="JS20" s="382"/>
      <c r="JT20" s="382"/>
      <c r="JU20" s="382"/>
      <c r="JV20" s="382"/>
      <c r="JW20" s="382"/>
      <c r="JX20" s="382"/>
      <c r="JY20" s="382"/>
      <c r="JZ20" s="382"/>
      <c r="KA20" s="382"/>
      <c r="KB20" s="382"/>
      <c r="KC20" s="382"/>
      <c r="KD20" s="382"/>
      <c r="KE20" s="382"/>
      <c r="KF20" s="382"/>
      <c r="KG20" s="382"/>
      <c r="KH20" s="382"/>
      <c r="KI20" s="382"/>
      <c r="KJ20" s="382"/>
      <c r="KK20" s="382"/>
      <c r="KL20" s="382"/>
      <c r="KM20" s="382"/>
      <c r="KN20" s="382"/>
      <c r="KO20" s="382"/>
      <c r="KP20" s="382"/>
      <c r="KQ20" s="382"/>
      <c r="KR20" s="382"/>
      <c r="KS20" s="382"/>
      <c r="KT20" s="382"/>
      <c r="KU20" s="382"/>
      <c r="KV20" s="382"/>
      <c r="KW20" s="382"/>
      <c r="KX20" s="382"/>
      <c r="KY20" s="382"/>
      <c r="KZ20" s="382"/>
      <c r="LA20" s="382"/>
      <c r="LB20" s="382"/>
      <c r="LC20" s="382"/>
      <c r="LD20" s="382"/>
      <c r="LE20" s="382"/>
      <c r="LF20" s="382"/>
      <c r="LG20" s="382"/>
      <c r="LH20" s="382"/>
      <c r="LI20" s="382"/>
      <c r="LJ20" s="382"/>
      <c r="LK20" s="382"/>
      <c r="LL20" s="382"/>
      <c r="LM20" s="382"/>
      <c r="LN20" s="382"/>
      <c r="LO20" s="382"/>
      <c r="LP20" s="382"/>
      <c r="LQ20" s="382"/>
      <c r="LR20" s="382"/>
      <c r="LS20" s="382"/>
      <c r="LT20" s="382"/>
      <c r="LU20" s="382"/>
      <c r="LV20" s="382"/>
      <c r="LW20" s="382"/>
      <c r="LX20" s="382"/>
      <c r="LY20" s="382"/>
      <c r="LZ20" s="382"/>
      <c r="MA20" s="382"/>
      <c r="MB20" s="382"/>
      <c r="MC20" s="382"/>
      <c r="MD20" s="382"/>
      <c r="ME20" s="382"/>
      <c r="MF20" s="382"/>
      <c r="MG20" s="382"/>
      <c r="MH20" s="382"/>
      <c r="MI20" s="382"/>
      <c r="MJ20" s="382"/>
      <c r="MK20" s="382"/>
      <c r="ML20" s="382"/>
      <c r="MM20" s="382"/>
      <c r="MN20" s="382"/>
      <c r="MO20" s="382"/>
      <c r="MP20" s="382"/>
      <c r="MQ20" s="382"/>
      <c r="MR20" s="382"/>
      <c r="MS20" s="382"/>
      <c r="MT20" s="382"/>
      <c r="MU20" s="382"/>
      <c r="MV20" s="382"/>
      <c r="MW20" s="382"/>
      <c r="MX20" s="382"/>
      <c r="MY20" s="382"/>
      <c r="MZ20" s="382"/>
      <c r="NA20" s="382"/>
      <c r="NB20" s="382"/>
      <c r="NC20" s="382"/>
      <c r="ND20" s="382"/>
      <c r="NE20" s="382"/>
      <c r="NF20" s="382"/>
      <c r="NG20" s="382"/>
      <c r="NH20" s="382"/>
      <c r="NI20" s="382"/>
      <c r="NJ20" s="388"/>
      <c r="NK20" s="34"/>
      <c r="NM20" s="159">
        <f>A20</f>
        <v>0</v>
      </c>
      <c r="NN20" s="373">
        <f ca="1">COUNTIF(INDIRECT((ADDRESS(ROW(NO21),$I$11+(MATCH(NN$11,L.DATE,0))))&amp;":"&amp;(ADDRESS(ROW(NO21),$I$11+NO$11+(MATCH(NN$11,L.DATE,0))-1))),"&gt;=0")-NO20</f>
        <v>0</v>
      </c>
      <c r="NO20" s="374">
        <f ca="1">SUM(INDIRECT((ADDRESS(ROW(NO21),$I$11+(MATCH(NN$11,L.DATE,0))))&amp;":"&amp;(ADDRESS(ROW(NO21),$I$11+NO$11+(MATCH(NN$11,L.DATE,0))-1))))</f>
        <v>0</v>
      </c>
      <c r="NP20" s="373">
        <f ca="1">COUNTIF(INDIRECT((ADDRESS(ROW(NQ21),$I$11+(MATCH(NP$11,L.DATE,0))))&amp;":"&amp;(ADDRESS(ROW(NQ21),$I$11+NQ$11+(MATCH(NP$11,L.DATE,0))-1))),"&gt;=0")-NQ20</f>
        <v>0</v>
      </c>
      <c r="NQ20" s="374">
        <f ca="1">SUM(INDIRECT((ADDRESS(ROW(NQ21),$I$11+(MATCH(NP$11,L.DATE,0))))&amp;":"&amp;(ADDRESS(ROW(NQ21),$I$11+NQ$11+(MATCH(NP$11,L.DATE,0))-1))))</f>
        <v>0</v>
      </c>
      <c r="NR20" s="373">
        <f ca="1">COUNTIF(INDIRECT((ADDRESS(ROW(NS21),$I$11+(MATCH(NR$11,L.DATE,0))))&amp;":"&amp;(ADDRESS(ROW(NS21),$I$11+NS$11+(MATCH(NR$11,L.DATE,0))-1))),"&gt;=0")-NS20</f>
        <v>0</v>
      </c>
      <c r="NS20" s="374">
        <f ca="1">SUM(INDIRECT((ADDRESS(ROW(NS21),$I$11+(MATCH(NR$11,L.DATE,0))))&amp;":"&amp;(ADDRESS(ROW(NS21),$I$11+NS$11+(MATCH(NR$11,L.DATE,0))-1))))</f>
        <v>0</v>
      </c>
      <c r="NT20" s="373">
        <f ca="1">COUNTIF(INDIRECT((ADDRESS(ROW(NU21),$I$11+(MATCH(NT$11,L.DATE,0))))&amp;":"&amp;(ADDRESS(ROW(NU21),$I$11+NU$11+(MATCH(NT$11,L.DATE,0))-1))),"&gt;=0")-NU20</f>
        <v>0</v>
      </c>
      <c r="NU20" s="374">
        <f ca="1">SUM(INDIRECT((ADDRESS(ROW(NU21),$I$11+(MATCH(NT$11,L.DATE,0))))&amp;":"&amp;(ADDRESS(ROW(NU21),$I$11+NU$11+(MATCH(NT$11,L.DATE,0))-1))))</f>
        <v>0</v>
      </c>
      <c r="NV20" s="373">
        <f ca="1">COUNTIF(INDIRECT((ADDRESS(ROW(NW21),$I$11+(MATCH(NV$11,L.DATE,0))))&amp;":"&amp;(ADDRESS(ROW(NW21),$I$11+NW$11+(MATCH(NV$11,L.DATE,0))-1))),"&gt;=0")-NW20</f>
        <v>0</v>
      </c>
      <c r="NW20" s="374">
        <f ca="1">SUM(INDIRECT((ADDRESS(ROW(NW21),$I$11+(MATCH(NV$11,L.DATE,0))))&amp;":"&amp;(ADDRESS(ROW(NW21),$I$11+NW$11+(MATCH(NV$11,L.DATE,0))-1))))</f>
        <v>0</v>
      </c>
      <c r="NX20" s="373">
        <f ca="1">COUNTIF(INDIRECT((ADDRESS(ROW(NY21),$I$11+(MATCH(NX$11,L.DATE,0))))&amp;":"&amp;(ADDRESS(ROW(NY21),$I$11+NY$11+(MATCH(NX$11,L.DATE,0))-1))),"&gt;=0")-NY20</f>
        <v>0</v>
      </c>
      <c r="NY20" s="374">
        <f ca="1">SUM(INDIRECT((ADDRESS(ROW(NY21),$I$11+(MATCH(NX$11,L.DATE,0))))&amp;":"&amp;(ADDRESS(ROW(NY21),$I$11+NY$11+(MATCH(NX$11,L.DATE,0))-1))))</f>
        <v>0</v>
      </c>
      <c r="NZ20" s="373">
        <f ca="1">COUNTIF(INDIRECT((ADDRESS(ROW(OA21),$I$11+(MATCH(NZ$11,L.DATE,0))))&amp;":"&amp;(ADDRESS(ROW(OA21),$I$11+OA$11+(MATCH(NZ$11,L.DATE,0))-1))),"&gt;=0")-OA20</f>
        <v>0</v>
      </c>
      <c r="OA20" s="374">
        <f ca="1">SUM(INDIRECT((ADDRESS(ROW(OA21),$I$11+(MATCH(NZ$11,L.DATE,0))))&amp;":"&amp;(ADDRESS(ROW(OA21),$I$11+OA$11+(MATCH(NZ$11,L.DATE,0))-1))))</f>
        <v>0</v>
      </c>
      <c r="OB20" s="373">
        <f ca="1">COUNTIF(INDIRECT((ADDRESS(ROW(OC21),$I$11+(MATCH(OB$11,L.DATE,0))))&amp;":"&amp;(ADDRESS(ROW(OC21),$I$11+OC$11+(MATCH(OB$11,L.DATE,0))-1))),"&gt;=0")-OC20</f>
        <v>0</v>
      </c>
      <c r="OC20" s="374">
        <f ca="1">SUM(INDIRECT((ADDRESS(ROW(OC21),$I$11+(MATCH(OB$11,L.DATE,0))))&amp;":"&amp;(ADDRESS(ROW(OC21),$I$11+OC$11+(MATCH(OB$11,L.DATE,0))-1))))</f>
        <v>0</v>
      </c>
      <c r="OD20" s="373">
        <f ca="1">COUNTIF(INDIRECT((ADDRESS(ROW(OE21),$I$11+(MATCH(OD$11,L.DATE,0))))&amp;":"&amp;(ADDRESS(ROW(OE21),$I$11+OE$11+(MATCH(OD$11,L.DATE,0))-1))),"&gt;=0")-OE20</f>
        <v>0</v>
      </c>
      <c r="OE20" s="374">
        <f ca="1">SUM(INDIRECT((ADDRESS(ROW(OE21),$I$11+(MATCH(OD$11,L.DATE,0))))&amp;":"&amp;(ADDRESS(ROW(OE21),$I$11+OE$11+(MATCH(OD$11,L.DATE,0))-1))))</f>
        <v>0</v>
      </c>
      <c r="OF20" s="373">
        <f ca="1">COUNTIF(INDIRECT((ADDRESS(ROW(OG21),$I$11+(MATCH(OF$11,L.DATE,0))))&amp;":"&amp;(ADDRESS(ROW(OG21),$I$11+OG$11+(MATCH(OF$11,L.DATE,0))-1))),"&gt;=0")-OG20</f>
        <v>0</v>
      </c>
      <c r="OG20" s="374">
        <f ca="1">SUM(INDIRECT((ADDRESS(ROW(OG21),$I$11+(MATCH(OF$11,L.DATE,0))))&amp;":"&amp;(ADDRESS(ROW(OG21),$I$11+OG$11+(MATCH(OF$11,L.DATE,0))-1))))</f>
        <v>0</v>
      </c>
      <c r="OH20" s="373">
        <f ca="1">COUNTIF(INDIRECT((ADDRESS(ROW(OI21),$I$11+(MATCH(OH$11,L.DATE,0))))&amp;":"&amp;(ADDRESS(ROW(OI21),$I$11+OI$11+(MATCH(OH$11,L.DATE,0))-1))),"&gt;=0")-OI20</f>
        <v>0</v>
      </c>
      <c r="OI20" s="374">
        <f ca="1">SUM(INDIRECT((ADDRESS(ROW(OI21),$I$11+(MATCH(OH$11,L.DATE,0))))&amp;":"&amp;(ADDRESS(ROW(OI21),$I$11+OI$11+(MATCH(OH$11,L.DATE,0))-1))))</f>
        <v>0</v>
      </c>
      <c r="OJ20" s="373">
        <f ca="1">COUNTIF(INDIRECT((ADDRESS(ROW(OK21),$I$11+(MATCH(OJ$11,L.DATE,0))))&amp;":"&amp;(ADDRESS(ROW(OK21),$I$11+OK$11+(MATCH(OJ$11,L.DATE,0))-1))),"&gt;=0")-OK20</f>
        <v>0</v>
      </c>
      <c r="OK20" s="375">
        <f ca="1">SUM(INDIRECT((ADDRESS(ROW(OK21),$I$11+(MATCH(OJ$11,L.DATE,0))))&amp;":"&amp;(ADDRESS(ROW(OK21),$I$11+OK$11+(MATCH(OJ$11,L.DATE,0))-1))))</f>
        <v>0</v>
      </c>
      <c r="OM20" s="39">
        <f ca="1">NN20+NP20+NR20+NT20+NV20+NX20+NZ20+OB20+OD20+OF20+OJ20+OH20</f>
        <v>0</v>
      </c>
      <c r="ON20" s="40">
        <f ca="1">NO20+NQ20+NS20+NU20+NW20+NY20+OA20+OC20+OE20+OG20+OK20+OI20</f>
        <v>0</v>
      </c>
    </row>
    <row r="21" spans="1:404" x14ac:dyDescent="0.3">
      <c r="A21" s="33"/>
      <c r="B21" s="16">
        <f t="shared" ref="B21:H21" si="23">B20</f>
        <v>0</v>
      </c>
      <c r="C21" s="16">
        <f t="shared" si="23"/>
        <v>0</v>
      </c>
      <c r="D21" s="16">
        <f t="shared" si="23"/>
        <v>0</v>
      </c>
      <c r="E21" s="16">
        <f t="shared" si="23"/>
        <v>0</v>
      </c>
      <c r="F21" s="16">
        <f t="shared" si="23"/>
        <v>0</v>
      </c>
      <c r="G21" s="105">
        <f t="shared" si="23"/>
        <v>0</v>
      </c>
      <c r="H21" s="109">
        <f t="shared" si="23"/>
        <v>2</v>
      </c>
      <c r="I21" s="28"/>
      <c r="J21" s="382"/>
      <c r="K21" s="382"/>
      <c r="L21" s="383"/>
      <c r="M21" s="384"/>
      <c r="N21" s="382"/>
      <c r="O21" s="382"/>
      <c r="P21" s="382"/>
      <c r="Q21" s="382"/>
      <c r="R21" s="382"/>
      <c r="S21" s="382"/>
      <c r="T21" s="382"/>
      <c r="U21" s="382"/>
      <c r="V21" s="382"/>
      <c r="W21" s="382"/>
      <c r="X21" s="382"/>
      <c r="Y21" s="382"/>
      <c r="Z21" s="382"/>
      <c r="AA21" s="382"/>
      <c r="AB21" s="382"/>
      <c r="AC21" s="382"/>
      <c r="AD21" s="382"/>
      <c r="AE21" s="382"/>
      <c r="AF21" s="382"/>
      <c r="AG21" s="382"/>
      <c r="AH21" s="382"/>
      <c r="AI21" s="382"/>
      <c r="AJ21" s="382"/>
      <c r="AK21" s="382"/>
      <c r="AL21" s="382"/>
      <c r="AM21" s="382"/>
      <c r="AN21" s="382"/>
      <c r="AO21" s="382"/>
      <c r="AP21" s="382"/>
      <c r="AQ21" s="382"/>
      <c r="AR21" s="382"/>
      <c r="AS21" s="382"/>
      <c r="AT21" s="382"/>
      <c r="AU21" s="382"/>
      <c r="AV21" s="382"/>
      <c r="AW21" s="382"/>
      <c r="AX21" s="382"/>
      <c r="AY21" s="382"/>
      <c r="AZ21" s="382"/>
      <c r="BA21" s="382"/>
      <c r="BB21" s="382"/>
      <c r="BC21" s="382"/>
      <c r="BD21" s="382"/>
      <c r="BE21" s="382"/>
      <c r="BF21" s="382"/>
      <c r="BG21" s="382"/>
      <c r="BH21" s="382"/>
      <c r="BI21" s="382"/>
      <c r="BJ21" s="382"/>
      <c r="BK21" s="382"/>
      <c r="BL21" s="382"/>
      <c r="BM21" s="382"/>
      <c r="BN21" s="382"/>
      <c r="BO21" s="382"/>
      <c r="BP21" s="382"/>
      <c r="BQ21" s="382"/>
      <c r="BR21" s="382"/>
      <c r="BS21" s="382"/>
      <c r="BT21" s="382"/>
      <c r="BU21" s="382"/>
      <c r="BV21" s="382"/>
      <c r="BW21" s="382"/>
      <c r="BX21" s="382"/>
      <c r="BY21" s="382"/>
      <c r="BZ21" s="382"/>
      <c r="CA21" s="382"/>
      <c r="CB21" s="382"/>
      <c r="CC21" s="382"/>
      <c r="CD21" s="382"/>
      <c r="CE21" s="382"/>
      <c r="CF21" s="382"/>
      <c r="CG21" s="382"/>
      <c r="CH21" s="382"/>
      <c r="CI21" s="382"/>
      <c r="CJ21" s="382"/>
      <c r="CK21" s="382"/>
      <c r="CL21" s="382"/>
      <c r="CM21" s="382"/>
      <c r="CN21" s="382"/>
      <c r="CO21" s="382"/>
      <c r="CP21" s="382"/>
      <c r="CQ21" s="382"/>
      <c r="CR21" s="382"/>
      <c r="CS21" s="382"/>
      <c r="CT21" s="382"/>
      <c r="CU21" s="382"/>
      <c r="CV21" s="382"/>
      <c r="CW21" s="382"/>
      <c r="CX21" s="382"/>
      <c r="CY21" s="382"/>
      <c r="CZ21" s="382"/>
      <c r="DA21" s="382"/>
      <c r="DB21" s="382"/>
      <c r="DC21" s="382"/>
      <c r="DD21" s="382"/>
      <c r="DE21" s="382"/>
      <c r="DF21" s="382"/>
      <c r="DG21" s="382"/>
      <c r="DH21" s="382"/>
      <c r="DI21" s="382"/>
      <c r="DJ21" s="382"/>
      <c r="DK21" s="382"/>
      <c r="DL21" s="382"/>
      <c r="DM21" s="382"/>
      <c r="DN21" s="382"/>
      <c r="DO21" s="382"/>
      <c r="DP21" s="382"/>
      <c r="DQ21" s="382"/>
      <c r="DR21" s="382"/>
      <c r="DS21" s="382"/>
      <c r="DT21" s="382"/>
      <c r="DU21" s="382"/>
      <c r="DV21" s="382"/>
      <c r="DW21" s="382"/>
      <c r="DX21" s="382"/>
      <c r="DY21" s="382"/>
      <c r="DZ21" s="382"/>
      <c r="EA21" s="382"/>
      <c r="EB21" s="382"/>
      <c r="EC21" s="382"/>
      <c r="ED21" s="382"/>
      <c r="EE21" s="382"/>
      <c r="EF21" s="382"/>
      <c r="EG21" s="382"/>
      <c r="EH21" s="382"/>
      <c r="EI21" s="382"/>
      <c r="EJ21" s="382"/>
      <c r="EK21" s="382"/>
      <c r="EL21" s="382"/>
      <c r="EM21" s="382"/>
      <c r="EN21" s="382"/>
      <c r="EO21" s="382"/>
      <c r="EP21" s="382"/>
      <c r="EQ21" s="382"/>
      <c r="ER21" s="382"/>
      <c r="ES21" s="382"/>
      <c r="ET21" s="382"/>
      <c r="EU21" s="382"/>
      <c r="EV21" s="382"/>
      <c r="EW21" s="382"/>
      <c r="EX21" s="382"/>
      <c r="EY21" s="382"/>
      <c r="EZ21" s="382"/>
      <c r="FA21" s="382"/>
      <c r="FB21" s="382"/>
      <c r="FC21" s="382"/>
      <c r="FD21" s="382"/>
      <c r="FE21" s="382"/>
      <c r="FF21" s="382"/>
      <c r="FG21" s="382"/>
      <c r="FH21" s="382"/>
      <c r="FI21" s="382"/>
      <c r="FJ21" s="382"/>
      <c r="FK21" s="382"/>
      <c r="FL21" s="382"/>
      <c r="FM21" s="382"/>
      <c r="FN21" s="382"/>
      <c r="FO21" s="382"/>
      <c r="FP21" s="382"/>
      <c r="FQ21" s="382"/>
      <c r="FR21" s="382"/>
      <c r="FS21" s="382"/>
      <c r="FT21" s="382"/>
      <c r="FU21" s="382"/>
      <c r="FV21" s="382"/>
      <c r="FW21" s="382"/>
      <c r="FX21" s="382"/>
      <c r="FY21" s="382"/>
      <c r="FZ21" s="382"/>
      <c r="GA21" s="382"/>
      <c r="GB21" s="382"/>
      <c r="GC21" s="382"/>
      <c r="GD21" s="382"/>
      <c r="GE21" s="382"/>
      <c r="GF21" s="382"/>
      <c r="GG21" s="382"/>
      <c r="GH21" s="382"/>
      <c r="GI21" s="382"/>
      <c r="GJ21" s="382"/>
      <c r="GK21" s="382"/>
      <c r="GL21" s="382"/>
      <c r="GM21" s="382"/>
      <c r="GN21" s="382"/>
      <c r="GO21" s="382"/>
      <c r="GP21" s="382"/>
      <c r="GQ21" s="382"/>
      <c r="GR21" s="382"/>
      <c r="GS21" s="382"/>
      <c r="GT21" s="382"/>
      <c r="GU21" s="382"/>
      <c r="GV21" s="382"/>
      <c r="GW21" s="382"/>
      <c r="GX21" s="382"/>
      <c r="GY21" s="382"/>
      <c r="GZ21" s="382"/>
      <c r="HA21" s="382"/>
      <c r="HB21" s="382"/>
      <c r="HC21" s="382"/>
      <c r="HD21" s="382"/>
      <c r="HE21" s="382"/>
      <c r="HF21" s="382"/>
      <c r="HG21" s="382"/>
      <c r="HH21" s="382"/>
      <c r="HI21" s="382"/>
      <c r="HJ21" s="382"/>
      <c r="HK21" s="382"/>
      <c r="HL21" s="382"/>
      <c r="HM21" s="382"/>
      <c r="HN21" s="382"/>
      <c r="HO21" s="382"/>
      <c r="HP21" s="382"/>
      <c r="HQ21" s="382"/>
      <c r="HR21" s="382"/>
      <c r="HS21" s="382"/>
      <c r="HT21" s="382"/>
      <c r="HU21" s="382"/>
      <c r="HV21" s="382"/>
      <c r="HW21" s="382"/>
      <c r="HX21" s="382"/>
      <c r="HY21" s="382"/>
      <c r="HZ21" s="382"/>
      <c r="IA21" s="382"/>
      <c r="IB21" s="382"/>
      <c r="IC21" s="382"/>
      <c r="ID21" s="382"/>
      <c r="IE21" s="382"/>
      <c r="IF21" s="382"/>
      <c r="IG21" s="382"/>
      <c r="IH21" s="382"/>
      <c r="II21" s="382"/>
      <c r="IJ21" s="382"/>
      <c r="IK21" s="382"/>
      <c r="IL21" s="382"/>
      <c r="IM21" s="382"/>
      <c r="IN21" s="382"/>
      <c r="IO21" s="382"/>
      <c r="IP21" s="382"/>
      <c r="IQ21" s="382"/>
      <c r="IR21" s="382"/>
      <c r="IS21" s="382"/>
      <c r="IT21" s="382"/>
      <c r="IU21" s="382"/>
      <c r="IV21" s="382"/>
      <c r="IW21" s="382"/>
      <c r="IX21" s="382"/>
      <c r="IY21" s="382"/>
      <c r="IZ21" s="382"/>
      <c r="JA21" s="382"/>
      <c r="JB21" s="382"/>
      <c r="JC21" s="382"/>
      <c r="JD21" s="382"/>
      <c r="JE21" s="382"/>
      <c r="JF21" s="382"/>
      <c r="JG21" s="382"/>
      <c r="JH21" s="382"/>
      <c r="JI21" s="382"/>
      <c r="JJ21" s="382"/>
      <c r="JK21" s="382"/>
      <c r="JL21" s="382"/>
      <c r="JM21" s="382"/>
      <c r="JN21" s="382"/>
      <c r="JO21" s="382"/>
      <c r="JP21" s="382"/>
      <c r="JQ21" s="382"/>
      <c r="JR21" s="382"/>
      <c r="JS21" s="382"/>
      <c r="JT21" s="382"/>
      <c r="JU21" s="382"/>
      <c r="JV21" s="382"/>
      <c r="JW21" s="382"/>
      <c r="JX21" s="382"/>
      <c r="JY21" s="382"/>
      <c r="JZ21" s="382"/>
      <c r="KA21" s="382"/>
      <c r="KB21" s="382"/>
      <c r="KC21" s="382"/>
      <c r="KD21" s="382"/>
      <c r="KE21" s="382"/>
      <c r="KF21" s="382"/>
      <c r="KG21" s="382"/>
      <c r="KH21" s="382"/>
      <c r="KI21" s="382"/>
      <c r="KJ21" s="382"/>
      <c r="KK21" s="382"/>
      <c r="KL21" s="382"/>
      <c r="KM21" s="382"/>
      <c r="KN21" s="382"/>
      <c r="KO21" s="382"/>
      <c r="KP21" s="382"/>
      <c r="KQ21" s="382"/>
      <c r="KR21" s="382"/>
      <c r="KS21" s="382"/>
      <c r="KT21" s="382"/>
      <c r="KU21" s="382"/>
      <c r="KV21" s="382"/>
      <c r="KW21" s="382"/>
      <c r="KX21" s="382"/>
      <c r="KY21" s="382"/>
      <c r="KZ21" s="382"/>
      <c r="LA21" s="382"/>
      <c r="LB21" s="382"/>
      <c r="LC21" s="382"/>
      <c r="LD21" s="382"/>
      <c r="LE21" s="382"/>
      <c r="LF21" s="382"/>
      <c r="LG21" s="382"/>
      <c r="LH21" s="382"/>
      <c r="LI21" s="382"/>
      <c r="LJ21" s="382"/>
      <c r="LK21" s="382"/>
      <c r="LL21" s="382"/>
      <c r="LM21" s="382"/>
      <c r="LN21" s="382"/>
      <c r="LO21" s="382"/>
      <c r="LP21" s="382"/>
      <c r="LQ21" s="382"/>
      <c r="LR21" s="382"/>
      <c r="LS21" s="382"/>
      <c r="LT21" s="382"/>
      <c r="LU21" s="382"/>
      <c r="LV21" s="382"/>
      <c r="LW21" s="382"/>
      <c r="LX21" s="382"/>
      <c r="LY21" s="382"/>
      <c r="LZ21" s="382"/>
      <c r="MA21" s="382"/>
      <c r="MB21" s="382"/>
      <c r="MC21" s="382"/>
      <c r="MD21" s="382"/>
      <c r="ME21" s="382"/>
      <c r="MF21" s="382"/>
      <c r="MG21" s="382"/>
      <c r="MH21" s="382"/>
      <c r="MI21" s="382"/>
      <c r="MJ21" s="382"/>
      <c r="MK21" s="382"/>
      <c r="ML21" s="382"/>
      <c r="MM21" s="382"/>
      <c r="MN21" s="382"/>
      <c r="MO21" s="382"/>
      <c r="MP21" s="382"/>
      <c r="MQ21" s="382"/>
      <c r="MR21" s="382"/>
      <c r="MS21" s="382"/>
      <c r="MT21" s="382"/>
      <c r="MU21" s="382"/>
      <c r="MV21" s="382"/>
      <c r="MW21" s="382"/>
      <c r="MX21" s="382"/>
      <c r="MY21" s="382"/>
      <c r="MZ21" s="382"/>
      <c r="NA21" s="382"/>
      <c r="NB21" s="382"/>
      <c r="NC21" s="382"/>
      <c r="ND21" s="382"/>
      <c r="NE21" s="382"/>
      <c r="NF21" s="382"/>
      <c r="NG21" s="382"/>
      <c r="NH21" s="382"/>
      <c r="NI21" s="382"/>
      <c r="NJ21" s="388"/>
      <c r="NK21" s="34"/>
      <c r="NM21" s="379" t="str">
        <f>NM20&amp;".b"</f>
        <v>0.b</v>
      </c>
      <c r="NN21" s="376" t="str" cm="1">
        <f t="array" aca="1" ref="NN21" ca="1">IF(xcomp(INDIRECT((ADDRESS(ROW(NN20),$I$11+(MATCH(NN$11,L.DATE,0))))&amp;":"&amp;(ADDRESS(ROW(NN20),$I$11+NO$11+(MATCH(NN$11,L.DATE,0))-1))),L.ABSP)=0,"",xcomp(INDIRECT((ADDRESS(ROW(NN20),$I$11+(MATCH(NN$11,L.DATE,0))))&amp;":"&amp;(ADDRESS(ROW(NN20),$I$11+NO$11+(MATCH(NN$11,L.DATE,0))-1))),L.ABSP))</f>
        <v/>
      </c>
      <c r="NO21" s="377" t="str" cm="1">
        <f t="array" aca="1" ref="NO21" ca="1">IF(xcomp(INDIRECT((ADDRESS(ROW(NO20),$I$11+(MATCH(NN$11,L.DATE,0))))&amp;":"&amp;(ADDRESS(ROW(NO20),$I$11+NO$11+(MATCH(NN$11,L.DATE,0))-1))),L.ABS.NP)=0,"",xcomp(INDIRECT((ADDRESS(ROW(NO20),$I$11+(MATCH(NN$11,L.DATE,0))))&amp;":"&amp;(ADDRESS(ROW(NO20),$I$11+NO$11+(MATCH(NN$11,L.DATE,0))-1))),L.ABS.NP))</f>
        <v/>
      </c>
      <c r="NP21" s="376" t="str" cm="1">
        <f t="array" aca="1" ref="NP21" ca="1">IF(xcomp(INDIRECT((ADDRESS(ROW(NP20),$I$11+(MATCH(NP$11,L.DATE,0))))&amp;":"&amp;(ADDRESS(ROW(NP20),$I$11+NQ$11+(MATCH(NP$11,L.DATE,0))-1))),L.ABSP)=0,"",xcomp(INDIRECT((ADDRESS(ROW(NP20),$I$11+(MATCH(NP$11,L.DATE,0))))&amp;":"&amp;(ADDRESS(ROW(NP20),$I$11+NQ$11+(MATCH(NP$11,L.DATE,0))-1))),L.ABSP))</f>
        <v/>
      </c>
      <c r="NQ21" s="377" t="str" cm="1">
        <f t="array" aca="1" ref="NQ21" ca="1">IF(xcomp(INDIRECT((ADDRESS(ROW(NQ20),$I$11+(MATCH(NP$11,L.DATE,0))))&amp;":"&amp;(ADDRESS(ROW(NQ20),$I$11+NQ$11+(MATCH(NP$11,L.DATE,0))-1))),L.ABS.NP)=0,"",xcomp(INDIRECT((ADDRESS(ROW(NQ20),$I$11+(MATCH(NP$11,L.DATE,0))))&amp;":"&amp;(ADDRESS(ROW(NQ20),$I$11+NQ$11+(MATCH(NP$11,L.DATE,0))-1))),L.ABS.NP))</f>
        <v/>
      </c>
      <c r="NR21" s="376" t="str" cm="1">
        <f t="array" aca="1" ref="NR21" ca="1">IF(xcomp(INDIRECT((ADDRESS(ROW(NR20),$I$11+(MATCH(NR$11,L.DATE,0))))&amp;":"&amp;(ADDRESS(ROW(NR20),$I$11+NS$11+(MATCH(NR$11,L.DATE,0))-1))),L.ABSP)=0,"",xcomp(INDIRECT((ADDRESS(ROW(NR20),$I$11+(MATCH(NR$11,L.DATE,0))))&amp;":"&amp;(ADDRESS(ROW(NR20),$I$11+NS$11+(MATCH(NR$11,L.DATE,0))-1))),L.ABSP))</f>
        <v/>
      </c>
      <c r="NS21" s="377" t="str" cm="1">
        <f t="array" aca="1" ref="NS21" ca="1">IF(xcomp(INDIRECT((ADDRESS(ROW(NS20),$I$11+(MATCH(NR$11,L.DATE,0))))&amp;":"&amp;(ADDRESS(ROW(NS20),$I$11+NS$11+(MATCH(NR$11,L.DATE,0))-1))),L.ABS.NP)=0,"",xcomp(INDIRECT((ADDRESS(ROW(NS20),$I$11+(MATCH(NR$11,L.DATE,0))))&amp;":"&amp;(ADDRESS(ROW(NS20),$I$11+NS$11+(MATCH(NR$11,L.DATE,0))-1))),L.ABS.NP))</f>
        <v/>
      </c>
      <c r="NT21" s="376" t="str" cm="1">
        <f t="array" aca="1" ref="NT21" ca="1">IF(xcomp(INDIRECT((ADDRESS(ROW(NT20),$I$11+(MATCH(NT$11,L.DATE,0))))&amp;":"&amp;(ADDRESS(ROW(NT20),$I$11+NU$11+(MATCH(NT$11,L.DATE,0))-1))),L.ABSP)=0,"",xcomp(INDIRECT((ADDRESS(ROW(NT20),$I$11+(MATCH(NT$11,L.DATE,0))))&amp;":"&amp;(ADDRESS(ROW(NT20),$I$11+NU$11+(MATCH(NT$11,L.DATE,0))-1))),L.ABSP))</f>
        <v/>
      </c>
      <c r="NU21" s="377" t="str" cm="1">
        <f t="array" aca="1" ref="NU21" ca="1">IF(xcomp(INDIRECT((ADDRESS(ROW(NU20),$I$11+(MATCH(NT$11,L.DATE,0))))&amp;":"&amp;(ADDRESS(ROW(NU20),$I$11+NU$11+(MATCH(NT$11,L.DATE,0))-1))),L.ABS.NP)=0,"",xcomp(INDIRECT((ADDRESS(ROW(NU20),$I$11+(MATCH(NT$11,L.DATE,0))))&amp;":"&amp;(ADDRESS(ROW(NU20),$I$11+NU$11+(MATCH(NT$11,L.DATE,0))-1))),L.ABS.NP))</f>
        <v/>
      </c>
      <c r="NV21" s="376" t="str" cm="1">
        <f t="array" aca="1" ref="NV21" ca="1">IF(xcomp(INDIRECT((ADDRESS(ROW(NV20),$I$11+(MATCH(NV$11,L.DATE,0))))&amp;":"&amp;(ADDRESS(ROW(NV20),$I$11+NW$11+(MATCH(NV$11,L.DATE,0))-1))),L.ABSP)=0,"",xcomp(INDIRECT((ADDRESS(ROW(NV20),$I$11+(MATCH(NV$11,L.DATE,0))))&amp;":"&amp;(ADDRESS(ROW(NV20),$I$11+NW$11+(MATCH(NV$11,L.DATE,0))-1))),L.ABSP))</f>
        <v/>
      </c>
      <c r="NW21" s="377" t="str" cm="1">
        <f t="array" aca="1" ref="NW21" ca="1">IF(xcomp(INDIRECT((ADDRESS(ROW(NW20),$I$11+(MATCH(NV$11,L.DATE,0))))&amp;":"&amp;(ADDRESS(ROW(NW20),$I$11+NW$11+(MATCH(NV$11,L.DATE,0))-1))),L.ABS.NP)=0,"",xcomp(INDIRECT((ADDRESS(ROW(NW20),$I$11+(MATCH(NV$11,L.DATE,0))))&amp;":"&amp;(ADDRESS(ROW(NW20),$I$11+NW$11+(MATCH(NV$11,L.DATE,0))-1))),L.ABS.NP))</f>
        <v/>
      </c>
      <c r="NX21" s="376" t="str" cm="1">
        <f t="array" aca="1" ref="NX21" ca="1">IF(xcomp(INDIRECT((ADDRESS(ROW(NX20),$I$11+(MATCH(NX$11,L.DATE,0))))&amp;":"&amp;(ADDRESS(ROW(NX20),$I$11+NY$11+(MATCH(NX$11,L.DATE,0))-1))),L.ABSP)=0,"",xcomp(INDIRECT((ADDRESS(ROW(NX20),$I$11+(MATCH(NX$11,L.DATE,0))))&amp;":"&amp;(ADDRESS(ROW(NX20),$I$11+NY$11+(MATCH(NX$11,L.DATE,0))-1))),L.ABSP))</f>
        <v/>
      </c>
      <c r="NY21" s="377" t="str" cm="1">
        <f t="array" aca="1" ref="NY21" ca="1">IF(xcomp(INDIRECT((ADDRESS(ROW(NY20),$I$11+(MATCH(NX$11,L.DATE,0))))&amp;":"&amp;(ADDRESS(ROW(NY20),$I$11+NY$11+(MATCH(NX$11,L.DATE,0))-1))),L.ABS.NP)=0,"",xcomp(INDIRECT((ADDRESS(ROW(NY20),$I$11+(MATCH(NX$11,L.DATE,0))))&amp;":"&amp;(ADDRESS(ROW(NY20),$I$11+NY$11+(MATCH(NX$11,L.DATE,0))-1))),L.ABS.NP))</f>
        <v/>
      </c>
      <c r="NZ21" s="376" t="str" cm="1">
        <f t="array" aca="1" ref="NZ21" ca="1">IF(xcomp(INDIRECT((ADDRESS(ROW(NZ20),$I$11+(MATCH(NZ$11,L.DATE,0))))&amp;":"&amp;(ADDRESS(ROW(NZ20),$I$11+OA$11+(MATCH(NZ$11,L.DATE,0))-1))),L.ABSP)=0,"",xcomp(INDIRECT((ADDRESS(ROW(NZ20),$I$11+(MATCH(NZ$11,L.DATE,0))))&amp;":"&amp;(ADDRESS(ROW(NZ20),$I$11+OA$11+(MATCH(NZ$11,L.DATE,0))-1))),L.ABSP))</f>
        <v/>
      </c>
      <c r="OA21" s="377" t="str" cm="1">
        <f t="array" aca="1" ref="OA21" ca="1">IF(xcomp(INDIRECT((ADDRESS(ROW(OA20),$I$11+(MATCH(NZ$11,L.DATE,0))))&amp;":"&amp;(ADDRESS(ROW(OA20),$I$11+OA$11+(MATCH(NZ$11,L.DATE,0))-1))),L.ABS.NP)=0,"",xcomp(INDIRECT((ADDRESS(ROW(OA20),$I$11+(MATCH(NZ$11,L.DATE,0))))&amp;":"&amp;(ADDRESS(ROW(OA20),$I$11+OA$11+(MATCH(NZ$11,L.DATE,0))-1))),L.ABS.NP))</f>
        <v/>
      </c>
      <c r="OB21" s="376" t="str" cm="1">
        <f t="array" aca="1" ref="OB21" ca="1">IF(xcomp(INDIRECT((ADDRESS(ROW(OB20),$I$11+(MATCH(OB$11,L.DATE,0))))&amp;":"&amp;(ADDRESS(ROW(OB20),$I$11+OC$11+(MATCH(OB$11,L.DATE,0))-1))),L.ABSP)=0,"",xcomp(INDIRECT((ADDRESS(ROW(OB20),$I$11+(MATCH(OB$11,L.DATE,0))))&amp;":"&amp;(ADDRESS(ROW(OB20),$I$11+OC$11+(MATCH(OB$11,L.DATE,0))-1))),L.ABSP))</f>
        <v/>
      </c>
      <c r="OC21" s="377" t="str" cm="1">
        <f t="array" aca="1" ref="OC21" ca="1">IF(xcomp(INDIRECT((ADDRESS(ROW(OC20),$I$11+(MATCH(OB$11,L.DATE,0))))&amp;":"&amp;(ADDRESS(ROW(OC20),$I$11+OC$11+(MATCH(OB$11,L.DATE,0))-1))),L.ABS.NP)=0,"",xcomp(INDIRECT((ADDRESS(ROW(OC20),$I$11+(MATCH(OB$11,L.DATE,0))))&amp;":"&amp;(ADDRESS(ROW(OC20),$I$11+OC$11+(MATCH(OB$11,L.DATE,0))-1))),L.ABS.NP))</f>
        <v/>
      </c>
      <c r="OD21" s="376" t="str" cm="1">
        <f t="array" aca="1" ref="OD21" ca="1">IF(xcomp(INDIRECT((ADDRESS(ROW(OD20),$I$11+(MATCH(OD$11,L.DATE,0))))&amp;":"&amp;(ADDRESS(ROW(OD20),$I$11+OE$11+(MATCH(OD$11,L.DATE,0))-1))),L.ABSP)=0,"",xcomp(INDIRECT((ADDRESS(ROW(OD20),$I$11+(MATCH(OD$11,L.DATE,0))))&amp;":"&amp;(ADDRESS(ROW(OD20),$I$11+OE$11+(MATCH(OD$11,L.DATE,0))-1))),L.ABSP))</f>
        <v/>
      </c>
      <c r="OE21" s="377" t="str" cm="1">
        <f t="array" aca="1" ref="OE21" ca="1">IF(xcomp(INDIRECT((ADDRESS(ROW(OE20),$I$11+(MATCH(OD$11,L.DATE,0))))&amp;":"&amp;(ADDRESS(ROW(OE20),$I$11+OE$11+(MATCH(OD$11,L.DATE,0))-1))),L.ABS.NP)=0,"",xcomp(INDIRECT((ADDRESS(ROW(OE20),$I$11+(MATCH(OD$11,L.DATE,0))))&amp;":"&amp;(ADDRESS(ROW(OE20),$I$11+OE$11+(MATCH(OD$11,L.DATE,0))-1))),L.ABS.NP))</f>
        <v/>
      </c>
      <c r="OF21" s="376" t="str" cm="1">
        <f t="array" aca="1" ref="OF21" ca="1">IF(xcomp(INDIRECT((ADDRESS(ROW(OF20),$I$11+(MATCH(OF$11,L.DATE,0))))&amp;":"&amp;(ADDRESS(ROW(OF20),$I$11+OG$11+(MATCH(OF$11,L.DATE,0))-1))),L.ABSP)=0,"",xcomp(INDIRECT((ADDRESS(ROW(OF20),$I$11+(MATCH(OF$11,L.DATE,0))))&amp;":"&amp;(ADDRESS(ROW(OF20),$I$11+OG$11+(MATCH(OF$11,L.DATE,0))-1))),L.ABSP))</f>
        <v/>
      </c>
      <c r="OG21" s="377" t="str" cm="1">
        <f t="array" aca="1" ref="OG21" ca="1">IF(xcomp(INDIRECT((ADDRESS(ROW(OG20),$I$11+(MATCH(OF$11,L.DATE,0))))&amp;":"&amp;(ADDRESS(ROW(OG20),$I$11+OG$11+(MATCH(OF$11,L.DATE,0))-1))),L.ABS.NP)=0,"",xcomp(INDIRECT((ADDRESS(ROW(OG20),$I$11+(MATCH(OF$11,L.DATE,0))))&amp;":"&amp;(ADDRESS(ROW(OG20),$I$11+OG$11+(MATCH(OF$11,L.DATE,0))-1))),L.ABS.NP))</f>
        <v/>
      </c>
      <c r="OH21" s="376" t="str" cm="1">
        <f t="array" aca="1" ref="OH21" ca="1">IF(xcomp(INDIRECT((ADDRESS(ROW(OH20),$I$11+(MATCH(OH$11,L.DATE,0))))&amp;":"&amp;(ADDRESS(ROW(OH20),$I$11+OI$11+(MATCH(OH$11,L.DATE,0))-1))),L.ABSP)=0,"",xcomp(INDIRECT((ADDRESS(ROW(OH20),$I$11+(MATCH(OH$11,L.DATE,0))))&amp;":"&amp;(ADDRESS(ROW(OH20),$I$11+OI$11+(MATCH(OH$11,L.DATE,0))-1))),L.ABSP))</f>
        <v/>
      </c>
      <c r="OI21" s="377" t="str" cm="1">
        <f t="array" aca="1" ref="OI21" ca="1">IF(xcomp(INDIRECT((ADDRESS(ROW(OI20),$I$11+(MATCH(OH$11,L.DATE,0))))&amp;":"&amp;(ADDRESS(ROW(OI20),$I$11+OI$11+(MATCH(OH$11,L.DATE,0))-1))),L.ABS.NP)=0,"",xcomp(INDIRECT((ADDRESS(ROW(OI20),$I$11+(MATCH(OH$11,L.DATE,0))))&amp;":"&amp;(ADDRESS(ROW(OI20),$I$11+OI$11+(MATCH(OH$11,L.DATE,0))-1))),L.ABS.NP))</f>
        <v/>
      </c>
      <c r="OJ21" s="376" t="str" cm="1">
        <f t="array" aca="1" ref="OJ21" ca="1">IF(xcomp(INDIRECT((ADDRESS(ROW(OJ20),$I$11+(MATCH(OJ$11,L.DATE,0))))&amp;":"&amp;(ADDRESS(ROW(OJ20),$I$11+OK$11+(MATCH(OJ$11,L.DATE,0))-1))),L.ABSP)=0,"",xcomp(INDIRECT((ADDRESS(ROW(OJ20),$I$11+(MATCH(OJ$11,L.DATE,0))))&amp;":"&amp;(ADDRESS(ROW(OJ20),$I$11+OK$11+(MATCH(OJ$11,L.DATE,0))-1))),L.ABSP))</f>
        <v/>
      </c>
      <c r="OK21" s="378" t="str" cm="1">
        <f t="array" aca="1" ref="OK21" ca="1">IF(xcomp(INDIRECT((ADDRESS(ROW(OK20),$I$11+(MATCH(OJ$11,L.DATE,0))))&amp;":"&amp;(ADDRESS(ROW(OK20),$I$11+OK$11+(MATCH(OJ$11,L.DATE,0))-1))),L.ABS.NP)=0,"",xcomp(INDIRECT((ADDRESS(ROW(OK20),$I$11+(MATCH(OJ$11,L.DATE,0))))&amp;":"&amp;(ADDRESS(ROW(OK20),$I$11+OK$11+(MATCH(OJ$11,L.DATE,0))-1))),L.ABS.NP))</f>
        <v/>
      </c>
    </row>
    <row r="22" spans="1:404" ht="12" customHeight="1" x14ac:dyDescent="0.3">
      <c r="A22" s="394">
        <v>0</v>
      </c>
      <c r="B22" s="381"/>
      <c r="C22" s="53"/>
      <c r="D22" s="392"/>
      <c r="E22" s="53"/>
      <c r="F22" s="53"/>
      <c r="G22" s="104"/>
      <c r="H22" s="108">
        <v>2</v>
      </c>
      <c r="I22" s="28"/>
      <c r="J22" s="382"/>
      <c r="K22" s="382"/>
      <c r="L22" s="387"/>
      <c r="M22" s="382"/>
      <c r="N22" s="382"/>
      <c r="O22" s="382"/>
      <c r="P22" s="382"/>
      <c r="Q22" s="382"/>
      <c r="R22" s="382"/>
      <c r="S22" s="382"/>
      <c r="T22" s="382"/>
      <c r="U22" s="382"/>
      <c r="V22" s="382"/>
      <c r="W22" s="382"/>
      <c r="X22" s="382"/>
      <c r="Y22" s="382"/>
      <c r="Z22" s="382"/>
      <c r="AA22" s="382"/>
      <c r="AB22" s="382"/>
      <c r="AC22" s="382"/>
      <c r="AD22" s="382"/>
      <c r="AE22" s="382"/>
      <c r="AF22" s="382"/>
      <c r="AG22" s="382"/>
      <c r="AH22" s="382"/>
      <c r="AI22" s="382"/>
      <c r="AJ22" s="382"/>
      <c r="AK22" s="382"/>
      <c r="AL22" s="382"/>
      <c r="AM22" s="382"/>
      <c r="AN22" s="382"/>
      <c r="AO22" s="382"/>
      <c r="AP22" s="382"/>
      <c r="AQ22" s="382"/>
      <c r="AR22" s="382"/>
      <c r="AS22" s="382"/>
      <c r="AT22" s="382"/>
      <c r="AU22" s="382"/>
      <c r="AV22" s="382"/>
      <c r="AW22" s="382"/>
      <c r="AX22" s="382"/>
      <c r="AY22" s="382"/>
      <c r="AZ22" s="382"/>
      <c r="BA22" s="382"/>
      <c r="BB22" s="382"/>
      <c r="BC22" s="382"/>
      <c r="BD22" s="382"/>
      <c r="BE22" s="382"/>
      <c r="BF22" s="382"/>
      <c r="BG22" s="382"/>
      <c r="BH22" s="382"/>
      <c r="BI22" s="382"/>
      <c r="BJ22" s="382"/>
      <c r="BK22" s="382"/>
      <c r="BL22" s="382"/>
      <c r="BM22" s="382"/>
      <c r="BN22" s="382"/>
      <c r="BO22" s="382"/>
      <c r="BP22" s="382"/>
      <c r="BQ22" s="382"/>
      <c r="BR22" s="382"/>
      <c r="BS22" s="382"/>
      <c r="BT22" s="382"/>
      <c r="BU22" s="382"/>
      <c r="BV22" s="382"/>
      <c r="BW22" s="382"/>
      <c r="BX22" s="382"/>
      <c r="BY22" s="382"/>
      <c r="BZ22" s="382"/>
      <c r="CA22" s="382"/>
      <c r="CB22" s="382"/>
      <c r="CC22" s="382"/>
      <c r="CD22" s="382"/>
      <c r="CE22" s="382"/>
      <c r="CF22" s="382"/>
      <c r="CG22" s="382"/>
      <c r="CH22" s="382"/>
      <c r="CI22" s="382"/>
      <c r="CJ22" s="382"/>
      <c r="CK22" s="382"/>
      <c r="CL22" s="382"/>
      <c r="CM22" s="382"/>
      <c r="CN22" s="382"/>
      <c r="CO22" s="382"/>
      <c r="CP22" s="382"/>
      <c r="CQ22" s="382"/>
      <c r="CR22" s="382"/>
      <c r="CS22" s="382"/>
      <c r="CT22" s="382"/>
      <c r="CU22" s="382"/>
      <c r="CV22" s="382"/>
      <c r="CW22" s="382"/>
      <c r="CX22" s="382"/>
      <c r="CY22" s="382"/>
      <c r="CZ22" s="382"/>
      <c r="DA22" s="382"/>
      <c r="DB22" s="382"/>
      <c r="DC22" s="382"/>
      <c r="DD22" s="382"/>
      <c r="DE22" s="382"/>
      <c r="DF22" s="382"/>
      <c r="DG22" s="382"/>
      <c r="DH22" s="382"/>
      <c r="DI22" s="382"/>
      <c r="DJ22" s="382"/>
      <c r="DK22" s="382"/>
      <c r="DL22" s="382"/>
      <c r="DM22" s="382"/>
      <c r="DN22" s="382"/>
      <c r="DO22" s="382"/>
      <c r="DP22" s="382"/>
      <c r="DQ22" s="382"/>
      <c r="DR22" s="382"/>
      <c r="DS22" s="382"/>
      <c r="DT22" s="382"/>
      <c r="DU22" s="382"/>
      <c r="DV22" s="382"/>
      <c r="DW22" s="382"/>
      <c r="DX22" s="382"/>
      <c r="DY22" s="382"/>
      <c r="DZ22" s="382"/>
      <c r="EA22" s="382"/>
      <c r="EB22" s="382"/>
      <c r="EC22" s="382"/>
      <c r="ED22" s="382"/>
      <c r="EE22" s="382"/>
      <c r="EF22" s="382"/>
      <c r="EG22" s="382"/>
      <c r="EH22" s="382"/>
      <c r="EI22" s="382"/>
      <c r="EJ22" s="382"/>
      <c r="EK22" s="382"/>
      <c r="EL22" s="382"/>
      <c r="EM22" s="382"/>
      <c r="EN22" s="382"/>
      <c r="EO22" s="382"/>
      <c r="EP22" s="382"/>
      <c r="EQ22" s="382"/>
      <c r="ER22" s="382"/>
      <c r="ES22" s="382"/>
      <c r="ET22" s="382"/>
      <c r="EU22" s="382"/>
      <c r="EV22" s="382"/>
      <c r="EW22" s="382"/>
      <c r="EX22" s="382"/>
      <c r="EY22" s="382"/>
      <c r="EZ22" s="382"/>
      <c r="FA22" s="382"/>
      <c r="FB22" s="382"/>
      <c r="FC22" s="382"/>
      <c r="FD22" s="382"/>
      <c r="FE22" s="382"/>
      <c r="FF22" s="382"/>
      <c r="FG22" s="382"/>
      <c r="FH22" s="382"/>
      <c r="FI22" s="382"/>
      <c r="FJ22" s="382"/>
      <c r="FK22" s="382"/>
      <c r="FL22" s="382"/>
      <c r="FM22" s="382"/>
      <c r="FN22" s="382"/>
      <c r="FO22" s="382"/>
      <c r="FP22" s="382"/>
      <c r="FQ22" s="382"/>
      <c r="FR22" s="382"/>
      <c r="FS22" s="382"/>
      <c r="FT22" s="382"/>
      <c r="FU22" s="382"/>
      <c r="FV22" s="382"/>
      <c r="FW22" s="382"/>
      <c r="FX22" s="382"/>
      <c r="FY22" s="382"/>
      <c r="FZ22" s="382"/>
      <c r="GA22" s="382"/>
      <c r="GB22" s="382"/>
      <c r="GC22" s="382"/>
      <c r="GD22" s="382"/>
      <c r="GE22" s="382"/>
      <c r="GF22" s="382"/>
      <c r="GG22" s="382"/>
      <c r="GH22" s="382"/>
      <c r="GI22" s="382"/>
      <c r="GJ22" s="382"/>
      <c r="GK22" s="382"/>
      <c r="GL22" s="382"/>
      <c r="GM22" s="382"/>
      <c r="GN22" s="382"/>
      <c r="GO22" s="382"/>
      <c r="GP22" s="382"/>
      <c r="GQ22" s="382"/>
      <c r="GR22" s="382"/>
      <c r="GS22" s="382"/>
      <c r="GT22" s="382"/>
      <c r="GU22" s="382"/>
      <c r="GV22" s="382"/>
      <c r="GW22" s="382"/>
      <c r="GX22" s="382"/>
      <c r="GY22" s="382"/>
      <c r="GZ22" s="382"/>
      <c r="HA22" s="382"/>
      <c r="HB22" s="382"/>
      <c r="HC22" s="382"/>
      <c r="HD22" s="382"/>
      <c r="HE22" s="382"/>
      <c r="HF22" s="382"/>
      <c r="HG22" s="382"/>
      <c r="HH22" s="382"/>
      <c r="HI22" s="382"/>
      <c r="HJ22" s="382"/>
      <c r="HK22" s="382"/>
      <c r="HL22" s="382"/>
      <c r="HM22" s="382"/>
      <c r="HN22" s="382"/>
      <c r="HO22" s="382"/>
      <c r="HP22" s="382"/>
      <c r="HQ22" s="382"/>
      <c r="HR22" s="382"/>
      <c r="HS22" s="382"/>
      <c r="HT22" s="382"/>
      <c r="HU22" s="382"/>
      <c r="HV22" s="382"/>
      <c r="HW22" s="382"/>
      <c r="HX22" s="382"/>
      <c r="HY22" s="382"/>
      <c r="HZ22" s="382"/>
      <c r="IA22" s="382"/>
      <c r="IB22" s="382"/>
      <c r="IC22" s="382"/>
      <c r="ID22" s="382"/>
      <c r="IE22" s="382"/>
      <c r="IF22" s="382"/>
      <c r="IG22" s="382"/>
      <c r="IH22" s="382"/>
      <c r="II22" s="382"/>
      <c r="IJ22" s="382"/>
      <c r="IK22" s="382"/>
      <c r="IL22" s="382"/>
      <c r="IM22" s="382"/>
      <c r="IN22" s="382"/>
      <c r="IO22" s="382"/>
      <c r="IP22" s="382"/>
      <c r="IQ22" s="382"/>
      <c r="IR22" s="382"/>
      <c r="IS22" s="382"/>
      <c r="IT22" s="382"/>
      <c r="IU22" s="382"/>
      <c r="IV22" s="382"/>
      <c r="IW22" s="382"/>
      <c r="IX22" s="382"/>
      <c r="IY22" s="382"/>
      <c r="IZ22" s="382"/>
      <c r="JA22" s="382"/>
      <c r="JB22" s="382"/>
      <c r="JC22" s="382"/>
      <c r="JD22" s="382"/>
      <c r="JE22" s="382"/>
      <c r="JF22" s="382"/>
      <c r="JG22" s="382"/>
      <c r="JH22" s="382"/>
      <c r="JI22" s="382"/>
      <c r="JJ22" s="382"/>
      <c r="JK22" s="382"/>
      <c r="JL22" s="382"/>
      <c r="JM22" s="382"/>
      <c r="JN22" s="382"/>
      <c r="JO22" s="382"/>
      <c r="JP22" s="382"/>
      <c r="JQ22" s="382"/>
      <c r="JR22" s="382"/>
      <c r="JS22" s="382"/>
      <c r="JT22" s="382"/>
      <c r="JU22" s="382"/>
      <c r="JV22" s="382"/>
      <c r="JW22" s="382"/>
      <c r="JX22" s="382"/>
      <c r="JY22" s="382"/>
      <c r="JZ22" s="382"/>
      <c r="KA22" s="382"/>
      <c r="KB22" s="382"/>
      <c r="KC22" s="382"/>
      <c r="KD22" s="382"/>
      <c r="KE22" s="382"/>
      <c r="KF22" s="382"/>
      <c r="KG22" s="382"/>
      <c r="KH22" s="382"/>
      <c r="KI22" s="382"/>
      <c r="KJ22" s="382"/>
      <c r="KK22" s="382"/>
      <c r="KL22" s="382"/>
      <c r="KM22" s="382"/>
      <c r="KN22" s="382"/>
      <c r="KO22" s="382"/>
      <c r="KP22" s="382"/>
      <c r="KQ22" s="382"/>
      <c r="KR22" s="382"/>
      <c r="KS22" s="382"/>
      <c r="KT22" s="382"/>
      <c r="KU22" s="382"/>
      <c r="KV22" s="382"/>
      <c r="KW22" s="382"/>
      <c r="KX22" s="382"/>
      <c r="KY22" s="382"/>
      <c r="KZ22" s="382"/>
      <c r="LA22" s="382"/>
      <c r="LB22" s="382"/>
      <c r="LC22" s="382"/>
      <c r="LD22" s="382"/>
      <c r="LE22" s="382"/>
      <c r="LF22" s="382"/>
      <c r="LG22" s="382"/>
      <c r="LH22" s="382"/>
      <c r="LI22" s="382"/>
      <c r="LJ22" s="382"/>
      <c r="LK22" s="382"/>
      <c r="LL22" s="382"/>
      <c r="LM22" s="382"/>
      <c r="LN22" s="382"/>
      <c r="LO22" s="382"/>
      <c r="LP22" s="382"/>
      <c r="LQ22" s="382"/>
      <c r="LR22" s="382"/>
      <c r="LS22" s="382"/>
      <c r="LT22" s="382"/>
      <c r="LU22" s="382"/>
      <c r="LV22" s="382"/>
      <c r="LW22" s="382"/>
      <c r="LX22" s="382"/>
      <c r="LY22" s="382"/>
      <c r="LZ22" s="382"/>
      <c r="MA22" s="382"/>
      <c r="MB22" s="382"/>
      <c r="MC22" s="382"/>
      <c r="MD22" s="382"/>
      <c r="ME22" s="382"/>
      <c r="MF22" s="382"/>
      <c r="MG22" s="382"/>
      <c r="MH22" s="382"/>
      <c r="MI22" s="382"/>
      <c r="MJ22" s="382"/>
      <c r="MK22" s="382"/>
      <c r="ML22" s="382"/>
      <c r="MM22" s="382"/>
      <c r="MN22" s="382"/>
      <c r="MO22" s="382"/>
      <c r="MP22" s="382"/>
      <c r="MQ22" s="382"/>
      <c r="MR22" s="382"/>
      <c r="MS22" s="382"/>
      <c r="MT22" s="382"/>
      <c r="MU22" s="382"/>
      <c r="MV22" s="382"/>
      <c r="MW22" s="382"/>
      <c r="MX22" s="382"/>
      <c r="MY22" s="382"/>
      <c r="MZ22" s="382"/>
      <c r="NA22" s="382"/>
      <c r="NB22" s="382"/>
      <c r="NC22" s="382"/>
      <c r="ND22" s="382"/>
      <c r="NE22" s="382"/>
      <c r="NF22" s="382"/>
      <c r="NG22" s="382"/>
      <c r="NH22" s="382"/>
      <c r="NI22" s="382"/>
      <c r="NJ22" s="388"/>
      <c r="NK22" s="34"/>
      <c r="NM22" s="159">
        <f>A22</f>
        <v>0</v>
      </c>
      <c r="NN22" s="373">
        <f ca="1">COUNTIF(INDIRECT((ADDRESS(ROW(NO23),$I$11+(MATCH(NN$11,L.DATE,0))))&amp;":"&amp;(ADDRESS(ROW(NO23),$I$11+NO$11+(MATCH(NN$11,L.DATE,0))-1))),"&gt;=0")-NO22</f>
        <v>0</v>
      </c>
      <c r="NO22" s="374">
        <f ca="1">SUM(INDIRECT((ADDRESS(ROW(NO23),$I$11+(MATCH(NN$11,L.DATE,0))))&amp;":"&amp;(ADDRESS(ROW(NO23),$I$11+NO$11+(MATCH(NN$11,L.DATE,0))-1))))</f>
        <v>0</v>
      </c>
      <c r="NP22" s="373">
        <f ca="1">COUNTIF(INDIRECT((ADDRESS(ROW(NQ23),$I$11+(MATCH(NP$11,L.DATE,0))))&amp;":"&amp;(ADDRESS(ROW(NQ23),$I$11+NQ$11+(MATCH(NP$11,L.DATE,0))-1))),"&gt;=0")-NQ22</f>
        <v>0</v>
      </c>
      <c r="NQ22" s="374">
        <f ca="1">SUM(INDIRECT((ADDRESS(ROW(NQ23),$I$11+(MATCH(NP$11,L.DATE,0))))&amp;":"&amp;(ADDRESS(ROW(NQ23),$I$11+NQ$11+(MATCH(NP$11,L.DATE,0))-1))))</f>
        <v>0</v>
      </c>
      <c r="NR22" s="373">
        <f ca="1">COUNTIF(INDIRECT((ADDRESS(ROW(NS23),$I$11+(MATCH(NR$11,L.DATE,0))))&amp;":"&amp;(ADDRESS(ROW(NS23),$I$11+NS$11+(MATCH(NR$11,L.DATE,0))-1))),"&gt;=0")-NS22</f>
        <v>0</v>
      </c>
      <c r="NS22" s="374">
        <f ca="1">SUM(INDIRECT((ADDRESS(ROW(NS23),$I$11+(MATCH(NR$11,L.DATE,0))))&amp;":"&amp;(ADDRESS(ROW(NS23),$I$11+NS$11+(MATCH(NR$11,L.DATE,0))-1))))</f>
        <v>0</v>
      </c>
      <c r="NT22" s="373">
        <f ca="1">COUNTIF(INDIRECT((ADDRESS(ROW(NU23),$I$11+(MATCH(NT$11,L.DATE,0))))&amp;":"&amp;(ADDRESS(ROW(NU23),$I$11+NU$11+(MATCH(NT$11,L.DATE,0))-1))),"&gt;=0")-NU22</f>
        <v>0</v>
      </c>
      <c r="NU22" s="374">
        <f ca="1">SUM(INDIRECT((ADDRESS(ROW(NU23),$I$11+(MATCH(NT$11,L.DATE,0))))&amp;":"&amp;(ADDRESS(ROW(NU23),$I$11+NU$11+(MATCH(NT$11,L.DATE,0))-1))))</f>
        <v>0</v>
      </c>
      <c r="NV22" s="373">
        <f ca="1">COUNTIF(INDIRECT((ADDRESS(ROW(NW23),$I$11+(MATCH(NV$11,L.DATE,0))))&amp;":"&amp;(ADDRESS(ROW(NW23),$I$11+NW$11+(MATCH(NV$11,L.DATE,0))-1))),"&gt;=0")-NW22</f>
        <v>0</v>
      </c>
      <c r="NW22" s="374">
        <f ca="1">SUM(INDIRECT((ADDRESS(ROW(NW23),$I$11+(MATCH(NV$11,L.DATE,0))))&amp;":"&amp;(ADDRESS(ROW(NW23),$I$11+NW$11+(MATCH(NV$11,L.DATE,0))-1))))</f>
        <v>0</v>
      </c>
      <c r="NX22" s="373">
        <f ca="1">COUNTIF(INDIRECT((ADDRESS(ROW(NY23),$I$11+(MATCH(NX$11,L.DATE,0))))&amp;":"&amp;(ADDRESS(ROW(NY23),$I$11+NY$11+(MATCH(NX$11,L.DATE,0))-1))),"&gt;=0")-NY22</f>
        <v>0</v>
      </c>
      <c r="NY22" s="374">
        <f ca="1">SUM(INDIRECT((ADDRESS(ROW(NY23),$I$11+(MATCH(NX$11,L.DATE,0))))&amp;":"&amp;(ADDRESS(ROW(NY23),$I$11+NY$11+(MATCH(NX$11,L.DATE,0))-1))))</f>
        <v>0</v>
      </c>
      <c r="NZ22" s="373">
        <f ca="1">COUNTIF(INDIRECT((ADDRESS(ROW(OA23),$I$11+(MATCH(NZ$11,L.DATE,0))))&amp;":"&amp;(ADDRESS(ROW(OA23),$I$11+OA$11+(MATCH(NZ$11,L.DATE,0))-1))),"&gt;=0")-OA22</f>
        <v>0</v>
      </c>
      <c r="OA22" s="374">
        <f ca="1">SUM(INDIRECT((ADDRESS(ROW(OA23),$I$11+(MATCH(NZ$11,L.DATE,0))))&amp;":"&amp;(ADDRESS(ROW(OA23),$I$11+OA$11+(MATCH(NZ$11,L.DATE,0))-1))))</f>
        <v>0</v>
      </c>
      <c r="OB22" s="373">
        <f ca="1">COUNTIF(INDIRECT((ADDRESS(ROW(OC23),$I$11+(MATCH(OB$11,L.DATE,0))))&amp;":"&amp;(ADDRESS(ROW(OC23),$I$11+OC$11+(MATCH(OB$11,L.DATE,0))-1))),"&gt;=0")-OC22</f>
        <v>0</v>
      </c>
      <c r="OC22" s="374">
        <f ca="1">SUM(INDIRECT((ADDRESS(ROW(OC23),$I$11+(MATCH(OB$11,L.DATE,0))))&amp;":"&amp;(ADDRESS(ROW(OC23),$I$11+OC$11+(MATCH(OB$11,L.DATE,0))-1))))</f>
        <v>0</v>
      </c>
      <c r="OD22" s="373">
        <f ca="1">COUNTIF(INDIRECT((ADDRESS(ROW(OE23),$I$11+(MATCH(OD$11,L.DATE,0))))&amp;":"&amp;(ADDRESS(ROW(OE23),$I$11+OE$11+(MATCH(OD$11,L.DATE,0))-1))),"&gt;=0")-OE22</f>
        <v>0</v>
      </c>
      <c r="OE22" s="374">
        <f ca="1">SUM(INDIRECT((ADDRESS(ROW(OE23),$I$11+(MATCH(OD$11,L.DATE,0))))&amp;":"&amp;(ADDRESS(ROW(OE23),$I$11+OE$11+(MATCH(OD$11,L.DATE,0))-1))))</f>
        <v>0</v>
      </c>
      <c r="OF22" s="373">
        <f ca="1">COUNTIF(INDIRECT((ADDRESS(ROW(OG23),$I$11+(MATCH(OF$11,L.DATE,0))))&amp;":"&amp;(ADDRESS(ROW(OG23),$I$11+OG$11+(MATCH(OF$11,L.DATE,0))-1))),"&gt;=0")-OG22</f>
        <v>0</v>
      </c>
      <c r="OG22" s="374">
        <f ca="1">SUM(INDIRECT((ADDRESS(ROW(OG23),$I$11+(MATCH(OF$11,L.DATE,0))))&amp;":"&amp;(ADDRESS(ROW(OG23),$I$11+OG$11+(MATCH(OF$11,L.DATE,0))-1))))</f>
        <v>0</v>
      </c>
      <c r="OH22" s="373">
        <f ca="1">COUNTIF(INDIRECT((ADDRESS(ROW(OI23),$I$11+(MATCH(OH$11,L.DATE,0))))&amp;":"&amp;(ADDRESS(ROW(OI23),$I$11+OI$11+(MATCH(OH$11,L.DATE,0))-1))),"&gt;=0")-OI22</f>
        <v>0</v>
      </c>
      <c r="OI22" s="374">
        <f ca="1">SUM(INDIRECT((ADDRESS(ROW(OI23),$I$11+(MATCH(OH$11,L.DATE,0))))&amp;":"&amp;(ADDRESS(ROW(OI23),$I$11+OI$11+(MATCH(OH$11,L.DATE,0))-1))))</f>
        <v>0</v>
      </c>
      <c r="OJ22" s="373">
        <f ca="1">COUNTIF(INDIRECT((ADDRESS(ROW(OK23),$I$11+(MATCH(OJ$11,L.DATE,0))))&amp;":"&amp;(ADDRESS(ROW(OK23),$I$11+OK$11+(MATCH(OJ$11,L.DATE,0))-1))),"&gt;=0")-OK22</f>
        <v>0</v>
      </c>
      <c r="OK22" s="375">
        <f ca="1">SUM(INDIRECT((ADDRESS(ROW(OK23),$I$11+(MATCH(OJ$11,L.DATE,0))))&amp;":"&amp;(ADDRESS(ROW(OK23),$I$11+OK$11+(MATCH(OJ$11,L.DATE,0))-1))))</f>
        <v>0</v>
      </c>
      <c r="OM22" s="39">
        <f ca="1">NN22+NP22+NR22+NT22+NV22+NX22+NZ22+OB22+OD22+OF22+OJ22+OH22</f>
        <v>0</v>
      </c>
      <c r="ON22" s="40">
        <f ca="1">NO22+NQ22+NS22+NU22+NW22+NY22+OA22+OC22+OE22+OG22+OK22+OI22</f>
        <v>0</v>
      </c>
    </row>
    <row r="23" spans="1:404" x14ac:dyDescent="0.3">
      <c r="A23" s="33"/>
      <c r="B23" s="16">
        <f t="shared" ref="B23:H23" si="24">B22</f>
        <v>0</v>
      </c>
      <c r="C23" s="16">
        <f t="shared" si="24"/>
        <v>0</v>
      </c>
      <c r="D23" s="16">
        <f t="shared" si="24"/>
        <v>0</v>
      </c>
      <c r="E23" s="16">
        <f t="shared" si="24"/>
        <v>0</v>
      </c>
      <c r="F23" s="16">
        <f t="shared" si="24"/>
        <v>0</v>
      </c>
      <c r="G23" s="105">
        <f t="shared" si="24"/>
        <v>0</v>
      </c>
      <c r="H23" s="109">
        <f t="shared" si="24"/>
        <v>2</v>
      </c>
      <c r="I23" s="28"/>
      <c r="J23" s="382"/>
      <c r="K23" s="382"/>
      <c r="L23" s="382"/>
      <c r="M23" s="382"/>
      <c r="N23" s="382"/>
      <c r="O23" s="382"/>
      <c r="P23" s="382"/>
      <c r="Q23" s="382"/>
      <c r="R23" s="382"/>
      <c r="S23" s="382"/>
      <c r="T23" s="382"/>
      <c r="U23" s="382"/>
      <c r="V23" s="382"/>
      <c r="W23" s="382"/>
      <c r="X23" s="382"/>
      <c r="Y23" s="382"/>
      <c r="Z23" s="382"/>
      <c r="AA23" s="382"/>
      <c r="AB23" s="382"/>
      <c r="AC23" s="382"/>
      <c r="AD23" s="382"/>
      <c r="AE23" s="382"/>
      <c r="AF23" s="382"/>
      <c r="AG23" s="382"/>
      <c r="AH23" s="382"/>
      <c r="AI23" s="382"/>
      <c r="AJ23" s="382"/>
      <c r="AK23" s="382"/>
      <c r="AL23" s="382"/>
      <c r="AM23" s="382"/>
      <c r="AN23" s="382"/>
      <c r="AO23" s="382"/>
      <c r="AP23" s="382"/>
      <c r="AQ23" s="382"/>
      <c r="AR23" s="382"/>
      <c r="AS23" s="382"/>
      <c r="AT23" s="382"/>
      <c r="AU23" s="382"/>
      <c r="AV23" s="382"/>
      <c r="AW23" s="382"/>
      <c r="AX23" s="382"/>
      <c r="AY23" s="382"/>
      <c r="AZ23" s="382"/>
      <c r="BA23" s="382"/>
      <c r="BB23" s="382"/>
      <c r="BC23" s="382"/>
      <c r="BD23" s="382"/>
      <c r="BE23" s="382"/>
      <c r="BF23" s="382"/>
      <c r="BG23" s="382"/>
      <c r="BH23" s="382"/>
      <c r="BI23" s="382"/>
      <c r="BJ23" s="382"/>
      <c r="BK23" s="382"/>
      <c r="BL23" s="382"/>
      <c r="BM23" s="382"/>
      <c r="BN23" s="382"/>
      <c r="BO23" s="382"/>
      <c r="BP23" s="382"/>
      <c r="BQ23" s="382"/>
      <c r="BR23" s="382"/>
      <c r="BS23" s="382"/>
      <c r="BT23" s="382"/>
      <c r="BU23" s="382"/>
      <c r="BV23" s="382"/>
      <c r="BW23" s="382"/>
      <c r="BX23" s="382"/>
      <c r="BY23" s="382"/>
      <c r="BZ23" s="382"/>
      <c r="CA23" s="382"/>
      <c r="CB23" s="382"/>
      <c r="CC23" s="382"/>
      <c r="CD23" s="382"/>
      <c r="CE23" s="382"/>
      <c r="CF23" s="382"/>
      <c r="CG23" s="382"/>
      <c r="CH23" s="382"/>
      <c r="CI23" s="382"/>
      <c r="CJ23" s="382"/>
      <c r="CK23" s="382"/>
      <c r="CL23" s="382"/>
      <c r="CM23" s="382"/>
      <c r="CN23" s="382"/>
      <c r="CO23" s="382"/>
      <c r="CP23" s="382"/>
      <c r="CQ23" s="382"/>
      <c r="CR23" s="382"/>
      <c r="CS23" s="382"/>
      <c r="CT23" s="382"/>
      <c r="CU23" s="382"/>
      <c r="CV23" s="382"/>
      <c r="CW23" s="382"/>
      <c r="CX23" s="382"/>
      <c r="CY23" s="382"/>
      <c r="CZ23" s="382"/>
      <c r="DA23" s="382"/>
      <c r="DB23" s="382"/>
      <c r="DC23" s="382"/>
      <c r="DD23" s="382"/>
      <c r="DE23" s="382"/>
      <c r="DF23" s="382"/>
      <c r="DG23" s="382"/>
      <c r="DH23" s="382"/>
      <c r="DI23" s="382"/>
      <c r="DJ23" s="382"/>
      <c r="DK23" s="382"/>
      <c r="DL23" s="382"/>
      <c r="DM23" s="382"/>
      <c r="DN23" s="382"/>
      <c r="DO23" s="382"/>
      <c r="DP23" s="382"/>
      <c r="DQ23" s="382"/>
      <c r="DR23" s="382"/>
      <c r="DS23" s="382"/>
      <c r="DT23" s="382"/>
      <c r="DU23" s="382"/>
      <c r="DV23" s="382"/>
      <c r="DW23" s="382"/>
      <c r="DX23" s="382"/>
      <c r="DY23" s="382"/>
      <c r="DZ23" s="382"/>
      <c r="EA23" s="382"/>
      <c r="EB23" s="382"/>
      <c r="EC23" s="382"/>
      <c r="ED23" s="382"/>
      <c r="EE23" s="382"/>
      <c r="EF23" s="382"/>
      <c r="EG23" s="382"/>
      <c r="EH23" s="382"/>
      <c r="EI23" s="382"/>
      <c r="EJ23" s="382"/>
      <c r="EK23" s="382"/>
      <c r="EL23" s="382"/>
      <c r="EM23" s="382"/>
      <c r="EN23" s="382"/>
      <c r="EO23" s="382"/>
      <c r="EP23" s="382"/>
      <c r="EQ23" s="382"/>
      <c r="ER23" s="382"/>
      <c r="ES23" s="382"/>
      <c r="ET23" s="382"/>
      <c r="EU23" s="382"/>
      <c r="EV23" s="382"/>
      <c r="EW23" s="382"/>
      <c r="EX23" s="382"/>
      <c r="EY23" s="382"/>
      <c r="EZ23" s="382"/>
      <c r="FA23" s="382"/>
      <c r="FB23" s="382"/>
      <c r="FC23" s="382"/>
      <c r="FD23" s="382"/>
      <c r="FE23" s="382"/>
      <c r="FF23" s="382"/>
      <c r="FG23" s="382"/>
      <c r="FH23" s="382"/>
      <c r="FI23" s="382"/>
      <c r="FJ23" s="382"/>
      <c r="FK23" s="382"/>
      <c r="FL23" s="382"/>
      <c r="FM23" s="382"/>
      <c r="FN23" s="382"/>
      <c r="FO23" s="382"/>
      <c r="FP23" s="382"/>
      <c r="FQ23" s="382"/>
      <c r="FR23" s="382"/>
      <c r="FS23" s="382"/>
      <c r="FT23" s="382"/>
      <c r="FU23" s="382"/>
      <c r="FV23" s="382"/>
      <c r="FW23" s="382"/>
      <c r="FX23" s="382"/>
      <c r="FY23" s="382"/>
      <c r="FZ23" s="382"/>
      <c r="GA23" s="382"/>
      <c r="GB23" s="382"/>
      <c r="GC23" s="382"/>
      <c r="GD23" s="382"/>
      <c r="GE23" s="382"/>
      <c r="GF23" s="382"/>
      <c r="GG23" s="382"/>
      <c r="GH23" s="382"/>
      <c r="GI23" s="382"/>
      <c r="GJ23" s="382"/>
      <c r="GK23" s="382"/>
      <c r="GL23" s="382"/>
      <c r="GM23" s="382"/>
      <c r="GN23" s="382"/>
      <c r="GO23" s="382"/>
      <c r="GP23" s="382"/>
      <c r="GQ23" s="382"/>
      <c r="GR23" s="382"/>
      <c r="GS23" s="382"/>
      <c r="GT23" s="382"/>
      <c r="GU23" s="382"/>
      <c r="GV23" s="382"/>
      <c r="GW23" s="382"/>
      <c r="GX23" s="382"/>
      <c r="GY23" s="382"/>
      <c r="GZ23" s="382"/>
      <c r="HA23" s="382"/>
      <c r="HB23" s="382"/>
      <c r="HC23" s="382"/>
      <c r="HD23" s="382"/>
      <c r="HE23" s="382"/>
      <c r="HF23" s="382"/>
      <c r="HG23" s="382"/>
      <c r="HH23" s="382"/>
      <c r="HI23" s="382"/>
      <c r="HJ23" s="382"/>
      <c r="HK23" s="382"/>
      <c r="HL23" s="382"/>
      <c r="HM23" s="382"/>
      <c r="HN23" s="382"/>
      <c r="HO23" s="382"/>
      <c r="HP23" s="382"/>
      <c r="HQ23" s="382"/>
      <c r="HR23" s="382"/>
      <c r="HS23" s="382"/>
      <c r="HT23" s="382"/>
      <c r="HU23" s="382"/>
      <c r="HV23" s="382"/>
      <c r="HW23" s="382"/>
      <c r="HX23" s="382"/>
      <c r="HY23" s="382"/>
      <c r="HZ23" s="382"/>
      <c r="IA23" s="382"/>
      <c r="IB23" s="382"/>
      <c r="IC23" s="382"/>
      <c r="ID23" s="382"/>
      <c r="IE23" s="382"/>
      <c r="IF23" s="382"/>
      <c r="IG23" s="382"/>
      <c r="IH23" s="382"/>
      <c r="II23" s="382"/>
      <c r="IJ23" s="382"/>
      <c r="IK23" s="382"/>
      <c r="IL23" s="382"/>
      <c r="IM23" s="382"/>
      <c r="IN23" s="382"/>
      <c r="IO23" s="382"/>
      <c r="IP23" s="382"/>
      <c r="IQ23" s="382"/>
      <c r="IR23" s="382"/>
      <c r="IS23" s="382"/>
      <c r="IT23" s="382"/>
      <c r="IU23" s="382"/>
      <c r="IV23" s="382"/>
      <c r="IW23" s="382"/>
      <c r="IX23" s="382"/>
      <c r="IY23" s="382"/>
      <c r="IZ23" s="382"/>
      <c r="JA23" s="382"/>
      <c r="JB23" s="382"/>
      <c r="JC23" s="382"/>
      <c r="JD23" s="382"/>
      <c r="JE23" s="382"/>
      <c r="JF23" s="382"/>
      <c r="JG23" s="382"/>
      <c r="JH23" s="382"/>
      <c r="JI23" s="382"/>
      <c r="JJ23" s="382"/>
      <c r="JK23" s="382"/>
      <c r="JL23" s="382"/>
      <c r="JM23" s="382"/>
      <c r="JN23" s="382"/>
      <c r="JO23" s="382"/>
      <c r="JP23" s="382"/>
      <c r="JQ23" s="382"/>
      <c r="JR23" s="382"/>
      <c r="JS23" s="382"/>
      <c r="JT23" s="382"/>
      <c r="JU23" s="382"/>
      <c r="JV23" s="382"/>
      <c r="JW23" s="382"/>
      <c r="JX23" s="382"/>
      <c r="JY23" s="382"/>
      <c r="JZ23" s="382"/>
      <c r="KA23" s="382"/>
      <c r="KB23" s="382"/>
      <c r="KC23" s="382"/>
      <c r="KD23" s="382"/>
      <c r="KE23" s="382"/>
      <c r="KF23" s="382"/>
      <c r="KG23" s="382"/>
      <c r="KH23" s="382"/>
      <c r="KI23" s="382"/>
      <c r="KJ23" s="382"/>
      <c r="KK23" s="382"/>
      <c r="KL23" s="382"/>
      <c r="KM23" s="382"/>
      <c r="KN23" s="382"/>
      <c r="KO23" s="382"/>
      <c r="KP23" s="382"/>
      <c r="KQ23" s="382"/>
      <c r="KR23" s="382"/>
      <c r="KS23" s="382"/>
      <c r="KT23" s="382"/>
      <c r="KU23" s="382"/>
      <c r="KV23" s="382"/>
      <c r="KW23" s="382"/>
      <c r="KX23" s="382"/>
      <c r="KY23" s="382"/>
      <c r="KZ23" s="382"/>
      <c r="LA23" s="382"/>
      <c r="LB23" s="382"/>
      <c r="LC23" s="382"/>
      <c r="LD23" s="382"/>
      <c r="LE23" s="382"/>
      <c r="LF23" s="382"/>
      <c r="LG23" s="382"/>
      <c r="LH23" s="382"/>
      <c r="LI23" s="382"/>
      <c r="LJ23" s="382"/>
      <c r="LK23" s="382"/>
      <c r="LL23" s="382"/>
      <c r="LM23" s="382"/>
      <c r="LN23" s="382"/>
      <c r="LO23" s="382"/>
      <c r="LP23" s="382"/>
      <c r="LQ23" s="382"/>
      <c r="LR23" s="382"/>
      <c r="LS23" s="382"/>
      <c r="LT23" s="382"/>
      <c r="LU23" s="382"/>
      <c r="LV23" s="382"/>
      <c r="LW23" s="382"/>
      <c r="LX23" s="382"/>
      <c r="LY23" s="382"/>
      <c r="LZ23" s="382"/>
      <c r="MA23" s="382"/>
      <c r="MB23" s="382"/>
      <c r="MC23" s="382"/>
      <c r="MD23" s="382"/>
      <c r="ME23" s="382"/>
      <c r="MF23" s="382"/>
      <c r="MG23" s="382"/>
      <c r="MH23" s="382"/>
      <c r="MI23" s="382"/>
      <c r="MJ23" s="382"/>
      <c r="MK23" s="382"/>
      <c r="ML23" s="382"/>
      <c r="MM23" s="382"/>
      <c r="MN23" s="382"/>
      <c r="MO23" s="382"/>
      <c r="MP23" s="382"/>
      <c r="MQ23" s="382"/>
      <c r="MR23" s="382"/>
      <c r="MS23" s="382"/>
      <c r="MT23" s="382"/>
      <c r="MU23" s="382"/>
      <c r="MV23" s="382"/>
      <c r="MW23" s="382"/>
      <c r="MX23" s="382"/>
      <c r="MY23" s="382"/>
      <c r="MZ23" s="382"/>
      <c r="NA23" s="382"/>
      <c r="NB23" s="382"/>
      <c r="NC23" s="382"/>
      <c r="ND23" s="382"/>
      <c r="NE23" s="382"/>
      <c r="NF23" s="382"/>
      <c r="NG23" s="382"/>
      <c r="NH23" s="382"/>
      <c r="NI23" s="382"/>
      <c r="NJ23" s="388"/>
      <c r="NK23" s="34"/>
      <c r="NM23" s="379" t="str">
        <f>NM22&amp;".b"</f>
        <v>0.b</v>
      </c>
      <c r="NN23" s="376" t="str" cm="1">
        <f t="array" aca="1" ref="NN23" ca="1">IF(xcomp(INDIRECT((ADDRESS(ROW(NN22),$I$11+(MATCH(NN$11,L.DATE,0))))&amp;":"&amp;(ADDRESS(ROW(NN22),$I$11+NO$11+(MATCH(NN$11,L.DATE,0))-1))),L.ABSP)=0,"",xcomp(INDIRECT((ADDRESS(ROW(NN22),$I$11+(MATCH(NN$11,L.DATE,0))))&amp;":"&amp;(ADDRESS(ROW(NN22),$I$11+NO$11+(MATCH(NN$11,L.DATE,0))-1))),L.ABSP))</f>
        <v/>
      </c>
      <c r="NO23" s="377" t="str" cm="1">
        <f t="array" aca="1" ref="NO23" ca="1">IF(xcomp(INDIRECT((ADDRESS(ROW(NO22),$I$11+(MATCH(NN$11,L.DATE,0))))&amp;":"&amp;(ADDRESS(ROW(NO22),$I$11+NO$11+(MATCH(NN$11,L.DATE,0))-1))),L.ABS.NP)=0,"",xcomp(INDIRECT((ADDRESS(ROW(NO22),$I$11+(MATCH(NN$11,L.DATE,0))))&amp;":"&amp;(ADDRESS(ROW(NO22),$I$11+NO$11+(MATCH(NN$11,L.DATE,0))-1))),L.ABS.NP))</f>
        <v/>
      </c>
      <c r="NP23" s="376" t="str" cm="1">
        <f t="array" aca="1" ref="NP23" ca="1">IF(xcomp(INDIRECT((ADDRESS(ROW(NP22),$I$11+(MATCH(NP$11,L.DATE,0))))&amp;":"&amp;(ADDRESS(ROW(NP22),$I$11+NQ$11+(MATCH(NP$11,L.DATE,0))-1))),L.ABSP)=0,"",xcomp(INDIRECT((ADDRESS(ROW(NP22),$I$11+(MATCH(NP$11,L.DATE,0))))&amp;":"&amp;(ADDRESS(ROW(NP22),$I$11+NQ$11+(MATCH(NP$11,L.DATE,0))-1))),L.ABSP))</f>
        <v/>
      </c>
      <c r="NQ23" s="377" t="str" cm="1">
        <f t="array" aca="1" ref="NQ23" ca="1">IF(xcomp(INDIRECT((ADDRESS(ROW(NQ22),$I$11+(MATCH(NP$11,L.DATE,0))))&amp;":"&amp;(ADDRESS(ROW(NQ22),$I$11+NQ$11+(MATCH(NP$11,L.DATE,0))-1))),L.ABS.NP)=0,"",xcomp(INDIRECT((ADDRESS(ROW(NQ22),$I$11+(MATCH(NP$11,L.DATE,0))))&amp;":"&amp;(ADDRESS(ROW(NQ22),$I$11+NQ$11+(MATCH(NP$11,L.DATE,0))-1))),L.ABS.NP))</f>
        <v/>
      </c>
      <c r="NR23" s="376" t="str" cm="1">
        <f t="array" aca="1" ref="NR23" ca="1">IF(xcomp(INDIRECT((ADDRESS(ROW(NR22),$I$11+(MATCH(NR$11,L.DATE,0))))&amp;":"&amp;(ADDRESS(ROW(NR22),$I$11+NS$11+(MATCH(NR$11,L.DATE,0))-1))),L.ABSP)=0,"",xcomp(INDIRECT((ADDRESS(ROW(NR22),$I$11+(MATCH(NR$11,L.DATE,0))))&amp;":"&amp;(ADDRESS(ROW(NR22),$I$11+NS$11+(MATCH(NR$11,L.DATE,0))-1))),L.ABSP))</f>
        <v/>
      </c>
      <c r="NS23" s="377" t="str" cm="1">
        <f t="array" aca="1" ref="NS23" ca="1">IF(xcomp(INDIRECT((ADDRESS(ROW(NS22),$I$11+(MATCH(NR$11,L.DATE,0))))&amp;":"&amp;(ADDRESS(ROW(NS22),$I$11+NS$11+(MATCH(NR$11,L.DATE,0))-1))),L.ABS.NP)=0,"",xcomp(INDIRECT((ADDRESS(ROW(NS22),$I$11+(MATCH(NR$11,L.DATE,0))))&amp;":"&amp;(ADDRESS(ROW(NS22),$I$11+NS$11+(MATCH(NR$11,L.DATE,0))-1))),L.ABS.NP))</f>
        <v/>
      </c>
      <c r="NT23" s="376" t="str" cm="1">
        <f t="array" aca="1" ref="NT23" ca="1">IF(xcomp(INDIRECT((ADDRESS(ROW(NT22),$I$11+(MATCH(NT$11,L.DATE,0))))&amp;":"&amp;(ADDRESS(ROW(NT22),$I$11+NU$11+(MATCH(NT$11,L.DATE,0))-1))),L.ABSP)=0,"",xcomp(INDIRECT((ADDRESS(ROW(NT22),$I$11+(MATCH(NT$11,L.DATE,0))))&amp;":"&amp;(ADDRESS(ROW(NT22),$I$11+NU$11+(MATCH(NT$11,L.DATE,0))-1))),L.ABSP))</f>
        <v/>
      </c>
      <c r="NU23" s="377" t="str" cm="1">
        <f t="array" aca="1" ref="NU23" ca="1">IF(xcomp(INDIRECT((ADDRESS(ROW(NU22),$I$11+(MATCH(NT$11,L.DATE,0))))&amp;":"&amp;(ADDRESS(ROW(NU22),$I$11+NU$11+(MATCH(NT$11,L.DATE,0))-1))),L.ABS.NP)=0,"",xcomp(INDIRECT((ADDRESS(ROW(NU22),$I$11+(MATCH(NT$11,L.DATE,0))))&amp;":"&amp;(ADDRESS(ROW(NU22),$I$11+NU$11+(MATCH(NT$11,L.DATE,0))-1))),L.ABS.NP))</f>
        <v/>
      </c>
      <c r="NV23" s="376" t="str" cm="1">
        <f t="array" aca="1" ref="NV23" ca="1">IF(xcomp(INDIRECT((ADDRESS(ROW(NV22),$I$11+(MATCH(NV$11,L.DATE,0))))&amp;":"&amp;(ADDRESS(ROW(NV22),$I$11+NW$11+(MATCH(NV$11,L.DATE,0))-1))),L.ABSP)=0,"",xcomp(INDIRECT((ADDRESS(ROW(NV22),$I$11+(MATCH(NV$11,L.DATE,0))))&amp;":"&amp;(ADDRESS(ROW(NV22),$I$11+NW$11+(MATCH(NV$11,L.DATE,0))-1))),L.ABSP))</f>
        <v/>
      </c>
      <c r="NW23" s="377" t="str" cm="1">
        <f t="array" aca="1" ref="NW23" ca="1">IF(xcomp(INDIRECT((ADDRESS(ROW(NW22),$I$11+(MATCH(NV$11,L.DATE,0))))&amp;":"&amp;(ADDRESS(ROW(NW22),$I$11+NW$11+(MATCH(NV$11,L.DATE,0))-1))),L.ABS.NP)=0,"",xcomp(INDIRECT((ADDRESS(ROW(NW22),$I$11+(MATCH(NV$11,L.DATE,0))))&amp;":"&amp;(ADDRESS(ROW(NW22),$I$11+NW$11+(MATCH(NV$11,L.DATE,0))-1))),L.ABS.NP))</f>
        <v/>
      </c>
      <c r="NX23" s="376" t="str" cm="1">
        <f t="array" aca="1" ref="NX23" ca="1">IF(xcomp(INDIRECT((ADDRESS(ROW(NX22),$I$11+(MATCH(NX$11,L.DATE,0))))&amp;":"&amp;(ADDRESS(ROW(NX22),$I$11+NY$11+(MATCH(NX$11,L.DATE,0))-1))),L.ABSP)=0,"",xcomp(INDIRECT((ADDRESS(ROW(NX22),$I$11+(MATCH(NX$11,L.DATE,0))))&amp;":"&amp;(ADDRESS(ROW(NX22),$I$11+NY$11+(MATCH(NX$11,L.DATE,0))-1))),L.ABSP))</f>
        <v/>
      </c>
      <c r="NY23" s="377" t="str" cm="1">
        <f t="array" aca="1" ref="NY23" ca="1">IF(xcomp(INDIRECT((ADDRESS(ROW(NY22),$I$11+(MATCH(NX$11,L.DATE,0))))&amp;":"&amp;(ADDRESS(ROW(NY22),$I$11+NY$11+(MATCH(NX$11,L.DATE,0))-1))),L.ABS.NP)=0,"",xcomp(INDIRECT((ADDRESS(ROW(NY22),$I$11+(MATCH(NX$11,L.DATE,0))))&amp;":"&amp;(ADDRESS(ROW(NY22),$I$11+NY$11+(MATCH(NX$11,L.DATE,0))-1))),L.ABS.NP))</f>
        <v/>
      </c>
      <c r="NZ23" s="376" t="str" cm="1">
        <f t="array" aca="1" ref="NZ23" ca="1">IF(xcomp(INDIRECT((ADDRESS(ROW(NZ22),$I$11+(MATCH(NZ$11,L.DATE,0))))&amp;":"&amp;(ADDRESS(ROW(NZ22),$I$11+OA$11+(MATCH(NZ$11,L.DATE,0))-1))),L.ABSP)=0,"",xcomp(INDIRECT((ADDRESS(ROW(NZ22),$I$11+(MATCH(NZ$11,L.DATE,0))))&amp;":"&amp;(ADDRESS(ROW(NZ22),$I$11+OA$11+(MATCH(NZ$11,L.DATE,0))-1))),L.ABSP))</f>
        <v/>
      </c>
      <c r="OA23" s="377" t="str" cm="1">
        <f t="array" aca="1" ref="OA23" ca="1">IF(xcomp(INDIRECT((ADDRESS(ROW(OA22),$I$11+(MATCH(NZ$11,L.DATE,0))))&amp;":"&amp;(ADDRESS(ROW(OA22),$I$11+OA$11+(MATCH(NZ$11,L.DATE,0))-1))),L.ABS.NP)=0,"",xcomp(INDIRECT((ADDRESS(ROW(OA22),$I$11+(MATCH(NZ$11,L.DATE,0))))&amp;":"&amp;(ADDRESS(ROW(OA22),$I$11+OA$11+(MATCH(NZ$11,L.DATE,0))-1))),L.ABS.NP))</f>
        <v/>
      </c>
      <c r="OB23" s="376" t="str" cm="1">
        <f t="array" aca="1" ref="OB23" ca="1">IF(xcomp(INDIRECT((ADDRESS(ROW(OB22),$I$11+(MATCH(OB$11,L.DATE,0))))&amp;":"&amp;(ADDRESS(ROW(OB22),$I$11+OC$11+(MATCH(OB$11,L.DATE,0))-1))),L.ABSP)=0,"",xcomp(INDIRECT((ADDRESS(ROW(OB22),$I$11+(MATCH(OB$11,L.DATE,0))))&amp;":"&amp;(ADDRESS(ROW(OB22),$I$11+OC$11+(MATCH(OB$11,L.DATE,0))-1))),L.ABSP))</f>
        <v/>
      </c>
      <c r="OC23" s="377" t="str" cm="1">
        <f t="array" aca="1" ref="OC23" ca="1">IF(xcomp(INDIRECT((ADDRESS(ROW(OC22),$I$11+(MATCH(OB$11,L.DATE,0))))&amp;":"&amp;(ADDRESS(ROW(OC22),$I$11+OC$11+(MATCH(OB$11,L.DATE,0))-1))),L.ABS.NP)=0,"",xcomp(INDIRECT((ADDRESS(ROW(OC22),$I$11+(MATCH(OB$11,L.DATE,0))))&amp;":"&amp;(ADDRESS(ROW(OC22),$I$11+OC$11+(MATCH(OB$11,L.DATE,0))-1))),L.ABS.NP))</f>
        <v/>
      </c>
      <c r="OD23" s="376" t="str" cm="1">
        <f t="array" aca="1" ref="OD23" ca="1">IF(xcomp(INDIRECT((ADDRESS(ROW(OD22),$I$11+(MATCH(OD$11,L.DATE,0))))&amp;":"&amp;(ADDRESS(ROW(OD22),$I$11+OE$11+(MATCH(OD$11,L.DATE,0))-1))),L.ABSP)=0,"",xcomp(INDIRECT((ADDRESS(ROW(OD22),$I$11+(MATCH(OD$11,L.DATE,0))))&amp;":"&amp;(ADDRESS(ROW(OD22),$I$11+OE$11+(MATCH(OD$11,L.DATE,0))-1))),L.ABSP))</f>
        <v/>
      </c>
      <c r="OE23" s="377" t="str" cm="1">
        <f t="array" aca="1" ref="OE23" ca="1">IF(xcomp(INDIRECT((ADDRESS(ROW(OE22),$I$11+(MATCH(OD$11,L.DATE,0))))&amp;":"&amp;(ADDRESS(ROW(OE22),$I$11+OE$11+(MATCH(OD$11,L.DATE,0))-1))),L.ABS.NP)=0,"",xcomp(INDIRECT((ADDRESS(ROW(OE22),$I$11+(MATCH(OD$11,L.DATE,0))))&amp;":"&amp;(ADDRESS(ROW(OE22),$I$11+OE$11+(MATCH(OD$11,L.DATE,0))-1))),L.ABS.NP))</f>
        <v/>
      </c>
      <c r="OF23" s="376" t="str" cm="1">
        <f t="array" aca="1" ref="OF23" ca="1">IF(xcomp(INDIRECT((ADDRESS(ROW(OF22),$I$11+(MATCH(OF$11,L.DATE,0))))&amp;":"&amp;(ADDRESS(ROW(OF22),$I$11+OG$11+(MATCH(OF$11,L.DATE,0))-1))),L.ABSP)=0,"",xcomp(INDIRECT((ADDRESS(ROW(OF22),$I$11+(MATCH(OF$11,L.DATE,0))))&amp;":"&amp;(ADDRESS(ROW(OF22),$I$11+OG$11+(MATCH(OF$11,L.DATE,0))-1))),L.ABSP))</f>
        <v/>
      </c>
      <c r="OG23" s="377" t="str" cm="1">
        <f t="array" aca="1" ref="OG23" ca="1">IF(xcomp(INDIRECT((ADDRESS(ROW(OG22),$I$11+(MATCH(OF$11,L.DATE,0))))&amp;":"&amp;(ADDRESS(ROW(OG22),$I$11+OG$11+(MATCH(OF$11,L.DATE,0))-1))),L.ABS.NP)=0,"",xcomp(INDIRECT((ADDRESS(ROW(OG22),$I$11+(MATCH(OF$11,L.DATE,0))))&amp;":"&amp;(ADDRESS(ROW(OG22),$I$11+OG$11+(MATCH(OF$11,L.DATE,0))-1))),L.ABS.NP))</f>
        <v/>
      </c>
      <c r="OH23" s="376" t="str" cm="1">
        <f t="array" aca="1" ref="OH23" ca="1">IF(xcomp(INDIRECT((ADDRESS(ROW(OH22),$I$11+(MATCH(OH$11,L.DATE,0))))&amp;":"&amp;(ADDRESS(ROW(OH22),$I$11+OI$11+(MATCH(OH$11,L.DATE,0))-1))),L.ABSP)=0,"",xcomp(INDIRECT((ADDRESS(ROW(OH22),$I$11+(MATCH(OH$11,L.DATE,0))))&amp;":"&amp;(ADDRESS(ROW(OH22),$I$11+OI$11+(MATCH(OH$11,L.DATE,0))-1))),L.ABSP))</f>
        <v/>
      </c>
      <c r="OI23" s="377" t="str" cm="1">
        <f t="array" aca="1" ref="OI23" ca="1">IF(xcomp(INDIRECT((ADDRESS(ROW(OI22),$I$11+(MATCH(OH$11,L.DATE,0))))&amp;":"&amp;(ADDRESS(ROW(OI22),$I$11+OI$11+(MATCH(OH$11,L.DATE,0))-1))),L.ABS.NP)=0,"",xcomp(INDIRECT((ADDRESS(ROW(OI22),$I$11+(MATCH(OH$11,L.DATE,0))))&amp;":"&amp;(ADDRESS(ROW(OI22),$I$11+OI$11+(MATCH(OH$11,L.DATE,0))-1))),L.ABS.NP))</f>
        <v/>
      </c>
      <c r="OJ23" s="376" t="str" cm="1">
        <f t="array" aca="1" ref="OJ23" ca="1">IF(xcomp(INDIRECT((ADDRESS(ROW(OJ22),$I$11+(MATCH(OJ$11,L.DATE,0))))&amp;":"&amp;(ADDRESS(ROW(OJ22),$I$11+OK$11+(MATCH(OJ$11,L.DATE,0))-1))),L.ABSP)=0,"",xcomp(INDIRECT((ADDRESS(ROW(OJ22),$I$11+(MATCH(OJ$11,L.DATE,0))))&amp;":"&amp;(ADDRESS(ROW(OJ22),$I$11+OK$11+(MATCH(OJ$11,L.DATE,0))-1))),L.ABSP))</f>
        <v/>
      </c>
      <c r="OK23" s="378" t="str" cm="1">
        <f t="array" aca="1" ref="OK23" ca="1">IF(xcomp(INDIRECT((ADDRESS(ROW(OK22),$I$11+(MATCH(OJ$11,L.DATE,0))))&amp;":"&amp;(ADDRESS(ROW(OK22),$I$11+OK$11+(MATCH(OJ$11,L.DATE,0))-1))),L.ABS.NP)=0,"",xcomp(INDIRECT((ADDRESS(ROW(OK22),$I$11+(MATCH(OJ$11,L.DATE,0))))&amp;":"&amp;(ADDRESS(ROW(OK22),$I$11+OK$11+(MATCH(OJ$11,L.DATE,0))-1))),L.ABS.NP))</f>
        <v/>
      </c>
    </row>
    <row r="24" spans="1:404" ht="12" customHeight="1" x14ac:dyDescent="0.3">
      <c r="A24" s="394">
        <v>0</v>
      </c>
      <c r="B24" s="381"/>
      <c r="C24" s="53"/>
      <c r="D24" s="392"/>
      <c r="E24" s="53"/>
      <c r="F24" s="53"/>
      <c r="G24" s="104"/>
      <c r="H24" s="108">
        <v>2</v>
      </c>
      <c r="I24" s="28"/>
      <c r="J24" s="382"/>
      <c r="K24" s="382"/>
      <c r="L24" s="382"/>
      <c r="M24" s="382"/>
      <c r="N24" s="382"/>
      <c r="O24" s="382"/>
      <c r="P24" s="382"/>
      <c r="Q24" s="382"/>
      <c r="R24" s="382"/>
      <c r="S24" s="382"/>
      <c r="T24" s="382"/>
      <c r="U24" s="382"/>
      <c r="V24" s="382"/>
      <c r="W24" s="382"/>
      <c r="X24" s="382"/>
      <c r="Y24" s="382"/>
      <c r="Z24" s="382"/>
      <c r="AA24" s="382"/>
      <c r="AB24" s="382"/>
      <c r="AC24" s="382"/>
      <c r="AD24" s="382"/>
      <c r="AE24" s="382"/>
      <c r="AF24" s="382"/>
      <c r="AG24" s="382"/>
      <c r="AH24" s="382"/>
      <c r="AI24" s="382"/>
      <c r="AJ24" s="382"/>
      <c r="AK24" s="382"/>
      <c r="AL24" s="382"/>
      <c r="AM24" s="382"/>
      <c r="AN24" s="382"/>
      <c r="AO24" s="382"/>
      <c r="AP24" s="382"/>
      <c r="AQ24" s="382"/>
      <c r="AR24" s="382"/>
      <c r="AS24" s="382"/>
      <c r="AT24" s="382"/>
      <c r="AU24" s="382"/>
      <c r="AV24" s="382"/>
      <c r="AW24" s="382"/>
      <c r="AX24" s="382"/>
      <c r="AY24" s="382"/>
      <c r="AZ24" s="382"/>
      <c r="BA24" s="382"/>
      <c r="BB24" s="382"/>
      <c r="BC24" s="382"/>
      <c r="BD24" s="382"/>
      <c r="BE24" s="382"/>
      <c r="BF24" s="382"/>
      <c r="BG24" s="382"/>
      <c r="BH24" s="382"/>
      <c r="BI24" s="382"/>
      <c r="BJ24" s="382"/>
      <c r="BK24" s="382"/>
      <c r="BL24" s="382"/>
      <c r="BM24" s="382"/>
      <c r="BN24" s="382"/>
      <c r="BO24" s="382"/>
      <c r="BP24" s="382"/>
      <c r="BQ24" s="382"/>
      <c r="BR24" s="382"/>
      <c r="BS24" s="382"/>
      <c r="BT24" s="382"/>
      <c r="BU24" s="382"/>
      <c r="BV24" s="382"/>
      <c r="BW24" s="382"/>
      <c r="BX24" s="382"/>
      <c r="BY24" s="382"/>
      <c r="BZ24" s="382"/>
      <c r="CA24" s="382"/>
      <c r="CB24" s="382"/>
      <c r="CC24" s="382"/>
      <c r="CD24" s="382"/>
      <c r="CE24" s="382"/>
      <c r="CF24" s="382"/>
      <c r="CG24" s="382"/>
      <c r="CH24" s="382"/>
      <c r="CI24" s="382"/>
      <c r="CJ24" s="382"/>
      <c r="CK24" s="382"/>
      <c r="CL24" s="382"/>
      <c r="CM24" s="382"/>
      <c r="CN24" s="382"/>
      <c r="CO24" s="382"/>
      <c r="CP24" s="382"/>
      <c r="CQ24" s="382"/>
      <c r="CR24" s="382"/>
      <c r="CS24" s="382"/>
      <c r="CT24" s="382"/>
      <c r="CU24" s="382"/>
      <c r="CV24" s="382"/>
      <c r="CW24" s="382"/>
      <c r="CX24" s="382"/>
      <c r="CY24" s="382"/>
      <c r="CZ24" s="382"/>
      <c r="DA24" s="382"/>
      <c r="DB24" s="382"/>
      <c r="DC24" s="382"/>
      <c r="DD24" s="382"/>
      <c r="DE24" s="382"/>
      <c r="DF24" s="382"/>
      <c r="DG24" s="382"/>
      <c r="DH24" s="382"/>
      <c r="DI24" s="382"/>
      <c r="DJ24" s="382"/>
      <c r="DK24" s="382"/>
      <c r="DL24" s="382"/>
      <c r="DM24" s="382"/>
      <c r="DN24" s="382"/>
      <c r="DO24" s="382"/>
      <c r="DP24" s="382"/>
      <c r="DQ24" s="382"/>
      <c r="DR24" s="382"/>
      <c r="DS24" s="382"/>
      <c r="DT24" s="382"/>
      <c r="DU24" s="382"/>
      <c r="DV24" s="382"/>
      <c r="DW24" s="382"/>
      <c r="DX24" s="382"/>
      <c r="DY24" s="382"/>
      <c r="DZ24" s="382"/>
      <c r="EA24" s="382"/>
      <c r="EB24" s="382"/>
      <c r="EC24" s="382"/>
      <c r="ED24" s="382"/>
      <c r="EE24" s="382"/>
      <c r="EF24" s="382"/>
      <c r="EG24" s="382"/>
      <c r="EH24" s="382"/>
      <c r="EI24" s="382"/>
      <c r="EJ24" s="382"/>
      <c r="EK24" s="382"/>
      <c r="EL24" s="382"/>
      <c r="EM24" s="382"/>
      <c r="EN24" s="382"/>
      <c r="EO24" s="382"/>
      <c r="EP24" s="382"/>
      <c r="EQ24" s="382"/>
      <c r="ER24" s="382"/>
      <c r="ES24" s="382"/>
      <c r="ET24" s="382"/>
      <c r="EU24" s="382"/>
      <c r="EV24" s="382"/>
      <c r="EW24" s="382"/>
      <c r="EX24" s="382"/>
      <c r="EY24" s="382"/>
      <c r="EZ24" s="382"/>
      <c r="FA24" s="382"/>
      <c r="FB24" s="382"/>
      <c r="FC24" s="382"/>
      <c r="FD24" s="382"/>
      <c r="FE24" s="382"/>
      <c r="FF24" s="382"/>
      <c r="FG24" s="382"/>
      <c r="FH24" s="382"/>
      <c r="FI24" s="382"/>
      <c r="FJ24" s="382"/>
      <c r="FK24" s="382"/>
      <c r="FL24" s="382"/>
      <c r="FM24" s="382"/>
      <c r="FN24" s="382"/>
      <c r="FO24" s="382"/>
      <c r="FP24" s="382"/>
      <c r="FQ24" s="382"/>
      <c r="FR24" s="382"/>
      <c r="FS24" s="382"/>
      <c r="FT24" s="382"/>
      <c r="FU24" s="382"/>
      <c r="FV24" s="382"/>
      <c r="FW24" s="382"/>
      <c r="FX24" s="382"/>
      <c r="FY24" s="382"/>
      <c r="FZ24" s="382"/>
      <c r="GA24" s="382"/>
      <c r="GB24" s="382"/>
      <c r="GC24" s="382"/>
      <c r="GD24" s="382"/>
      <c r="GE24" s="382"/>
      <c r="GF24" s="382"/>
      <c r="GG24" s="382"/>
      <c r="GH24" s="382"/>
      <c r="GI24" s="382"/>
      <c r="GJ24" s="382"/>
      <c r="GK24" s="382"/>
      <c r="GL24" s="382"/>
      <c r="GM24" s="382"/>
      <c r="GN24" s="382"/>
      <c r="GO24" s="382"/>
      <c r="GP24" s="382"/>
      <c r="GQ24" s="382"/>
      <c r="GR24" s="382"/>
      <c r="GS24" s="382"/>
      <c r="GT24" s="382"/>
      <c r="GU24" s="382"/>
      <c r="GV24" s="382"/>
      <c r="GW24" s="382"/>
      <c r="GX24" s="382"/>
      <c r="GY24" s="382"/>
      <c r="GZ24" s="382"/>
      <c r="HA24" s="382"/>
      <c r="HB24" s="382"/>
      <c r="HC24" s="382"/>
      <c r="HD24" s="382"/>
      <c r="HE24" s="382"/>
      <c r="HF24" s="382"/>
      <c r="HG24" s="382"/>
      <c r="HH24" s="382"/>
      <c r="HI24" s="382"/>
      <c r="HJ24" s="382"/>
      <c r="HK24" s="382"/>
      <c r="HL24" s="382"/>
      <c r="HM24" s="382"/>
      <c r="HN24" s="382"/>
      <c r="HO24" s="382"/>
      <c r="HP24" s="382"/>
      <c r="HQ24" s="382"/>
      <c r="HR24" s="382"/>
      <c r="HS24" s="382"/>
      <c r="HT24" s="382"/>
      <c r="HU24" s="382"/>
      <c r="HV24" s="382"/>
      <c r="HW24" s="382"/>
      <c r="HX24" s="382"/>
      <c r="HY24" s="382"/>
      <c r="HZ24" s="382"/>
      <c r="IA24" s="382"/>
      <c r="IB24" s="382"/>
      <c r="IC24" s="382"/>
      <c r="ID24" s="382"/>
      <c r="IE24" s="382"/>
      <c r="IF24" s="382"/>
      <c r="IG24" s="382"/>
      <c r="IH24" s="382"/>
      <c r="II24" s="382"/>
      <c r="IJ24" s="382"/>
      <c r="IK24" s="382"/>
      <c r="IL24" s="382"/>
      <c r="IM24" s="382"/>
      <c r="IN24" s="382"/>
      <c r="IO24" s="382"/>
      <c r="IP24" s="382"/>
      <c r="IQ24" s="382"/>
      <c r="IR24" s="382"/>
      <c r="IS24" s="382"/>
      <c r="IT24" s="382"/>
      <c r="IU24" s="382"/>
      <c r="IV24" s="382"/>
      <c r="IW24" s="382"/>
      <c r="IX24" s="382"/>
      <c r="IY24" s="382"/>
      <c r="IZ24" s="382"/>
      <c r="JA24" s="382"/>
      <c r="JB24" s="382"/>
      <c r="JC24" s="382"/>
      <c r="JD24" s="382"/>
      <c r="JE24" s="382"/>
      <c r="JF24" s="382"/>
      <c r="JG24" s="382"/>
      <c r="JH24" s="382"/>
      <c r="JI24" s="382"/>
      <c r="JJ24" s="382"/>
      <c r="JK24" s="382"/>
      <c r="JL24" s="382"/>
      <c r="JM24" s="382"/>
      <c r="JN24" s="382"/>
      <c r="JO24" s="382"/>
      <c r="JP24" s="382"/>
      <c r="JQ24" s="382"/>
      <c r="JR24" s="382"/>
      <c r="JS24" s="382"/>
      <c r="JT24" s="382"/>
      <c r="JU24" s="382"/>
      <c r="JV24" s="382"/>
      <c r="JW24" s="382"/>
      <c r="JX24" s="382"/>
      <c r="JY24" s="382"/>
      <c r="JZ24" s="382"/>
      <c r="KA24" s="382"/>
      <c r="KB24" s="382"/>
      <c r="KC24" s="382"/>
      <c r="KD24" s="382"/>
      <c r="KE24" s="382"/>
      <c r="KF24" s="382"/>
      <c r="KG24" s="382"/>
      <c r="KH24" s="382"/>
      <c r="KI24" s="382"/>
      <c r="KJ24" s="382"/>
      <c r="KK24" s="382"/>
      <c r="KL24" s="382"/>
      <c r="KM24" s="382"/>
      <c r="KN24" s="382"/>
      <c r="KO24" s="382"/>
      <c r="KP24" s="382"/>
      <c r="KQ24" s="382"/>
      <c r="KR24" s="382"/>
      <c r="KS24" s="382"/>
      <c r="KT24" s="382"/>
      <c r="KU24" s="382"/>
      <c r="KV24" s="382"/>
      <c r="KW24" s="382"/>
      <c r="KX24" s="382"/>
      <c r="KY24" s="382"/>
      <c r="KZ24" s="382"/>
      <c r="LA24" s="382"/>
      <c r="LB24" s="382"/>
      <c r="LC24" s="382"/>
      <c r="LD24" s="382"/>
      <c r="LE24" s="382"/>
      <c r="LF24" s="382"/>
      <c r="LG24" s="382"/>
      <c r="LH24" s="382"/>
      <c r="LI24" s="382"/>
      <c r="LJ24" s="382"/>
      <c r="LK24" s="382"/>
      <c r="LL24" s="382"/>
      <c r="LM24" s="382"/>
      <c r="LN24" s="382"/>
      <c r="LO24" s="382"/>
      <c r="LP24" s="382"/>
      <c r="LQ24" s="382"/>
      <c r="LR24" s="382"/>
      <c r="LS24" s="382"/>
      <c r="LT24" s="382"/>
      <c r="LU24" s="382"/>
      <c r="LV24" s="382"/>
      <c r="LW24" s="382"/>
      <c r="LX24" s="382"/>
      <c r="LY24" s="382"/>
      <c r="LZ24" s="382"/>
      <c r="MA24" s="382"/>
      <c r="MB24" s="382"/>
      <c r="MC24" s="382"/>
      <c r="MD24" s="382"/>
      <c r="ME24" s="382"/>
      <c r="MF24" s="382"/>
      <c r="MG24" s="382"/>
      <c r="MH24" s="382"/>
      <c r="MI24" s="382"/>
      <c r="MJ24" s="382"/>
      <c r="MK24" s="382"/>
      <c r="ML24" s="382"/>
      <c r="MM24" s="382"/>
      <c r="MN24" s="382"/>
      <c r="MO24" s="382"/>
      <c r="MP24" s="382"/>
      <c r="MQ24" s="382"/>
      <c r="MR24" s="382"/>
      <c r="MS24" s="382"/>
      <c r="MT24" s="382"/>
      <c r="MU24" s="382"/>
      <c r="MV24" s="382"/>
      <c r="MW24" s="382"/>
      <c r="MX24" s="382"/>
      <c r="MY24" s="382"/>
      <c r="MZ24" s="382"/>
      <c r="NA24" s="382"/>
      <c r="NB24" s="382"/>
      <c r="NC24" s="382"/>
      <c r="ND24" s="382"/>
      <c r="NE24" s="382"/>
      <c r="NF24" s="382"/>
      <c r="NG24" s="382"/>
      <c r="NH24" s="382"/>
      <c r="NI24" s="382"/>
      <c r="NJ24" s="388"/>
      <c r="NK24" s="34"/>
      <c r="NM24" s="159">
        <f>A24</f>
        <v>0</v>
      </c>
      <c r="NN24" s="373">
        <f ca="1">COUNTIF(INDIRECT((ADDRESS(ROW(NO25),$I$11+(MATCH(NN$11,L.DATE,0))))&amp;":"&amp;(ADDRESS(ROW(NO25),$I$11+NO$11+(MATCH(NN$11,L.DATE,0))-1))),"&gt;=0")-NO24</f>
        <v>0</v>
      </c>
      <c r="NO24" s="374">
        <f ca="1">SUM(INDIRECT((ADDRESS(ROW(NO25),$I$11+(MATCH(NN$11,L.DATE,0))))&amp;":"&amp;(ADDRESS(ROW(NO25),$I$11+NO$11+(MATCH(NN$11,L.DATE,0))-1))))</f>
        <v>0</v>
      </c>
      <c r="NP24" s="373">
        <f ca="1">COUNTIF(INDIRECT((ADDRESS(ROW(NQ25),$I$11+(MATCH(NP$11,L.DATE,0))))&amp;":"&amp;(ADDRESS(ROW(NQ25),$I$11+NQ$11+(MATCH(NP$11,L.DATE,0))-1))),"&gt;=0")-NQ24</f>
        <v>0</v>
      </c>
      <c r="NQ24" s="374">
        <f ca="1">SUM(INDIRECT((ADDRESS(ROW(NQ25),$I$11+(MATCH(NP$11,L.DATE,0))))&amp;":"&amp;(ADDRESS(ROW(NQ25),$I$11+NQ$11+(MATCH(NP$11,L.DATE,0))-1))))</f>
        <v>0</v>
      </c>
      <c r="NR24" s="373">
        <f ca="1">COUNTIF(INDIRECT((ADDRESS(ROW(NS25),$I$11+(MATCH(NR$11,L.DATE,0))))&amp;":"&amp;(ADDRESS(ROW(NS25),$I$11+NS$11+(MATCH(NR$11,L.DATE,0))-1))),"&gt;=0")-NS24</f>
        <v>0</v>
      </c>
      <c r="NS24" s="374">
        <f ca="1">SUM(INDIRECT((ADDRESS(ROW(NS25),$I$11+(MATCH(NR$11,L.DATE,0))))&amp;":"&amp;(ADDRESS(ROW(NS25),$I$11+NS$11+(MATCH(NR$11,L.DATE,0))-1))))</f>
        <v>0</v>
      </c>
      <c r="NT24" s="373">
        <f ca="1">COUNTIF(INDIRECT((ADDRESS(ROW(NU25),$I$11+(MATCH(NT$11,L.DATE,0))))&amp;":"&amp;(ADDRESS(ROW(NU25),$I$11+NU$11+(MATCH(NT$11,L.DATE,0))-1))),"&gt;=0")-NU24</f>
        <v>0</v>
      </c>
      <c r="NU24" s="374">
        <f ca="1">SUM(INDIRECT((ADDRESS(ROW(NU25),$I$11+(MATCH(NT$11,L.DATE,0))))&amp;":"&amp;(ADDRESS(ROW(NU25),$I$11+NU$11+(MATCH(NT$11,L.DATE,0))-1))))</f>
        <v>0</v>
      </c>
      <c r="NV24" s="373">
        <f ca="1">COUNTIF(INDIRECT((ADDRESS(ROW(NW25),$I$11+(MATCH(NV$11,L.DATE,0))))&amp;":"&amp;(ADDRESS(ROW(NW25),$I$11+NW$11+(MATCH(NV$11,L.DATE,0))-1))),"&gt;=0")-NW24</f>
        <v>0</v>
      </c>
      <c r="NW24" s="374">
        <f ca="1">SUM(INDIRECT((ADDRESS(ROW(NW25),$I$11+(MATCH(NV$11,L.DATE,0))))&amp;":"&amp;(ADDRESS(ROW(NW25),$I$11+NW$11+(MATCH(NV$11,L.DATE,0))-1))))</f>
        <v>0</v>
      </c>
      <c r="NX24" s="373">
        <f ca="1">COUNTIF(INDIRECT((ADDRESS(ROW(NY25),$I$11+(MATCH(NX$11,L.DATE,0))))&amp;":"&amp;(ADDRESS(ROW(NY25),$I$11+NY$11+(MATCH(NX$11,L.DATE,0))-1))),"&gt;=0")-NY24</f>
        <v>0</v>
      </c>
      <c r="NY24" s="374">
        <f ca="1">SUM(INDIRECT((ADDRESS(ROW(NY25),$I$11+(MATCH(NX$11,L.DATE,0))))&amp;":"&amp;(ADDRESS(ROW(NY25),$I$11+NY$11+(MATCH(NX$11,L.DATE,0))-1))))</f>
        <v>0</v>
      </c>
      <c r="NZ24" s="373">
        <f ca="1">COUNTIF(INDIRECT((ADDRESS(ROW(OA25),$I$11+(MATCH(NZ$11,L.DATE,0))))&amp;":"&amp;(ADDRESS(ROW(OA25),$I$11+OA$11+(MATCH(NZ$11,L.DATE,0))-1))),"&gt;=0")-OA24</f>
        <v>0</v>
      </c>
      <c r="OA24" s="374">
        <f ca="1">SUM(INDIRECT((ADDRESS(ROW(OA25),$I$11+(MATCH(NZ$11,L.DATE,0))))&amp;":"&amp;(ADDRESS(ROW(OA25),$I$11+OA$11+(MATCH(NZ$11,L.DATE,0))-1))))</f>
        <v>0</v>
      </c>
      <c r="OB24" s="373">
        <f ca="1">COUNTIF(INDIRECT((ADDRESS(ROW(OC25),$I$11+(MATCH(OB$11,L.DATE,0))))&amp;":"&amp;(ADDRESS(ROW(OC25),$I$11+OC$11+(MATCH(OB$11,L.DATE,0))-1))),"&gt;=0")-OC24</f>
        <v>0</v>
      </c>
      <c r="OC24" s="374">
        <f ca="1">SUM(INDIRECT((ADDRESS(ROW(OC25),$I$11+(MATCH(OB$11,L.DATE,0))))&amp;":"&amp;(ADDRESS(ROW(OC25),$I$11+OC$11+(MATCH(OB$11,L.DATE,0))-1))))</f>
        <v>0</v>
      </c>
      <c r="OD24" s="373">
        <f ca="1">COUNTIF(INDIRECT((ADDRESS(ROW(OE25),$I$11+(MATCH(OD$11,L.DATE,0))))&amp;":"&amp;(ADDRESS(ROW(OE25),$I$11+OE$11+(MATCH(OD$11,L.DATE,0))-1))),"&gt;=0")-OE24</f>
        <v>0</v>
      </c>
      <c r="OE24" s="374">
        <f ca="1">SUM(INDIRECT((ADDRESS(ROW(OE25),$I$11+(MATCH(OD$11,L.DATE,0))))&amp;":"&amp;(ADDRESS(ROW(OE25),$I$11+OE$11+(MATCH(OD$11,L.DATE,0))-1))))</f>
        <v>0</v>
      </c>
      <c r="OF24" s="373">
        <f ca="1">COUNTIF(INDIRECT((ADDRESS(ROW(OG25),$I$11+(MATCH(OF$11,L.DATE,0))))&amp;":"&amp;(ADDRESS(ROW(OG25),$I$11+OG$11+(MATCH(OF$11,L.DATE,0))-1))),"&gt;=0")-OG24</f>
        <v>0</v>
      </c>
      <c r="OG24" s="374">
        <f ca="1">SUM(INDIRECT((ADDRESS(ROW(OG25),$I$11+(MATCH(OF$11,L.DATE,0))))&amp;":"&amp;(ADDRESS(ROW(OG25),$I$11+OG$11+(MATCH(OF$11,L.DATE,0))-1))))</f>
        <v>0</v>
      </c>
      <c r="OH24" s="373">
        <f ca="1">COUNTIF(INDIRECT((ADDRESS(ROW(OI25),$I$11+(MATCH(OH$11,L.DATE,0))))&amp;":"&amp;(ADDRESS(ROW(OI25),$I$11+OI$11+(MATCH(OH$11,L.DATE,0))-1))),"&gt;=0")-OI24</f>
        <v>0</v>
      </c>
      <c r="OI24" s="374">
        <f ca="1">SUM(INDIRECT((ADDRESS(ROW(OI25),$I$11+(MATCH(OH$11,L.DATE,0))))&amp;":"&amp;(ADDRESS(ROW(OI25),$I$11+OI$11+(MATCH(OH$11,L.DATE,0))-1))))</f>
        <v>0</v>
      </c>
      <c r="OJ24" s="373">
        <f ca="1">COUNTIF(INDIRECT((ADDRESS(ROW(OK25),$I$11+(MATCH(OJ$11,L.DATE,0))))&amp;":"&amp;(ADDRESS(ROW(OK25),$I$11+OK$11+(MATCH(OJ$11,L.DATE,0))-1))),"&gt;=0")-OK24</f>
        <v>0</v>
      </c>
      <c r="OK24" s="375">
        <f ca="1">SUM(INDIRECT((ADDRESS(ROW(OK25),$I$11+(MATCH(OJ$11,L.DATE,0))))&amp;":"&amp;(ADDRESS(ROW(OK25),$I$11+OK$11+(MATCH(OJ$11,L.DATE,0))-1))))</f>
        <v>0</v>
      </c>
      <c r="OM24" s="39">
        <f ca="1">NN24+NP24+NR24+NT24+NV24+NX24+NZ24+OB24+OD24+OF24+OJ24+OH24</f>
        <v>0</v>
      </c>
      <c r="ON24" s="40">
        <f ca="1">NO24+NQ24+NS24+NU24+NW24+NY24+OA24+OC24+OE24+OG24+OK24+OI24</f>
        <v>0</v>
      </c>
    </row>
    <row r="25" spans="1:404" x14ac:dyDescent="0.3">
      <c r="A25" s="33"/>
      <c r="B25" s="16">
        <f t="shared" ref="B25:H25" si="25">B24</f>
        <v>0</v>
      </c>
      <c r="C25" s="16">
        <f t="shared" si="25"/>
        <v>0</v>
      </c>
      <c r="D25" s="16">
        <f t="shared" si="25"/>
        <v>0</v>
      </c>
      <c r="E25" s="16">
        <f t="shared" si="25"/>
        <v>0</v>
      </c>
      <c r="F25" s="16">
        <f t="shared" si="25"/>
        <v>0</v>
      </c>
      <c r="G25" s="105">
        <f t="shared" si="25"/>
        <v>0</v>
      </c>
      <c r="H25" s="109">
        <f t="shared" si="25"/>
        <v>2</v>
      </c>
      <c r="I25" s="28"/>
      <c r="J25" s="382"/>
      <c r="K25" s="382"/>
      <c r="L25" s="382"/>
      <c r="M25" s="382"/>
      <c r="N25" s="382"/>
      <c r="O25" s="382"/>
      <c r="P25" s="382"/>
      <c r="Q25" s="382"/>
      <c r="R25" s="382"/>
      <c r="S25" s="382"/>
      <c r="T25" s="382"/>
      <c r="U25" s="382"/>
      <c r="V25" s="382"/>
      <c r="W25" s="382"/>
      <c r="X25" s="382"/>
      <c r="Y25" s="382"/>
      <c r="Z25" s="382"/>
      <c r="AA25" s="382"/>
      <c r="AB25" s="382"/>
      <c r="AC25" s="382"/>
      <c r="AD25" s="382"/>
      <c r="AE25" s="382"/>
      <c r="AF25" s="382"/>
      <c r="AG25" s="382"/>
      <c r="AH25" s="382"/>
      <c r="AI25" s="382"/>
      <c r="AJ25" s="382"/>
      <c r="AK25" s="382"/>
      <c r="AL25" s="382"/>
      <c r="AM25" s="382"/>
      <c r="AN25" s="382"/>
      <c r="AO25" s="382"/>
      <c r="AP25" s="382"/>
      <c r="AQ25" s="382"/>
      <c r="AR25" s="382"/>
      <c r="AS25" s="382"/>
      <c r="AT25" s="382"/>
      <c r="AU25" s="382"/>
      <c r="AV25" s="382"/>
      <c r="AW25" s="382"/>
      <c r="AX25" s="382"/>
      <c r="AY25" s="382"/>
      <c r="AZ25" s="382"/>
      <c r="BA25" s="382"/>
      <c r="BB25" s="382"/>
      <c r="BC25" s="382"/>
      <c r="BD25" s="382"/>
      <c r="BE25" s="382"/>
      <c r="BF25" s="382"/>
      <c r="BG25" s="382"/>
      <c r="BH25" s="382"/>
      <c r="BI25" s="382"/>
      <c r="BJ25" s="382"/>
      <c r="BK25" s="382"/>
      <c r="BL25" s="382"/>
      <c r="BM25" s="382"/>
      <c r="BN25" s="382"/>
      <c r="BO25" s="382"/>
      <c r="BP25" s="382"/>
      <c r="BQ25" s="382"/>
      <c r="BR25" s="382"/>
      <c r="BS25" s="382"/>
      <c r="BT25" s="382"/>
      <c r="BU25" s="382"/>
      <c r="BV25" s="382"/>
      <c r="BW25" s="382"/>
      <c r="BX25" s="382"/>
      <c r="BY25" s="382"/>
      <c r="BZ25" s="382"/>
      <c r="CA25" s="382"/>
      <c r="CB25" s="382"/>
      <c r="CC25" s="382"/>
      <c r="CD25" s="382"/>
      <c r="CE25" s="382"/>
      <c r="CF25" s="382"/>
      <c r="CG25" s="382"/>
      <c r="CH25" s="382"/>
      <c r="CI25" s="382"/>
      <c r="CJ25" s="382"/>
      <c r="CK25" s="382"/>
      <c r="CL25" s="382"/>
      <c r="CM25" s="382"/>
      <c r="CN25" s="382"/>
      <c r="CO25" s="382"/>
      <c r="CP25" s="382"/>
      <c r="CQ25" s="382"/>
      <c r="CR25" s="382"/>
      <c r="CS25" s="382"/>
      <c r="CT25" s="382"/>
      <c r="CU25" s="382"/>
      <c r="CV25" s="382"/>
      <c r="CW25" s="382"/>
      <c r="CX25" s="382"/>
      <c r="CY25" s="382"/>
      <c r="CZ25" s="382"/>
      <c r="DA25" s="382"/>
      <c r="DB25" s="382"/>
      <c r="DC25" s="382"/>
      <c r="DD25" s="382"/>
      <c r="DE25" s="382"/>
      <c r="DF25" s="382"/>
      <c r="DG25" s="382"/>
      <c r="DH25" s="382"/>
      <c r="DI25" s="382"/>
      <c r="DJ25" s="382"/>
      <c r="DK25" s="382"/>
      <c r="DL25" s="382"/>
      <c r="DM25" s="382"/>
      <c r="DN25" s="382"/>
      <c r="DO25" s="382"/>
      <c r="DP25" s="382"/>
      <c r="DQ25" s="382"/>
      <c r="DR25" s="382"/>
      <c r="DS25" s="382"/>
      <c r="DT25" s="382"/>
      <c r="DU25" s="382"/>
      <c r="DV25" s="382"/>
      <c r="DW25" s="382"/>
      <c r="DX25" s="382"/>
      <c r="DY25" s="382"/>
      <c r="DZ25" s="382"/>
      <c r="EA25" s="382"/>
      <c r="EB25" s="382"/>
      <c r="EC25" s="382"/>
      <c r="ED25" s="382"/>
      <c r="EE25" s="382"/>
      <c r="EF25" s="382"/>
      <c r="EG25" s="382"/>
      <c r="EH25" s="382"/>
      <c r="EI25" s="382"/>
      <c r="EJ25" s="382"/>
      <c r="EK25" s="382"/>
      <c r="EL25" s="382"/>
      <c r="EM25" s="382"/>
      <c r="EN25" s="382"/>
      <c r="EO25" s="382"/>
      <c r="EP25" s="382"/>
      <c r="EQ25" s="382"/>
      <c r="ER25" s="382"/>
      <c r="ES25" s="382"/>
      <c r="ET25" s="382"/>
      <c r="EU25" s="382"/>
      <c r="EV25" s="382"/>
      <c r="EW25" s="382"/>
      <c r="EX25" s="382"/>
      <c r="EY25" s="382"/>
      <c r="EZ25" s="382"/>
      <c r="FA25" s="382"/>
      <c r="FB25" s="382"/>
      <c r="FC25" s="382"/>
      <c r="FD25" s="382"/>
      <c r="FE25" s="382"/>
      <c r="FF25" s="382"/>
      <c r="FG25" s="382"/>
      <c r="FH25" s="382"/>
      <c r="FI25" s="382"/>
      <c r="FJ25" s="382"/>
      <c r="FK25" s="382"/>
      <c r="FL25" s="382"/>
      <c r="FM25" s="382"/>
      <c r="FN25" s="382"/>
      <c r="FO25" s="382"/>
      <c r="FP25" s="382"/>
      <c r="FQ25" s="382"/>
      <c r="FR25" s="382"/>
      <c r="FS25" s="382"/>
      <c r="FT25" s="382"/>
      <c r="FU25" s="382"/>
      <c r="FV25" s="382"/>
      <c r="FW25" s="382"/>
      <c r="FX25" s="382"/>
      <c r="FY25" s="382"/>
      <c r="FZ25" s="382"/>
      <c r="GA25" s="382"/>
      <c r="GB25" s="382"/>
      <c r="GC25" s="382"/>
      <c r="GD25" s="382"/>
      <c r="GE25" s="382"/>
      <c r="GF25" s="382"/>
      <c r="GG25" s="382"/>
      <c r="GH25" s="382"/>
      <c r="GI25" s="382"/>
      <c r="GJ25" s="382"/>
      <c r="GK25" s="382"/>
      <c r="GL25" s="382"/>
      <c r="GM25" s="382"/>
      <c r="GN25" s="382"/>
      <c r="GO25" s="382"/>
      <c r="GP25" s="382"/>
      <c r="GQ25" s="382"/>
      <c r="GR25" s="382"/>
      <c r="GS25" s="382"/>
      <c r="GT25" s="382"/>
      <c r="GU25" s="382"/>
      <c r="GV25" s="382"/>
      <c r="GW25" s="382"/>
      <c r="GX25" s="382"/>
      <c r="GY25" s="382"/>
      <c r="GZ25" s="382"/>
      <c r="HA25" s="382"/>
      <c r="HB25" s="382"/>
      <c r="HC25" s="382"/>
      <c r="HD25" s="382"/>
      <c r="HE25" s="382"/>
      <c r="HF25" s="382"/>
      <c r="HG25" s="382"/>
      <c r="HH25" s="382"/>
      <c r="HI25" s="382"/>
      <c r="HJ25" s="382"/>
      <c r="HK25" s="382"/>
      <c r="HL25" s="382"/>
      <c r="HM25" s="382"/>
      <c r="HN25" s="382"/>
      <c r="HO25" s="382"/>
      <c r="HP25" s="382"/>
      <c r="HQ25" s="382"/>
      <c r="HR25" s="382"/>
      <c r="HS25" s="382"/>
      <c r="HT25" s="382"/>
      <c r="HU25" s="382"/>
      <c r="HV25" s="382"/>
      <c r="HW25" s="382"/>
      <c r="HX25" s="382"/>
      <c r="HY25" s="382"/>
      <c r="HZ25" s="382"/>
      <c r="IA25" s="382"/>
      <c r="IB25" s="382"/>
      <c r="IC25" s="382"/>
      <c r="ID25" s="382"/>
      <c r="IE25" s="382"/>
      <c r="IF25" s="382"/>
      <c r="IG25" s="382"/>
      <c r="IH25" s="382"/>
      <c r="II25" s="382"/>
      <c r="IJ25" s="382"/>
      <c r="IK25" s="382"/>
      <c r="IL25" s="382"/>
      <c r="IM25" s="382"/>
      <c r="IN25" s="382"/>
      <c r="IO25" s="382"/>
      <c r="IP25" s="382"/>
      <c r="IQ25" s="382"/>
      <c r="IR25" s="382"/>
      <c r="IS25" s="382"/>
      <c r="IT25" s="382"/>
      <c r="IU25" s="382"/>
      <c r="IV25" s="382"/>
      <c r="IW25" s="382"/>
      <c r="IX25" s="382"/>
      <c r="IY25" s="382"/>
      <c r="IZ25" s="382"/>
      <c r="JA25" s="382"/>
      <c r="JB25" s="382"/>
      <c r="JC25" s="382"/>
      <c r="JD25" s="382"/>
      <c r="JE25" s="382"/>
      <c r="JF25" s="382"/>
      <c r="JG25" s="382"/>
      <c r="JH25" s="382"/>
      <c r="JI25" s="382"/>
      <c r="JJ25" s="382"/>
      <c r="JK25" s="382"/>
      <c r="JL25" s="382"/>
      <c r="JM25" s="382"/>
      <c r="JN25" s="382"/>
      <c r="JO25" s="382"/>
      <c r="JP25" s="382"/>
      <c r="JQ25" s="382"/>
      <c r="JR25" s="382"/>
      <c r="JS25" s="382"/>
      <c r="JT25" s="382"/>
      <c r="JU25" s="382"/>
      <c r="JV25" s="382"/>
      <c r="JW25" s="382"/>
      <c r="JX25" s="382"/>
      <c r="JY25" s="382"/>
      <c r="JZ25" s="382"/>
      <c r="KA25" s="382"/>
      <c r="KB25" s="382"/>
      <c r="KC25" s="382"/>
      <c r="KD25" s="382"/>
      <c r="KE25" s="382"/>
      <c r="KF25" s="382"/>
      <c r="KG25" s="382"/>
      <c r="KH25" s="382"/>
      <c r="KI25" s="382"/>
      <c r="KJ25" s="382"/>
      <c r="KK25" s="382"/>
      <c r="KL25" s="382"/>
      <c r="KM25" s="382"/>
      <c r="KN25" s="382"/>
      <c r="KO25" s="382"/>
      <c r="KP25" s="382"/>
      <c r="KQ25" s="382"/>
      <c r="KR25" s="382"/>
      <c r="KS25" s="382"/>
      <c r="KT25" s="382"/>
      <c r="KU25" s="382"/>
      <c r="KV25" s="382"/>
      <c r="KW25" s="382"/>
      <c r="KX25" s="382"/>
      <c r="KY25" s="382"/>
      <c r="KZ25" s="382"/>
      <c r="LA25" s="382"/>
      <c r="LB25" s="382"/>
      <c r="LC25" s="382"/>
      <c r="LD25" s="382"/>
      <c r="LE25" s="382"/>
      <c r="LF25" s="382"/>
      <c r="LG25" s="382"/>
      <c r="LH25" s="382"/>
      <c r="LI25" s="382"/>
      <c r="LJ25" s="382"/>
      <c r="LK25" s="382"/>
      <c r="LL25" s="382"/>
      <c r="LM25" s="382"/>
      <c r="LN25" s="382"/>
      <c r="LO25" s="382"/>
      <c r="LP25" s="382"/>
      <c r="LQ25" s="382"/>
      <c r="LR25" s="382"/>
      <c r="LS25" s="382"/>
      <c r="LT25" s="382"/>
      <c r="LU25" s="382"/>
      <c r="LV25" s="382"/>
      <c r="LW25" s="382"/>
      <c r="LX25" s="382"/>
      <c r="LY25" s="382"/>
      <c r="LZ25" s="382"/>
      <c r="MA25" s="382"/>
      <c r="MB25" s="382"/>
      <c r="MC25" s="382"/>
      <c r="MD25" s="382"/>
      <c r="ME25" s="382"/>
      <c r="MF25" s="382"/>
      <c r="MG25" s="382"/>
      <c r="MH25" s="382"/>
      <c r="MI25" s="382"/>
      <c r="MJ25" s="382"/>
      <c r="MK25" s="382"/>
      <c r="ML25" s="382"/>
      <c r="MM25" s="382"/>
      <c r="MN25" s="382"/>
      <c r="MO25" s="382"/>
      <c r="MP25" s="382"/>
      <c r="MQ25" s="382"/>
      <c r="MR25" s="382"/>
      <c r="MS25" s="382"/>
      <c r="MT25" s="382"/>
      <c r="MU25" s="382"/>
      <c r="MV25" s="382"/>
      <c r="MW25" s="382"/>
      <c r="MX25" s="382"/>
      <c r="MY25" s="382"/>
      <c r="MZ25" s="382"/>
      <c r="NA25" s="382"/>
      <c r="NB25" s="382"/>
      <c r="NC25" s="382"/>
      <c r="ND25" s="382"/>
      <c r="NE25" s="382"/>
      <c r="NF25" s="382"/>
      <c r="NG25" s="382"/>
      <c r="NH25" s="382"/>
      <c r="NI25" s="382"/>
      <c r="NJ25" s="388"/>
      <c r="NK25" s="34"/>
      <c r="NM25" s="379" t="str">
        <f>NM24&amp;".b"</f>
        <v>0.b</v>
      </c>
      <c r="NN25" s="376" t="str" cm="1">
        <f t="array" aca="1" ref="NN25" ca="1">IF(xcomp(INDIRECT((ADDRESS(ROW(NN24),$I$11+(MATCH(NN$11,L.DATE,0))))&amp;":"&amp;(ADDRESS(ROW(NN24),$I$11+NO$11+(MATCH(NN$11,L.DATE,0))-1))),L.ABSP)=0,"",xcomp(INDIRECT((ADDRESS(ROW(NN24),$I$11+(MATCH(NN$11,L.DATE,0))))&amp;":"&amp;(ADDRESS(ROW(NN24),$I$11+NO$11+(MATCH(NN$11,L.DATE,0))-1))),L.ABSP))</f>
        <v/>
      </c>
      <c r="NO25" s="377" t="str" cm="1">
        <f t="array" aca="1" ref="NO25" ca="1">IF(xcomp(INDIRECT((ADDRESS(ROW(NO24),$I$11+(MATCH(NN$11,L.DATE,0))))&amp;":"&amp;(ADDRESS(ROW(NO24),$I$11+NO$11+(MATCH(NN$11,L.DATE,0))-1))),L.ABS.NP)=0,"",xcomp(INDIRECT((ADDRESS(ROW(NO24),$I$11+(MATCH(NN$11,L.DATE,0))))&amp;":"&amp;(ADDRESS(ROW(NO24),$I$11+NO$11+(MATCH(NN$11,L.DATE,0))-1))),L.ABS.NP))</f>
        <v/>
      </c>
      <c r="NP25" s="376" t="str" cm="1">
        <f t="array" aca="1" ref="NP25" ca="1">IF(xcomp(INDIRECT((ADDRESS(ROW(NP24),$I$11+(MATCH(NP$11,L.DATE,0))))&amp;":"&amp;(ADDRESS(ROW(NP24),$I$11+NQ$11+(MATCH(NP$11,L.DATE,0))-1))),L.ABSP)=0,"",xcomp(INDIRECT((ADDRESS(ROW(NP24),$I$11+(MATCH(NP$11,L.DATE,0))))&amp;":"&amp;(ADDRESS(ROW(NP24),$I$11+NQ$11+(MATCH(NP$11,L.DATE,0))-1))),L.ABSP))</f>
        <v/>
      </c>
      <c r="NQ25" s="377" t="str" cm="1">
        <f t="array" aca="1" ref="NQ25" ca="1">IF(xcomp(INDIRECT((ADDRESS(ROW(NQ24),$I$11+(MATCH(NP$11,L.DATE,0))))&amp;":"&amp;(ADDRESS(ROW(NQ24),$I$11+NQ$11+(MATCH(NP$11,L.DATE,0))-1))),L.ABS.NP)=0,"",xcomp(INDIRECT((ADDRESS(ROW(NQ24),$I$11+(MATCH(NP$11,L.DATE,0))))&amp;":"&amp;(ADDRESS(ROW(NQ24),$I$11+NQ$11+(MATCH(NP$11,L.DATE,0))-1))),L.ABS.NP))</f>
        <v/>
      </c>
      <c r="NR25" s="376" t="str" cm="1">
        <f t="array" aca="1" ref="NR25" ca="1">IF(xcomp(INDIRECT((ADDRESS(ROW(NR24),$I$11+(MATCH(NR$11,L.DATE,0))))&amp;":"&amp;(ADDRESS(ROW(NR24),$I$11+NS$11+(MATCH(NR$11,L.DATE,0))-1))),L.ABSP)=0,"",xcomp(INDIRECT((ADDRESS(ROW(NR24),$I$11+(MATCH(NR$11,L.DATE,0))))&amp;":"&amp;(ADDRESS(ROW(NR24),$I$11+NS$11+(MATCH(NR$11,L.DATE,0))-1))),L.ABSP))</f>
        <v/>
      </c>
      <c r="NS25" s="377" t="str" cm="1">
        <f t="array" aca="1" ref="NS25" ca="1">IF(xcomp(INDIRECT((ADDRESS(ROW(NS24),$I$11+(MATCH(NR$11,L.DATE,0))))&amp;":"&amp;(ADDRESS(ROW(NS24),$I$11+NS$11+(MATCH(NR$11,L.DATE,0))-1))),L.ABS.NP)=0,"",xcomp(INDIRECT((ADDRESS(ROW(NS24),$I$11+(MATCH(NR$11,L.DATE,0))))&amp;":"&amp;(ADDRESS(ROW(NS24),$I$11+NS$11+(MATCH(NR$11,L.DATE,0))-1))),L.ABS.NP))</f>
        <v/>
      </c>
      <c r="NT25" s="376" t="str" cm="1">
        <f t="array" aca="1" ref="NT25" ca="1">IF(xcomp(INDIRECT((ADDRESS(ROW(NT24),$I$11+(MATCH(NT$11,L.DATE,0))))&amp;":"&amp;(ADDRESS(ROW(NT24),$I$11+NU$11+(MATCH(NT$11,L.DATE,0))-1))),L.ABSP)=0,"",xcomp(INDIRECT((ADDRESS(ROW(NT24),$I$11+(MATCH(NT$11,L.DATE,0))))&amp;":"&amp;(ADDRESS(ROW(NT24),$I$11+NU$11+(MATCH(NT$11,L.DATE,0))-1))),L.ABSP))</f>
        <v/>
      </c>
      <c r="NU25" s="377" t="str" cm="1">
        <f t="array" aca="1" ref="NU25" ca="1">IF(xcomp(INDIRECT((ADDRESS(ROW(NU24),$I$11+(MATCH(NT$11,L.DATE,0))))&amp;":"&amp;(ADDRESS(ROW(NU24),$I$11+NU$11+(MATCH(NT$11,L.DATE,0))-1))),L.ABS.NP)=0,"",xcomp(INDIRECT((ADDRESS(ROW(NU24),$I$11+(MATCH(NT$11,L.DATE,0))))&amp;":"&amp;(ADDRESS(ROW(NU24),$I$11+NU$11+(MATCH(NT$11,L.DATE,0))-1))),L.ABS.NP))</f>
        <v/>
      </c>
      <c r="NV25" s="376" t="str" cm="1">
        <f t="array" aca="1" ref="NV25" ca="1">IF(xcomp(INDIRECT((ADDRESS(ROW(NV24),$I$11+(MATCH(NV$11,L.DATE,0))))&amp;":"&amp;(ADDRESS(ROW(NV24),$I$11+NW$11+(MATCH(NV$11,L.DATE,0))-1))),L.ABSP)=0,"",xcomp(INDIRECT((ADDRESS(ROW(NV24),$I$11+(MATCH(NV$11,L.DATE,0))))&amp;":"&amp;(ADDRESS(ROW(NV24),$I$11+NW$11+(MATCH(NV$11,L.DATE,0))-1))),L.ABSP))</f>
        <v/>
      </c>
      <c r="NW25" s="377" t="str" cm="1">
        <f t="array" aca="1" ref="NW25" ca="1">IF(xcomp(INDIRECT((ADDRESS(ROW(NW24),$I$11+(MATCH(NV$11,L.DATE,0))))&amp;":"&amp;(ADDRESS(ROW(NW24),$I$11+NW$11+(MATCH(NV$11,L.DATE,0))-1))),L.ABS.NP)=0,"",xcomp(INDIRECT((ADDRESS(ROW(NW24),$I$11+(MATCH(NV$11,L.DATE,0))))&amp;":"&amp;(ADDRESS(ROW(NW24),$I$11+NW$11+(MATCH(NV$11,L.DATE,0))-1))),L.ABS.NP))</f>
        <v/>
      </c>
      <c r="NX25" s="376" t="str" cm="1">
        <f t="array" aca="1" ref="NX25" ca="1">IF(xcomp(INDIRECT((ADDRESS(ROW(NX24),$I$11+(MATCH(NX$11,L.DATE,0))))&amp;":"&amp;(ADDRESS(ROW(NX24),$I$11+NY$11+(MATCH(NX$11,L.DATE,0))-1))),L.ABSP)=0,"",xcomp(INDIRECT((ADDRESS(ROW(NX24),$I$11+(MATCH(NX$11,L.DATE,0))))&amp;":"&amp;(ADDRESS(ROW(NX24),$I$11+NY$11+(MATCH(NX$11,L.DATE,0))-1))),L.ABSP))</f>
        <v/>
      </c>
      <c r="NY25" s="377" t="str" cm="1">
        <f t="array" aca="1" ref="NY25" ca="1">IF(xcomp(INDIRECT((ADDRESS(ROW(NY24),$I$11+(MATCH(NX$11,L.DATE,0))))&amp;":"&amp;(ADDRESS(ROW(NY24),$I$11+NY$11+(MATCH(NX$11,L.DATE,0))-1))),L.ABS.NP)=0,"",xcomp(INDIRECT((ADDRESS(ROW(NY24),$I$11+(MATCH(NX$11,L.DATE,0))))&amp;":"&amp;(ADDRESS(ROW(NY24),$I$11+NY$11+(MATCH(NX$11,L.DATE,0))-1))),L.ABS.NP))</f>
        <v/>
      </c>
      <c r="NZ25" s="376" t="str" cm="1">
        <f t="array" aca="1" ref="NZ25" ca="1">IF(xcomp(INDIRECT((ADDRESS(ROW(NZ24),$I$11+(MATCH(NZ$11,L.DATE,0))))&amp;":"&amp;(ADDRESS(ROW(NZ24),$I$11+OA$11+(MATCH(NZ$11,L.DATE,0))-1))),L.ABSP)=0,"",xcomp(INDIRECT((ADDRESS(ROW(NZ24),$I$11+(MATCH(NZ$11,L.DATE,0))))&amp;":"&amp;(ADDRESS(ROW(NZ24),$I$11+OA$11+(MATCH(NZ$11,L.DATE,0))-1))),L.ABSP))</f>
        <v/>
      </c>
      <c r="OA25" s="377" t="str" cm="1">
        <f t="array" aca="1" ref="OA25" ca="1">IF(xcomp(INDIRECT((ADDRESS(ROW(OA24),$I$11+(MATCH(NZ$11,L.DATE,0))))&amp;":"&amp;(ADDRESS(ROW(OA24),$I$11+OA$11+(MATCH(NZ$11,L.DATE,0))-1))),L.ABS.NP)=0,"",xcomp(INDIRECT((ADDRESS(ROW(OA24),$I$11+(MATCH(NZ$11,L.DATE,0))))&amp;":"&amp;(ADDRESS(ROW(OA24),$I$11+OA$11+(MATCH(NZ$11,L.DATE,0))-1))),L.ABS.NP))</f>
        <v/>
      </c>
      <c r="OB25" s="376" t="str" cm="1">
        <f t="array" aca="1" ref="OB25" ca="1">IF(xcomp(INDIRECT((ADDRESS(ROW(OB24),$I$11+(MATCH(OB$11,L.DATE,0))))&amp;":"&amp;(ADDRESS(ROW(OB24),$I$11+OC$11+(MATCH(OB$11,L.DATE,0))-1))),L.ABSP)=0,"",xcomp(INDIRECT((ADDRESS(ROW(OB24),$I$11+(MATCH(OB$11,L.DATE,0))))&amp;":"&amp;(ADDRESS(ROW(OB24),$I$11+OC$11+(MATCH(OB$11,L.DATE,0))-1))),L.ABSP))</f>
        <v/>
      </c>
      <c r="OC25" s="377" t="str" cm="1">
        <f t="array" aca="1" ref="OC25" ca="1">IF(xcomp(INDIRECT((ADDRESS(ROW(OC24),$I$11+(MATCH(OB$11,L.DATE,0))))&amp;":"&amp;(ADDRESS(ROW(OC24),$I$11+OC$11+(MATCH(OB$11,L.DATE,0))-1))),L.ABS.NP)=0,"",xcomp(INDIRECT((ADDRESS(ROW(OC24),$I$11+(MATCH(OB$11,L.DATE,0))))&amp;":"&amp;(ADDRESS(ROW(OC24),$I$11+OC$11+(MATCH(OB$11,L.DATE,0))-1))),L.ABS.NP))</f>
        <v/>
      </c>
      <c r="OD25" s="376" t="str" cm="1">
        <f t="array" aca="1" ref="OD25" ca="1">IF(xcomp(INDIRECT((ADDRESS(ROW(OD24),$I$11+(MATCH(OD$11,L.DATE,0))))&amp;":"&amp;(ADDRESS(ROW(OD24),$I$11+OE$11+(MATCH(OD$11,L.DATE,0))-1))),L.ABSP)=0,"",xcomp(INDIRECT((ADDRESS(ROW(OD24),$I$11+(MATCH(OD$11,L.DATE,0))))&amp;":"&amp;(ADDRESS(ROW(OD24),$I$11+OE$11+(MATCH(OD$11,L.DATE,0))-1))),L.ABSP))</f>
        <v/>
      </c>
      <c r="OE25" s="377" t="str" cm="1">
        <f t="array" aca="1" ref="OE25" ca="1">IF(xcomp(INDIRECT((ADDRESS(ROW(OE24),$I$11+(MATCH(OD$11,L.DATE,0))))&amp;":"&amp;(ADDRESS(ROW(OE24),$I$11+OE$11+(MATCH(OD$11,L.DATE,0))-1))),L.ABS.NP)=0,"",xcomp(INDIRECT((ADDRESS(ROW(OE24),$I$11+(MATCH(OD$11,L.DATE,0))))&amp;":"&amp;(ADDRESS(ROW(OE24),$I$11+OE$11+(MATCH(OD$11,L.DATE,0))-1))),L.ABS.NP))</f>
        <v/>
      </c>
      <c r="OF25" s="376" t="str" cm="1">
        <f t="array" aca="1" ref="OF25" ca="1">IF(xcomp(INDIRECT((ADDRESS(ROW(OF24),$I$11+(MATCH(OF$11,L.DATE,0))))&amp;":"&amp;(ADDRESS(ROW(OF24),$I$11+OG$11+(MATCH(OF$11,L.DATE,0))-1))),L.ABSP)=0,"",xcomp(INDIRECT((ADDRESS(ROW(OF24),$I$11+(MATCH(OF$11,L.DATE,0))))&amp;":"&amp;(ADDRESS(ROW(OF24),$I$11+OG$11+(MATCH(OF$11,L.DATE,0))-1))),L.ABSP))</f>
        <v/>
      </c>
      <c r="OG25" s="377" t="str" cm="1">
        <f t="array" aca="1" ref="OG25" ca="1">IF(xcomp(INDIRECT((ADDRESS(ROW(OG24),$I$11+(MATCH(OF$11,L.DATE,0))))&amp;":"&amp;(ADDRESS(ROW(OG24),$I$11+OG$11+(MATCH(OF$11,L.DATE,0))-1))),L.ABS.NP)=0,"",xcomp(INDIRECT((ADDRESS(ROW(OG24),$I$11+(MATCH(OF$11,L.DATE,0))))&amp;":"&amp;(ADDRESS(ROW(OG24),$I$11+OG$11+(MATCH(OF$11,L.DATE,0))-1))),L.ABS.NP))</f>
        <v/>
      </c>
      <c r="OH25" s="376" t="str" cm="1">
        <f t="array" aca="1" ref="OH25" ca="1">IF(xcomp(INDIRECT((ADDRESS(ROW(OH24),$I$11+(MATCH(OH$11,L.DATE,0))))&amp;":"&amp;(ADDRESS(ROW(OH24),$I$11+OI$11+(MATCH(OH$11,L.DATE,0))-1))),L.ABSP)=0,"",xcomp(INDIRECT((ADDRESS(ROW(OH24),$I$11+(MATCH(OH$11,L.DATE,0))))&amp;":"&amp;(ADDRESS(ROW(OH24),$I$11+OI$11+(MATCH(OH$11,L.DATE,0))-1))),L.ABSP))</f>
        <v/>
      </c>
      <c r="OI25" s="377" t="str" cm="1">
        <f t="array" aca="1" ref="OI25" ca="1">IF(xcomp(INDIRECT((ADDRESS(ROW(OI24),$I$11+(MATCH(OH$11,L.DATE,0))))&amp;":"&amp;(ADDRESS(ROW(OI24),$I$11+OI$11+(MATCH(OH$11,L.DATE,0))-1))),L.ABS.NP)=0,"",xcomp(INDIRECT((ADDRESS(ROW(OI24),$I$11+(MATCH(OH$11,L.DATE,0))))&amp;":"&amp;(ADDRESS(ROW(OI24),$I$11+OI$11+(MATCH(OH$11,L.DATE,0))-1))),L.ABS.NP))</f>
        <v/>
      </c>
      <c r="OJ25" s="376" t="str" cm="1">
        <f t="array" aca="1" ref="OJ25" ca="1">IF(xcomp(INDIRECT((ADDRESS(ROW(OJ24),$I$11+(MATCH(OJ$11,L.DATE,0))))&amp;":"&amp;(ADDRESS(ROW(OJ24),$I$11+OK$11+(MATCH(OJ$11,L.DATE,0))-1))),L.ABSP)=0,"",xcomp(INDIRECT((ADDRESS(ROW(OJ24),$I$11+(MATCH(OJ$11,L.DATE,0))))&amp;":"&amp;(ADDRESS(ROW(OJ24),$I$11+OK$11+(MATCH(OJ$11,L.DATE,0))-1))),L.ABSP))</f>
        <v/>
      </c>
      <c r="OK25" s="378" t="str" cm="1">
        <f t="array" aca="1" ref="OK25" ca="1">IF(xcomp(INDIRECT((ADDRESS(ROW(OK24),$I$11+(MATCH(OJ$11,L.DATE,0))))&amp;":"&amp;(ADDRESS(ROW(OK24),$I$11+OK$11+(MATCH(OJ$11,L.DATE,0))-1))),L.ABS.NP)=0,"",xcomp(INDIRECT((ADDRESS(ROW(OK24),$I$11+(MATCH(OJ$11,L.DATE,0))))&amp;":"&amp;(ADDRESS(ROW(OK24),$I$11+OK$11+(MATCH(OJ$11,L.DATE,0))-1))),L.ABS.NP))</f>
        <v/>
      </c>
    </row>
    <row r="26" spans="1:404" ht="12" customHeight="1" x14ac:dyDescent="0.3">
      <c r="A26" s="394">
        <v>0</v>
      </c>
      <c r="B26" s="381"/>
      <c r="C26" s="53"/>
      <c r="D26" s="392"/>
      <c r="E26" s="53"/>
      <c r="F26" s="53"/>
      <c r="G26" s="104"/>
      <c r="H26" s="108">
        <v>2</v>
      </c>
      <c r="I26" s="28"/>
      <c r="J26" s="382"/>
      <c r="K26" s="382"/>
      <c r="L26" s="382"/>
      <c r="M26" s="382"/>
      <c r="N26" s="382"/>
      <c r="O26" s="382"/>
      <c r="P26" s="382"/>
      <c r="Q26" s="382"/>
      <c r="R26" s="382"/>
      <c r="S26" s="382"/>
      <c r="T26" s="382"/>
      <c r="U26" s="382"/>
      <c r="V26" s="382"/>
      <c r="W26" s="382"/>
      <c r="X26" s="382"/>
      <c r="Y26" s="382"/>
      <c r="Z26" s="382"/>
      <c r="AA26" s="382"/>
      <c r="AB26" s="382"/>
      <c r="AC26" s="382"/>
      <c r="AD26" s="382"/>
      <c r="AE26" s="382"/>
      <c r="AF26" s="382"/>
      <c r="AG26" s="382"/>
      <c r="AH26" s="382"/>
      <c r="AI26" s="382"/>
      <c r="AJ26" s="382"/>
      <c r="AK26" s="382"/>
      <c r="AL26" s="382"/>
      <c r="AM26" s="382"/>
      <c r="AN26" s="382"/>
      <c r="AO26" s="382"/>
      <c r="AP26" s="382"/>
      <c r="AQ26" s="382"/>
      <c r="AR26" s="382"/>
      <c r="AS26" s="382"/>
      <c r="AT26" s="382"/>
      <c r="AU26" s="382"/>
      <c r="AV26" s="382"/>
      <c r="AW26" s="382"/>
      <c r="AX26" s="382"/>
      <c r="AY26" s="382"/>
      <c r="AZ26" s="382"/>
      <c r="BA26" s="382"/>
      <c r="BB26" s="382"/>
      <c r="BC26" s="382"/>
      <c r="BD26" s="382"/>
      <c r="BE26" s="382"/>
      <c r="BF26" s="382"/>
      <c r="BG26" s="382"/>
      <c r="BH26" s="382"/>
      <c r="BI26" s="382"/>
      <c r="BJ26" s="382"/>
      <c r="BK26" s="382"/>
      <c r="BL26" s="382"/>
      <c r="BM26" s="382"/>
      <c r="BN26" s="382"/>
      <c r="BO26" s="382"/>
      <c r="BP26" s="382"/>
      <c r="BQ26" s="382"/>
      <c r="BR26" s="382"/>
      <c r="BS26" s="382"/>
      <c r="BT26" s="382"/>
      <c r="BU26" s="382"/>
      <c r="BV26" s="382"/>
      <c r="BW26" s="382"/>
      <c r="BX26" s="382"/>
      <c r="BY26" s="382"/>
      <c r="BZ26" s="382"/>
      <c r="CA26" s="382"/>
      <c r="CB26" s="382"/>
      <c r="CC26" s="382"/>
      <c r="CD26" s="382"/>
      <c r="CE26" s="382"/>
      <c r="CF26" s="382"/>
      <c r="CG26" s="382"/>
      <c r="CH26" s="382"/>
      <c r="CI26" s="382"/>
      <c r="CJ26" s="382"/>
      <c r="CK26" s="382"/>
      <c r="CL26" s="382"/>
      <c r="CM26" s="382"/>
      <c r="CN26" s="382"/>
      <c r="CO26" s="382"/>
      <c r="CP26" s="382"/>
      <c r="CQ26" s="382"/>
      <c r="CR26" s="382"/>
      <c r="CS26" s="382"/>
      <c r="CT26" s="382"/>
      <c r="CU26" s="382"/>
      <c r="CV26" s="382"/>
      <c r="CW26" s="382"/>
      <c r="CX26" s="382"/>
      <c r="CY26" s="382"/>
      <c r="CZ26" s="382"/>
      <c r="DA26" s="382"/>
      <c r="DB26" s="382"/>
      <c r="DC26" s="382"/>
      <c r="DD26" s="382"/>
      <c r="DE26" s="382"/>
      <c r="DF26" s="382"/>
      <c r="DG26" s="382"/>
      <c r="DH26" s="382"/>
      <c r="DI26" s="382"/>
      <c r="DJ26" s="382"/>
      <c r="DK26" s="382"/>
      <c r="DL26" s="382"/>
      <c r="DM26" s="382"/>
      <c r="DN26" s="382"/>
      <c r="DO26" s="382"/>
      <c r="DP26" s="382"/>
      <c r="DQ26" s="382"/>
      <c r="DR26" s="382"/>
      <c r="DS26" s="382"/>
      <c r="DT26" s="382"/>
      <c r="DU26" s="382"/>
      <c r="DV26" s="382"/>
      <c r="DW26" s="382"/>
      <c r="DX26" s="382"/>
      <c r="DY26" s="382"/>
      <c r="DZ26" s="382"/>
      <c r="EA26" s="382"/>
      <c r="EB26" s="382"/>
      <c r="EC26" s="382"/>
      <c r="ED26" s="382"/>
      <c r="EE26" s="382"/>
      <c r="EF26" s="382"/>
      <c r="EG26" s="382"/>
      <c r="EH26" s="382"/>
      <c r="EI26" s="382"/>
      <c r="EJ26" s="382"/>
      <c r="EK26" s="382"/>
      <c r="EL26" s="382"/>
      <c r="EM26" s="382"/>
      <c r="EN26" s="382"/>
      <c r="EO26" s="382"/>
      <c r="EP26" s="382"/>
      <c r="EQ26" s="382"/>
      <c r="ER26" s="382"/>
      <c r="ES26" s="382"/>
      <c r="ET26" s="382"/>
      <c r="EU26" s="382"/>
      <c r="EV26" s="382"/>
      <c r="EW26" s="382"/>
      <c r="EX26" s="382"/>
      <c r="EY26" s="382"/>
      <c r="EZ26" s="382"/>
      <c r="FA26" s="382"/>
      <c r="FB26" s="382"/>
      <c r="FC26" s="382"/>
      <c r="FD26" s="382"/>
      <c r="FE26" s="382"/>
      <c r="FF26" s="382"/>
      <c r="FG26" s="382"/>
      <c r="FH26" s="382"/>
      <c r="FI26" s="382"/>
      <c r="FJ26" s="382"/>
      <c r="FK26" s="382"/>
      <c r="FL26" s="382"/>
      <c r="FM26" s="382"/>
      <c r="FN26" s="382"/>
      <c r="FO26" s="382"/>
      <c r="FP26" s="382"/>
      <c r="FQ26" s="382"/>
      <c r="FR26" s="382"/>
      <c r="FS26" s="382"/>
      <c r="FT26" s="382"/>
      <c r="FU26" s="382"/>
      <c r="FV26" s="382"/>
      <c r="FW26" s="382"/>
      <c r="FX26" s="382"/>
      <c r="FY26" s="382"/>
      <c r="FZ26" s="382"/>
      <c r="GA26" s="382"/>
      <c r="GB26" s="382"/>
      <c r="GC26" s="382"/>
      <c r="GD26" s="382"/>
      <c r="GE26" s="382"/>
      <c r="GF26" s="382"/>
      <c r="GG26" s="382"/>
      <c r="GH26" s="382"/>
      <c r="GI26" s="382"/>
      <c r="GJ26" s="382"/>
      <c r="GK26" s="382"/>
      <c r="GL26" s="382"/>
      <c r="GM26" s="382"/>
      <c r="GN26" s="382"/>
      <c r="GO26" s="382"/>
      <c r="GP26" s="382"/>
      <c r="GQ26" s="382"/>
      <c r="GR26" s="382"/>
      <c r="GS26" s="382"/>
      <c r="GT26" s="382"/>
      <c r="GU26" s="382"/>
      <c r="GV26" s="382"/>
      <c r="GW26" s="382"/>
      <c r="GX26" s="382"/>
      <c r="GY26" s="382"/>
      <c r="GZ26" s="382"/>
      <c r="HA26" s="382"/>
      <c r="HB26" s="382"/>
      <c r="HC26" s="382"/>
      <c r="HD26" s="382"/>
      <c r="HE26" s="382"/>
      <c r="HF26" s="382"/>
      <c r="HG26" s="382"/>
      <c r="HH26" s="382"/>
      <c r="HI26" s="382"/>
      <c r="HJ26" s="382"/>
      <c r="HK26" s="382"/>
      <c r="HL26" s="382"/>
      <c r="HM26" s="382"/>
      <c r="HN26" s="382"/>
      <c r="HO26" s="382"/>
      <c r="HP26" s="382"/>
      <c r="HQ26" s="382"/>
      <c r="HR26" s="382"/>
      <c r="HS26" s="382"/>
      <c r="HT26" s="382"/>
      <c r="HU26" s="382"/>
      <c r="HV26" s="382"/>
      <c r="HW26" s="382"/>
      <c r="HX26" s="382"/>
      <c r="HY26" s="382"/>
      <c r="HZ26" s="382"/>
      <c r="IA26" s="382"/>
      <c r="IB26" s="382"/>
      <c r="IC26" s="382"/>
      <c r="ID26" s="382"/>
      <c r="IE26" s="382"/>
      <c r="IF26" s="382"/>
      <c r="IG26" s="382"/>
      <c r="IH26" s="382"/>
      <c r="II26" s="382"/>
      <c r="IJ26" s="382"/>
      <c r="IK26" s="382"/>
      <c r="IL26" s="382"/>
      <c r="IM26" s="382"/>
      <c r="IN26" s="382"/>
      <c r="IO26" s="382"/>
      <c r="IP26" s="382"/>
      <c r="IQ26" s="382"/>
      <c r="IR26" s="382"/>
      <c r="IS26" s="382"/>
      <c r="IT26" s="382"/>
      <c r="IU26" s="382"/>
      <c r="IV26" s="382"/>
      <c r="IW26" s="382"/>
      <c r="IX26" s="382"/>
      <c r="IY26" s="382"/>
      <c r="IZ26" s="382"/>
      <c r="JA26" s="382"/>
      <c r="JB26" s="382"/>
      <c r="JC26" s="382"/>
      <c r="JD26" s="382"/>
      <c r="JE26" s="382"/>
      <c r="JF26" s="382"/>
      <c r="JG26" s="382"/>
      <c r="JH26" s="382"/>
      <c r="JI26" s="382"/>
      <c r="JJ26" s="382"/>
      <c r="JK26" s="382"/>
      <c r="JL26" s="382"/>
      <c r="JM26" s="382"/>
      <c r="JN26" s="382"/>
      <c r="JO26" s="382"/>
      <c r="JP26" s="382"/>
      <c r="JQ26" s="382"/>
      <c r="JR26" s="382"/>
      <c r="JS26" s="382"/>
      <c r="JT26" s="382"/>
      <c r="JU26" s="382"/>
      <c r="JV26" s="382"/>
      <c r="JW26" s="382"/>
      <c r="JX26" s="382"/>
      <c r="JY26" s="382"/>
      <c r="JZ26" s="382"/>
      <c r="KA26" s="382"/>
      <c r="KB26" s="382"/>
      <c r="KC26" s="382"/>
      <c r="KD26" s="382"/>
      <c r="KE26" s="382"/>
      <c r="KF26" s="382"/>
      <c r="KG26" s="382"/>
      <c r="KH26" s="382"/>
      <c r="KI26" s="382"/>
      <c r="KJ26" s="382"/>
      <c r="KK26" s="382"/>
      <c r="KL26" s="382"/>
      <c r="KM26" s="382"/>
      <c r="KN26" s="382"/>
      <c r="KO26" s="382"/>
      <c r="KP26" s="382"/>
      <c r="KQ26" s="382"/>
      <c r="KR26" s="382"/>
      <c r="KS26" s="382"/>
      <c r="KT26" s="382"/>
      <c r="KU26" s="382"/>
      <c r="KV26" s="382"/>
      <c r="KW26" s="382"/>
      <c r="KX26" s="382"/>
      <c r="KY26" s="382"/>
      <c r="KZ26" s="382"/>
      <c r="LA26" s="382"/>
      <c r="LB26" s="382"/>
      <c r="LC26" s="382"/>
      <c r="LD26" s="382"/>
      <c r="LE26" s="382"/>
      <c r="LF26" s="382"/>
      <c r="LG26" s="382"/>
      <c r="LH26" s="382"/>
      <c r="LI26" s="382"/>
      <c r="LJ26" s="382"/>
      <c r="LK26" s="382"/>
      <c r="LL26" s="382"/>
      <c r="LM26" s="382"/>
      <c r="LN26" s="382"/>
      <c r="LO26" s="382"/>
      <c r="LP26" s="382"/>
      <c r="LQ26" s="382"/>
      <c r="LR26" s="382"/>
      <c r="LS26" s="382"/>
      <c r="LT26" s="382"/>
      <c r="LU26" s="382"/>
      <c r="LV26" s="382"/>
      <c r="LW26" s="382"/>
      <c r="LX26" s="382"/>
      <c r="LY26" s="382"/>
      <c r="LZ26" s="382"/>
      <c r="MA26" s="382"/>
      <c r="MB26" s="382"/>
      <c r="MC26" s="382"/>
      <c r="MD26" s="382"/>
      <c r="ME26" s="382"/>
      <c r="MF26" s="382"/>
      <c r="MG26" s="382"/>
      <c r="MH26" s="382"/>
      <c r="MI26" s="382"/>
      <c r="MJ26" s="382"/>
      <c r="MK26" s="382"/>
      <c r="ML26" s="382"/>
      <c r="MM26" s="382"/>
      <c r="MN26" s="382"/>
      <c r="MO26" s="382"/>
      <c r="MP26" s="382"/>
      <c r="MQ26" s="382"/>
      <c r="MR26" s="382"/>
      <c r="MS26" s="382"/>
      <c r="MT26" s="382"/>
      <c r="MU26" s="382"/>
      <c r="MV26" s="382"/>
      <c r="MW26" s="382"/>
      <c r="MX26" s="382"/>
      <c r="MY26" s="382"/>
      <c r="MZ26" s="382"/>
      <c r="NA26" s="382"/>
      <c r="NB26" s="382"/>
      <c r="NC26" s="382"/>
      <c r="ND26" s="382"/>
      <c r="NE26" s="382"/>
      <c r="NF26" s="382"/>
      <c r="NG26" s="382"/>
      <c r="NH26" s="382"/>
      <c r="NI26" s="382"/>
      <c r="NJ26" s="388"/>
      <c r="NK26" s="34"/>
      <c r="NM26" s="159">
        <f>A26</f>
        <v>0</v>
      </c>
      <c r="NN26" s="373">
        <f ca="1">COUNTIF(INDIRECT((ADDRESS(ROW(NO27),$I$11+(MATCH(NN$11,L.DATE,0))))&amp;":"&amp;(ADDRESS(ROW(NO27),$I$11+NO$11+(MATCH(NN$11,L.DATE,0))-1))),"&gt;=0")-NO26</f>
        <v>0</v>
      </c>
      <c r="NO26" s="374">
        <f ca="1">SUM(INDIRECT((ADDRESS(ROW(NO27),$I$11+(MATCH(NN$11,L.DATE,0))))&amp;":"&amp;(ADDRESS(ROW(NO27),$I$11+NO$11+(MATCH(NN$11,L.DATE,0))-1))))</f>
        <v>0</v>
      </c>
      <c r="NP26" s="373">
        <f ca="1">COUNTIF(INDIRECT((ADDRESS(ROW(NQ27),$I$11+(MATCH(NP$11,L.DATE,0))))&amp;":"&amp;(ADDRESS(ROW(NQ27),$I$11+NQ$11+(MATCH(NP$11,L.DATE,0))-1))),"&gt;=0")-NQ26</f>
        <v>0</v>
      </c>
      <c r="NQ26" s="374">
        <f ca="1">SUM(INDIRECT((ADDRESS(ROW(NQ27),$I$11+(MATCH(NP$11,L.DATE,0))))&amp;":"&amp;(ADDRESS(ROW(NQ27),$I$11+NQ$11+(MATCH(NP$11,L.DATE,0))-1))))</f>
        <v>0</v>
      </c>
      <c r="NR26" s="373">
        <f ca="1">COUNTIF(INDIRECT((ADDRESS(ROW(NS27),$I$11+(MATCH(NR$11,L.DATE,0))))&amp;":"&amp;(ADDRESS(ROW(NS27),$I$11+NS$11+(MATCH(NR$11,L.DATE,0))-1))),"&gt;=0")-NS26</f>
        <v>0</v>
      </c>
      <c r="NS26" s="374">
        <f ca="1">SUM(INDIRECT((ADDRESS(ROW(NS27),$I$11+(MATCH(NR$11,L.DATE,0))))&amp;":"&amp;(ADDRESS(ROW(NS27),$I$11+NS$11+(MATCH(NR$11,L.DATE,0))-1))))</f>
        <v>0</v>
      </c>
      <c r="NT26" s="373">
        <f ca="1">COUNTIF(INDIRECT((ADDRESS(ROW(NU27),$I$11+(MATCH(NT$11,L.DATE,0))))&amp;":"&amp;(ADDRESS(ROW(NU27),$I$11+NU$11+(MATCH(NT$11,L.DATE,0))-1))),"&gt;=0")-NU26</f>
        <v>0</v>
      </c>
      <c r="NU26" s="374">
        <f ca="1">SUM(INDIRECT((ADDRESS(ROW(NU27),$I$11+(MATCH(NT$11,L.DATE,0))))&amp;":"&amp;(ADDRESS(ROW(NU27),$I$11+NU$11+(MATCH(NT$11,L.DATE,0))-1))))</f>
        <v>0</v>
      </c>
      <c r="NV26" s="373">
        <f ca="1">COUNTIF(INDIRECT((ADDRESS(ROW(NW27),$I$11+(MATCH(NV$11,L.DATE,0))))&amp;":"&amp;(ADDRESS(ROW(NW27),$I$11+NW$11+(MATCH(NV$11,L.DATE,0))-1))),"&gt;=0")-NW26</f>
        <v>0</v>
      </c>
      <c r="NW26" s="374">
        <f ca="1">SUM(INDIRECT((ADDRESS(ROW(NW27),$I$11+(MATCH(NV$11,L.DATE,0))))&amp;":"&amp;(ADDRESS(ROW(NW27),$I$11+NW$11+(MATCH(NV$11,L.DATE,0))-1))))</f>
        <v>0</v>
      </c>
      <c r="NX26" s="373">
        <f ca="1">COUNTIF(INDIRECT((ADDRESS(ROW(NY27),$I$11+(MATCH(NX$11,L.DATE,0))))&amp;":"&amp;(ADDRESS(ROW(NY27),$I$11+NY$11+(MATCH(NX$11,L.DATE,0))-1))),"&gt;=0")-NY26</f>
        <v>0</v>
      </c>
      <c r="NY26" s="374">
        <f ca="1">SUM(INDIRECT((ADDRESS(ROW(NY27),$I$11+(MATCH(NX$11,L.DATE,0))))&amp;":"&amp;(ADDRESS(ROW(NY27),$I$11+NY$11+(MATCH(NX$11,L.DATE,0))-1))))</f>
        <v>0</v>
      </c>
      <c r="NZ26" s="373">
        <f ca="1">COUNTIF(INDIRECT((ADDRESS(ROW(OA27),$I$11+(MATCH(NZ$11,L.DATE,0))))&amp;":"&amp;(ADDRESS(ROW(OA27),$I$11+OA$11+(MATCH(NZ$11,L.DATE,0))-1))),"&gt;=0")-OA26</f>
        <v>0</v>
      </c>
      <c r="OA26" s="374">
        <f ca="1">SUM(INDIRECT((ADDRESS(ROW(OA27),$I$11+(MATCH(NZ$11,L.DATE,0))))&amp;":"&amp;(ADDRESS(ROW(OA27),$I$11+OA$11+(MATCH(NZ$11,L.DATE,0))-1))))</f>
        <v>0</v>
      </c>
      <c r="OB26" s="373">
        <f ca="1">COUNTIF(INDIRECT((ADDRESS(ROW(OC27),$I$11+(MATCH(OB$11,L.DATE,0))))&amp;":"&amp;(ADDRESS(ROW(OC27),$I$11+OC$11+(MATCH(OB$11,L.DATE,0))-1))),"&gt;=0")-OC26</f>
        <v>0</v>
      </c>
      <c r="OC26" s="374">
        <f ca="1">SUM(INDIRECT((ADDRESS(ROW(OC27),$I$11+(MATCH(OB$11,L.DATE,0))))&amp;":"&amp;(ADDRESS(ROW(OC27),$I$11+OC$11+(MATCH(OB$11,L.DATE,0))-1))))</f>
        <v>0</v>
      </c>
      <c r="OD26" s="373">
        <f ca="1">COUNTIF(INDIRECT((ADDRESS(ROW(OE27),$I$11+(MATCH(OD$11,L.DATE,0))))&amp;":"&amp;(ADDRESS(ROW(OE27),$I$11+OE$11+(MATCH(OD$11,L.DATE,0))-1))),"&gt;=0")-OE26</f>
        <v>0</v>
      </c>
      <c r="OE26" s="374">
        <f ca="1">SUM(INDIRECT((ADDRESS(ROW(OE27),$I$11+(MATCH(OD$11,L.DATE,0))))&amp;":"&amp;(ADDRESS(ROW(OE27),$I$11+OE$11+(MATCH(OD$11,L.DATE,0))-1))))</f>
        <v>0</v>
      </c>
      <c r="OF26" s="373">
        <f ca="1">COUNTIF(INDIRECT((ADDRESS(ROW(OG27),$I$11+(MATCH(OF$11,L.DATE,0))))&amp;":"&amp;(ADDRESS(ROW(OG27),$I$11+OG$11+(MATCH(OF$11,L.DATE,0))-1))),"&gt;=0")-OG26</f>
        <v>0</v>
      </c>
      <c r="OG26" s="374">
        <f ca="1">SUM(INDIRECT((ADDRESS(ROW(OG27),$I$11+(MATCH(OF$11,L.DATE,0))))&amp;":"&amp;(ADDRESS(ROW(OG27),$I$11+OG$11+(MATCH(OF$11,L.DATE,0))-1))))</f>
        <v>0</v>
      </c>
      <c r="OH26" s="373">
        <f ca="1">COUNTIF(INDIRECT((ADDRESS(ROW(OI27),$I$11+(MATCH(OH$11,L.DATE,0))))&amp;":"&amp;(ADDRESS(ROW(OI27),$I$11+OI$11+(MATCH(OH$11,L.DATE,0))-1))),"&gt;=0")-OI26</f>
        <v>0</v>
      </c>
      <c r="OI26" s="374">
        <f ca="1">SUM(INDIRECT((ADDRESS(ROW(OI27),$I$11+(MATCH(OH$11,L.DATE,0))))&amp;":"&amp;(ADDRESS(ROW(OI27),$I$11+OI$11+(MATCH(OH$11,L.DATE,0))-1))))</f>
        <v>0</v>
      </c>
      <c r="OJ26" s="373">
        <f ca="1">COUNTIF(INDIRECT((ADDRESS(ROW(OK27),$I$11+(MATCH(OJ$11,L.DATE,0))))&amp;":"&amp;(ADDRESS(ROW(OK27),$I$11+OK$11+(MATCH(OJ$11,L.DATE,0))-1))),"&gt;=0")-OK26</f>
        <v>0</v>
      </c>
      <c r="OK26" s="375">
        <f ca="1">SUM(INDIRECT((ADDRESS(ROW(OK27),$I$11+(MATCH(OJ$11,L.DATE,0))))&amp;":"&amp;(ADDRESS(ROW(OK27),$I$11+OK$11+(MATCH(OJ$11,L.DATE,0))-1))))</f>
        <v>0</v>
      </c>
      <c r="OM26" s="39">
        <f ca="1">NN26+NP26+NR26+NT26+NV26+NX26+NZ26+OB26+OD26+OF26+OJ26+OH26</f>
        <v>0</v>
      </c>
      <c r="ON26" s="40">
        <f ca="1">NO26+NQ26+NS26+NU26+NW26+NY26+OA26+OC26+OE26+OG26+OK26+OI26</f>
        <v>0</v>
      </c>
    </row>
    <row r="27" spans="1:404" x14ac:dyDescent="0.3">
      <c r="A27" s="33"/>
      <c r="B27" s="16">
        <f t="shared" ref="B27:H27" si="26">B26</f>
        <v>0</v>
      </c>
      <c r="C27" s="16">
        <f t="shared" si="26"/>
        <v>0</v>
      </c>
      <c r="D27" s="16">
        <f t="shared" si="26"/>
        <v>0</v>
      </c>
      <c r="E27" s="16">
        <f t="shared" si="26"/>
        <v>0</v>
      </c>
      <c r="F27" s="16">
        <f t="shared" si="26"/>
        <v>0</v>
      </c>
      <c r="G27" s="105">
        <f t="shared" si="26"/>
        <v>0</v>
      </c>
      <c r="H27" s="109">
        <f t="shared" si="26"/>
        <v>2</v>
      </c>
      <c r="I27" s="28"/>
      <c r="J27" s="382"/>
      <c r="K27" s="382"/>
      <c r="L27" s="382"/>
      <c r="M27" s="382"/>
      <c r="N27" s="382"/>
      <c r="O27" s="382"/>
      <c r="P27" s="382"/>
      <c r="Q27" s="382"/>
      <c r="R27" s="382"/>
      <c r="S27" s="382"/>
      <c r="T27" s="382"/>
      <c r="U27" s="382"/>
      <c r="V27" s="382"/>
      <c r="W27" s="382"/>
      <c r="X27" s="382"/>
      <c r="Y27" s="382"/>
      <c r="Z27" s="382"/>
      <c r="AA27" s="382"/>
      <c r="AB27" s="382"/>
      <c r="AC27" s="382"/>
      <c r="AD27" s="382"/>
      <c r="AE27" s="382"/>
      <c r="AF27" s="382"/>
      <c r="AG27" s="382"/>
      <c r="AH27" s="382"/>
      <c r="AI27" s="382"/>
      <c r="AJ27" s="382"/>
      <c r="AK27" s="382"/>
      <c r="AL27" s="382"/>
      <c r="AM27" s="382"/>
      <c r="AN27" s="382"/>
      <c r="AO27" s="382"/>
      <c r="AP27" s="382"/>
      <c r="AQ27" s="382"/>
      <c r="AR27" s="382"/>
      <c r="AS27" s="382"/>
      <c r="AT27" s="382"/>
      <c r="AU27" s="382"/>
      <c r="AV27" s="382"/>
      <c r="AW27" s="382"/>
      <c r="AX27" s="382"/>
      <c r="AY27" s="382"/>
      <c r="AZ27" s="382"/>
      <c r="BA27" s="382"/>
      <c r="BB27" s="382"/>
      <c r="BC27" s="382"/>
      <c r="BD27" s="382"/>
      <c r="BE27" s="382"/>
      <c r="BF27" s="382"/>
      <c r="BG27" s="382"/>
      <c r="BH27" s="382"/>
      <c r="BI27" s="382"/>
      <c r="BJ27" s="382"/>
      <c r="BK27" s="382"/>
      <c r="BL27" s="382"/>
      <c r="BM27" s="382"/>
      <c r="BN27" s="382"/>
      <c r="BO27" s="382"/>
      <c r="BP27" s="382"/>
      <c r="BQ27" s="382"/>
      <c r="BR27" s="382"/>
      <c r="BS27" s="382"/>
      <c r="BT27" s="382"/>
      <c r="BU27" s="382"/>
      <c r="BV27" s="382"/>
      <c r="BW27" s="382"/>
      <c r="BX27" s="382"/>
      <c r="BY27" s="382"/>
      <c r="BZ27" s="382"/>
      <c r="CA27" s="382"/>
      <c r="CB27" s="382"/>
      <c r="CC27" s="382"/>
      <c r="CD27" s="382"/>
      <c r="CE27" s="382"/>
      <c r="CF27" s="382"/>
      <c r="CG27" s="382"/>
      <c r="CH27" s="382"/>
      <c r="CI27" s="382"/>
      <c r="CJ27" s="382"/>
      <c r="CK27" s="382"/>
      <c r="CL27" s="382"/>
      <c r="CM27" s="382"/>
      <c r="CN27" s="382"/>
      <c r="CO27" s="382"/>
      <c r="CP27" s="382"/>
      <c r="CQ27" s="382"/>
      <c r="CR27" s="382"/>
      <c r="CS27" s="382"/>
      <c r="CT27" s="382"/>
      <c r="CU27" s="382"/>
      <c r="CV27" s="382"/>
      <c r="CW27" s="382"/>
      <c r="CX27" s="382"/>
      <c r="CY27" s="382"/>
      <c r="CZ27" s="382"/>
      <c r="DA27" s="382"/>
      <c r="DB27" s="382"/>
      <c r="DC27" s="382"/>
      <c r="DD27" s="382"/>
      <c r="DE27" s="382"/>
      <c r="DF27" s="382"/>
      <c r="DG27" s="382"/>
      <c r="DH27" s="382"/>
      <c r="DI27" s="382"/>
      <c r="DJ27" s="382"/>
      <c r="DK27" s="382"/>
      <c r="DL27" s="382"/>
      <c r="DM27" s="382"/>
      <c r="DN27" s="382"/>
      <c r="DO27" s="382"/>
      <c r="DP27" s="382"/>
      <c r="DQ27" s="382"/>
      <c r="DR27" s="382"/>
      <c r="DS27" s="382"/>
      <c r="DT27" s="382"/>
      <c r="DU27" s="382"/>
      <c r="DV27" s="382"/>
      <c r="DW27" s="382"/>
      <c r="DX27" s="382"/>
      <c r="DY27" s="382"/>
      <c r="DZ27" s="382"/>
      <c r="EA27" s="382"/>
      <c r="EB27" s="382"/>
      <c r="EC27" s="382"/>
      <c r="ED27" s="382"/>
      <c r="EE27" s="382"/>
      <c r="EF27" s="382"/>
      <c r="EG27" s="382"/>
      <c r="EH27" s="382"/>
      <c r="EI27" s="382"/>
      <c r="EJ27" s="382"/>
      <c r="EK27" s="382"/>
      <c r="EL27" s="382"/>
      <c r="EM27" s="382"/>
      <c r="EN27" s="382"/>
      <c r="EO27" s="382"/>
      <c r="EP27" s="382"/>
      <c r="EQ27" s="382"/>
      <c r="ER27" s="382"/>
      <c r="ES27" s="382"/>
      <c r="ET27" s="382"/>
      <c r="EU27" s="382"/>
      <c r="EV27" s="382"/>
      <c r="EW27" s="382"/>
      <c r="EX27" s="382"/>
      <c r="EY27" s="382"/>
      <c r="EZ27" s="382"/>
      <c r="FA27" s="382"/>
      <c r="FB27" s="382"/>
      <c r="FC27" s="382"/>
      <c r="FD27" s="382"/>
      <c r="FE27" s="382"/>
      <c r="FF27" s="382"/>
      <c r="FG27" s="382"/>
      <c r="FH27" s="382"/>
      <c r="FI27" s="382"/>
      <c r="FJ27" s="382"/>
      <c r="FK27" s="382"/>
      <c r="FL27" s="382"/>
      <c r="FM27" s="382"/>
      <c r="FN27" s="382"/>
      <c r="FO27" s="382"/>
      <c r="FP27" s="382"/>
      <c r="FQ27" s="382"/>
      <c r="FR27" s="382"/>
      <c r="FS27" s="382"/>
      <c r="FT27" s="382"/>
      <c r="FU27" s="382"/>
      <c r="FV27" s="382"/>
      <c r="FW27" s="382"/>
      <c r="FX27" s="382"/>
      <c r="FY27" s="382"/>
      <c r="FZ27" s="382"/>
      <c r="GA27" s="382"/>
      <c r="GB27" s="382"/>
      <c r="GC27" s="382"/>
      <c r="GD27" s="382"/>
      <c r="GE27" s="382"/>
      <c r="GF27" s="382"/>
      <c r="GG27" s="382"/>
      <c r="GH27" s="382"/>
      <c r="GI27" s="382"/>
      <c r="GJ27" s="382"/>
      <c r="GK27" s="382"/>
      <c r="GL27" s="382"/>
      <c r="GM27" s="382"/>
      <c r="GN27" s="382"/>
      <c r="GO27" s="382"/>
      <c r="GP27" s="382"/>
      <c r="GQ27" s="382"/>
      <c r="GR27" s="382"/>
      <c r="GS27" s="382"/>
      <c r="GT27" s="382"/>
      <c r="GU27" s="382"/>
      <c r="GV27" s="382"/>
      <c r="GW27" s="382"/>
      <c r="GX27" s="382"/>
      <c r="GY27" s="382"/>
      <c r="GZ27" s="382"/>
      <c r="HA27" s="382"/>
      <c r="HB27" s="382"/>
      <c r="HC27" s="382"/>
      <c r="HD27" s="382"/>
      <c r="HE27" s="382"/>
      <c r="HF27" s="382"/>
      <c r="HG27" s="382"/>
      <c r="HH27" s="382"/>
      <c r="HI27" s="382"/>
      <c r="HJ27" s="382"/>
      <c r="HK27" s="382"/>
      <c r="HL27" s="382"/>
      <c r="HM27" s="382"/>
      <c r="HN27" s="382"/>
      <c r="HO27" s="382"/>
      <c r="HP27" s="382"/>
      <c r="HQ27" s="382"/>
      <c r="HR27" s="382"/>
      <c r="HS27" s="382"/>
      <c r="HT27" s="382"/>
      <c r="HU27" s="382"/>
      <c r="HV27" s="382"/>
      <c r="HW27" s="382"/>
      <c r="HX27" s="382"/>
      <c r="HY27" s="382"/>
      <c r="HZ27" s="382"/>
      <c r="IA27" s="382"/>
      <c r="IB27" s="382"/>
      <c r="IC27" s="382"/>
      <c r="ID27" s="382"/>
      <c r="IE27" s="382"/>
      <c r="IF27" s="382"/>
      <c r="IG27" s="382"/>
      <c r="IH27" s="382"/>
      <c r="II27" s="382"/>
      <c r="IJ27" s="382"/>
      <c r="IK27" s="382"/>
      <c r="IL27" s="382"/>
      <c r="IM27" s="382"/>
      <c r="IN27" s="382"/>
      <c r="IO27" s="382"/>
      <c r="IP27" s="382"/>
      <c r="IQ27" s="382"/>
      <c r="IR27" s="382"/>
      <c r="IS27" s="382"/>
      <c r="IT27" s="382"/>
      <c r="IU27" s="382"/>
      <c r="IV27" s="382"/>
      <c r="IW27" s="382"/>
      <c r="IX27" s="382"/>
      <c r="IY27" s="382"/>
      <c r="IZ27" s="382"/>
      <c r="JA27" s="382"/>
      <c r="JB27" s="382"/>
      <c r="JC27" s="382"/>
      <c r="JD27" s="382"/>
      <c r="JE27" s="382"/>
      <c r="JF27" s="382"/>
      <c r="JG27" s="382"/>
      <c r="JH27" s="382"/>
      <c r="JI27" s="382"/>
      <c r="JJ27" s="382"/>
      <c r="JK27" s="382"/>
      <c r="JL27" s="382"/>
      <c r="JM27" s="382"/>
      <c r="JN27" s="382"/>
      <c r="JO27" s="382"/>
      <c r="JP27" s="382"/>
      <c r="JQ27" s="382"/>
      <c r="JR27" s="382"/>
      <c r="JS27" s="382"/>
      <c r="JT27" s="382"/>
      <c r="JU27" s="382"/>
      <c r="JV27" s="382"/>
      <c r="JW27" s="382"/>
      <c r="JX27" s="382"/>
      <c r="JY27" s="382"/>
      <c r="JZ27" s="382"/>
      <c r="KA27" s="382"/>
      <c r="KB27" s="382"/>
      <c r="KC27" s="382"/>
      <c r="KD27" s="382"/>
      <c r="KE27" s="382"/>
      <c r="KF27" s="382"/>
      <c r="KG27" s="382"/>
      <c r="KH27" s="382"/>
      <c r="KI27" s="382"/>
      <c r="KJ27" s="382"/>
      <c r="KK27" s="382"/>
      <c r="KL27" s="382"/>
      <c r="KM27" s="382"/>
      <c r="KN27" s="382"/>
      <c r="KO27" s="382"/>
      <c r="KP27" s="382"/>
      <c r="KQ27" s="382"/>
      <c r="KR27" s="382"/>
      <c r="KS27" s="382"/>
      <c r="KT27" s="382"/>
      <c r="KU27" s="382"/>
      <c r="KV27" s="382"/>
      <c r="KW27" s="382"/>
      <c r="KX27" s="382"/>
      <c r="KY27" s="382"/>
      <c r="KZ27" s="382"/>
      <c r="LA27" s="382"/>
      <c r="LB27" s="382"/>
      <c r="LC27" s="382"/>
      <c r="LD27" s="382"/>
      <c r="LE27" s="382"/>
      <c r="LF27" s="382"/>
      <c r="LG27" s="382"/>
      <c r="LH27" s="382"/>
      <c r="LI27" s="382"/>
      <c r="LJ27" s="382"/>
      <c r="LK27" s="382"/>
      <c r="LL27" s="382"/>
      <c r="LM27" s="382"/>
      <c r="LN27" s="382"/>
      <c r="LO27" s="382"/>
      <c r="LP27" s="382"/>
      <c r="LQ27" s="382"/>
      <c r="LR27" s="382"/>
      <c r="LS27" s="382"/>
      <c r="LT27" s="382"/>
      <c r="LU27" s="382"/>
      <c r="LV27" s="382"/>
      <c r="LW27" s="382"/>
      <c r="LX27" s="382"/>
      <c r="LY27" s="382"/>
      <c r="LZ27" s="382"/>
      <c r="MA27" s="382"/>
      <c r="MB27" s="382"/>
      <c r="MC27" s="382"/>
      <c r="MD27" s="382"/>
      <c r="ME27" s="382"/>
      <c r="MF27" s="382"/>
      <c r="MG27" s="382"/>
      <c r="MH27" s="382"/>
      <c r="MI27" s="382"/>
      <c r="MJ27" s="382"/>
      <c r="MK27" s="382"/>
      <c r="ML27" s="382"/>
      <c r="MM27" s="382"/>
      <c r="MN27" s="382"/>
      <c r="MO27" s="382"/>
      <c r="MP27" s="382"/>
      <c r="MQ27" s="382"/>
      <c r="MR27" s="382"/>
      <c r="MS27" s="382"/>
      <c r="MT27" s="382"/>
      <c r="MU27" s="382"/>
      <c r="MV27" s="382"/>
      <c r="MW27" s="382"/>
      <c r="MX27" s="382"/>
      <c r="MY27" s="382"/>
      <c r="MZ27" s="382"/>
      <c r="NA27" s="382"/>
      <c r="NB27" s="382"/>
      <c r="NC27" s="382"/>
      <c r="ND27" s="382"/>
      <c r="NE27" s="382"/>
      <c r="NF27" s="382"/>
      <c r="NG27" s="382"/>
      <c r="NH27" s="382"/>
      <c r="NI27" s="382"/>
      <c r="NJ27" s="388"/>
      <c r="NK27" s="34"/>
      <c r="NM27" s="379" t="str">
        <f>NM26&amp;".b"</f>
        <v>0.b</v>
      </c>
      <c r="NN27" s="376" t="str" cm="1">
        <f t="array" aca="1" ref="NN27" ca="1">IF(xcomp(INDIRECT((ADDRESS(ROW(NN26),$I$11+(MATCH(NN$11,L.DATE,0))))&amp;":"&amp;(ADDRESS(ROW(NN26),$I$11+NO$11+(MATCH(NN$11,L.DATE,0))-1))),L.ABSP)=0,"",xcomp(INDIRECT((ADDRESS(ROW(NN26),$I$11+(MATCH(NN$11,L.DATE,0))))&amp;":"&amp;(ADDRESS(ROW(NN26),$I$11+NO$11+(MATCH(NN$11,L.DATE,0))-1))),L.ABSP))</f>
        <v/>
      </c>
      <c r="NO27" s="377" t="str" cm="1">
        <f t="array" aca="1" ref="NO27" ca="1">IF(xcomp(INDIRECT((ADDRESS(ROW(NO26),$I$11+(MATCH(NN$11,L.DATE,0))))&amp;":"&amp;(ADDRESS(ROW(NO26),$I$11+NO$11+(MATCH(NN$11,L.DATE,0))-1))),L.ABS.NP)=0,"",xcomp(INDIRECT((ADDRESS(ROW(NO26),$I$11+(MATCH(NN$11,L.DATE,0))))&amp;":"&amp;(ADDRESS(ROW(NO26),$I$11+NO$11+(MATCH(NN$11,L.DATE,0))-1))),L.ABS.NP))</f>
        <v/>
      </c>
      <c r="NP27" s="376" t="str" cm="1">
        <f t="array" aca="1" ref="NP27" ca="1">IF(xcomp(INDIRECT((ADDRESS(ROW(NP26),$I$11+(MATCH(NP$11,L.DATE,0))))&amp;":"&amp;(ADDRESS(ROW(NP26),$I$11+NQ$11+(MATCH(NP$11,L.DATE,0))-1))),L.ABSP)=0,"",xcomp(INDIRECT((ADDRESS(ROW(NP26),$I$11+(MATCH(NP$11,L.DATE,0))))&amp;":"&amp;(ADDRESS(ROW(NP26),$I$11+NQ$11+(MATCH(NP$11,L.DATE,0))-1))),L.ABSP))</f>
        <v/>
      </c>
      <c r="NQ27" s="377" t="str" cm="1">
        <f t="array" aca="1" ref="NQ27" ca="1">IF(xcomp(INDIRECT((ADDRESS(ROW(NQ26),$I$11+(MATCH(NP$11,L.DATE,0))))&amp;":"&amp;(ADDRESS(ROW(NQ26),$I$11+NQ$11+(MATCH(NP$11,L.DATE,0))-1))),L.ABS.NP)=0,"",xcomp(INDIRECT((ADDRESS(ROW(NQ26),$I$11+(MATCH(NP$11,L.DATE,0))))&amp;":"&amp;(ADDRESS(ROW(NQ26),$I$11+NQ$11+(MATCH(NP$11,L.DATE,0))-1))),L.ABS.NP))</f>
        <v/>
      </c>
      <c r="NR27" s="376" t="str" cm="1">
        <f t="array" aca="1" ref="NR27" ca="1">IF(xcomp(INDIRECT((ADDRESS(ROW(NR26),$I$11+(MATCH(NR$11,L.DATE,0))))&amp;":"&amp;(ADDRESS(ROW(NR26),$I$11+NS$11+(MATCH(NR$11,L.DATE,0))-1))),L.ABSP)=0,"",xcomp(INDIRECT((ADDRESS(ROW(NR26),$I$11+(MATCH(NR$11,L.DATE,0))))&amp;":"&amp;(ADDRESS(ROW(NR26),$I$11+NS$11+(MATCH(NR$11,L.DATE,0))-1))),L.ABSP))</f>
        <v/>
      </c>
      <c r="NS27" s="377" t="str" cm="1">
        <f t="array" aca="1" ref="NS27" ca="1">IF(xcomp(INDIRECT((ADDRESS(ROW(NS26),$I$11+(MATCH(NR$11,L.DATE,0))))&amp;":"&amp;(ADDRESS(ROW(NS26),$I$11+NS$11+(MATCH(NR$11,L.DATE,0))-1))),L.ABS.NP)=0,"",xcomp(INDIRECT((ADDRESS(ROW(NS26),$I$11+(MATCH(NR$11,L.DATE,0))))&amp;":"&amp;(ADDRESS(ROW(NS26),$I$11+NS$11+(MATCH(NR$11,L.DATE,0))-1))),L.ABS.NP))</f>
        <v/>
      </c>
      <c r="NT27" s="376" t="str" cm="1">
        <f t="array" aca="1" ref="NT27" ca="1">IF(xcomp(INDIRECT((ADDRESS(ROW(NT26),$I$11+(MATCH(NT$11,L.DATE,0))))&amp;":"&amp;(ADDRESS(ROW(NT26),$I$11+NU$11+(MATCH(NT$11,L.DATE,0))-1))),L.ABSP)=0,"",xcomp(INDIRECT((ADDRESS(ROW(NT26),$I$11+(MATCH(NT$11,L.DATE,0))))&amp;":"&amp;(ADDRESS(ROW(NT26),$I$11+NU$11+(MATCH(NT$11,L.DATE,0))-1))),L.ABSP))</f>
        <v/>
      </c>
      <c r="NU27" s="377" t="str" cm="1">
        <f t="array" aca="1" ref="NU27" ca="1">IF(xcomp(INDIRECT((ADDRESS(ROW(NU26),$I$11+(MATCH(NT$11,L.DATE,0))))&amp;":"&amp;(ADDRESS(ROW(NU26),$I$11+NU$11+(MATCH(NT$11,L.DATE,0))-1))),L.ABS.NP)=0,"",xcomp(INDIRECT((ADDRESS(ROW(NU26),$I$11+(MATCH(NT$11,L.DATE,0))))&amp;":"&amp;(ADDRESS(ROW(NU26),$I$11+NU$11+(MATCH(NT$11,L.DATE,0))-1))),L.ABS.NP))</f>
        <v/>
      </c>
      <c r="NV27" s="376" t="str" cm="1">
        <f t="array" aca="1" ref="NV27" ca="1">IF(xcomp(INDIRECT((ADDRESS(ROW(NV26),$I$11+(MATCH(NV$11,L.DATE,0))))&amp;":"&amp;(ADDRESS(ROW(NV26),$I$11+NW$11+(MATCH(NV$11,L.DATE,0))-1))),L.ABSP)=0,"",xcomp(INDIRECT((ADDRESS(ROW(NV26),$I$11+(MATCH(NV$11,L.DATE,0))))&amp;":"&amp;(ADDRESS(ROW(NV26),$I$11+NW$11+(MATCH(NV$11,L.DATE,0))-1))),L.ABSP))</f>
        <v/>
      </c>
      <c r="NW27" s="377" t="str" cm="1">
        <f t="array" aca="1" ref="NW27" ca="1">IF(xcomp(INDIRECT((ADDRESS(ROW(NW26),$I$11+(MATCH(NV$11,L.DATE,0))))&amp;":"&amp;(ADDRESS(ROW(NW26),$I$11+NW$11+(MATCH(NV$11,L.DATE,0))-1))),L.ABS.NP)=0,"",xcomp(INDIRECT((ADDRESS(ROW(NW26),$I$11+(MATCH(NV$11,L.DATE,0))))&amp;":"&amp;(ADDRESS(ROW(NW26),$I$11+NW$11+(MATCH(NV$11,L.DATE,0))-1))),L.ABS.NP))</f>
        <v/>
      </c>
      <c r="NX27" s="376" t="str" cm="1">
        <f t="array" aca="1" ref="NX27" ca="1">IF(xcomp(INDIRECT((ADDRESS(ROW(NX26),$I$11+(MATCH(NX$11,L.DATE,0))))&amp;":"&amp;(ADDRESS(ROW(NX26),$I$11+NY$11+(MATCH(NX$11,L.DATE,0))-1))),L.ABSP)=0,"",xcomp(INDIRECT((ADDRESS(ROW(NX26),$I$11+(MATCH(NX$11,L.DATE,0))))&amp;":"&amp;(ADDRESS(ROW(NX26),$I$11+NY$11+(MATCH(NX$11,L.DATE,0))-1))),L.ABSP))</f>
        <v/>
      </c>
      <c r="NY27" s="377" t="str" cm="1">
        <f t="array" aca="1" ref="NY27" ca="1">IF(xcomp(INDIRECT((ADDRESS(ROW(NY26),$I$11+(MATCH(NX$11,L.DATE,0))))&amp;":"&amp;(ADDRESS(ROW(NY26),$I$11+NY$11+(MATCH(NX$11,L.DATE,0))-1))),L.ABS.NP)=0,"",xcomp(INDIRECT((ADDRESS(ROW(NY26),$I$11+(MATCH(NX$11,L.DATE,0))))&amp;":"&amp;(ADDRESS(ROW(NY26),$I$11+NY$11+(MATCH(NX$11,L.DATE,0))-1))),L.ABS.NP))</f>
        <v/>
      </c>
      <c r="NZ27" s="376" t="str" cm="1">
        <f t="array" aca="1" ref="NZ27" ca="1">IF(xcomp(INDIRECT((ADDRESS(ROW(NZ26),$I$11+(MATCH(NZ$11,L.DATE,0))))&amp;":"&amp;(ADDRESS(ROW(NZ26),$I$11+OA$11+(MATCH(NZ$11,L.DATE,0))-1))),L.ABSP)=0,"",xcomp(INDIRECT((ADDRESS(ROW(NZ26),$I$11+(MATCH(NZ$11,L.DATE,0))))&amp;":"&amp;(ADDRESS(ROW(NZ26),$I$11+OA$11+(MATCH(NZ$11,L.DATE,0))-1))),L.ABSP))</f>
        <v/>
      </c>
      <c r="OA27" s="377" t="str" cm="1">
        <f t="array" aca="1" ref="OA27" ca="1">IF(xcomp(INDIRECT((ADDRESS(ROW(OA26),$I$11+(MATCH(NZ$11,L.DATE,0))))&amp;":"&amp;(ADDRESS(ROW(OA26),$I$11+OA$11+(MATCH(NZ$11,L.DATE,0))-1))),L.ABS.NP)=0,"",xcomp(INDIRECT((ADDRESS(ROW(OA26),$I$11+(MATCH(NZ$11,L.DATE,0))))&amp;":"&amp;(ADDRESS(ROW(OA26),$I$11+OA$11+(MATCH(NZ$11,L.DATE,0))-1))),L.ABS.NP))</f>
        <v/>
      </c>
      <c r="OB27" s="376" t="str" cm="1">
        <f t="array" aca="1" ref="OB27" ca="1">IF(xcomp(INDIRECT((ADDRESS(ROW(OB26),$I$11+(MATCH(OB$11,L.DATE,0))))&amp;":"&amp;(ADDRESS(ROW(OB26),$I$11+OC$11+(MATCH(OB$11,L.DATE,0))-1))),L.ABSP)=0,"",xcomp(INDIRECT((ADDRESS(ROW(OB26),$I$11+(MATCH(OB$11,L.DATE,0))))&amp;":"&amp;(ADDRESS(ROW(OB26),$I$11+OC$11+(MATCH(OB$11,L.DATE,0))-1))),L.ABSP))</f>
        <v/>
      </c>
      <c r="OC27" s="377" t="str" cm="1">
        <f t="array" aca="1" ref="OC27" ca="1">IF(xcomp(INDIRECT((ADDRESS(ROW(OC26),$I$11+(MATCH(OB$11,L.DATE,0))))&amp;":"&amp;(ADDRESS(ROW(OC26),$I$11+OC$11+(MATCH(OB$11,L.DATE,0))-1))),L.ABS.NP)=0,"",xcomp(INDIRECT((ADDRESS(ROW(OC26),$I$11+(MATCH(OB$11,L.DATE,0))))&amp;":"&amp;(ADDRESS(ROW(OC26),$I$11+OC$11+(MATCH(OB$11,L.DATE,0))-1))),L.ABS.NP))</f>
        <v/>
      </c>
      <c r="OD27" s="376" t="str" cm="1">
        <f t="array" aca="1" ref="OD27" ca="1">IF(xcomp(INDIRECT((ADDRESS(ROW(OD26),$I$11+(MATCH(OD$11,L.DATE,0))))&amp;":"&amp;(ADDRESS(ROW(OD26),$I$11+OE$11+(MATCH(OD$11,L.DATE,0))-1))),L.ABSP)=0,"",xcomp(INDIRECT((ADDRESS(ROW(OD26),$I$11+(MATCH(OD$11,L.DATE,0))))&amp;":"&amp;(ADDRESS(ROW(OD26),$I$11+OE$11+(MATCH(OD$11,L.DATE,0))-1))),L.ABSP))</f>
        <v/>
      </c>
      <c r="OE27" s="377" t="str" cm="1">
        <f t="array" aca="1" ref="OE27" ca="1">IF(xcomp(INDIRECT((ADDRESS(ROW(OE26),$I$11+(MATCH(OD$11,L.DATE,0))))&amp;":"&amp;(ADDRESS(ROW(OE26),$I$11+OE$11+(MATCH(OD$11,L.DATE,0))-1))),L.ABS.NP)=0,"",xcomp(INDIRECT((ADDRESS(ROW(OE26),$I$11+(MATCH(OD$11,L.DATE,0))))&amp;":"&amp;(ADDRESS(ROW(OE26),$I$11+OE$11+(MATCH(OD$11,L.DATE,0))-1))),L.ABS.NP))</f>
        <v/>
      </c>
      <c r="OF27" s="376" t="str" cm="1">
        <f t="array" aca="1" ref="OF27" ca="1">IF(xcomp(INDIRECT((ADDRESS(ROW(OF26),$I$11+(MATCH(OF$11,L.DATE,0))))&amp;":"&amp;(ADDRESS(ROW(OF26),$I$11+OG$11+(MATCH(OF$11,L.DATE,0))-1))),L.ABSP)=0,"",xcomp(INDIRECT((ADDRESS(ROW(OF26),$I$11+(MATCH(OF$11,L.DATE,0))))&amp;":"&amp;(ADDRESS(ROW(OF26),$I$11+OG$11+(MATCH(OF$11,L.DATE,0))-1))),L.ABSP))</f>
        <v/>
      </c>
      <c r="OG27" s="377" t="str" cm="1">
        <f t="array" aca="1" ref="OG27" ca="1">IF(xcomp(INDIRECT((ADDRESS(ROW(OG26),$I$11+(MATCH(OF$11,L.DATE,0))))&amp;":"&amp;(ADDRESS(ROW(OG26),$I$11+OG$11+(MATCH(OF$11,L.DATE,0))-1))),L.ABS.NP)=0,"",xcomp(INDIRECT((ADDRESS(ROW(OG26),$I$11+(MATCH(OF$11,L.DATE,0))))&amp;":"&amp;(ADDRESS(ROW(OG26),$I$11+OG$11+(MATCH(OF$11,L.DATE,0))-1))),L.ABS.NP))</f>
        <v/>
      </c>
      <c r="OH27" s="376" t="str" cm="1">
        <f t="array" aca="1" ref="OH27" ca="1">IF(xcomp(INDIRECT((ADDRESS(ROW(OH26),$I$11+(MATCH(OH$11,L.DATE,0))))&amp;":"&amp;(ADDRESS(ROW(OH26),$I$11+OI$11+(MATCH(OH$11,L.DATE,0))-1))),L.ABSP)=0,"",xcomp(INDIRECT((ADDRESS(ROW(OH26),$I$11+(MATCH(OH$11,L.DATE,0))))&amp;":"&amp;(ADDRESS(ROW(OH26),$I$11+OI$11+(MATCH(OH$11,L.DATE,0))-1))),L.ABSP))</f>
        <v/>
      </c>
      <c r="OI27" s="377" t="str" cm="1">
        <f t="array" aca="1" ref="OI27" ca="1">IF(xcomp(INDIRECT((ADDRESS(ROW(OI26),$I$11+(MATCH(OH$11,L.DATE,0))))&amp;":"&amp;(ADDRESS(ROW(OI26),$I$11+OI$11+(MATCH(OH$11,L.DATE,0))-1))),L.ABS.NP)=0,"",xcomp(INDIRECT((ADDRESS(ROW(OI26),$I$11+(MATCH(OH$11,L.DATE,0))))&amp;":"&amp;(ADDRESS(ROW(OI26),$I$11+OI$11+(MATCH(OH$11,L.DATE,0))-1))),L.ABS.NP))</f>
        <v/>
      </c>
      <c r="OJ27" s="376" t="str" cm="1">
        <f t="array" aca="1" ref="OJ27" ca="1">IF(xcomp(INDIRECT((ADDRESS(ROW(OJ26),$I$11+(MATCH(OJ$11,L.DATE,0))))&amp;":"&amp;(ADDRESS(ROW(OJ26),$I$11+OK$11+(MATCH(OJ$11,L.DATE,0))-1))),L.ABSP)=0,"",xcomp(INDIRECT((ADDRESS(ROW(OJ26),$I$11+(MATCH(OJ$11,L.DATE,0))))&amp;":"&amp;(ADDRESS(ROW(OJ26),$I$11+OK$11+(MATCH(OJ$11,L.DATE,0))-1))),L.ABSP))</f>
        <v/>
      </c>
      <c r="OK27" s="378" t="str" cm="1">
        <f t="array" aca="1" ref="OK27" ca="1">IF(xcomp(INDIRECT((ADDRESS(ROW(OK26),$I$11+(MATCH(OJ$11,L.DATE,0))))&amp;":"&amp;(ADDRESS(ROW(OK26),$I$11+OK$11+(MATCH(OJ$11,L.DATE,0))-1))),L.ABS.NP)=0,"",xcomp(INDIRECT((ADDRESS(ROW(OK26),$I$11+(MATCH(OJ$11,L.DATE,0))))&amp;":"&amp;(ADDRESS(ROW(OK26),$I$11+OK$11+(MATCH(OJ$11,L.DATE,0))-1))),L.ABS.NP))</f>
        <v/>
      </c>
    </row>
    <row r="28" spans="1:404" ht="12" customHeight="1" x14ac:dyDescent="0.3">
      <c r="A28" s="394" t="s">
        <v>38</v>
      </c>
      <c r="B28" s="381"/>
      <c r="C28" s="53"/>
      <c r="D28" s="392"/>
      <c r="E28" s="53"/>
      <c r="F28" s="53"/>
      <c r="G28" s="104"/>
      <c r="H28" s="108">
        <v>2</v>
      </c>
      <c r="I28" s="28"/>
      <c r="J28" s="382"/>
      <c r="K28" s="382"/>
      <c r="L28" s="382"/>
      <c r="M28" s="382"/>
      <c r="N28" s="382"/>
      <c r="O28" s="382"/>
      <c r="P28" s="382"/>
      <c r="Q28" s="382"/>
      <c r="R28" s="382"/>
      <c r="S28" s="382"/>
      <c r="T28" s="382"/>
      <c r="U28" s="382"/>
      <c r="V28" s="382"/>
      <c r="W28" s="382"/>
      <c r="X28" s="382"/>
      <c r="Y28" s="382"/>
      <c r="Z28" s="382"/>
      <c r="AA28" s="382"/>
      <c r="AB28" s="382"/>
      <c r="AC28" s="382"/>
      <c r="AD28" s="382"/>
      <c r="AE28" s="382"/>
      <c r="AF28" s="382"/>
      <c r="AG28" s="382"/>
      <c r="AH28" s="382"/>
      <c r="AI28" s="382"/>
      <c r="AJ28" s="382"/>
      <c r="AK28" s="382"/>
      <c r="AL28" s="382"/>
      <c r="AM28" s="382"/>
      <c r="AN28" s="382"/>
      <c r="AO28" s="382"/>
      <c r="AP28" s="382"/>
      <c r="AQ28" s="382"/>
      <c r="AR28" s="382"/>
      <c r="AS28" s="382"/>
      <c r="AT28" s="382"/>
      <c r="AU28" s="382"/>
      <c r="AV28" s="382"/>
      <c r="AW28" s="382"/>
      <c r="AX28" s="382"/>
      <c r="AY28" s="382"/>
      <c r="AZ28" s="382"/>
      <c r="BA28" s="382"/>
      <c r="BB28" s="382"/>
      <c r="BC28" s="382"/>
      <c r="BD28" s="382"/>
      <c r="BE28" s="382"/>
      <c r="BF28" s="382"/>
      <c r="BG28" s="382"/>
      <c r="BH28" s="382"/>
      <c r="BI28" s="382"/>
      <c r="BJ28" s="382"/>
      <c r="BK28" s="382"/>
      <c r="BL28" s="382"/>
      <c r="BM28" s="382"/>
      <c r="BN28" s="382"/>
      <c r="BO28" s="382"/>
      <c r="BP28" s="382"/>
      <c r="BQ28" s="382"/>
      <c r="BR28" s="382"/>
      <c r="BS28" s="382"/>
      <c r="BT28" s="382"/>
      <c r="BU28" s="382"/>
      <c r="BV28" s="382"/>
      <c r="BW28" s="382"/>
      <c r="BX28" s="382"/>
      <c r="BY28" s="382"/>
      <c r="BZ28" s="382"/>
      <c r="CA28" s="382"/>
      <c r="CB28" s="382"/>
      <c r="CC28" s="382"/>
      <c r="CD28" s="382"/>
      <c r="CE28" s="382"/>
      <c r="CF28" s="382"/>
      <c r="CG28" s="382"/>
      <c r="CH28" s="382"/>
      <c r="CI28" s="382"/>
      <c r="CJ28" s="382"/>
      <c r="CK28" s="382"/>
      <c r="CL28" s="382"/>
      <c r="CM28" s="382"/>
      <c r="CN28" s="382"/>
      <c r="CO28" s="382"/>
      <c r="CP28" s="382"/>
      <c r="CQ28" s="382"/>
      <c r="CR28" s="382"/>
      <c r="CS28" s="382"/>
      <c r="CT28" s="382"/>
      <c r="CU28" s="382"/>
      <c r="CV28" s="382"/>
      <c r="CW28" s="382"/>
      <c r="CX28" s="382"/>
      <c r="CY28" s="382"/>
      <c r="CZ28" s="382"/>
      <c r="DA28" s="382"/>
      <c r="DB28" s="382"/>
      <c r="DC28" s="382"/>
      <c r="DD28" s="382"/>
      <c r="DE28" s="382"/>
      <c r="DF28" s="382"/>
      <c r="DG28" s="382"/>
      <c r="DH28" s="382"/>
      <c r="DI28" s="382"/>
      <c r="DJ28" s="382"/>
      <c r="DK28" s="382"/>
      <c r="DL28" s="382"/>
      <c r="DM28" s="382"/>
      <c r="DN28" s="382"/>
      <c r="DO28" s="382"/>
      <c r="DP28" s="382"/>
      <c r="DQ28" s="382"/>
      <c r="DR28" s="382"/>
      <c r="DS28" s="382"/>
      <c r="DT28" s="382"/>
      <c r="DU28" s="382"/>
      <c r="DV28" s="382"/>
      <c r="DW28" s="382"/>
      <c r="DX28" s="382"/>
      <c r="DY28" s="382"/>
      <c r="DZ28" s="382"/>
      <c r="EA28" s="382"/>
      <c r="EB28" s="382"/>
      <c r="EC28" s="382"/>
      <c r="ED28" s="382"/>
      <c r="EE28" s="382"/>
      <c r="EF28" s="382"/>
      <c r="EG28" s="382"/>
      <c r="EH28" s="382"/>
      <c r="EI28" s="382"/>
      <c r="EJ28" s="382"/>
      <c r="EK28" s="382"/>
      <c r="EL28" s="382"/>
      <c r="EM28" s="382"/>
      <c r="EN28" s="382"/>
      <c r="EO28" s="382"/>
      <c r="EP28" s="382"/>
      <c r="EQ28" s="382"/>
      <c r="ER28" s="382"/>
      <c r="ES28" s="382"/>
      <c r="ET28" s="382"/>
      <c r="EU28" s="382"/>
      <c r="EV28" s="382"/>
      <c r="EW28" s="382"/>
      <c r="EX28" s="382"/>
      <c r="EY28" s="382"/>
      <c r="EZ28" s="382"/>
      <c r="FA28" s="382"/>
      <c r="FB28" s="382"/>
      <c r="FC28" s="382"/>
      <c r="FD28" s="382"/>
      <c r="FE28" s="382"/>
      <c r="FF28" s="382"/>
      <c r="FG28" s="382"/>
      <c r="FH28" s="382"/>
      <c r="FI28" s="382"/>
      <c r="FJ28" s="382"/>
      <c r="FK28" s="382"/>
      <c r="FL28" s="382"/>
      <c r="FM28" s="382"/>
      <c r="FN28" s="382"/>
      <c r="FO28" s="382"/>
      <c r="FP28" s="382"/>
      <c r="FQ28" s="382"/>
      <c r="FR28" s="382"/>
      <c r="FS28" s="382"/>
      <c r="FT28" s="382"/>
      <c r="FU28" s="382"/>
      <c r="FV28" s="382"/>
      <c r="FW28" s="382"/>
      <c r="FX28" s="382"/>
      <c r="FY28" s="382"/>
      <c r="FZ28" s="382"/>
      <c r="GA28" s="382"/>
      <c r="GB28" s="382"/>
      <c r="GC28" s="382"/>
      <c r="GD28" s="382"/>
      <c r="GE28" s="382"/>
      <c r="GF28" s="382"/>
      <c r="GG28" s="382"/>
      <c r="GH28" s="382"/>
      <c r="GI28" s="382"/>
      <c r="GJ28" s="382"/>
      <c r="GK28" s="382"/>
      <c r="GL28" s="382"/>
      <c r="GM28" s="382"/>
      <c r="GN28" s="382"/>
      <c r="GO28" s="382"/>
      <c r="GP28" s="382"/>
      <c r="GQ28" s="382"/>
      <c r="GR28" s="382"/>
      <c r="GS28" s="382"/>
      <c r="GT28" s="382"/>
      <c r="GU28" s="382"/>
      <c r="GV28" s="382"/>
      <c r="GW28" s="382"/>
      <c r="GX28" s="382"/>
      <c r="GY28" s="382"/>
      <c r="GZ28" s="382"/>
      <c r="HA28" s="382"/>
      <c r="HB28" s="382"/>
      <c r="HC28" s="382"/>
      <c r="HD28" s="382"/>
      <c r="HE28" s="382"/>
      <c r="HF28" s="382"/>
      <c r="HG28" s="382"/>
      <c r="HH28" s="382"/>
      <c r="HI28" s="382"/>
      <c r="HJ28" s="382"/>
      <c r="HK28" s="382"/>
      <c r="HL28" s="382"/>
      <c r="HM28" s="382"/>
      <c r="HN28" s="382"/>
      <c r="HO28" s="382"/>
      <c r="HP28" s="382"/>
      <c r="HQ28" s="382"/>
      <c r="HR28" s="382"/>
      <c r="HS28" s="382"/>
      <c r="HT28" s="382"/>
      <c r="HU28" s="382"/>
      <c r="HV28" s="382"/>
      <c r="HW28" s="382"/>
      <c r="HX28" s="382"/>
      <c r="HY28" s="382"/>
      <c r="HZ28" s="382"/>
      <c r="IA28" s="382"/>
      <c r="IB28" s="382"/>
      <c r="IC28" s="382"/>
      <c r="ID28" s="382"/>
      <c r="IE28" s="382"/>
      <c r="IF28" s="382"/>
      <c r="IG28" s="382"/>
      <c r="IH28" s="382"/>
      <c r="II28" s="382"/>
      <c r="IJ28" s="382"/>
      <c r="IK28" s="382"/>
      <c r="IL28" s="382"/>
      <c r="IM28" s="382"/>
      <c r="IN28" s="382"/>
      <c r="IO28" s="382"/>
      <c r="IP28" s="382"/>
      <c r="IQ28" s="382"/>
      <c r="IR28" s="382"/>
      <c r="IS28" s="382"/>
      <c r="IT28" s="382"/>
      <c r="IU28" s="382"/>
      <c r="IV28" s="382"/>
      <c r="IW28" s="382"/>
      <c r="IX28" s="382"/>
      <c r="IY28" s="382"/>
      <c r="IZ28" s="382"/>
      <c r="JA28" s="382"/>
      <c r="JB28" s="382"/>
      <c r="JC28" s="382"/>
      <c r="JD28" s="382"/>
      <c r="JE28" s="382"/>
      <c r="JF28" s="382"/>
      <c r="JG28" s="382"/>
      <c r="JH28" s="382"/>
      <c r="JI28" s="382"/>
      <c r="JJ28" s="382"/>
      <c r="JK28" s="382"/>
      <c r="JL28" s="382"/>
      <c r="JM28" s="382"/>
      <c r="JN28" s="382"/>
      <c r="JO28" s="382"/>
      <c r="JP28" s="382"/>
      <c r="JQ28" s="382"/>
      <c r="JR28" s="382"/>
      <c r="JS28" s="382"/>
      <c r="JT28" s="382"/>
      <c r="JU28" s="382"/>
      <c r="JV28" s="382"/>
      <c r="JW28" s="382"/>
      <c r="JX28" s="382"/>
      <c r="JY28" s="382"/>
      <c r="JZ28" s="382"/>
      <c r="KA28" s="382"/>
      <c r="KB28" s="382"/>
      <c r="KC28" s="382"/>
      <c r="KD28" s="382"/>
      <c r="KE28" s="382"/>
      <c r="KF28" s="382"/>
      <c r="KG28" s="382"/>
      <c r="KH28" s="382"/>
      <c r="KI28" s="382"/>
      <c r="KJ28" s="382"/>
      <c r="KK28" s="382"/>
      <c r="KL28" s="382"/>
      <c r="KM28" s="382"/>
      <c r="KN28" s="382"/>
      <c r="KO28" s="382"/>
      <c r="KP28" s="382"/>
      <c r="KQ28" s="382"/>
      <c r="KR28" s="382"/>
      <c r="KS28" s="382"/>
      <c r="KT28" s="382"/>
      <c r="KU28" s="382"/>
      <c r="KV28" s="382"/>
      <c r="KW28" s="382"/>
      <c r="KX28" s="382"/>
      <c r="KY28" s="382"/>
      <c r="KZ28" s="382"/>
      <c r="LA28" s="382"/>
      <c r="LB28" s="382"/>
      <c r="LC28" s="382"/>
      <c r="LD28" s="382"/>
      <c r="LE28" s="382"/>
      <c r="LF28" s="382"/>
      <c r="LG28" s="382"/>
      <c r="LH28" s="382"/>
      <c r="LI28" s="382"/>
      <c r="LJ28" s="382"/>
      <c r="LK28" s="382"/>
      <c r="LL28" s="382"/>
      <c r="LM28" s="382"/>
      <c r="LN28" s="382"/>
      <c r="LO28" s="382"/>
      <c r="LP28" s="382"/>
      <c r="LQ28" s="382"/>
      <c r="LR28" s="382"/>
      <c r="LS28" s="382"/>
      <c r="LT28" s="382"/>
      <c r="LU28" s="382"/>
      <c r="LV28" s="382"/>
      <c r="LW28" s="382"/>
      <c r="LX28" s="382"/>
      <c r="LY28" s="382"/>
      <c r="LZ28" s="382"/>
      <c r="MA28" s="382"/>
      <c r="MB28" s="382"/>
      <c r="MC28" s="382"/>
      <c r="MD28" s="382"/>
      <c r="ME28" s="382"/>
      <c r="MF28" s="382"/>
      <c r="MG28" s="382"/>
      <c r="MH28" s="382"/>
      <c r="MI28" s="382"/>
      <c r="MJ28" s="382"/>
      <c r="MK28" s="382"/>
      <c r="ML28" s="382"/>
      <c r="MM28" s="382"/>
      <c r="MN28" s="382"/>
      <c r="MO28" s="382"/>
      <c r="MP28" s="382"/>
      <c r="MQ28" s="382"/>
      <c r="MR28" s="382"/>
      <c r="MS28" s="382"/>
      <c r="MT28" s="382"/>
      <c r="MU28" s="382"/>
      <c r="MV28" s="382"/>
      <c r="MW28" s="382"/>
      <c r="MX28" s="382"/>
      <c r="MY28" s="382"/>
      <c r="MZ28" s="382"/>
      <c r="NA28" s="382"/>
      <c r="NB28" s="382"/>
      <c r="NC28" s="382"/>
      <c r="ND28" s="382"/>
      <c r="NE28" s="382"/>
      <c r="NF28" s="382"/>
      <c r="NG28" s="382"/>
      <c r="NH28" s="382"/>
      <c r="NI28" s="382"/>
      <c r="NJ28" s="388"/>
      <c r="NK28" s="34"/>
      <c r="NM28" s="159" t="str">
        <f>A28</f>
        <v>/!\  NE PAS SAISIR ICI  /!\</v>
      </c>
      <c r="NN28" s="373">
        <f ca="1">COUNTIF(INDIRECT((ADDRESS(ROW(NO29),$I$11+(MATCH(NN$11,L.DATE,0))))&amp;":"&amp;(ADDRESS(ROW(NO29),$I$11+NO$11+(MATCH(NN$11,L.DATE,0))-1))),"&gt;=0")-NO28</f>
        <v>0</v>
      </c>
      <c r="NO28" s="374">
        <f ca="1">SUM(INDIRECT((ADDRESS(ROW(NO29),$I$11+(MATCH(NN$11,L.DATE,0))))&amp;":"&amp;(ADDRESS(ROW(NO29),$I$11+NO$11+(MATCH(NN$11,L.DATE,0))-1))))</f>
        <v>0</v>
      </c>
      <c r="NP28" s="373">
        <f ca="1">COUNTIF(INDIRECT((ADDRESS(ROW(NQ29),$I$11+(MATCH(NP$11,L.DATE,0))))&amp;":"&amp;(ADDRESS(ROW(NQ29),$I$11+NQ$11+(MATCH(NP$11,L.DATE,0))-1))),"&gt;=0")-NQ28</f>
        <v>0</v>
      </c>
      <c r="NQ28" s="374">
        <f ca="1">SUM(INDIRECT((ADDRESS(ROW(NQ29),$I$11+(MATCH(NP$11,L.DATE,0))))&amp;":"&amp;(ADDRESS(ROW(NQ29),$I$11+NQ$11+(MATCH(NP$11,L.DATE,0))-1))))</f>
        <v>0</v>
      </c>
      <c r="NR28" s="373">
        <f ca="1">COUNTIF(INDIRECT((ADDRESS(ROW(NS29),$I$11+(MATCH(NR$11,L.DATE,0))))&amp;":"&amp;(ADDRESS(ROW(NS29),$I$11+NS$11+(MATCH(NR$11,L.DATE,0))-1))),"&gt;=0")-NS28</f>
        <v>0</v>
      </c>
      <c r="NS28" s="374">
        <f ca="1">SUM(INDIRECT((ADDRESS(ROW(NS29),$I$11+(MATCH(NR$11,L.DATE,0))))&amp;":"&amp;(ADDRESS(ROW(NS29),$I$11+NS$11+(MATCH(NR$11,L.DATE,0))-1))))</f>
        <v>0</v>
      </c>
      <c r="NT28" s="373">
        <f ca="1">COUNTIF(INDIRECT((ADDRESS(ROW(NU29),$I$11+(MATCH(NT$11,L.DATE,0))))&amp;":"&amp;(ADDRESS(ROW(NU29),$I$11+NU$11+(MATCH(NT$11,L.DATE,0))-1))),"&gt;=0")-NU28</f>
        <v>0</v>
      </c>
      <c r="NU28" s="374">
        <f ca="1">SUM(INDIRECT((ADDRESS(ROW(NU29),$I$11+(MATCH(NT$11,L.DATE,0))))&amp;":"&amp;(ADDRESS(ROW(NU29),$I$11+NU$11+(MATCH(NT$11,L.DATE,0))-1))))</f>
        <v>0</v>
      </c>
      <c r="NV28" s="373">
        <f ca="1">COUNTIF(INDIRECT((ADDRESS(ROW(NW29),$I$11+(MATCH(NV$11,L.DATE,0))))&amp;":"&amp;(ADDRESS(ROW(NW29),$I$11+NW$11+(MATCH(NV$11,L.DATE,0))-1))),"&gt;=0")-NW28</f>
        <v>0</v>
      </c>
      <c r="NW28" s="374">
        <f ca="1">SUM(INDIRECT((ADDRESS(ROW(NW29),$I$11+(MATCH(NV$11,L.DATE,0))))&amp;":"&amp;(ADDRESS(ROW(NW29),$I$11+NW$11+(MATCH(NV$11,L.DATE,0))-1))))</f>
        <v>0</v>
      </c>
      <c r="NX28" s="373">
        <f ca="1">COUNTIF(INDIRECT((ADDRESS(ROW(NY29),$I$11+(MATCH(NX$11,L.DATE,0))))&amp;":"&amp;(ADDRESS(ROW(NY29),$I$11+NY$11+(MATCH(NX$11,L.DATE,0))-1))),"&gt;=0")-NY28</f>
        <v>0</v>
      </c>
      <c r="NY28" s="374">
        <f ca="1">SUM(INDIRECT((ADDRESS(ROW(NY29),$I$11+(MATCH(NX$11,L.DATE,0))))&amp;":"&amp;(ADDRESS(ROW(NY29),$I$11+NY$11+(MATCH(NX$11,L.DATE,0))-1))))</f>
        <v>0</v>
      </c>
      <c r="NZ28" s="373">
        <f ca="1">COUNTIF(INDIRECT((ADDRESS(ROW(OA29),$I$11+(MATCH(NZ$11,L.DATE,0))))&amp;":"&amp;(ADDRESS(ROW(OA29),$I$11+OA$11+(MATCH(NZ$11,L.DATE,0))-1))),"&gt;=0")-OA28</f>
        <v>0</v>
      </c>
      <c r="OA28" s="374">
        <f ca="1">SUM(INDIRECT((ADDRESS(ROW(OA29),$I$11+(MATCH(NZ$11,L.DATE,0))))&amp;":"&amp;(ADDRESS(ROW(OA29),$I$11+OA$11+(MATCH(NZ$11,L.DATE,0))-1))))</f>
        <v>0</v>
      </c>
      <c r="OB28" s="373">
        <f ca="1">COUNTIF(INDIRECT((ADDRESS(ROW(OC29),$I$11+(MATCH(OB$11,L.DATE,0))))&amp;":"&amp;(ADDRESS(ROW(OC29),$I$11+OC$11+(MATCH(OB$11,L.DATE,0))-1))),"&gt;=0")-OC28</f>
        <v>0</v>
      </c>
      <c r="OC28" s="374">
        <f ca="1">SUM(INDIRECT((ADDRESS(ROW(OC29),$I$11+(MATCH(OB$11,L.DATE,0))))&amp;":"&amp;(ADDRESS(ROW(OC29),$I$11+OC$11+(MATCH(OB$11,L.DATE,0))-1))))</f>
        <v>0</v>
      </c>
      <c r="OD28" s="373">
        <f ca="1">COUNTIF(INDIRECT((ADDRESS(ROW(OE29),$I$11+(MATCH(OD$11,L.DATE,0))))&amp;":"&amp;(ADDRESS(ROW(OE29),$I$11+OE$11+(MATCH(OD$11,L.DATE,0))-1))),"&gt;=0")-OE28</f>
        <v>0</v>
      </c>
      <c r="OE28" s="374">
        <f ca="1">SUM(INDIRECT((ADDRESS(ROW(OE29),$I$11+(MATCH(OD$11,L.DATE,0))))&amp;":"&amp;(ADDRESS(ROW(OE29),$I$11+OE$11+(MATCH(OD$11,L.DATE,0))-1))))</f>
        <v>0</v>
      </c>
      <c r="OF28" s="373">
        <f ca="1">COUNTIF(INDIRECT((ADDRESS(ROW(OG29),$I$11+(MATCH(OF$11,L.DATE,0))))&amp;":"&amp;(ADDRESS(ROW(OG29),$I$11+OG$11+(MATCH(OF$11,L.DATE,0))-1))),"&gt;=0")-OG28</f>
        <v>0</v>
      </c>
      <c r="OG28" s="374">
        <f ca="1">SUM(INDIRECT((ADDRESS(ROW(OG29),$I$11+(MATCH(OF$11,L.DATE,0))))&amp;":"&amp;(ADDRESS(ROW(OG29),$I$11+OG$11+(MATCH(OF$11,L.DATE,0))-1))))</f>
        <v>0</v>
      </c>
      <c r="OH28" s="373">
        <f ca="1">COUNTIF(INDIRECT((ADDRESS(ROW(OI29),$I$11+(MATCH(OH$11,L.DATE,0))))&amp;":"&amp;(ADDRESS(ROW(OI29),$I$11+OI$11+(MATCH(OH$11,L.DATE,0))-1))),"&gt;=0")-OI28</f>
        <v>0</v>
      </c>
      <c r="OI28" s="374">
        <f ca="1">SUM(INDIRECT((ADDRESS(ROW(OI29),$I$11+(MATCH(OH$11,L.DATE,0))))&amp;":"&amp;(ADDRESS(ROW(OI29),$I$11+OI$11+(MATCH(OH$11,L.DATE,0))-1))))</f>
        <v>0</v>
      </c>
      <c r="OJ28" s="373">
        <f ca="1">COUNTIF(INDIRECT((ADDRESS(ROW(OK29),$I$11+(MATCH(OJ$11,L.DATE,0))))&amp;":"&amp;(ADDRESS(ROW(OK29),$I$11+OK$11+(MATCH(OJ$11,L.DATE,0))-1))),"&gt;=0")-OK28</f>
        <v>0</v>
      </c>
      <c r="OK28" s="375">
        <f ca="1">SUM(INDIRECT((ADDRESS(ROW(OK29),$I$11+(MATCH(OJ$11,L.DATE,0))))&amp;":"&amp;(ADDRESS(ROW(OK29),$I$11+OK$11+(MATCH(OJ$11,L.DATE,0))-1))))</f>
        <v>0</v>
      </c>
      <c r="OM28" s="39">
        <f ca="1">NN28+NP28+NR28+NT28+NV28+NX28+NZ28+OB28+OD28+OF28+OJ28+OH28</f>
        <v>0</v>
      </c>
      <c r="ON28" s="40">
        <f ca="1">NO28+NQ28+NS28+NU28+NW28+NY28+OA28+OC28+OE28+OG28+OK28+OI28</f>
        <v>0</v>
      </c>
    </row>
    <row r="29" spans="1:404" x14ac:dyDescent="0.3">
      <c r="A29" s="33"/>
      <c r="B29" s="16">
        <f t="shared" ref="B29:H29" si="27">B28</f>
        <v>0</v>
      </c>
      <c r="C29" s="16">
        <f t="shared" si="27"/>
        <v>0</v>
      </c>
      <c r="D29" s="16">
        <f t="shared" si="27"/>
        <v>0</v>
      </c>
      <c r="E29" s="16">
        <f t="shared" si="27"/>
        <v>0</v>
      </c>
      <c r="F29" s="16">
        <f t="shared" si="27"/>
        <v>0</v>
      </c>
      <c r="G29" s="105">
        <f t="shared" si="27"/>
        <v>0</v>
      </c>
      <c r="H29" s="109">
        <f t="shared" si="27"/>
        <v>2</v>
      </c>
      <c r="I29" s="28"/>
      <c r="J29" s="382"/>
      <c r="K29" s="382"/>
      <c r="L29" s="382"/>
      <c r="M29" s="382"/>
      <c r="N29" s="382"/>
      <c r="O29" s="382"/>
      <c r="P29" s="382"/>
      <c r="Q29" s="382"/>
      <c r="R29" s="382"/>
      <c r="S29" s="382"/>
      <c r="T29" s="382"/>
      <c r="U29" s="382"/>
      <c r="V29" s="382"/>
      <c r="W29" s="382"/>
      <c r="X29" s="382"/>
      <c r="Y29" s="382"/>
      <c r="Z29" s="382"/>
      <c r="AA29" s="382"/>
      <c r="AB29" s="382"/>
      <c r="AC29" s="382"/>
      <c r="AD29" s="382"/>
      <c r="AE29" s="382"/>
      <c r="AF29" s="382"/>
      <c r="AG29" s="382"/>
      <c r="AH29" s="382"/>
      <c r="AI29" s="382"/>
      <c r="AJ29" s="382"/>
      <c r="AK29" s="382"/>
      <c r="AL29" s="382"/>
      <c r="AM29" s="382"/>
      <c r="AN29" s="382"/>
      <c r="AO29" s="382"/>
      <c r="AP29" s="382"/>
      <c r="AQ29" s="382"/>
      <c r="AR29" s="382"/>
      <c r="AS29" s="382"/>
      <c r="AT29" s="382"/>
      <c r="AU29" s="382"/>
      <c r="AV29" s="382"/>
      <c r="AW29" s="382"/>
      <c r="AX29" s="382"/>
      <c r="AY29" s="382"/>
      <c r="AZ29" s="382"/>
      <c r="BA29" s="382"/>
      <c r="BB29" s="382"/>
      <c r="BC29" s="382"/>
      <c r="BD29" s="382"/>
      <c r="BE29" s="382"/>
      <c r="BF29" s="382"/>
      <c r="BG29" s="382"/>
      <c r="BH29" s="382"/>
      <c r="BI29" s="382"/>
      <c r="BJ29" s="382"/>
      <c r="BK29" s="382"/>
      <c r="BL29" s="382"/>
      <c r="BM29" s="382"/>
      <c r="BN29" s="382"/>
      <c r="BO29" s="382"/>
      <c r="BP29" s="382"/>
      <c r="BQ29" s="382"/>
      <c r="BR29" s="382"/>
      <c r="BS29" s="382"/>
      <c r="BT29" s="382"/>
      <c r="BU29" s="382"/>
      <c r="BV29" s="382"/>
      <c r="BW29" s="382"/>
      <c r="BX29" s="382"/>
      <c r="BY29" s="382"/>
      <c r="BZ29" s="382"/>
      <c r="CA29" s="382"/>
      <c r="CB29" s="382"/>
      <c r="CC29" s="382"/>
      <c r="CD29" s="382"/>
      <c r="CE29" s="382"/>
      <c r="CF29" s="382"/>
      <c r="CG29" s="382"/>
      <c r="CH29" s="382"/>
      <c r="CI29" s="382"/>
      <c r="CJ29" s="382"/>
      <c r="CK29" s="382"/>
      <c r="CL29" s="382"/>
      <c r="CM29" s="382"/>
      <c r="CN29" s="382"/>
      <c r="CO29" s="382"/>
      <c r="CP29" s="382"/>
      <c r="CQ29" s="382"/>
      <c r="CR29" s="382"/>
      <c r="CS29" s="382"/>
      <c r="CT29" s="382"/>
      <c r="CU29" s="382"/>
      <c r="CV29" s="382"/>
      <c r="CW29" s="382"/>
      <c r="CX29" s="382"/>
      <c r="CY29" s="382"/>
      <c r="CZ29" s="382"/>
      <c r="DA29" s="382"/>
      <c r="DB29" s="382"/>
      <c r="DC29" s="382"/>
      <c r="DD29" s="382"/>
      <c r="DE29" s="382"/>
      <c r="DF29" s="382"/>
      <c r="DG29" s="382"/>
      <c r="DH29" s="382"/>
      <c r="DI29" s="382"/>
      <c r="DJ29" s="382"/>
      <c r="DK29" s="382"/>
      <c r="DL29" s="382"/>
      <c r="DM29" s="382"/>
      <c r="DN29" s="382"/>
      <c r="DO29" s="382"/>
      <c r="DP29" s="382"/>
      <c r="DQ29" s="382"/>
      <c r="DR29" s="382"/>
      <c r="DS29" s="382"/>
      <c r="DT29" s="382"/>
      <c r="DU29" s="382"/>
      <c r="DV29" s="382"/>
      <c r="DW29" s="382"/>
      <c r="DX29" s="382"/>
      <c r="DY29" s="382"/>
      <c r="DZ29" s="382"/>
      <c r="EA29" s="382"/>
      <c r="EB29" s="382"/>
      <c r="EC29" s="382"/>
      <c r="ED29" s="382"/>
      <c r="EE29" s="382"/>
      <c r="EF29" s="382"/>
      <c r="EG29" s="382"/>
      <c r="EH29" s="382"/>
      <c r="EI29" s="382"/>
      <c r="EJ29" s="382"/>
      <c r="EK29" s="382"/>
      <c r="EL29" s="382"/>
      <c r="EM29" s="382"/>
      <c r="EN29" s="382"/>
      <c r="EO29" s="382"/>
      <c r="EP29" s="382"/>
      <c r="EQ29" s="382"/>
      <c r="ER29" s="382"/>
      <c r="ES29" s="382"/>
      <c r="ET29" s="382"/>
      <c r="EU29" s="382"/>
      <c r="EV29" s="382"/>
      <c r="EW29" s="382"/>
      <c r="EX29" s="382"/>
      <c r="EY29" s="382"/>
      <c r="EZ29" s="382"/>
      <c r="FA29" s="382"/>
      <c r="FB29" s="382"/>
      <c r="FC29" s="382"/>
      <c r="FD29" s="382"/>
      <c r="FE29" s="382"/>
      <c r="FF29" s="382"/>
      <c r="FG29" s="382"/>
      <c r="FH29" s="382"/>
      <c r="FI29" s="382"/>
      <c r="FJ29" s="382"/>
      <c r="FK29" s="382"/>
      <c r="FL29" s="382"/>
      <c r="FM29" s="382"/>
      <c r="FN29" s="382"/>
      <c r="FO29" s="382"/>
      <c r="FP29" s="382"/>
      <c r="FQ29" s="382"/>
      <c r="FR29" s="382"/>
      <c r="FS29" s="382"/>
      <c r="FT29" s="382"/>
      <c r="FU29" s="382"/>
      <c r="FV29" s="382"/>
      <c r="FW29" s="382"/>
      <c r="FX29" s="382"/>
      <c r="FY29" s="382"/>
      <c r="FZ29" s="382"/>
      <c r="GA29" s="382"/>
      <c r="GB29" s="382"/>
      <c r="GC29" s="382"/>
      <c r="GD29" s="382"/>
      <c r="GE29" s="382"/>
      <c r="GF29" s="382"/>
      <c r="GG29" s="382"/>
      <c r="GH29" s="382"/>
      <c r="GI29" s="382"/>
      <c r="GJ29" s="382"/>
      <c r="GK29" s="382"/>
      <c r="GL29" s="382"/>
      <c r="GM29" s="382"/>
      <c r="GN29" s="382"/>
      <c r="GO29" s="382"/>
      <c r="GP29" s="382"/>
      <c r="GQ29" s="382"/>
      <c r="GR29" s="382"/>
      <c r="GS29" s="382"/>
      <c r="GT29" s="382"/>
      <c r="GU29" s="382"/>
      <c r="GV29" s="382"/>
      <c r="GW29" s="382"/>
      <c r="GX29" s="382"/>
      <c r="GY29" s="382"/>
      <c r="GZ29" s="382"/>
      <c r="HA29" s="382"/>
      <c r="HB29" s="382"/>
      <c r="HC29" s="382"/>
      <c r="HD29" s="382"/>
      <c r="HE29" s="382"/>
      <c r="HF29" s="382"/>
      <c r="HG29" s="382"/>
      <c r="HH29" s="382"/>
      <c r="HI29" s="382"/>
      <c r="HJ29" s="382"/>
      <c r="HK29" s="382"/>
      <c r="HL29" s="382"/>
      <c r="HM29" s="382"/>
      <c r="HN29" s="382"/>
      <c r="HO29" s="382"/>
      <c r="HP29" s="382"/>
      <c r="HQ29" s="382"/>
      <c r="HR29" s="382"/>
      <c r="HS29" s="382"/>
      <c r="HT29" s="382"/>
      <c r="HU29" s="382"/>
      <c r="HV29" s="382"/>
      <c r="HW29" s="382"/>
      <c r="HX29" s="382"/>
      <c r="HY29" s="382"/>
      <c r="HZ29" s="382"/>
      <c r="IA29" s="382"/>
      <c r="IB29" s="382"/>
      <c r="IC29" s="382"/>
      <c r="ID29" s="382"/>
      <c r="IE29" s="382"/>
      <c r="IF29" s="382"/>
      <c r="IG29" s="382"/>
      <c r="IH29" s="382"/>
      <c r="II29" s="382"/>
      <c r="IJ29" s="382"/>
      <c r="IK29" s="382"/>
      <c r="IL29" s="382"/>
      <c r="IM29" s="382"/>
      <c r="IN29" s="382"/>
      <c r="IO29" s="382"/>
      <c r="IP29" s="382"/>
      <c r="IQ29" s="382"/>
      <c r="IR29" s="382"/>
      <c r="IS29" s="382"/>
      <c r="IT29" s="382"/>
      <c r="IU29" s="382"/>
      <c r="IV29" s="382"/>
      <c r="IW29" s="382"/>
      <c r="IX29" s="382"/>
      <c r="IY29" s="382"/>
      <c r="IZ29" s="382"/>
      <c r="JA29" s="382"/>
      <c r="JB29" s="382"/>
      <c r="JC29" s="382"/>
      <c r="JD29" s="382"/>
      <c r="JE29" s="382"/>
      <c r="JF29" s="382"/>
      <c r="JG29" s="382"/>
      <c r="JH29" s="382"/>
      <c r="JI29" s="382"/>
      <c r="JJ29" s="382"/>
      <c r="JK29" s="382"/>
      <c r="JL29" s="382"/>
      <c r="JM29" s="382"/>
      <c r="JN29" s="382"/>
      <c r="JO29" s="382"/>
      <c r="JP29" s="382"/>
      <c r="JQ29" s="382"/>
      <c r="JR29" s="382"/>
      <c r="JS29" s="382"/>
      <c r="JT29" s="382"/>
      <c r="JU29" s="382"/>
      <c r="JV29" s="382"/>
      <c r="JW29" s="382"/>
      <c r="JX29" s="382"/>
      <c r="JY29" s="382"/>
      <c r="JZ29" s="382"/>
      <c r="KA29" s="382"/>
      <c r="KB29" s="382"/>
      <c r="KC29" s="382"/>
      <c r="KD29" s="382"/>
      <c r="KE29" s="382"/>
      <c r="KF29" s="382"/>
      <c r="KG29" s="382"/>
      <c r="KH29" s="382"/>
      <c r="KI29" s="382"/>
      <c r="KJ29" s="382"/>
      <c r="KK29" s="382"/>
      <c r="KL29" s="382"/>
      <c r="KM29" s="382"/>
      <c r="KN29" s="382"/>
      <c r="KO29" s="382"/>
      <c r="KP29" s="382"/>
      <c r="KQ29" s="382"/>
      <c r="KR29" s="382"/>
      <c r="KS29" s="382"/>
      <c r="KT29" s="382"/>
      <c r="KU29" s="382"/>
      <c r="KV29" s="382"/>
      <c r="KW29" s="382"/>
      <c r="KX29" s="382"/>
      <c r="KY29" s="382"/>
      <c r="KZ29" s="382"/>
      <c r="LA29" s="382"/>
      <c r="LB29" s="382"/>
      <c r="LC29" s="382"/>
      <c r="LD29" s="382"/>
      <c r="LE29" s="382"/>
      <c r="LF29" s="382"/>
      <c r="LG29" s="382"/>
      <c r="LH29" s="382"/>
      <c r="LI29" s="382"/>
      <c r="LJ29" s="382"/>
      <c r="LK29" s="382"/>
      <c r="LL29" s="382"/>
      <c r="LM29" s="382"/>
      <c r="LN29" s="382"/>
      <c r="LO29" s="382"/>
      <c r="LP29" s="382"/>
      <c r="LQ29" s="382"/>
      <c r="LR29" s="382"/>
      <c r="LS29" s="382"/>
      <c r="LT29" s="382"/>
      <c r="LU29" s="382"/>
      <c r="LV29" s="382"/>
      <c r="LW29" s="382"/>
      <c r="LX29" s="382"/>
      <c r="LY29" s="382"/>
      <c r="LZ29" s="382"/>
      <c r="MA29" s="382"/>
      <c r="MB29" s="382"/>
      <c r="MC29" s="382"/>
      <c r="MD29" s="382"/>
      <c r="ME29" s="382"/>
      <c r="MF29" s="382"/>
      <c r="MG29" s="382"/>
      <c r="MH29" s="382"/>
      <c r="MI29" s="382"/>
      <c r="MJ29" s="382"/>
      <c r="MK29" s="382"/>
      <c r="ML29" s="382"/>
      <c r="MM29" s="382"/>
      <c r="MN29" s="382"/>
      <c r="MO29" s="382"/>
      <c r="MP29" s="382"/>
      <c r="MQ29" s="382"/>
      <c r="MR29" s="382"/>
      <c r="MS29" s="382"/>
      <c r="MT29" s="382"/>
      <c r="MU29" s="382"/>
      <c r="MV29" s="382"/>
      <c r="MW29" s="382"/>
      <c r="MX29" s="382"/>
      <c r="MY29" s="382"/>
      <c r="MZ29" s="382"/>
      <c r="NA29" s="382"/>
      <c r="NB29" s="382"/>
      <c r="NC29" s="382"/>
      <c r="ND29" s="382"/>
      <c r="NE29" s="382"/>
      <c r="NF29" s="382"/>
      <c r="NG29" s="382"/>
      <c r="NH29" s="382"/>
      <c r="NI29" s="382"/>
      <c r="NJ29" s="388"/>
      <c r="NK29" s="34"/>
      <c r="NM29" s="379" t="str">
        <f>NM28&amp;".b"</f>
        <v>/!\  NE PAS SAISIR ICI  /!\.b</v>
      </c>
      <c r="NN29" s="376" t="str" cm="1">
        <f t="array" aca="1" ref="NN29" ca="1">IF(xcomp(INDIRECT((ADDRESS(ROW(NN28),$I$11+(MATCH(NN$11,L.DATE,0))))&amp;":"&amp;(ADDRESS(ROW(NN28),$I$11+NO$11+(MATCH(NN$11,L.DATE,0))-1))),L.ABSP)=0,"",xcomp(INDIRECT((ADDRESS(ROW(NN28),$I$11+(MATCH(NN$11,L.DATE,0))))&amp;":"&amp;(ADDRESS(ROW(NN28),$I$11+NO$11+(MATCH(NN$11,L.DATE,0))-1))),L.ABSP))</f>
        <v/>
      </c>
      <c r="NO29" s="377" t="str" cm="1">
        <f t="array" aca="1" ref="NO29" ca="1">IF(xcomp(INDIRECT((ADDRESS(ROW(NO28),$I$11+(MATCH(NN$11,L.DATE,0))))&amp;":"&amp;(ADDRESS(ROW(NO28),$I$11+NO$11+(MATCH(NN$11,L.DATE,0))-1))),L.ABS.NP)=0,"",xcomp(INDIRECT((ADDRESS(ROW(NO28),$I$11+(MATCH(NN$11,L.DATE,0))))&amp;":"&amp;(ADDRESS(ROW(NO28),$I$11+NO$11+(MATCH(NN$11,L.DATE,0))-1))),L.ABS.NP))</f>
        <v/>
      </c>
      <c r="NP29" s="376" t="str" cm="1">
        <f t="array" aca="1" ref="NP29" ca="1">IF(xcomp(INDIRECT((ADDRESS(ROW(NP28),$I$11+(MATCH(NP$11,L.DATE,0))))&amp;":"&amp;(ADDRESS(ROW(NP28),$I$11+NQ$11+(MATCH(NP$11,L.DATE,0))-1))),L.ABSP)=0,"",xcomp(INDIRECT((ADDRESS(ROW(NP28),$I$11+(MATCH(NP$11,L.DATE,0))))&amp;":"&amp;(ADDRESS(ROW(NP28),$I$11+NQ$11+(MATCH(NP$11,L.DATE,0))-1))),L.ABSP))</f>
        <v/>
      </c>
      <c r="NQ29" s="377" t="str" cm="1">
        <f t="array" aca="1" ref="NQ29" ca="1">IF(xcomp(INDIRECT((ADDRESS(ROW(NQ28),$I$11+(MATCH(NP$11,L.DATE,0))))&amp;":"&amp;(ADDRESS(ROW(NQ28),$I$11+NQ$11+(MATCH(NP$11,L.DATE,0))-1))),L.ABS.NP)=0,"",xcomp(INDIRECT((ADDRESS(ROW(NQ28),$I$11+(MATCH(NP$11,L.DATE,0))))&amp;":"&amp;(ADDRESS(ROW(NQ28),$I$11+NQ$11+(MATCH(NP$11,L.DATE,0))-1))),L.ABS.NP))</f>
        <v/>
      </c>
      <c r="NR29" s="376" t="str" cm="1">
        <f t="array" aca="1" ref="NR29" ca="1">IF(xcomp(INDIRECT((ADDRESS(ROW(NR28),$I$11+(MATCH(NR$11,L.DATE,0))))&amp;":"&amp;(ADDRESS(ROW(NR28),$I$11+NS$11+(MATCH(NR$11,L.DATE,0))-1))),L.ABSP)=0,"",xcomp(INDIRECT((ADDRESS(ROW(NR28),$I$11+(MATCH(NR$11,L.DATE,0))))&amp;":"&amp;(ADDRESS(ROW(NR28),$I$11+NS$11+(MATCH(NR$11,L.DATE,0))-1))),L.ABSP))</f>
        <v/>
      </c>
      <c r="NS29" s="377" t="str" cm="1">
        <f t="array" aca="1" ref="NS29" ca="1">IF(xcomp(INDIRECT((ADDRESS(ROW(NS28),$I$11+(MATCH(NR$11,L.DATE,0))))&amp;":"&amp;(ADDRESS(ROW(NS28),$I$11+NS$11+(MATCH(NR$11,L.DATE,0))-1))),L.ABS.NP)=0,"",xcomp(INDIRECT((ADDRESS(ROW(NS28),$I$11+(MATCH(NR$11,L.DATE,0))))&amp;":"&amp;(ADDRESS(ROW(NS28),$I$11+NS$11+(MATCH(NR$11,L.DATE,0))-1))),L.ABS.NP))</f>
        <v/>
      </c>
      <c r="NT29" s="376" t="str" cm="1">
        <f t="array" aca="1" ref="NT29" ca="1">IF(xcomp(INDIRECT((ADDRESS(ROW(NT28),$I$11+(MATCH(NT$11,L.DATE,0))))&amp;":"&amp;(ADDRESS(ROW(NT28),$I$11+NU$11+(MATCH(NT$11,L.DATE,0))-1))),L.ABSP)=0,"",xcomp(INDIRECT((ADDRESS(ROW(NT28),$I$11+(MATCH(NT$11,L.DATE,0))))&amp;":"&amp;(ADDRESS(ROW(NT28),$I$11+NU$11+(MATCH(NT$11,L.DATE,0))-1))),L.ABSP))</f>
        <v/>
      </c>
      <c r="NU29" s="377" t="str" cm="1">
        <f t="array" aca="1" ref="NU29" ca="1">IF(xcomp(INDIRECT((ADDRESS(ROW(NU28),$I$11+(MATCH(NT$11,L.DATE,0))))&amp;":"&amp;(ADDRESS(ROW(NU28),$I$11+NU$11+(MATCH(NT$11,L.DATE,0))-1))),L.ABS.NP)=0,"",xcomp(INDIRECT((ADDRESS(ROW(NU28),$I$11+(MATCH(NT$11,L.DATE,0))))&amp;":"&amp;(ADDRESS(ROW(NU28),$I$11+NU$11+(MATCH(NT$11,L.DATE,0))-1))),L.ABS.NP))</f>
        <v/>
      </c>
      <c r="NV29" s="376" t="str" cm="1">
        <f t="array" aca="1" ref="NV29" ca="1">IF(xcomp(INDIRECT((ADDRESS(ROW(NV28),$I$11+(MATCH(NV$11,L.DATE,0))))&amp;":"&amp;(ADDRESS(ROW(NV28),$I$11+NW$11+(MATCH(NV$11,L.DATE,0))-1))),L.ABSP)=0,"",xcomp(INDIRECT((ADDRESS(ROW(NV28),$I$11+(MATCH(NV$11,L.DATE,0))))&amp;":"&amp;(ADDRESS(ROW(NV28),$I$11+NW$11+(MATCH(NV$11,L.DATE,0))-1))),L.ABSP))</f>
        <v/>
      </c>
      <c r="NW29" s="377" t="str" cm="1">
        <f t="array" aca="1" ref="NW29" ca="1">IF(xcomp(INDIRECT((ADDRESS(ROW(NW28),$I$11+(MATCH(NV$11,L.DATE,0))))&amp;":"&amp;(ADDRESS(ROW(NW28),$I$11+NW$11+(MATCH(NV$11,L.DATE,0))-1))),L.ABS.NP)=0,"",xcomp(INDIRECT((ADDRESS(ROW(NW28),$I$11+(MATCH(NV$11,L.DATE,0))))&amp;":"&amp;(ADDRESS(ROW(NW28),$I$11+NW$11+(MATCH(NV$11,L.DATE,0))-1))),L.ABS.NP))</f>
        <v/>
      </c>
      <c r="NX29" s="376" t="str" cm="1">
        <f t="array" aca="1" ref="NX29" ca="1">IF(xcomp(INDIRECT((ADDRESS(ROW(NX28),$I$11+(MATCH(NX$11,L.DATE,0))))&amp;":"&amp;(ADDRESS(ROW(NX28),$I$11+NY$11+(MATCH(NX$11,L.DATE,0))-1))),L.ABSP)=0,"",xcomp(INDIRECT((ADDRESS(ROW(NX28),$I$11+(MATCH(NX$11,L.DATE,0))))&amp;":"&amp;(ADDRESS(ROW(NX28),$I$11+NY$11+(MATCH(NX$11,L.DATE,0))-1))),L.ABSP))</f>
        <v/>
      </c>
      <c r="NY29" s="377" t="str" cm="1">
        <f t="array" aca="1" ref="NY29" ca="1">IF(xcomp(INDIRECT((ADDRESS(ROW(NY28),$I$11+(MATCH(NX$11,L.DATE,0))))&amp;":"&amp;(ADDRESS(ROW(NY28),$I$11+NY$11+(MATCH(NX$11,L.DATE,0))-1))),L.ABS.NP)=0,"",xcomp(INDIRECT((ADDRESS(ROW(NY28),$I$11+(MATCH(NX$11,L.DATE,0))))&amp;":"&amp;(ADDRESS(ROW(NY28),$I$11+NY$11+(MATCH(NX$11,L.DATE,0))-1))),L.ABS.NP))</f>
        <v/>
      </c>
      <c r="NZ29" s="376" t="str" cm="1">
        <f t="array" aca="1" ref="NZ29" ca="1">IF(xcomp(INDIRECT((ADDRESS(ROW(NZ28),$I$11+(MATCH(NZ$11,L.DATE,0))))&amp;":"&amp;(ADDRESS(ROW(NZ28),$I$11+OA$11+(MATCH(NZ$11,L.DATE,0))-1))),L.ABSP)=0,"",xcomp(INDIRECT((ADDRESS(ROW(NZ28),$I$11+(MATCH(NZ$11,L.DATE,0))))&amp;":"&amp;(ADDRESS(ROW(NZ28),$I$11+OA$11+(MATCH(NZ$11,L.DATE,0))-1))),L.ABSP))</f>
        <v/>
      </c>
      <c r="OA29" s="377" t="str" cm="1">
        <f t="array" aca="1" ref="OA29" ca="1">IF(xcomp(INDIRECT((ADDRESS(ROW(OA28),$I$11+(MATCH(NZ$11,L.DATE,0))))&amp;":"&amp;(ADDRESS(ROW(OA28),$I$11+OA$11+(MATCH(NZ$11,L.DATE,0))-1))),L.ABS.NP)=0,"",xcomp(INDIRECT((ADDRESS(ROW(OA28),$I$11+(MATCH(NZ$11,L.DATE,0))))&amp;":"&amp;(ADDRESS(ROW(OA28),$I$11+OA$11+(MATCH(NZ$11,L.DATE,0))-1))),L.ABS.NP))</f>
        <v/>
      </c>
      <c r="OB29" s="376" t="str" cm="1">
        <f t="array" aca="1" ref="OB29" ca="1">IF(xcomp(INDIRECT((ADDRESS(ROW(OB28),$I$11+(MATCH(OB$11,L.DATE,0))))&amp;":"&amp;(ADDRESS(ROW(OB28),$I$11+OC$11+(MATCH(OB$11,L.DATE,0))-1))),L.ABSP)=0,"",xcomp(INDIRECT((ADDRESS(ROW(OB28),$I$11+(MATCH(OB$11,L.DATE,0))))&amp;":"&amp;(ADDRESS(ROW(OB28),$I$11+OC$11+(MATCH(OB$11,L.DATE,0))-1))),L.ABSP))</f>
        <v/>
      </c>
      <c r="OC29" s="377" t="str" cm="1">
        <f t="array" aca="1" ref="OC29" ca="1">IF(xcomp(INDIRECT((ADDRESS(ROW(OC28),$I$11+(MATCH(OB$11,L.DATE,0))))&amp;":"&amp;(ADDRESS(ROW(OC28),$I$11+OC$11+(MATCH(OB$11,L.DATE,0))-1))),L.ABS.NP)=0,"",xcomp(INDIRECT((ADDRESS(ROW(OC28),$I$11+(MATCH(OB$11,L.DATE,0))))&amp;":"&amp;(ADDRESS(ROW(OC28),$I$11+OC$11+(MATCH(OB$11,L.DATE,0))-1))),L.ABS.NP))</f>
        <v/>
      </c>
      <c r="OD29" s="376" t="str" cm="1">
        <f t="array" aca="1" ref="OD29" ca="1">IF(xcomp(INDIRECT((ADDRESS(ROW(OD28),$I$11+(MATCH(OD$11,L.DATE,0))))&amp;":"&amp;(ADDRESS(ROW(OD28),$I$11+OE$11+(MATCH(OD$11,L.DATE,0))-1))),L.ABSP)=0,"",xcomp(INDIRECT((ADDRESS(ROW(OD28),$I$11+(MATCH(OD$11,L.DATE,0))))&amp;":"&amp;(ADDRESS(ROW(OD28),$I$11+OE$11+(MATCH(OD$11,L.DATE,0))-1))),L.ABSP))</f>
        <v/>
      </c>
      <c r="OE29" s="377" t="str" cm="1">
        <f t="array" aca="1" ref="OE29" ca="1">IF(xcomp(INDIRECT((ADDRESS(ROW(OE28),$I$11+(MATCH(OD$11,L.DATE,0))))&amp;":"&amp;(ADDRESS(ROW(OE28),$I$11+OE$11+(MATCH(OD$11,L.DATE,0))-1))),L.ABS.NP)=0,"",xcomp(INDIRECT((ADDRESS(ROW(OE28),$I$11+(MATCH(OD$11,L.DATE,0))))&amp;":"&amp;(ADDRESS(ROW(OE28),$I$11+OE$11+(MATCH(OD$11,L.DATE,0))-1))),L.ABS.NP))</f>
        <v/>
      </c>
      <c r="OF29" s="376" t="str" cm="1">
        <f t="array" aca="1" ref="OF29" ca="1">IF(xcomp(INDIRECT((ADDRESS(ROW(OF28),$I$11+(MATCH(OF$11,L.DATE,0))))&amp;":"&amp;(ADDRESS(ROW(OF28),$I$11+OG$11+(MATCH(OF$11,L.DATE,0))-1))),L.ABSP)=0,"",xcomp(INDIRECT((ADDRESS(ROW(OF28),$I$11+(MATCH(OF$11,L.DATE,0))))&amp;":"&amp;(ADDRESS(ROW(OF28),$I$11+OG$11+(MATCH(OF$11,L.DATE,0))-1))),L.ABSP))</f>
        <v/>
      </c>
      <c r="OG29" s="377" t="str" cm="1">
        <f t="array" aca="1" ref="OG29" ca="1">IF(xcomp(INDIRECT((ADDRESS(ROW(OG28),$I$11+(MATCH(OF$11,L.DATE,0))))&amp;":"&amp;(ADDRESS(ROW(OG28),$I$11+OG$11+(MATCH(OF$11,L.DATE,0))-1))),L.ABS.NP)=0,"",xcomp(INDIRECT((ADDRESS(ROW(OG28),$I$11+(MATCH(OF$11,L.DATE,0))))&amp;":"&amp;(ADDRESS(ROW(OG28),$I$11+OG$11+(MATCH(OF$11,L.DATE,0))-1))),L.ABS.NP))</f>
        <v/>
      </c>
      <c r="OH29" s="376" t="str" cm="1">
        <f t="array" aca="1" ref="OH29" ca="1">IF(xcomp(INDIRECT((ADDRESS(ROW(OH28),$I$11+(MATCH(OH$11,L.DATE,0))))&amp;":"&amp;(ADDRESS(ROW(OH28),$I$11+OI$11+(MATCH(OH$11,L.DATE,0))-1))),L.ABSP)=0,"",xcomp(INDIRECT((ADDRESS(ROW(OH28),$I$11+(MATCH(OH$11,L.DATE,0))))&amp;":"&amp;(ADDRESS(ROW(OH28),$I$11+OI$11+(MATCH(OH$11,L.DATE,0))-1))),L.ABSP))</f>
        <v/>
      </c>
      <c r="OI29" s="377" t="str" cm="1">
        <f t="array" aca="1" ref="OI29" ca="1">IF(xcomp(INDIRECT((ADDRESS(ROW(OI28),$I$11+(MATCH(OH$11,L.DATE,0))))&amp;":"&amp;(ADDRESS(ROW(OI28),$I$11+OI$11+(MATCH(OH$11,L.DATE,0))-1))),L.ABS.NP)=0,"",xcomp(INDIRECT((ADDRESS(ROW(OI28),$I$11+(MATCH(OH$11,L.DATE,0))))&amp;":"&amp;(ADDRESS(ROW(OI28),$I$11+OI$11+(MATCH(OH$11,L.DATE,0))-1))),L.ABS.NP))</f>
        <v/>
      </c>
      <c r="OJ29" s="376" t="str" cm="1">
        <f t="array" aca="1" ref="OJ29" ca="1">IF(xcomp(INDIRECT((ADDRESS(ROW(OJ28),$I$11+(MATCH(OJ$11,L.DATE,0))))&amp;":"&amp;(ADDRESS(ROW(OJ28),$I$11+OK$11+(MATCH(OJ$11,L.DATE,0))-1))),L.ABSP)=0,"",xcomp(INDIRECT((ADDRESS(ROW(OJ28),$I$11+(MATCH(OJ$11,L.DATE,0))))&amp;":"&amp;(ADDRESS(ROW(OJ28),$I$11+OK$11+(MATCH(OJ$11,L.DATE,0))-1))),L.ABSP))</f>
        <v/>
      </c>
      <c r="OK29" s="378" t="str" cm="1">
        <f t="array" aca="1" ref="OK29" ca="1">IF(xcomp(INDIRECT((ADDRESS(ROW(OK28),$I$11+(MATCH(OJ$11,L.DATE,0))))&amp;":"&amp;(ADDRESS(ROW(OK28),$I$11+OK$11+(MATCH(OJ$11,L.DATE,0))-1))),L.ABS.NP)=0,"",xcomp(INDIRECT((ADDRESS(ROW(OK28),$I$11+(MATCH(OJ$11,L.DATE,0))))&amp;":"&amp;(ADDRESS(ROW(OK28),$I$11+OK$11+(MATCH(OJ$11,L.DATE,0))-1))),L.ABS.NP))</f>
        <v/>
      </c>
    </row>
    <row r="30" spans="1:404" ht="14" customHeight="1" x14ac:dyDescent="0.3">
      <c r="A30" s="99" t="s">
        <v>16</v>
      </c>
      <c r="B30" s="99" t="s">
        <v>16</v>
      </c>
      <c r="C30" s="99"/>
      <c r="D30" s="99"/>
      <c r="E30" s="99"/>
      <c r="F30" s="99"/>
      <c r="G30" s="99"/>
      <c r="H30" s="99"/>
      <c r="I30" s="28"/>
      <c r="J30" s="158" t="str">
        <f t="shared" ref="J30:BU30" si="28">IF(WEEKDAY(J$11,2)=1,"Sem "&amp;TEXT(_xlfn.ISOWEEKNUM(J$11),"0#"),"")</f>
        <v/>
      </c>
      <c r="K30" s="158" t="str">
        <f t="shared" si="28"/>
        <v>Sem 01</v>
      </c>
      <c r="L30" s="158" t="str">
        <f t="shared" si="28"/>
        <v/>
      </c>
      <c r="M30" s="158" t="str">
        <f t="shared" si="28"/>
        <v/>
      </c>
      <c r="N30" s="158" t="str">
        <f t="shared" si="28"/>
        <v/>
      </c>
      <c r="O30" s="158" t="str">
        <f t="shared" si="28"/>
        <v/>
      </c>
      <c r="P30" s="158" t="str">
        <f t="shared" si="28"/>
        <v/>
      </c>
      <c r="Q30" s="158" t="str">
        <f t="shared" si="28"/>
        <v/>
      </c>
      <c r="R30" s="158" t="str">
        <f t="shared" si="28"/>
        <v>Sem 02</v>
      </c>
      <c r="S30" s="158" t="str">
        <f t="shared" si="28"/>
        <v/>
      </c>
      <c r="T30" s="158" t="str">
        <f t="shared" si="28"/>
        <v/>
      </c>
      <c r="U30" s="158" t="str">
        <f t="shared" si="28"/>
        <v/>
      </c>
      <c r="V30" s="158" t="str">
        <f t="shared" si="28"/>
        <v/>
      </c>
      <c r="W30" s="158" t="str">
        <f t="shared" si="28"/>
        <v/>
      </c>
      <c r="X30" s="158" t="str">
        <f t="shared" si="28"/>
        <v/>
      </c>
      <c r="Y30" s="158" t="str">
        <f t="shared" si="28"/>
        <v>Sem 03</v>
      </c>
      <c r="Z30" s="158" t="str">
        <f t="shared" si="28"/>
        <v/>
      </c>
      <c r="AA30" s="158" t="str">
        <f t="shared" si="28"/>
        <v/>
      </c>
      <c r="AB30" s="158" t="str">
        <f t="shared" si="28"/>
        <v/>
      </c>
      <c r="AC30" s="158" t="str">
        <f t="shared" si="28"/>
        <v/>
      </c>
      <c r="AD30" s="158" t="str">
        <f t="shared" si="28"/>
        <v/>
      </c>
      <c r="AE30" s="158" t="str">
        <f t="shared" si="28"/>
        <v/>
      </c>
      <c r="AF30" s="158" t="str">
        <f t="shared" si="28"/>
        <v>Sem 04</v>
      </c>
      <c r="AG30" s="158" t="str">
        <f t="shared" si="28"/>
        <v/>
      </c>
      <c r="AH30" s="158" t="str">
        <f t="shared" si="28"/>
        <v/>
      </c>
      <c r="AI30" s="158" t="str">
        <f t="shared" si="28"/>
        <v/>
      </c>
      <c r="AJ30" s="158" t="str">
        <f t="shared" si="28"/>
        <v/>
      </c>
      <c r="AK30" s="158" t="str">
        <f t="shared" si="28"/>
        <v/>
      </c>
      <c r="AL30" s="158" t="str">
        <f t="shared" si="28"/>
        <v/>
      </c>
      <c r="AM30" s="158" t="str">
        <f t="shared" si="28"/>
        <v>Sem 05</v>
      </c>
      <c r="AN30" s="158" t="str">
        <f t="shared" si="28"/>
        <v/>
      </c>
      <c r="AO30" s="158" t="str">
        <f t="shared" si="28"/>
        <v/>
      </c>
      <c r="AP30" s="158" t="str">
        <f t="shared" si="28"/>
        <v/>
      </c>
      <c r="AQ30" s="158" t="str">
        <f t="shared" si="28"/>
        <v/>
      </c>
      <c r="AR30" s="158" t="str">
        <f t="shared" si="28"/>
        <v/>
      </c>
      <c r="AS30" s="158" t="str">
        <f t="shared" si="28"/>
        <v/>
      </c>
      <c r="AT30" s="158" t="str">
        <f t="shared" si="28"/>
        <v>Sem 06</v>
      </c>
      <c r="AU30" s="158" t="str">
        <f t="shared" si="28"/>
        <v/>
      </c>
      <c r="AV30" s="158" t="str">
        <f t="shared" si="28"/>
        <v/>
      </c>
      <c r="AW30" s="158" t="str">
        <f t="shared" si="28"/>
        <v/>
      </c>
      <c r="AX30" s="158" t="str">
        <f t="shared" si="28"/>
        <v/>
      </c>
      <c r="AY30" s="158" t="str">
        <f t="shared" si="28"/>
        <v/>
      </c>
      <c r="AZ30" s="158" t="str">
        <f t="shared" si="28"/>
        <v/>
      </c>
      <c r="BA30" s="158" t="str">
        <f t="shared" si="28"/>
        <v>Sem 07</v>
      </c>
      <c r="BB30" s="158" t="str">
        <f t="shared" si="28"/>
        <v/>
      </c>
      <c r="BC30" s="158" t="str">
        <f t="shared" si="28"/>
        <v/>
      </c>
      <c r="BD30" s="158" t="str">
        <f t="shared" si="28"/>
        <v/>
      </c>
      <c r="BE30" s="158" t="str">
        <f t="shared" si="28"/>
        <v/>
      </c>
      <c r="BF30" s="158" t="str">
        <f t="shared" si="28"/>
        <v/>
      </c>
      <c r="BG30" s="158" t="str">
        <f t="shared" si="28"/>
        <v/>
      </c>
      <c r="BH30" s="158" t="str">
        <f t="shared" si="28"/>
        <v>Sem 08</v>
      </c>
      <c r="BI30" s="158" t="str">
        <f t="shared" si="28"/>
        <v/>
      </c>
      <c r="BJ30" s="158" t="str">
        <f t="shared" si="28"/>
        <v/>
      </c>
      <c r="BK30" s="158" t="str">
        <f t="shared" si="28"/>
        <v/>
      </c>
      <c r="BL30" s="158" t="str">
        <f t="shared" si="28"/>
        <v/>
      </c>
      <c r="BM30" s="158" t="str">
        <f t="shared" si="28"/>
        <v/>
      </c>
      <c r="BN30" s="158" t="str">
        <f t="shared" si="28"/>
        <v/>
      </c>
      <c r="BO30" s="158" t="str">
        <f t="shared" si="28"/>
        <v>Sem 09</v>
      </c>
      <c r="BP30" s="158" t="str">
        <f t="shared" si="28"/>
        <v/>
      </c>
      <c r="BQ30" s="158" t="str">
        <f t="shared" si="28"/>
        <v/>
      </c>
      <c r="BR30" s="158" t="str">
        <f t="shared" si="28"/>
        <v/>
      </c>
      <c r="BS30" s="158" t="str">
        <f t="shared" si="28"/>
        <v/>
      </c>
      <c r="BT30" s="158" t="str">
        <f t="shared" si="28"/>
        <v/>
      </c>
      <c r="BU30" s="158" t="str">
        <f t="shared" si="28"/>
        <v/>
      </c>
      <c r="BV30" s="158" t="str">
        <f t="shared" ref="BV30:EG30" si="29">IF(WEEKDAY(BV$11,2)=1,"Sem "&amp;TEXT(_xlfn.ISOWEEKNUM(BV$11),"0#"),"")</f>
        <v>Sem 10</v>
      </c>
      <c r="BW30" s="158" t="str">
        <f t="shared" si="29"/>
        <v/>
      </c>
      <c r="BX30" s="158" t="str">
        <f t="shared" si="29"/>
        <v/>
      </c>
      <c r="BY30" s="158" t="str">
        <f t="shared" si="29"/>
        <v/>
      </c>
      <c r="BZ30" s="158" t="str">
        <f t="shared" si="29"/>
        <v/>
      </c>
      <c r="CA30" s="158" t="str">
        <f t="shared" si="29"/>
        <v/>
      </c>
      <c r="CB30" s="158" t="str">
        <f t="shared" si="29"/>
        <v/>
      </c>
      <c r="CC30" s="158" t="str">
        <f t="shared" si="29"/>
        <v>Sem 11</v>
      </c>
      <c r="CD30" s="158" t="str">
        <f t="shared" si="29"/>
        <v/>
      </c>
      <c r="CE30" s="158" t="str">
        <f t="shared" si="29"/>
        <v/>
      </c>
      <c r="CF30" s="158" t="str">
        <f t="shared" si="29"/>
        <v/>
      </c>
      <c r="CG30" s="158" t="str">
        <f t="shared" si="29"/>
        <v/>
      </c>
      <c r="CH30" s="158" t="str">
        <f t="shared" si="29"/>
        <v/>
      </c>
      <c r="CI30" s="158" t="str">
        <f t="shared" si="29"/>
        <v/>
      </c>
      <c r="CJ30" s="158" t="str">
        <f t="shared" si="29"/>
        <v>Sem 12</v>
      </c>
      <c r="CK30" s="158" t="str">
        <f t="shared" si="29"/>
        <v/>
      </c>
      <c r="CL30" s="158" t="str">
        <f t="shared" si="29"/>
        <v/>
      </c>
      <c r="CM30" s="158" t="str">
        <f t="shared" si="29"/>
        <v/>
      </c>
      <c r="CN30" s="158" t="str">
        <f t="shared" si="29"/>
        <v/>
      </c>
      <c r="CO30" s="158" t="str">
        <f t="shared" si="29"/>
        <v/>
      </c>
      <c r="CP30" s="158" t="str">
        <f t="shared" si="29"/>
        <v/>
      </c>
      <c r="CQ30" s="158" t="str">
        <f t="shared" si="29"/>
        <v>Sem 13</v>
      </c>
      <c r="CR30" s="158" t="str">
        <f t="shared" si="29"/>
        <v/>
      </c>
      <c r="CS30" s="158" t="str">
        <f t="shared" si="29"/>
        <v/>
      </c>
      <c r="CT30" s="158" t="str">
        <f t="shared" si="29"/>
        <v/>
      </c>
      <c r="CU30" s="158" t="str">
        <f t="shared" si="29"/>
        <v/>
      </c>
      <c r="CV30" s="158" t="str">
        <f t="shared" si="29"/>
        <v/>
      </c>
      <c r="CW30" s="158" t="str">
        <f t="shared" si="29"/>
        <v/>
      </c>
      <c r="CX30" s="158" t="str">
        <f t="shared" si="29"/>
        <v>Sem 14</v>
      </c>
      <c r="CY30" s="158" t="str">
        <f t="shared" si="29"/>
        <v/>
      </c>
      <c r="CZ30" s="158" t="str">
        <f t="shared" si="29"/>
        <v/>
      </c>
      <c r="DA30" s="158" t="str">
        <f t="shared" si="29"/>
        <v/>
      </c>
      <c r="DB30" s="158" t="str">
        <f t="shared" si="29"/>
        <v/>
      </c>
      <c r="DC30" s="158" t="str">
        <f t="shared" si="29"/>
        <v/>
      </c>
      <c r="DD30" s="158" t="str">
        <f t="shared" si="29"/>
        <v/>
      </c>
      <c r="DE30" s="158" t="str">
        <f t="shared" si="29"/>
        <v>Sem 15</v>
      </c>
      <c r="DF30" s="158" t="str">
        <f t="shared" si="29"/>
        <v/>
      </c>
      <c r="DG30" s="158" t="str">
        <f t="shared" si="29"/>
        <v/>
      </c>
      <c r="DH30" s="158" t="str">
        <f t="shared" si="29"/>
        <v/>
      </c>
      <c r="DI30" s="158" t="str">
        <f t="shared" si="29"/>
        <v/>
      </c>
      <c r="DJ30" s="158" t="str">
        <f t="shared" si="29"/>
        <v/>
      </c>
      <c r="DK30" s="158" t="str">
        <f t="shared" si="29"/>
        <v/>
      </c>
      <c r="DL30" s="158" t="str">
        <f t="shared" si="29"/>
        <v>Sem 16</v>
      </c>
      <c r="DM30" s="158" t="str">
        <f t="shared" si="29"/>
        <v/>
      </c>
      <c r="DN30" s="158" t="str">
        <f t="shared" si="29"/>
        <v/>
      </c>
      <c r="DO30" s="158" t="str">
        <f t="shared" si="29"/>
        <v/>
      </c>
      <c r="DP30" s="158" t="str">
        <f t="shared" si="29"/>
        <v/>
      </c>
      <c r="DQ30" s="158" t="str">
        <f t="shared" si="29"/>
        <v/>
      </c>
      <c r="DR30" s="158" t="str">
        <f t="shared" si="29"/>
        <v/>
      </c>
      <c r="DS30" s="158" t="str">
        <f t="shared" si="29"/>
        <v>Sem 17</v>
      </c>
      <c r="DT30" s="158" t="str">
        <f t="shared" si="29"/>
        <v/>
      </c>
      <c r="DU30" s="158" t="str">
        <f t="shared" si="29"/>
        <v/>
      </c>
      <c r="DV30" s="158" t="str">
        <f t="shared" si="29"/>
        <v/>
      </c>
      <c r="DW30" s="158" t="str">
        <f t="shared" si="29"/>
        <v/>
      </c>
      <c r="DX30" s="158" t="str">
        <f t="shared" si="29"/>
        <v/>
      </c>
      <c r="DY30" s="158" t="str">
        <f t="shared" si="29"/>
        <v/>
      </c>
      <c r="DZ30" s="158" t="str">
        <f t="shared" si="29"/>
        <v>Sem 18</v>
      </c>
      <c r="EA30" s="158" t="str">
        <f t="shared" si="29"/>
        <v/>
      </c>
      <c r="EB30" s="158" t="str">
        <f t="shared" si="29"/>
        <v/>
      </c>
      <c r="EC30" s="158" t="str">
        <f t="shared" si="29"/>
        <v/>
      </c>
      <c r="ED30" s="158" t="str">
        <f t="shared" si="29"/>
        <v/>
      </c>
      <c r="EE30" s="158" t="str">
        <f t="shared" si="29"/>
        <v/>
      </c>
      <c r="EF30" s="158" t="str">
        <f t="shared" si="29"/>
        <v/>
      </c>
      <c r="EG30" s="158" t="str">
        <f t="shared" si="29"/>
        <v>Sem 19</v>
      </c>
      <c r="EH30" s="158" t="str">
        <f t="shared" ref="EH30:GS30" si="30">IF(WEEKDAY(EH$11,2)=1,"Sem "&amp;TEXT(_xlfn.ISOWEEKNUM(EH$11),"0#"),"")</f>
        <v/>
      </c>
      <c r="EI30" s="158" t="str">
        <f t="shared" si="30"/>
        <v/>
      </c>
      <c r="EJ30" s="158" t="str">
        <f t="shared" si="30"/>
        <v/>
      </c>
      <c r="EK30" s="158" t="str">
        <f t="shared" si="30"/>
        <v/>
      </c>
      <c r="EL30" s="158" t="str">
        <f t="shared" si="30"/>
        <v/>
      </c>
      <c r="EM30" s="158" t="str">
        <f t="shared" si="30"/>
        <v/>
      </c>
      <c r="EN30" s="158" t="str">
        <f t="shared" si="30"/>
        <v>Sem 20</v>
      </c>
      <c r="EO30" s="158" t="str">
        <f t="shared" si="30"/>
        <v/>
      </c>
      <c r="EP30" s="158" t="str">
        <f t="shared" si="30"/>
        <v/>
      </c>
      <c r="EQ30" s="158" t="str">
        <f t="shared" si="30"/>
        <v/>
      </c>
      <c r="ER30" s="158" t="str">
        <f t="shared" si="30"/>
        <v/>
      </c>
      <c r="ES30" s="158" t="str">
        <f t="shared" si="30"/>
        <v/>
      </c>
      <c r="ET30" s="158" t="str">
        <f t="shared" si="30"/>
        <v/>
      </c>
      <c r="EU30" s="158" t="str">
        <f t="shared" si="30"/>
        <v>Sem 21</v>
      </c>
      <c r="EV30" s="158" t="str">
        <f t="shared" si="30"/>
        <v/>
      </c>
      <c r="EW30" s="158" t="str">
        <f t="shared" si="30"/>
        <v/>
      </c>
      <c r="EX30" s="158" t="str">
        <f t="shared" si="30"/>
        <v/>
      </c>
      <c r="EY30" s="158" t="str">
        <f t="shared" si="30"/>
        <v/>
      </c>
      <c r="EZ30" s="158" t="str">
        <f t="shared" si="30"/>
        <v/>
      </c>
      <c r="FA30" s="158" t="str">
        <f t="shared" si="30"/>
        <v/>
      </c>
      <c r="FB30" s="158" t="str">
        <f t="shared" si="30"/>
        <v>Sem 22</v>
      </c>
      <c r="FC30" s="158" t="str">
        <f t="shared" si="30"/>
        <v/>
      </c>
      <c r="FD30" s="158" t="str">
        <f t="shared" si="30"/>
        <v/>
      </c>
      <c r="FE30" s="158" t="str">
        <f t="shared" si="30"/>
        <v/>
      </c>
      <c r="FF30" s="158" t="str">
        <f t="shared" si="30"/>
        <v/>
      </c>
      <c r="FG30" s="158" t="str">
        <f t="shared" si="30"/>
        <v/>
      </c>
      <c r="FH30" s="158" t="str">
        <f t="shared" si="30"/>
        <v/>
      </c>
      <c r="FI30" s="158" t="str">
        <f t="shared" si="30"/>
        <v>Sem 23</v>
      </c>
      <c r="FJ30" s="158" t="str">
        <f t="shared" si="30"/>
        <v/>
      </c>
      <c r="FK30" s="158" t="str">
        <f t="shared" si="30"/>
        <v/>
      </c>
      <c r="FL30" s="158" t="str">
        <f t="shared" si="30"/>
        <v/>
      </c>
      <c r="FM30" s="158" t="str">
        <f t="shared" si="30"/>
        <v/>
      </c>
      <c r="FN30" s="158" t="str">
        <f t="shared" si="30"/>
        <v/>
      </c>
      <c r="FO30" s="158" t="str">
        <f t="shared" si="30"/>
        <v/>
      </c>
      <c r="FP30" s="158" t="str">
        <f t="shared" si="30"/>
        <v>Sem 24</v>
      </c>
      <c r="FQ30" s="158" t="str">
        <f t="shared" si="30"/>
        <v/>
      </c>
      <c r="FR30" s="158" t="str">
        <f t="shared" si="30"/>
        <v/>
      </c>
      <c r="FS30" s="158" t="str">
        <f t="shared" si="30"/>
        <v/>
      </c>
      <c r="FT30" s="158" t="str">
        <f t="shared" si="30"/>
        <v/>
      </c>
      <c r="FU30" s="158" t="str">
        <f t="shared" si="30"/>
        <v/>
      </c>
      <c r="FV30" s="158" t="str">
        <f t="shared" si="30"/>
        <v/>
      </c>
      <c r="FW30" s="158" t="str">
        <f t="shared" si="30"/>
        <v>Sem 25</v>
      </c>
      <c r="FX30" s="158" t="str">
        <f t="shared" si="30"/>
        <v/>
      </c>
      <c r="FY30" s="158" t="str">
        <f t="shared" si="30"/>
        <v/>
      </c>
      <c r="FZ30" s="158" t="str">
        <f t="shared" si="30"/>
        <v/>
      </c>
      <c r="GA30" s="158" t="str">
        <f t="shared" si="30"/>
        <v/>
      </c>
      <c r="GB30" s="158" t="str">
        <f t="shared" si="30"/>
        <v/>
      </c>
      <c r="GC30" s="158" t="str">
        <f t="shared" si="30"/>
        <v/>
      </c>
      <c r="GD30" s="158" t="str">
        <f t="shared" si="30"/>
        <v>Sem 26</v>
      </c>
      <c r="GE30" s="158" t="str">
        <f t="shared" si="30"/>
        <v/>
      </c>
      <c r="GF30" s="158" t="str">
        <f t="shared" si="30"/>
        <v/>
      </c>
      <c r="GG30" s="158" t="str">
        <f t="shared" si="30"/>
        <v/>
      </c>
      <c r="GH30" s="158" t="str">
        <f t="shared" si="30"/>
        <v/>
      </c>
      <c r="GI30" s="158" t="str">
        <f t="shared" si="30"/>
        <v/>
      </c>
      <c r="GJ30" s="158" t="str">
        <f t="shared" si="30"/>
        <v/>
      </c>
      <c r="GK30" s="158" t="str">
        <f t="shared" si="30"/>
        <v>Sem 27</v>
      </c>
      <c r="GL30" s="158" t="str">
        <f t="shared" si="30"/>
        <v/>
      </c>
      <c r="GM30" s="158" t="str">
        <f t="shared" si="30"/>
        <v/>
      </c>
      <c r="GN30" s="158" t="str">
        <f t="shared" si="30"/>
        <v/>
      </c>
      <c r="GO30" s="158" t="str">
        <f t="shared" si="30"/>
        <v/>
      </c>
      <c r="GP30" s="158" t="str">
        <f t="shared" si="30"/>
        <v/>
      </c>
      <c r="GQ30" s="158" t="str">
        <f t="shared" si="30"/>
        <v/>
      </c>
      <c r="GR30" s="158" t="str">
        <f t="shared" si="30"/>
        <v>Sem 28</v>
      </c>
      <c r="GS30" s="158" t="str">
        <f t="shared" si="30"/>
        <v/>
      </c>
      <c r="GT30" s="158" t="str">
        <f t="shared" ref="GT30:HM30" si="31">IF(WEEKDAY(GT$11,2)=1,"Sem "&amp;TEXT(_xlfn.ISOWEEKNUM(GT$11),"0#"),"")</f>
        <v/>
      </c>
      <c r="GU30" s="158" t="str">
        <f t="shared" si="31"/>
        <v/>
      </c>
      <c r="GV30" s="158" t="str">
        <f t="shared" si="31"/>
        <v/>
      </c>
      <c r="GW30" s="158" t="str">
        <f t="shared" si="31"/>
        <v/>
      </c>
      <c r="GX30" s="158" t="str">
        <f t="shared" si="31"/>
        <v/>
      </c>
      <c r="GY30" s="158" t="str">
        <f t="shared" si="31"/>
        <v>Sem 29</v>
      </c>
      <c r="GZ30" s="158" t="str">
        <f t="shared" si="31"/>
        <v/>
      </c>
      <c r="HA30" s="158" t="str">
        <f t="shared" si="31"/>
        <v/>
      </c>
      <c r="HB30" s="158" t="str">
        <f t="shared" si="31"/>
        <v/>
      </c>
      <c r="HC30" s="158" t="str">
        <f t="shared" si="31"/>
        <v/>
      </c>
      <c r="HD30" s="158" t="str">
        <f t="shared" si="31"/>
        <v/>
      </c>
      <c r="HE30" s="158" t="str">
        <f t="shared" si="31"/>
        <v/>
      </c>
      <c r="HF30" s="158" t="str">
        <f t="shared" si="31"/>
        <v>Sem 30</v>
      </c>
      <c r="HG30" s="158" t="str">
        <f t="shared" si="31"/>
        <v/>
      </c>
      <c r="HH30" s="158" t="str">
        <f t="shared" si="31"/>
        <v/>
      </c>
      <c r="HI30" s="158" t="str">
        <f t="shared" si="31"/>
        <v/>
      </c>
      <c r="HJ30" s="158" t="str">
        <f t="shared" si="31"/>
        <v/>
      </c>
      <c r="HK30" s="158" t="str">
        <f t="shared" si="31"/>
        <v/>
      </c>
      <c r="HL30" s="158" t="str">
        <f t="shared" si="31"/>
        <v/>
      </c>
      <c r="HM30" s="158" t="str">
        <f t="shared" si="31"/>
        <v>Sem 31</v>
      </c>
      <c r="HN30" s="158" t="str">
        <f>IF(WEEKDAY(HN$11,2)=1,"Sem "&amp;TEXT(_xlfn.ISOWEEKNUM(HN$11),"0#"),"")</f>
        <v/>
      </c>
      <c r="HO30" s="158" t="str">
        <f t="shared" ref="HO30:JZ30" si="32">IF(WEEKDAY(HO$11,2)=1,"Sem "&amp;TEXT(_xlfn.ISOWEEKNUM(HO$11),"0#"),"")</f>
        <v/>
      </c>
      <c r="HP30" s="158" t="str">
        <f t="shared" si="32"/>
        <v/>
      </c>
      <c r="HQ30" s="158" t="str">
        <f t="shared" si="32"/>
        <v/>
      </c>
      <c r="HR30" s="158" t="str">
        <f t="shared" si="32"/>
        <v/>
      </c>
      <c r="HS30" s="158" t="str">
        <f t="shared" si="32"/>
        <v/>
      </c>
      <c r="HT30" s="158" t="str">
        <f t="shared" si="32"/>
        <v>Sem 32</v>
      </c>
      <c r="HU30" s="158" t="str">
        <f t="shared" si="32"/>
        <v/>
      </c>
      <c r="HV30" s="158" t="str">
        <f t="shared" si="32"/>
        <v/>
      </c>
      <c r="HW30" s="158" t="str">
        <f t="shared" si="32"/>
        <v/>
      </c>
      <c r="HX30" s="158" t="str">
        <f t="shared" si="32"/>
        <v/>
      </c>
      <c r="HY30" s="158" t="str">
        <f t="shared" si="32"/>
        <v/>
      </c>
      <c r="HZ30" s="158" t="str">
        <f t="shared" si="32"/>
        <v/>
      </c>
      <c r="IA30" s="158" t="str">
        <f t="shared" si="32"/>
        <v>Sem 33</v>
      </c>
      <c r="IB30" s="158" t="str">
        <f t="shared" si="32"/>
        <v/>
      </c>
      <c r="IC30" s="158" t="str">
        <f t="shared" si="32"/>
        <v/>
      </c>
      <c r="ID30" s="158" t="str">
        <f t="shared" si="32"/>
        <v/>
      </c>
      <c r="IE30" s="158" t="str">
        <f t="shared" si="32"/>
        <v/>
      </c>
      <c r="IF30" s="158" t="str">
        <f t="shared" si="32"/>
        <v/>
      </c>
      <c r="IG30" s="158" t="str">
        <f t="shared" si="32"/>
        <v/>
      </c>
      <c r="IH30" s="158" t="str">
        <f t="shared" si="32"/>
        <v>Sem 34</v>
      </c>
      <c r="II30" s="158" t="str">
        <f t="shared" si="32"/>
        <v/>
      </c>
      <c r="IJ30" s="158" t="str">
        <f t="shared" si="32"/>
        <v/>
      </c>
      <c r="IK30" s="158" t="str">
        <f t="shared" si="32"/>
        <v/>
      </c>
      <c r="IL30" s="158" t="str">
        <f t="shared" si="32"/>
        <v/>
      </c>
      <c r="IM30" s="158" t="str">
        <f t="shared" si="32"/>
        <v/>
      </c>
      <c r="IN30" s="158" t="str">
        <f t="shared" si="32"/>
        <v/>
      </c>
      <c r="IO30" s="158" t="str">
        <f t="shared" si="32"/>
        <v>Sem 35</v>
      </c>
      <c r="IP30" s="158" t="str">
        <f t="shared" si="32"/>
        <v/>
      </c>
      <c r="IQ30" s="158" t="str">
        <f t="shared" si="32"/>
        <v/>
      </c>
      <c r="IR30" s="158" t="str">
        <f t="shared" si="32"/>
        <v/>
      </c>
      <c r="IS30" s="158" t="str">
        <f t="shared" si="32"/>
        <v/>
      </c>
      <c r="IT30" s="158" t="str">
        <f t="shared" si="32"/>
        <v/>
      </c>
      <c r="IU30" s="158" t="str">
        <f t="shared" si="32"/>
        <v/>
      </c>
      <c r="IV30" s="158" t="str">
        <f t="shared" si="32"/>
        <v>Sem 36</v>
      </c>
      <c r="IW30" s="158" t="str">
        <f t="shared" si="32"/>
        <v/>
      </c>
      <c r="IX30" s="158" t="str">
        <f t="shared" si="32"/>
        <v/>
      </c>
      <c r="IY30" s="158" t="str">
        <f t="shared" si="32"/>
        <v/>
      </c>
      <c r="IZ30" s="158" t="str">
        <f t="shared" si="32"/>
        <v/>
      </c>
      <c r="JA30" s="158" t="str">
        <f t="shared" si="32"/>
        <v/>
      </c>
      <c r="JB30" s="158" t="str">
        <f t="shared" si="32"/>
        <v/>
      </c>
      <c r="JC30" s="158" t="str">
        <f t="shared" si="32"/>
        <v>Sem 37</v>
      </c>
      <c r="JD30" s="158" t="str">
        <f t="shared" si="32"/>
        <v/>
      </c>
      <c r="JE30" s="158" t="str">
        <f t="shared" si="32"/>
        <v/>
      </c>
      <c r="JF30" s="158" t="str">
        <f t="shared" si="32"/>
        <v/>
      </c>
      <c r="JG30" s="158" t="str">
        <f t="shared" si="32"/>
        <v/>
      </c>
      <c r="JH30" s="158" t="str">
        <f t="shared" si="32"/>
        <v/>
      </c>
      <c r="JI30" s="158" t="str">
        <f t="shared" si="32"/>
        <v/>
      </c>
      <c r="JJ30" s="158" t="str">
        <f t="shared" si="32"/>
        <v>Sem 38</v>
      </c>
      <c r="JK30" s="158" t="str">
        <f t="shared" si="32"/>
        <v/>
      </c>
      <c r="JL30" s="158" t="str">
        <f t="shared" si="32"/>
        <v/>
      </c>
      <c r="JM30" s="158" t="str">
        <f t="shared" si="32"/>
        <v/>
      </c>
      <c r="JN30" s="158" t="str">
        <f t="shared" si="32"/>
        <v/>
      </c>
      <c r="JO30" s="158" t="str">
        <f t="shared" si="32"/>
        <v/>
      </c>
      <c r="JP30" s="158" t="str">
        <f t="shared" si="32"/>
        <v/>
      </c>
      <c r="JQ30" s="158" t="str">
        <f t="shared" si="32"/>
        <v>Sem 39</v>
      </c>
      <c r="JR30" s="158" t="str">
        <f t="shared" si="32"/>
        <v/>
      </c>
      <c r="JS30" s="158" t="str">
        <f t="shared" si="32"/>
        <v/>
      </c>
      <c r="JT30" s="158" t="str">
        <f t="shared" si="32"/>
        <v/>
      </c>
      <c r="JU30" s="158" t="str">
        <f t="shared" si="32"/>
        <v/>
      </c>
      <c r="JV30" s="158" t="str">
        <f t="shared" si="32"/>
        <v/>
      </c>
      <c r="JW30" s="158" t="str">
        <f t="shared" si="32"/>
        <v/>
      </c>
      <c r="JX30" s="158" t="str">
        <f t="shared" si="32"/>
        <v>Sem 40</v>
      </c>
      <c r="JY30" s="158" t="str">
        <f t="shared" si="32"/>
        <v/>
      </c>
      <c r="JZ30" s="158" t="str">
        <f t="shared" si="32"/>
        <v/>
      </c>
      <c r="KA30" s="158" t="str">
        <f t="shared" ref="KA30:ML30" si="33">IF(WEEKDAY(KA$11,2)=1,"Sem "&amp;TEXT(_xlfn.ISOWEEKNUM(KA$11),"0#"),"")</f>
        <v/>
      </c>
      <c r="KB30" s="158" t="str">
        <f t="shared" si="33"/>
        <v/>
      </c>
      <c r="KC30" s="158" t="str">
        <f t="shared" si="33"/>
        <v/>
      </c>
      <c r="KD30" s="158" t="str">
        <f t="shared" si="33"/>
        <v/>
      </c>
      <c r="KE30" s="158" t="str">
        <f t="shared" si="33"/>
        <v>Sem 41</v>
      </c>
      <c r="KF30" s="158" t="str">
        <f t="shared" si="33"/>
        <v/>
      </c>
      <c r="KG30" s="158" t="str">
        <f t="shared" si="33"/>
        <v/>
      </c>
      <c r="KH30" s="158" t="str">
        <f t="shared" si="33"/>
        <v/>
      </c>
      <c r="KI30" s="158" t="str">
        <f t="shared" si="33"/>
        <v/>
      </c>
      <c r="KJ30" s="158" t="str">
        <f t="shared" si="33"/>
        <v/>
      </c>
      <c r="KK30" s="158" t="str">
        <f t="shared" si="33"/>
        <v/>
      </c>
      <c r="KL30" s="158" t="str">
        <f t="shared" si="33"/>
        <v>Sem 42</v>
      </c>
      <c r="KM30" s="158" t="str">
        <f t="shared" si="33"/>
        <v/>
      </c>
      <c r="KN30" s="158" t="str">
        <f t="shared" si="33"/>
        <v/>
      </c>
      <c r="KO30" s="158" t="str">
        <f t="shared" si="33"/>
        <v/>
      </c>
      <c r="KP30" s="158" t="str">
        <f t="shared" si="33"/>
        <v/>
      </c>
      <c r="KQ30" s="158" t="str">
        <f t="shared" si="33"/>
        <v/>
      </c>
      <c r="KR30" s="158" t="str">
        <f t="shared" si="33"/>
        <v/>
      </c>
      <c r="KS30" s="158" t="str">
        <f t="shared" si="33"/>
        <v>Sem 43</v>
      </c>
      <c r="KT30" s="158" t="str">
        <f t="shared" si="33"/>
        <v/>
      </c>
      <c r="KU30" s="158" t="str">
        <f t="shared" si="33"/>
        <v/>
      </c>
      <c r="KV30" s="158" t="str">
        <f t="shared" si="33"/>
        <v/>
      </c>
      <c r="KW30" s="158" t="str">
        <f t="shared" si="33"/>
        <v/>
      </c>
      <c r="KX30" s="158" t="str">
        <f t="shared" si="33"/>
        <v/>
      </c>
      <c r="KY30" s="158" t="str">
        <f t="shared" si="33"/>
        <v/>
      </c>
      <c r="KZ30" s="158" t="str">
        <f t="shared" si="33"/>
        <v>Sem 44</v>
      </c>
      <c r="LA30" s="158" t="str">
        <f t="shared" si="33"/>
        <v/>
      </c>
      <c r="LB30" s="158" t="str">
        <f t="shared" si="33"/>
        <v/>
      </c>
      <c r="LC30" s="158" t="str">
        <f t="shared" si="33"/>
        <v/>
      </c>
      <c r="LD30" s="158" t="str">
        <f t="shared" si="33"/>
        <v/>
      </c>
      <c r="LE30" s="158" t="str">
        <f t="shared" si="33"/>
        <v/>
      </c>
      <c r="LF30" s="158" t="str">
        <f t="shared" si="33"/>
        <v/>
      </c>
      <c r="LG30" s="158" t="str">
        <f t="shared" si="33"/>
        <v>Sem 45</v>
      </c>
      <c r="LH30" s="158" t="str">
        <f t="shared" si="33"/>
        <v/>
      </c>
      <c r="LI30" s="158" t="str">
        <f t="shared" si="33"/>
        <v/>
      </c>
      <c r="LJ30" s="158" t="str">
        <f t="shared" si="33"/>
        <v/>
      </c>
      <c r="LK30" s="158" t="str">
        <f t="shared" si="33"/>
        <v/>
      </c>
      <c r="LL30" s="158" t="str">
        <f t="shared" si="33"/>
        <v/>
      </c>
      <c r="LM30" s="158" t="str">
        <f t="shared" si="33"/>
        <v/>
      </c>
      <c r="LN30" s="158" t="str">
        <f t="shared" si="33"/>
        <v>Sem 46</v>
      </c>
      <c r="LO30" s="158" t="str">
        <f t="shared" si="33"/>
        <v/>
      </c>
      <c r="LP30" s="158" t="str">
        <f t="shared" si="33"/>
        <v/>
      </c>
      <c r="LQ30" s="158" t="str">
        <f t="shared" si="33"/>
        <v/>
      </c>
      <c r="LR30" s="158" t="str">
        <f t="shared" si="33"/>
        <v/>
      </c>
      <c r="LS30" s="158" t="str">
        <f t="shared" si="33"/>
        <v/>
      </c>
      <c r="LT30" s="158" t="str">
        <f t="shared" si="33"/>
        <v/>
      </c>
      <c r="LU30" s="158" t="str">
        <f t="shared" si="33"/>
        <v>Sem 47</v>
      </c>
      <c r="LV30" s="158" t="str">
        <f t="shared" si="33"/>
        <v/>
      </c>
      <c r="LW30" s="158" t="str">
        <f t="shared" si="33"/>
        <v/>
      </c>
      <c r="LX30" s="158" t="str">
        <f t="shared" si="33"/>
        <v/>
      </c>
      <c r="LY30" s="158" t="str">
        <f t="shared" si="33"/>
        <v/>
      </c>
      <c r="LZ30" s="158" t="str">
        <f t="shared" si="33"/>
        <v/>
      </c>
      <c r="MA30" s="158" t="str">
        <f t="shared" si="33"/>
        <v/>
      </c>
      <c r="MB30" s="158" t="str">
        <f t="shared" si="33"/>
        <v>Sem 48</v>
      </c>
      <c r="MC30" s="158" t="str">
        <f t="shared" si="33"/>
        <v/>
      </c>
      <c r="MD30" s="158" t="str">
        <f t="shared" si="33"/>
        <v/>
      </c>
      <c r="ME30" s="158" t="str">
        <f t="shared" si="33"/>
        <v/>
      </c>
      <c r="MF30" s="158" t="str">
        <f t="shared" si="33"/>
        <v/>
      </c>
      <c r="MG30" s="158" t="str">
        <f t="shared" si="33"/>
        <v/>
      </c>
      <c r="MH30" s="158" t="str">
        <f t="shared" si="33"/>
        <v/>
      </c>
      <c r="MI30" s="158" t="str">
        <f t="shared" si="33"/>
        <v>Sem 49</v>
      </c>
      <c r="MJ30" s="158" t="str">
        <f t="shared" si="33"/>
        <v/>
      </c>
      <c r="MK30" s="158" t="str">
        <f t="shared" si="33"/>
        <v/>
      </c>
      <c r="ML30" s="158" t="str">
        <f t="shared" si="33"/>
        <v/>
      </c>
      <c r="MM30" s="158" t="str">
        <f t="shared" ref="MM30:NJ30" si="34">IF(WEEKDAY(MM$11,2)=1,"Sem "&amp;TEXT(_xlfn.ISOWEEKNUM(MM$11),"0#"),"")</f>
        <v/>
      </c>
      <c r="MN30" s="158" t="str">
        <f t="shared" si="34"/>
        <v/>
      </c>
      <c r="MO30" s="158" t="str">
        <f t="shared" si="34"/>
        <v/>
      </c>
      <c r="MP30" s="158" t="str">
        <f t="shared" si="34"/>
        <v>Sem 50</v>
      </c>
      <c r="MQ30" s="158" t="str">
        <f t="shared" si="34"/>
        <v/>
      </c>
      <c r="MR30" s="158" t="str">
        <f t="shared" si="34"/>
        <v/>
      </c>
      <c r="MS30" s="158" t="str">
        <f t="shared" si="34"/>
        <v/>
      </c>
      <c r="MT30" s="158" t="str">
        <f t="shared" si="34"/>
        <v/>
      </c>
      <c r="MU30" s="158" t="str">
        <f t="shared" si="34"/>
        <v/>
      </c>
      <c r="MV30" s="158" t="str">
        <f t="shared" si="34"/>
        <v/>
      </c>
      <c r="MW30" s="158" t="str">
        <f t="shared" si="34"/>
        <v>Sem 51</v>
      </c>
      <c r="MX30" s="158" t="str">
        <f t="shared" si="34"/>
        <v/>
      </c>
      <c r="MY30" s="158" t="str">
        <f t="shared" si="34"/>
        <v/>
      </c>
      <c r="MZ30" s="158" t="str">
        <f t="shared" si="34"/>
        <v/>
      </c>
      <c r="NA30" s="158" t="str">
        <f t="shared" si="34"/>
        <v/>
      </c>
      <c r="NB30" s="158" t="str">
        <f t="shared" si="34"/>
        <v/>
      </c>
      <c r="NC30" s="158" t="str">
        <f t="shared" si="34"/>
        <v/>
      </c>
      <c r="ND30" s="158" t="str">
        <f t="shared" si="34"/>
        <v>Sem 52</v>
      </c>
      <c r="NE30" s="158" t="str">
        <f t="shared" si="34"/>
        <v/>
      </c>
      <c r="NF30" s="158" t="str">
        <f t="shared" si="34"/>
        <v/>
      </c>
      <c r="NG30" s="158" t="str">
        <f t="shared" si="34"/>
        <v/>
      </c>
      <c r="NH30" s="158" t="str">
        <f t="shared" si="34"/>
        <v/>
      </c>
      <c r="NI30" s="158" t="str">
        <f t="shared" si="34"/>
        <v/>
      </c>
      <c r="NJ30" s="158" t="str">
        <f t="shared" si="34"/>
        <v/>
      </c>
      <c r="NK30" s="32"/>
      <c r="NN30" s="1"/>
      <c r="NO30" s="1"/>
      <c r="NP30" s="1"/>
      <c r="NQ30" s="1"/>
      <c r="NR30" s="1"/>
      <c r="NS30" s="1"/>
      <c r="NT30" s="1"/>
      <c r="NU30" s="1"/>
      <c r="NV30" s="1"/>
      <c r="NW30" s="1"/>
      <c r="NX30" s="1"/>
      <c r="NY30" s="1"/>
      <c r="NZ30" s="1"/>
      <c r="OA30" s="1"/>
      <c r="OB30" s="1"/>
      <c r="OC30" s="1"/>
      <c r="OD30" s="1"/>
      <c r="OE30" s="1"/>
      <c r="OF30" s="1"/>
      <c r="OG30" s="1"/>
      <c r="OH30" s="1"/>
      <c r="OI30" s="1"/>
      <c r="OJ30" s="1"/>
      <c r="OK30" s="1"/>
    </row>
    <row r="31" spans="1:404" x14ac:dyDescent="0.3">
      <c r="A31" s="1"/>
      <c r="B31" s="1"/>
      <c r="C31" s="1"/>
      <c r="D31" s="1"/>
      <c r="E31" s="1"/>
      <c r="F31" s="1"/>
      <c r="G31" s="1"/>
      <c r="I31" s="28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  <c r="NE31" s="1"/>
      <c r="NF31" s="1"/>
      <c r="NG31" s="1"/>
      <c r="NH31" s="1"/>
      <c r="NI31" s="1"/>
      <c r="NJ31" s="1"/>
      <c r="NK31" s="1"/>
      <c r="NN31" s="1"/>
      <c r="NO31" s="1"/>
      <c r="NP31" s="1"/>
      <c r="NQ31" s="1"/>
      <c r="NR31" s="1"/>
      <c r="NS31" s="1"/>
      <c r="NT31" s="1"/>
      <c r="NU31" s="1"/>
      <c r="NV31" s="1"/>
      <c r="NW31" s="1"/>
      <c r="NX31" s="1"/>
      <c r="NY31" s="1"/>
      <c r="NZ31" s="1"/>
      <c r="OA31" s="1"/>
      <c r="OB31" s="1"/>
      <c r="OC31" s="1"/>
      <c r="OD31" s="1"/>
      <c r="OE31" s="1"/>
      <c r="OF31" s="1"/>
      <c r="OG31" s="1"/>
      <c r="OH31" s="1"/>
      <c r="OI31" s="1"/>
      <c r="OJ31" s="1"/>
      <c r="OK31" s="1"/>
    </row>
    <row r="32" spans="1:404" x14ac:dyDescent="0.3">
      <c r="A32" s="1"/>
      <c r="B32" s="1"/>
      <c r="C32" s="1"/>
      <c r="D32" s="1"/>
      <c r="E32" s="1"/>
      <c r="F32" s="1"/>
      <c r="G32" s="1"/>
      <c r="I32" s="28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  <c r="NE32" s="1"/>
      <c r="NF32" s="1"/>
      <c r="NG32" s="1"/>
      <c r="NH32" s="1"/>
      <c r="NI32" s="1"/>
      <c r="NJ32" s="1"/>
      <c r="NK32" s="1"/>
      <c r="NN32" s="1"/>
      <c r="NO32" s="1"/>
      <c r="NP32" s="1"/>
      <c r="NQ32" s="1"/>
      <c r="NR32" s="1"/>
      <c r="NS32" s="1"/>
      <c r="NT32" s="1"/>
      <c r="NU32" s="1"/>
      <c r="NV32" s="1"/>
      <c r="NW32" s="1"/>
      <c r="NX32" s="1"/>
      <c r="NY32" s="1"/>
      <c r="NZ32" s="1"/>
      <c r="OA32" s="1"/>
      <c r="OB32" s="1"/>
      <c r="OC32" s="1"/>
      <c r="OD32" s="1"/>
      <c r="OE32" s="1"/>
      <c r="OF32" s="1"/>
      <c r="OG32" s="1"/>
      <c r="OH32" s="1"/>
      <c r="OI32" s="1"/>
      <c r="OJ32" s="1"/>
      <c r="OK32" s="1"/>
    </row>
    <row r="33" spans="9:15" s="1" customFormat="1" x14ac:dyDescent="0.3">
      <c r="I33" s="28"/>
    </row>
    <row r="34" spans="9:15" s="1" customFormat="1" x14ac:dyDescent="0.3">
      <c r="I34" s="28"/>
    </row>
    <row r="35" spans="9:15" s="1" customFormat="1" x14ac:dyDescent="0.3">
      <c r="I35" s="28"/>
    </row>
    <row r="36" spans="9:15" s="1" customFormat="1" x14ac:dyDescent="0.3">
      <c r="I36" s="28"/>
    </row>
    <row r="37" spans="9:15" s="1" customFormat="1" x14ac:dyDescent="0.3">
      <c r="I37" s="28"/>
    </row>
    <row r="38" spans="9:15" s="1" customFormat="1" x14ac:dyDescent="0.3">
      <c r="I38" s="28"/>
    </row>
    <row r="39" spans="9:15" s="1" customFormat="1" x14ac:dyDescent="0.3">
      <c r="I39" s="28"/>
    </row>
    <row r="40" spans="9:15" s="1" customFormat="1" x14ac:dyDescent="0.3">
      <c r="I40" s="28"/>
    </row>
    <row r="41" spans="9:15" s="1" customFormat="1" x14ac:dyDescent="0.3">
      <c r="I41" s="28"/>
    </row>
    <row r="42" spans="9:15" s="1" customFormat="1" x14ac:dyDescent="0.3">
      <c r="I42" s="28"/>
    </row>
    <row r="43" spans="9:15" s="1" customFormat="1" x14ac:dyDescent="0.3">
      <c r="I43" s="28"/>
    </row>
    <row r="44" spans="9:15" s="1" customFormat="1" x14ac:dyDescent="0.3">
      <c r="I44" s="28"/>
    </row>
    <row r="45" spans="9:15" s="1" customFormat="1" x14ac:dyDescent="0.3">
      <c r="I45" s="28"/>
    </row>
    <row r="46" spans="9:15" s="1" customFormat="1" x14ac:dyDescent="0.3">
      <c r="I46" s="28"/>
    </row>
    <row r="47" spans="9:15" s="1" customFormat="1" x14ac:dyDescent="0.3">
      <c r="I47" s="28"/>
    </row>
    <row r="48" spans="9:15" s="1" customFormat="1" x14ac:dyDescent="0.3">
      <c r="I48" s="28"/>
      <c r="O48" s="107"/>
    </row>
    <row r="49" spans="9:9" s="1" customFormat="1" x14ac:dyDescent="0.3">
      <c r="I49" s="28"/>
    </row>
    <row r="50" spans="9:9" s="1" customFormat="1" x14ac:dyDescent="0.3">
      <c r="I50" s="28"/>
    </row>
    <row r="51" spans="9:9" s="1" customFormat="1" x14ac:dyDescent="0.3">
      <c r="I51" s="28"/>
    </row>
    <row r="52" spans="9:9" s="1" customFormat="1" x14ac:dyDescent="0.3">
      <c r="I52" s="28"/>
    </row>
    <row r="53" spans="9:9" s="1" customFormat="1" x14ac:dyDescent="0.3">
      <c r="I53" s="28"/>
    </row>
    <row r="54" spans="9:9" s="1" customFormat="1" x14ac:dyDescent="0.3">
      <c r="I54" s="28"/>
    </row>
    <row r="55" spans="9:9" s="1" customFormat="1" x14ac:dyDescent="0.3">
      <c r="I55" s="28"/>
    </row>
    <row r="56" spans="9:9" s="1" customFormat="1" x14ac:dyDescent="0.3">
      <c r="I56" s="28"/>
    </row>
    <row r="57" spans="9:9" s="1" customFormat="1" x14ac:dyDescent="0.3">
      <c r="I57" s="28"/>
    </row>
    <row r="58" spans="9:9" s="1" customFormat="1" x14ac:dyDescent="0.3">
      <c r="I58" s="28"/>
    </row>
    <row r="59" spans="9:9" s="1" customFormat="1" x14ac:dyDescent="0.3">
      <c r="I59" s="28"/>
    </row>
    <row r="60" spans="9:9" s="1" customFormat="1" x14ac:dyDescent="0.3">
      <c r="I60" s="28"/>
    </row>
    <row r="61" spans="9:9" s="1" customFormat="1" x14ac:dyDescent="0.3">
      <c r="I61" s="28"/>
    </row>
    <row r="62" spans="9:9" s="1" customFormat="1" x14ac:dyDescent="0.3">
      <c r="I62" s="28"/>
    </row>
    <row r="63" spans="9:9" s="1" customFormat="1" x14ac:dyDescent="0.3">
      <c r="I63" s="28"/>
    </row>
    <row r="64" spans="9:9" s="1" customFormat="1" x14ac:dyDescent="0.3">
      <c r="I64" s="28"/>
    </row>
    <row r="65" spans="9:9" s="1" customFormat="1" x14ac:dyDescent="0.3">
      <c r="I65" s="28"/>
    </row>
    <row r="66" spans="9:9" s="1" customFormat="1" x14ac:dyDescent="0.3">
      <c r="I66" s="28"/>
    </row>
    <row r="67" spans="9:9" s="1" customFormat="1" x14ac:dyDescent="0.3">
      <c r="I67" s="28"/>
    </row>
    <row r="68" spans="9:9" s="1" customFormat="1" x14ac:dyDescent="0.3">
      <c r="I68" s="28"/>
    </row>
    <row r="69" spans="9:9" s="1" customFormat="1" x14ac:dyDescent="0.3">
      <c r="I69" s="28"/>
    </row>
    <row r="70" spans="9:9" s="1" customFormat="1" x14ac:dyDescent="0.3">
      <c r="I70" s="28"/>
    </row>
    <row r="71" spans="9:9" s="1" customFormat="1" x14ac:dyDescent="0.3">
      <c r="I71" s="28"/>
    </row>
    <row r="72" spans="9:9" s="1" customFormat="1" x14ac:dyDescent="0.3">
      <c r="I72" s="28"/>
    </row>
    <row r="73" spans="9:9" s="1" customFormat="1" x14ac:dyDescent="0.3">
      <c r="I73" s="28"/>
    </row>
    <row r="74" spans="9:9" s="1" customFormat="1" x14ac:dyDescent="0.3">
      <c r="I74" s="28"/>
    </row>
    <row r="75" spans="9:9" s="1" customFormat="1" x14ac:dyDescent="0.3">
      <c r="I75" s="28"/>
    </row>
    <row r="76" spans="9:9" s="1" customFormat="1" x14ac:dyDescent="0.3">
      <c r="I76" s="28"/>
    </row>
    <row r="77" spans="9:9" s="1" customFormat="1" x14ac:dyDescent="0.3">
      <c r="I77" s="28"/>
    </row>
    <row r="78" spans="9:9" s="1" customFormat="1" x14ac:dyDescent="0.3">
      <c r="I78" s="28"/>
    </row>
    <row r="79" spans="9:9" s="1" customFormat="1" x14ac:dyDescent="0.3">
      <c r="I79" s="28"/>
    </row>
    <row r="80" spans="9:9" s="1" customFormat="1" x14ac:dyDescent="0.3">
      <c r="I80" s="28"/>
    </row>
    <row r="81" spans="9:9" s="1" customFormat="1" x14ac:dyDescent="0.3">
      <c r="I81" s="28"/>
    </row>
    <row r="82" spans="9:9" s="1" customFormat="1" x14ac:dyDescent="0.3">
      <c r="I82" s="28"/>
    </row>
    <row r="83" spans="9:9" s="1" customFormat="1" x14ac:dyDescent="0.3">
      <c r="I83" s="28"/>
    </row>
    <row r="84" spans="9:9" s="1" customFormat="1" x14ac:dyDescent="0.3">
      <c r="I84" s="28"/>
    </row>
    <row r="85" spans="9:9" s="1" customFormat="1" x14ac:dyDescent="0.3">
      <c r="I85" s="28"/>
    </row>
    <row r="86" spans="9:9" s="1" customFormat="1" x14ac:dyDescent="0.3">
      <c r="I86" s="28"/>
    </row>
    <row r="87" spans="9:9" s="1" customFormat="1" x14ac:dyDescent="0.3">
      <c r="I87" s="28"/>
    </row>
    <row r="88" spans="9:9" s="1" customFormat="1" x14ac:dyDescent="0.3">
      <c r="I88" s="28"/>
    </row>
    <row r="89" spans="9:9" s="1" customFormat="1" x14ac:dyDescent="0.3">
      <c r="I89" s="28"/>
    </row>
    <row r="90" spans="9:9" s="1" customFormat="1" x14ac:dyDescent="0.3">
      <c r="I90" s="28"/>
    </row>
    <row r="91" spans="9:9" s="1" customFormat="1" x14ac:dyDescent="0.3">
      <c r="I91" s="28"/>
    </row>
    <row r="92" spans="9:9" s="1" customFormat="1" x14ac:dyDescent="0.3">
      <c r="I92" s="28"/>
    </row>
    <row r="93" spans="9:9" s="1" customFormat="1" x14ac:dyDescent="0.3">
      <c r="I93" s="28"/>
    </row>
    <row r="94" spans="9:9" s="1" customFormat="1" x14ac:dyDescent="0.3">
      <c r="I94" s="28"/>
    </row>
    <row r="95" spans="9:9" s="1" customFormat="1" x14ac:dyDescent="0.3">
      <c r="I95" s="28"/>
    </row>
    <row r="96" spans="9:9" s="1" customFormat="1" x14ac:dyDescent="0.3">
      <c r="I96" s="28"/>
    </row>
    <row r="97" spans="9:9" s="1" customFormat="1" x14ac:dyDescent="0.3">
      <c r="I97" s="28"/>
    </row>
    <row r="98" spans="9:9" s="1" customFormat="1" x14ac:dyDescent="0.3">
      <c r="I98" s="28"/>
    </row>
    <row r="99" spans="9:9" s="1" customFormat="1" x14ac:dyDescent="0.3">
      <c r="I99" s="28"/>
    </row>
    <row r="100" spans="9:9" s="1" customFormat="1" x14ac:dyDescent="0.3">
      <c r="I100" s="28"/>
    </row>
    <row r="101" spans="9:9" s="1" customFormat="1" x14ac:dyDescent="0.3">
      <c r="I101" s="28"/>
    </row>
    <row r="102" spans="9:9" s="1" customFormat="1" x14ac:dyDescent="0.3">
      <c r="I102" s="28"/>
    </row>
    <row r="103" spans="9:9" s="1" customFormat="1" x14ac:dyDescent="0.3">
      <c r="I103" s="28"/>
    </row>
    <row r="104" spans="9:9" s="1" customFormat="1" x14ac:dyDescent="0.3">
      <c r="I104" s="28"/>
    </row>
    <row r="105" spans="9:9" s="1" customFormat="1" x14ac:dyDescent="0.3">
      <c r="I105" s="28"/>
    </row>
    <row r="106" spans="9:9" s="1" customFormat="1" x14ac:dyDescent="0.3">
      <c r="I106" s="28"/>
    </row>
    <row r="107" spans="9:9" s="1" customFormat="1" x14ac:dyDescent="0.3">
      <c r="I107" s="28"/>
    </row>
    <row r="108" spans="9:9" s="1" customFormat="1" x14ac:dyDescent="0.3">
      <c r="I108" s="28"/>
    </row>
    <row r="109" spans="9:9" s="1" customFormat="1" x14ac:dyDescent="0.3">
      <c r="I109" s="28"/>
    </row>
    <row r="110" spans="9:9" s="1" customFormat="1" x14ac:dyDescent="0.3">
      <c r="I110" s="28"/>
    </row>
    <row r="111" spans="9:9" s="1" customFormat="1" x14ac:dyDescent="0.3">
      <c r="I111" s="28"/>
    </row>
    <row r="112" spans="9:9" s="1" customFormat="1" x14ac:dyDescent="0.3">
      <c r="I112" s="28"/>
    </row>
    <row r="113" spans="9:9" s="1" customFormat="1" x14ac:dyDescent="0.3">
      <c r="I113" s="28"/>
    </row>
    <row r="114" spans="9:9" s="1" customFormat="1" x14ac:dyDescent="0.3">
      <c r="I114" s="28"/>
    </row>
    <row r="115" spans="9:9" s="1" customFormat="1" x14ac:dyDescent="0.3">
      <c r="I115" s="28"/>
    </row>
    <row r="116" spans="9:9" s="1" customFormat="1" x14ac:dyDescent="0.3">
      <c r="I116" s="28"/>
    </row>
    <row r="117" spans="9:9" s="1" customFormat="1" x14ac:dyDescent="0.3">
      <c r="I117" s="28"/>
    </row>
    <row r="118" spans="9:9" s="1" customFormat="1" x14ac:dyDescent="0.3">
      <c r="I118" s="28"/>
    </row>
    <row r="119" spans="9:9" s="1" customFormat="1" x14ac:dyDescent="0.3">
      <c r="I119" s="28"/>
    </row>
    <row r="120" spans="9:9" s="1" customFormat="1" x14ac:dyDescent="0.3">
      <c r="I120" s="28"/>
    </row>
    <row r="121" spans="9:9" s="1" customFormat="1" x14ac:dyDescent="0.3">
      <c r="I121" s="28"/>
    </row>
    <row r="122" spans="9:9" s="1" customFormat="1" x14ac:dyDescent="0.3">
      <c r="I122" s="28"/>
    </row>
    <row r="123" spans="9:9" s="1" customFormat="1" x14ac:dyDescent="0.3">
      <c r="I123" s="28"/>
    </row>
    <row r="124" spans="9:9" s="1" customFormat="1" x14ac:dyDescent="0.3">
      <c r="I124" s="28"/>
    </row>
    <row r="125" spans="9:9" s="1" customFormat="1" x14ac:dyDescent="0.3">
      <c r="I125" s="28"/>
    </row>
    <row r="126" spans="9:9" s="1" customFormat="1" x14ac:dyDescent="0.3">
      <c r="I126" s="28"/>
    </row>
    <row r="127" spans="9:9" s="1" customFormat="1" x14ac:dyDescent="0.3">
      <c r="I127" s="28"/>
    </row>
    <row r="128" spans="9:9" s="1" customFormat="1" x14ac:dyDescent="0.3">
      <c r="I128" s="28"/>
    </row>
    <row r="129" spans="9:9" s="1" customFormat="1" x14ac:dyDescent="0.3">
      <c r="I129" s="28"/>
    </row>
    <row r="130" spans="9:9" s="1" customFormat="1" x14ac:dyDescent="0.3">
      <c r="I130" s="28"/>
    </row>
    <row r="131" spans="9:9" s="1" customFormat="1" x14ac:dyDescent="0.3">
      <c r="I131" s="28"/>
    </row>
    <row r="132" spans="9:9" s="1" customFormat="1" x14ac:dyDescent="0.3">
      <c r="I132" s="28"/>
    </row>
    <row r="133" spans="9:9" s="1" customFormat="1" x14ac:dyDescent="0.3">
      <c r="I133" s="28"/>
    </row>
    <row r="134" spans="9:9" s="1" customFormat="1" x14ac:dyDescent="0.3">
      <c r="I134" s="28"/>
    </row>
    <row r="135" spans="9:9" s="1" customFormat="1" x14ac:dyDescent="0.3">
      <c r="I135" s="28"/>
    </row>
    <row r="136" spans="9:9" s="1" customFormat="1" x14ac:dyDescent="0.3">
      <c r="I136" s="28"/>
    </row>
    <row r="137" spans="9:9" s="1" customFormat="1" x14ac:dyDescent="0.3">
      <c r="I137" s="28"/>
    </row>
    <row r="138" spans="9:9" s="1" customFormat="1" x14ac:dyDescent="0.3">
      <c r="I138" s="28"/>
    </row>
    <row r="139" spans="9:9" s="1" customFormat="1" x14ac:dyDescent="0.3">
      <c r="I139" s="28"/>
    </row>
    <row r="140" spans="9:9" s="1" customFormat="1" x14ac:dyDescent="0.3">
      <c r="I140" s="28"/>
    </row>
    <row r="141" spans="9:9" s="1" customFormat="1" x14ac:dyDescent="0.3">
      <c r="I141" s="28"/>
    </row>
    <row r="142" spans="9:9" s="1" customFormat="1" x14ac:dyDescent="0.3">
      <c r="I142" s="28"/>
    </row>
    <row r="143" spans="9:9" s="1" customFormat="1" x14ac:dyDescent="0.3">
      <c r="I143" s="28"/>
    </row>
    <row r="144" spans="9:9" s="1" customFormat="1" x14ac:dyDescent="0.3">
      <c r="I144" s="28"/>
    </row>
    <row r="145" spans="9:9" s="1" customFormat="1" x14ac:dyDescent="0.3">
      <c r="I145" s="28"/>
    </row>
    <row r="146" spans="9:9" s="1" customFormat="1" x14ac:dyDescent="0.3">
      <c r="I146" s="28"/>
    </row>
    <row r="147" spans="9:9" s="1" customFormat="1" x14ac:dyDescent="0.3">
      <c r="I147" s="28"/>
    </row>
    <row r="148" spans="9:9" s="1" customFormat="1" x14ac:dyDescent="0.3">
      <c r="I148" s="28"/>
    </row>
    <row r="149" spans="9:9" s="1" customFormat="1" x14ac:dyDescent="0.3">
      <c r="I149" s="28"/>
    </row>
    <row r="150" spans="9:9" s="1" customFormat="1" x14ac:dyDescent="0.3">
      <c r="I150" s="28"/>
    </row>
    <row r="151" spans="9:9" s="1" customFormat="1" x14ac:dyDescent="0.3">
      <c r="I151" s="28"/>
    </row>
    <row r="152" spans="9:9" s="1" customFormat="1" x14ac:dyDescent="0.3">
      <c r="I152" s="28"/>
    </row>
    <row r="153" spans="9:9" s="1" customFormat="1" x14ac:dyDescent="0.3">
      <c r="I153" s="28"/>
    </row>
    <row r="154" spans="9:9" s="1" customFormat="1" x14ac:dyDescent="0.3">
      <c r="I154" s="28"/>
    </row>
    <row r="155" spans="9:9" s="1" customFormat="1" x14ac:dyDescent="0.3">
      <c r="I155" s="28"/>
    </row>
    <row r="156" spans="9:9" s="1" customFormat="1" x14ac:dyDescent="0.3">
      <c r="I156" s="28"/>
    </row>
    <row r="157" spans="9:9" s="1" customFormat="1" x14ac:dyDescent="0.3">
      <c r="I157" s="28"/>
    </row>
    <row r="158" spans="9:9" s="1" customFormat="1" x14ac:dyDescent="0.3">
      <c r="I158" s="28"/>
    </row>
    <row r="159" spans="9:9" s="1" customFormat="1" x14ac:dyDescent="0.3">
      <c r="I159" s="28"/>
    </row>
    <row r="160" spans="9:9" s="1" customFormat="1" x14ac:dyDescent="0.3">
      <c r="I160" s="28"/>
    </row>
    <row r="161" spans="9:9" s="1" customFormat="1" x14ac:dyDescent="0.3">
      <c r="I161" s="28"/>
    </row>
    <row r="162" spans="9:9" s="1" customFormat="1" x14ac:dyDescent="0.3">
      <c r="I162" s="28"/>
    </row>
    <row r="163" spans="9:9" s="1" customFormat="1" x14ac:dyDescent="0.3">
      <c r="I163" s="28"/>
    </row>
    <row r="164" spans="9:9" s="1" customFormat="1" x14ac:dyDescent="0.3">
      <c r="I164" s="28"/>
    </row>
    <row r="165" spans="9:9" s="1" customFormat="1" x14ac:dyDescent="0.3">
      <c r="I165" s="28"/>
    </row>
    <row r="166" spans="9:9" s="1" customFormat="1" x14ac:dyDescent="0.3">
      <c r="I166" s="28"/>
    </row>
    <row r="167" spans="9:9" s="1" customFormat="1" x14ac:dyDescent="0.3">
      <c r="I167" s="28"/>
    </row>
    <row r="168" spans="9:9" s="1" customFormat="1" x14ac:dyDescent="0.3">
      <c r="I168" s="28"/>
    </row>
    <row r="169" spans="9:9" s="1" customFormat="1" x14ac:dyDescent="0.3">
      <c r="I169" s="28"/>
    </row>
    <row r="170" spans="9:9" s="1" customFormat="1" x14ac:dyDescent="0.3">
      <c r="I170" s="28"/>
    </row>
    <row r="171" spans="9:9" s="1" customFormat="1" x14ac:dyDescent="0.3">
      <c r="I171" s="28"/>
    </row>
    <row r="172" spans="9:9" s="1" customFormat="1" x14ac:dyDescent="0.3">
      <c r="I172" s="28"/>
    </row>
    <row r="173" spans="9:9" s="1" customFormat="1" x14ac:dyDescent="0.3">
      <c r="I173" s="28"/>
    </row>
    <row r="174" spans="9:9" s="1" customFormat="1" x14ac:dyDescent="0.3">
      <c r="I174" s="28"/>
    </row>
    <row r="175" spans="9:9" s="1" customFormat="1" x14ac:dyDescent="0.3">
      <c r="I175" s="28"/>
    </row>
    <row r="176" spans="9:9" s="1" customFormat="1" x14ac:dyDescent="0.3">
      <c r="I176" s="28"/>
    </row>
    <row r="177" spans="9:9" s="1" customFormat="1" x14ac:dyDescent="0.3">
      <c r="I177" s="28"/>
    </row>
    <row r="178" spans="9:9" s="1" customFormat="1" x14ac:dyDescent="0.3">
      <c r="I178" s="28"/>
    </row>
    <row r="179" spans="9:9" s="1" customFormat="1" x14ac:dyDescent="0.3">
      <c r="I179" s="28"/>
    </row>
    <row r="180" spans="9:9" s="1" customFormat="1" x14ac:dyDescent="0.3">
      <c r="I180" s="28"/>
    </row>
    <row r="181" spans="9:9" s="1" customFormat="1" x14ac:dyDescent="0.3">
      <c r="I181" s="28"/>
    </row>
    <row r="182" spans="9:9" s="1" customFormat="1" x14ac:dyDescent="0.3">
      <c r="I182" s="28"/>
    </row>
    <row r="183" spans="9:9" s="1" customFormat="1" x14ac:dyDescent="0.3">
      <c r="I183" s="28"/>
    </row>
    <row r="184" spans="9:9" s="1" customFormat="1" x14ac:dyDescent="0.3">
      <c r="I184" s="28"/>
    </row>
    <row r="185" spans="9:9" s="1" customFormat="1" x14ac:dyDescent="0.3">
      <c r="I185" s="28"/>
    </row>
    <row r="186" spans="9:9" s="1" customFormat="1" x14ac:dyDescent="0.3">
      <c r="I186" s="28"/>
    </row>
    <row r="187" spans="9:9" s="1" customFormat="1" x14ac:dyDescent="0.3">
      <c r="I187" s="28"/>
    </row>
    <row r="188" spans="9:9" s="1" customFormat="1" x14ac:dyDescent="0.3">
      <c r="I188" s="28"/>
    </row>
    <row r="189" spans="9:9" s="1" customFormat="1" x14ac:dyDescent="0.3">
      <c r="I189" s="28"/>
    </row>
    <row r="190" spans="9:9" s="1" customFormat="1" x14ac:dyDescent="0.3">
      <c r="I190" s="28"/>
    </row>
    <row r="191" spans="9:9" s="1" customFormat="1" x14ac:dyDescent="0.3">
      <c r="I191" s="28"/>
    </row>
    <row r="192" spans="9:9" s="1" customFormat="1" x14ac:dyDescent="0.3">
      <c r="I192" s="28"/>
    </row>
    <row r="193" spans="9:9" s="1" customFormat="1" x14ac:dyDescent="0.3">
      <c r="I193" s="28"/>
    </row>
    <row r="194" spans="9:9" s="1" customFormat="1" x14ac:dyDescent="0.3">
      <c r="I194" s="28"/>
    </row>
    <row r="195" spans="9:9" s="1" customFormat="1" x14ac:dyDescent="0.3">
      <c r="I195" s="28"/>
    </row>
    <row r="196" spans="9:9" s="1" customFormat="1" x14ac:dyDescent="0.3">
      <c r="I196" s="28"/>
    </row>
    <row r="197" spans="9:9" s="1" customFormat="1" x14ac:dyDescent="0.3">
      <c r="I197" s="28"/>
    </row>
    <row r="198" spans="9:9" s="1" customFormat="1" x14ac:dyDescent="0.3">
      <c r="I198" s="28"/>
    </row>
    <row r="199" spans="9:9" s="1" customFormat="1" x14ac:dyDescent="0.3">
      <c r="I199" s="28"/>
    </row>
    <row r="200" spans="9:9" s="1" customFormat="1" x14ac:dyDescent="0.3">
      <c r="I200" s="28"/>
    </row>
    <row r="201" spans="9:9" s="1" customFormat="1" x14ac:dyDescent="0.3">
      <c r="I201" s="28"/>
    </row>
    <row r="202" spans="9:9" s="1" customFormat="1" x14ac:dyDescent="0.3">
      <c r="I202" s="28"/>
    </row>
    <row r="203" spans="9:9" s="1" customFormat="1" x14ac:dyDescent="0.3">
      <c r="I203" s="28"/>
    </row>
    <row r="204" spans="9:9" s="1" customFormat="1" x14ac:dyDescent="0.3">
      <c r="I204" s="28"/>
    </row>
    <row r="205" spans="9:9" s="1" customFormat="1" x14ac:dyDescent="0.3">
      <c r="I205" s="28"/>
    </row>
    <row r="206" spans="9:9" s="1" customFormat="1" x14ac:dyDescent="0.3">
      <c r="I206" s="28"/>
    </row>
    <row r="207" spans="9:9" s="1" customFormat="1" x14ac:dyDescent="0.3">
      <c r="I207" s="28"/>
    </row>
    <row r="208" spans="9:9" s="1" customFormat="1" x14ac:dyDescent="0.3">
      <c r="I208" s="28"/>
    </row>
    <row r="209" spans="9:9" s="1" customFormat="1" x14ac:dyDescent="0.3">
      <c r="I209" s="28"/>
    </row>
    <row r="210" spans="9:9" s="1" customFormat="1" x14ac:dyDescent="0.3">
      <c r="I210" s="28"/>
    </row>
    <row r="211" spans="9:9" s="1" customFormat="1" x14ac:dyDescent="0.3">
      <c r="I211" s="28"/>
    </row>
    <row r="212" spans="9:9" s="1" customFormat="1" x14ac:dyDescent="0.3">
      <c r="I212" s="28"/>
    </row>
    <row r="213" spans="9:9" s="1" customFormat="1" x14ac:dyDescent="0.3">
      <c r="I213" s="28"/>
    </row>
    <row r="214" spans="9:9" s="1" customFormat="1" x14ac:dyDescent="0.3">
      <c r="I214" s="28"/>
    </row>
    <row r="215" spans="9:9" s="1" customFormat="1" x14ac:dyDescent="0.3">
      <c r="I215" s="28"/>
    </row>
    <row r="216" spans="9:9" s="1" customFormat="1" x14ac:dyDescent="0.3">
      <c r="I216" s="28"/>
    </row>
    <row r="217" spans="9:9" s="1" customFormat="1" x14ac:dyDescent="0.3">
      <c r="I217" s="28"/>
    </row>
    <row r="218" spans="9:9" s="1" customFormat="1" x14ac:dyDescent="0.3">
      <c r="I218" s="28"/>
    </row>
    <row r="219" spans="9:9" s="1" customFormat="1" x14ac:dyDescent="0.3">
      <c r="I219" s="28"/>
    </row>
    <row r="220" spans="9:9" s="1" customFormat="1" x14ac:dyDescent="0.3">
      <c r="I220" s="28"/>
    </row>
    <row r="221" spans="9:9" s="1" customFormat="1" x14ac:dyDescent="0.3">
      <c r="I221" s="28"/>
    </row>
    <row r="222" spans="9:9" s="1" customFormat="1" x14ac:dyDescent="0.3">
      <c r="I222" s="28"/>
    </row>
    <row r="223" spans="9:9" s="1" customFormat="1" x14ac:dyDescent="0.3">
      <c r="I223" s="28"/>
    </row>
    <row r="224" spans="9:9" s="1" customFormat="1" x14ac:dyDescent="0.3">
      <c r="I224" s="28"/>
    </row>
    <row r="225" spans="9:9" s="1" customFormat="1" x14ac:dyDescent="0.3">
      <c r="I225" s="28"/>
    </row>
    <row r="226" spans="9:9" s="1" customFormat="1" x14ac:dyDescent="0.3">
      <c r="I226" s="28"/>
    </row>
    <row r="227" spans="9:9" s="1" customFormat="1" x14ac:dyDescent="0.3">
      <c r="I227" s="28"/>
    </row>
    <row r="228" spans="9:9" s="1" customFormat="1" x14ac:dyDescent="0.3">
      <c r="I228" s="28"/>
    </row>
    <row r="229" spans="9:9" s="1" customFormat="1" x14ac:dyDescent="0.3">
      <c r="I229" s="28"/>
    </row>
    <row r="230" spans="9:9" s="1" customFormat="1" x14ac:dyDescent="0.3">
      <c r="I230" s="28"/>
    </row>
    <row r="231" spans="9:9" s="1" customFormat="1" x14ac:dyDescent="0.3">
      <c r="I231" s="28"/>
    </row>
    <row r="232" spans="9:9" s="1" customFormat="1" x14ac:dyDescent="0.3">
      <c r="I232" s="28"/>
    </row>
    <row r="233" spans="9:9" s="1" customFormat="1" x14ac:dyDescent="0.3">
      <c r="I233" s="28"/>
    </row>
    <row r="234" spans="9:9" s="1" customFormat="1" x14ac:dyDescent="0.3">
      <c r="I234" s="28"/>
    </row>
    <row r="235" spans="9:9" s="1" customFormat="1" x14ac:dyDescent="0.3">
      <c r="I235" s="28"/>
    </row>
    <row r="236" spans="9:9" s="1" customFormat="1" x14ac:dyDescent="0.3">
      <c r="I236" s="28"/>
    </row>
    <row r="237" spans="9:9" s="1" customFormat="1" x14ac:dyDescent="0.3">
      <c r="I237" s="28"/>
    </row>
    <row r="238" spans="9:9" s="1" customFormat="1" x14ac:dyDescent="0.3">
      <c r="I238" s="28"/>
    </row>
    <row r="239" spans="9:9" s="1" customFormat="1" x14ac:dyDescent="0.3">
      <c r="I239" s="28"/>
    </row>
    <row r="240" spans="9:9" s="1" customFormat="1" x14ac:dyDescent="0.3">
      <c r="I240" s="28"/>
    </row>
    <row r="241" spans="9:9" s="1" customFormat="1" x14ac:dyDescent="0.3">
      <c r="I241" s="28"/>
    </row>
    <row r="242" spans="9:9" s="1" customFormat="1" x14ac:dyDescent="0.3">
      <c r="I242" s="28"/>
    </row>
    <row r="243" spans="9:9" s="1" customFormat="1" x14ac:dyDescent="0.3">
      <c r="I243" s="28"/>
    </row>
    <row r="244" spans="9:9" s="1" customFormat="1" x14ac:dyDescent="0.3">
      <c r="I244" s="28"/>
    </row>
    <row r="245" spans="9:9" s="1" customFormat="1" x14ac:dyDescent="0.3">
      <c r="I245" s="28"/>
    </row>
    <row r="246" spans="9:9" s="1" customFormat="1" x14ac:dyDescent="0.3">
      <c r="I246" s="28"/>
    </row>
    <row r="247" spans="9:9" s="1" customFormat="1" x14ac:dyDescent="0.3">
      <c r="I247" s="28"/>
    </row>
    <row r="248" spans="9:9" s="1" customFormat="1" x14ac:dyDescent="0.3">
      <c r="I248" s="28"/>
    </row>
    <row r="249" spans="9:9" s="1" customFormat="1" x14ac:dyDescent="0.3">
      <c r="I249" s="28"/>
    </row>
    <row r="250" spans="9:9" s="1" customFormat="1" x14ac:dyDescent="0.3">
      <c r="I250" s="28"/>
    </row>
    <row r="251" spans="9:9" s="1" customFormat="1" x14ac:dyDescent="0.3">
      <c r="I251" s="28"/>
    </row>
    <row r="252" spans="9:9" s="1" customFormat="1" x14ac:dyDescent="0.3">
      <c r="I252" s="28"/>
    </row>
    <row r="253" spans="9:9" s="1" customFormat="1" x14ac:dyDescent="0.3">
      <c r="I253" s="28"/>
    </row>
    <row r="254" spans="9:9" s="1" customFormat="1" x14ac:dyDescent="0.3">
      <c r="I254" s="28"/>
    </row>
    <row r="255" spans="9:9" s="1" customFormat="1" x14ac:dyDescent="0.3">
      <c r="I255" s="28"/>
    </row>
    <row r="256" spans="9:9" s="1" customFormat="1" x14ac:dyDescent="0.3">
      <c r="I256" s="28"/>
    </row>
    <row r="257" spans="9:9" s="1" customFormat="1" x14ac:dyDescent="0.3">
      <c r="I257" s="28"/>
    </row>
    <row r="258" spans="9:9" s="1" customFormat="1" x14ac:dyDescent="0.3">
      <c r="I258" s="28"/>
    </row>
    <row r="259" spans="9:9" s="1" customFormat="1" x14ac:dyDescent="0.3">
      <c r="I259" s="28"/>
    </row>
    <row r="260" spans="9:9" s="1" customFormat="1" x14ac:dyDescent="0.3">
      <c r="I260" s="28"/>
    </row>
    <row r="261" spans="9:9" s="1" customFormat="1" x14ac:dyDescent="0.3">
      <c r="I261" s="28"/>
    </row>
    <row r="262" spans="9:9" s="1" customFormat="1" x14ac:dyDescent="0.3">
      <c r="I262" s="28"/>
    </row>
    <row r="263" spans="9:9" s="1" customFormat="1" x14ac:dyDescent="0.3">
      <c r="I263" s="28"/>
    </row>
    <row r="264" spans="9:9" s="1" customFormat="1" x14ac:dyDescent="0.3">
      <c r="I264" s="28"/>
    </row>
    <row r="265" spans="9:9" s="1" customFormat="1" x14ac:dyDescent="0.3">
      <c r="I265" s="28"/>
    </row>
    <row r="266" spans="9:9" s="1" customFormat="1" x14ac:dyDescent="0.3">
      <c r="I266" s="28"/>
    </row>
    <row r="267" spans="9:9" s="1" customFormat="1" x14ac:dyDescent="0.3">
      <c r="I267" s="28"/>
    </row>
    <row r="268" spans="9:9" s="1" customFormat="1" x14ac:dyDescent="0.3">
      <c r="I268" s="28"/>
    </row>
    <row r="269" spans="9:9" s="1" customFormat="1" x14ac:dyDescent="0.3">
      <c r="I269" s="28"/>
    </row>
    <row r="270" spans="9:9" s="1" customFormat="1" x14ac:dyDescent="0.3">
      <c r="I270" s="28"/>
    </row>
    <row r="271" spans="9:9" s="1" customFormat="1" x14ac:dyDescent="0.3">
      <c r="I271" s="28"/>
    </row>
    <row r="272" spans="9:9" s="1" customFormat="1" x14ac:dyDescent="0.3">
      <c r="I272" s="28"/>
    </row>
    <row r="273" spans="9:9" s="1" customFormat="1" x14ac:dyDescent="0.3">
      <c r="I273" s="28"/>
    </row>
    <row r="274" spans="9:9" s="1" customFormat="1" x14ac:dyDescent="0.3">
      <c r="I274" s="28"/>
    </row>
    <row r="275" spans="9:9" s="1" customFormat="1" x14ac:dyDescent="0.3">
      <c r="I275" s="28"/>
    </row>
    <row r="276" spans="9:9" s="1" customFormat="1" x14ac:dyDescent="0.3">
      <c r="I276" s="28"/>
    </row>
    <row r="277" spans="9:9" s="1" customFormat="1" x14ac:dyDescent="0.3">
      <c r="I277" s="28"/>
    </row>
    <row r="278" spans="9:9" s="1" customFormat="1" x14ac:dyDescent="0.3">
      <c r="I278" s="28"/>
    </row>
    <row r="279" spans="9:9" s="1" customFormat="1" x14ac:dyDescent="0.3">
      <c r="I279" s="28"/>
    </row>
    <row r="280" spans="9:9" s="1" customFormat="1" x14ac:dyDescent="0.3">
      <c r="I280" s="28"/>
    </row>
    <row r="281" spans="9:9" s="1" customFormat="1" x14ac:dyDescent="0.3">
      <c r="I281" s="28"/>
    </row>
    <row r="282" spans="9:9" s="1" customFormat="1" x14ac:dyDescent="0.3">
      <c r="I282" s="28"/>
    </row>
    <row r="283" spans="9:9" s="1" customFormat="1" x14ac:dyDescent="0.3">
      <c r="I283" s="28"/>
    </row>
    <row r="284" spans="9:9" s="1" customFormat="1" x14ac:dyDescent="0.3">
      <c r="I284" s="28"/>
    </row>
    <row r="285" spans="9:9" s="1" customFormat="1" x14ac:dyDescent="0.3">
      <c r="I285" s="28"/>
    </row>
    <row r="286" spans="9:9" s="1" customFormat="1" x14ac:dyDescent="0.3">
      <c r="I286" s="28"/>
    </row>
    <row r="287" spans="9:9" s="1" customFormat="1" x14ac:dyDescent="0.3">
      <c r="I287" s="28"/>
    </row>
    <row r="288" spans="9:9" s="1" customFormat="1" x14ac:dyDescent="0.3">
      <c r="I288" s="28"/>
    </row>
    <row r="289" spans="9:9" s="1" customFormat="1" x14ac:dyDescent="0.3">
      <c r="I289" s="28"/>
    </row>
    <row r="290" spans="9:9" s="1" customFormat="1" x14ac:dyDescent="0.3">
      <c r="I290" s="28"/>
    </row>
    <row r="291" spans="9:9" s="1" customFormat="1" x14ac:dyDescent="0.3">
      <c r="I291" s="28"/>
    </row>
    <row r="292" spans="9:9" s="1" customFormat="1" x14ac:dyDescent="0.3">
      <c r="I292" s="28"/>
    </row>
    <row r="293" spans="9:9" s="1" customFormat="1" x14ac:dyDescent="0.3">
      <c r="I293" s="28"/>
    </row>
    <row r="294" spans="9:9" s="1" customFormat="1" x14ac:dyDescent="0.3">
      <c r="I294" s="28"/>
    </row>
    <row r="295" spans="9:9" s="1" customFormat="1" x14ac:dyDescent="0.3">
      <c r="I295" s="28"/>
    </row>
    <row r="296" spans="9:9" s="1" customFormat="1" x14ac:dyDescent="0.3">
      <c r="I296" s="28"/>
    </row>
    <row r="297" spans="9:9" s="1" customFormat="1" x14ac:dyDescent="0.3">
      <c r="I297" s="28"/>
    </row>
    <row r="298" spans="9:9" s="1" customFormat="1" x14ac:dyDescent="0.3">
      <c r="I298" s="28"/>
    </row>
    <row r="299" spans="9:9" s="1" customFormat="1" x14ac:dyDescent="0.3">
      <c r="I299" s="28"/>
    </row>
    <row r="300" spans="9:9" s="1" customFormat="1" x14ac:dyDescent="0.3">
      <c r="I300" s="28"/>
    </row>
    <row r="301" spans="9:9" s="1" customFormat="1" x14ac:dyDescent="0.3">
      <c r="I301" s="28"/>
    </row>
    <row r="302" spans="9:9" s="1" customFormat="1" x14ac:dyDescent="0.3">
      <c r="I302" s="28"/>
    </row>
    <row r="303" spans="9:9" s="1" customFormat="1" x14ac:dyDescent="0.3">
      <c r="I303" s="28"/>
    </row>
    <row r="304" spans="9:9" s="1" customFormat="1" x14ac:dyDescent="0.3">
      <c r="I304" s="28"/>
    </row>
    <row r="305" spans="9:9" s="1" customFormat="1" x14ac:dyDescent="0.3">
      <c r="I305" s="28"/>
    </row>
    <row r="306" spans="9:9" s="1" customFormat="1" x14ac:dyDescent="0.3">
      <c r="I306" s="28"/>
    </row>
    <row r="307" spans="9:9" s="1" customFormat="1" x14ac:dyDescent="0.3">
      <c r="I307" s="28"/>
    </row>
    <row r="308" spans="9:9" s="1" customFormat="1" x14ac:dyDescent="0.3">
      <c r="I308" s="28"/>
    </row>
    <row r="309" spans="9:9" s="1" customFormat="1" x14ac:dyDescent="0.3">
      <c r="I309" s="28"/>
    </row>
    <row r="310" spans="9:9" s="1" customFormat="1" x14ac:dyDescent="0.3">
      <c r="I310" s="28"/>
    </row>
    <row r="311" spans="9:9" s="1" customFormat="1" x14ac:dyDescent="0.3">
      <c r="I311" s="28"/>
    </row>
    <row r="312" spans="9:9" s="1" customFormat="1" x14ac:dyDescent="0.3">
      <c r="I312" s="28"/>
    </row>
    <row r="313" spans="9:9" s="1" customFormat="1" x14ac:dyDescent="0.3">
      <c r="I313" s="28"/>
    </row>
    <row r="314" spans="9:9" s="1" customFormat="1" x14ac:dyDescent="0.3">
      <c r="I314" s="28"/>
    </row>
    <row r="315" spans="9:9" s="1" customFormat="1" x14ac:dyDescent="0.3">
      <c r="I315" s="28"/>
    </row>
    <row r="316" spans="9:9" s="1" customFormat="1" x14ac:dyDescent="0.3">
      <c r="I316" s="28"/>
    </row>
    <row r="317" spans="9:9" s="1" customFormat="1" x14ac:dyDescent="0.3">
      <c r="I317" s="28"/>
    </row>
    <row r="318" spans="9:9" s="1" customFormat="1" x14ac:dyDescent="0.3">
      <c r="I318" s="28"/>
    </row>
    <row r="319" spans="9:9" s="1" customFormat="1" x14ac:dyDescent="0.3">
      <c r="I319" s="28"/>
    </row>
    <row r="320" spans="9:9" s="1" customFormat="1" x14ac:dyDescent="0.3">
      <c r="I320" s="28"/>
    </row>
    <row r="321" spans="9:9" s="1" customFormat="1" x14ac:dyDescent="0.3">
      <c r="I321" s="28"/>
    </row>
    <row r="322" spans="9:9" s="1" customFormat="1" x14ac:dyDescent="0.3">
      <c r="I322" s="28"/>
    </row>
    <row r="323" spans="9:9" s="1" customFormat="1" x14ac:dyDescent="0.3">
      <c r="I323" s="28"/>
    </row>
    <row r="324" spans="9:9" s="1" customFormat="1" x14ac:dyDescent="0.3">
      <c r="I324" s="28"/>
    </row>
    <row r="325" spans="9:9" s="1" customFormat="1" x14ac:dyDescent="0.3">
      <c r="I325" s="28"/>
    </row>
    <row r="326" spans="9:9" s="1" customFormat="1" x14ac:dyDescent="0.3">
      <c r="I326" s="28"/>
    </row>
    <row r="327" spans="9:9" s="1" customFormat="1" x14ac:dyDescent="0.3">
      <c r="I327" s="28"/>
    </row>
    <row r="328" spans="9:9" s="1" customFormat="1" x14ac:dyDescent="0.3">
      <c r="I328" s="28"/>
    </row>
    <row r="329" spans="9:9" s="1" customFormat="1" x14ac:dyDescent="0.3">
      <c r="I329" s="28"/>
    </row>
    <row r="330" spans="9:9" s="1" customFormat="1" x14ac:dyDescent="0.3">
      <c r="I330" s="28"/>
    </row>
    <row r="331" spans="9:9" s="1" customFormat="1" x14ac:dyDescent="0.3">
      <c r="I331" s="28"/>
    </row>
    <row r="332" spans="9:9" s="1" customFormat="1" x14ac:dyDescent="0.3">
      <c r="I332" s="28"/>
    </row>
    <row r="333" spans="9:9" s="1" customFormat="1" x14ac:dyDescent="0.3">
      <c r="I333" s="28"/>
    </row>
    <row r="334" spans="9:9" s="1" customFormat="1" x14ac:dyDescent="0.3">
      <c r="I334" s="28"/>
    </row>
    <row r="335" spans="9:9" s="1" customFormat="1" x14ac:dyDescent="0.3">
      <c r="I335" s="28"/>
    </row>
    <row r="336" spans="9:9" s="1" customFormat="1" x14ac:dyDescent="0.3">
      <c r="I336" s="28"/>
    </row>
    <row r="337" spans="9:9" s="1" customFormat="1" x14ac:dyDescent="0.3">
      <c r="I337" s="28"/>
    </row>
    <row r="338" spans="9:9" s="1" customFormat="1" x14ac:dyDescent="0.3">
      <c r="I338" s="28"/>
    </row>
    <row r="339" spans="9:9" s="1" customFormat="1" x14ac:dyDescent="0.3">
      <c r="I339" s="28"/>
    </row>
    <row r="340" spans="9:9" s="1" customFormat="1" x14ac:dyDescent="0.3">
      <c r="I340" s="28"/>
    </row>
    <row r="341" spans="9:9" s="1" customFormat="1" x14ac:dyDescent="0.3">
      <c r="I341" s="28"/>
    </row>
    <row r="342" spans="9:9" s="1" customFormat="1" x14ac:dyDescent="0.3">
      <c r="I342" s="28"/>
    </row>
    <row r="343" spans="9:9" s="1" customFormat="1" x14ac:dyDescent="0.3">
      <c r="I343" s="28"/>
    </row>
    <row r="344" spans="9:9" s="1" customFormat="1" x14ac:dyDescent="0.3">
      <c r="I344" s="28"/>
    </row>
    <row r="345" spans="9:9" s="1" customFormat="1" x14ac:dyDescent="0.3">
      <c r="I345" s="28"/>
    </row>
    <row r="346" spans="9:9" s="1" customFormat="1" x14ac:dyDescent="0.3">
      <c r="I346" s="28"/>
    </row>
    <row r="347" spans="9:9" s="1" customFormat="1" x14ac:dyDescent="0.3">
      <c r="I347" s="28"/>
    </row>
    <row r="348" spans="9:9" s="1" customFormat="1" x14ac:dyDescent="0.3">
      <c r="I348" s="28"/>
    </row>
    <row r="349" spans="9:9" s="1" customFormat="1" x14ac:dyDescent="0.3">
      <c r="I349" s="28"/>
    </row>
    <row r="350" spans="9:9" s="1" customFormat="1" x14ac:dyDescent="0.3">
      <c r="I350" s="28"/>
    </row>
    <row r="351" spans="9:9" s="1" customFormat="1" x14ac:dyDescent="0.3">
      <c r="I351" s="28"/>
    </row>
    <row r="352" spans="9:9" s="1" customFormat="1" x14ac:dyDescent="0.3">
      <c r="I352" s="28"/>
    </row>
    <row r="353" spans="9:9" s="1" customFormat="1" x14ac:dyDescent="0.3">
      <c r="I353" s="28"/>
    </row>
    <row r="354" spans="9:9" s="1" customFormat="1" x14ac:dyDescent="0.3">
      <c r="I354" s="28"/>
    </row>
    <row r="355" spans="9:9" s="1" customFormat="1" x14ac:dyDescent="0.3">
      <c r="I355" s="28"/>
    </row>
    <row r="356" spans="9:9" s="1" customFormat="1" x14ac:dyDescent="0.3">
      <c r="I356" s="28"/>
    </row>
    <row r="357" spans="9:9" s="1" customFormat="1" x14ac:dyDescent="0.3">
      <c r="I357" s="28"/>
    </row>
    <row r="358" spans="9:9" s="1" customFormat="1" x14ac:dyDescent="0.3">
      <c r="I358" s="28"/>
    </row>
    <row r="359" spans="9:9" s="1" customFormat="1" x14ac:dyDescent="0.3">
      <c r="I359" s="28"/>
    </row>
    <row r="360" spans="9:9" s="1" customFormat="1" x14ac:dyDescent="0.3">
      <c r="I360" s="28"/>
    </row>
    <row r="361" spans="9:9" s="1" customFormat="1" x14ac:dyDescent="0.3">
      <c r="I361" s="28"/>
    </row>
    <row r="362" spans="9:9" s="1" customFormat="1" x14ac:dyDescent="0.3">
      <c r="I362" s="28"/>
    </row>
    <row r="363" spans="9:9" s="1" customFormat="1" x14ac:dyDescent="0.3">
      <c r="I363" s="28"/>
    </row>
    <row r="364" spans="9:9" s="1" customFormat="1" x14ac:dyDescent="0.3">
      <c r="I364" s="28"/>
    </row>
    <row r="365" spans="9:9" s="1" customFormat="1" x14ac:dyDescent="0.3">
      <c r="I365" s="28"/>
    </row>
    <row r="366" spans="9:9" s="1" customFormat="1" x14ac:dyDescent="0.3">
      <c r="I366" s="28"/>
    </row>
    <row r="367" spans="9:9" s="1" customFormat="1" x14ac:dyDescent="0.3">
      <c r="I367" s="28"/>
    </row>
    <row r="368" spans="9:9" s="1" customFormat="1" x14ac:dyDescent="0.3">
      <c r="I368" s="28"/>
    </row>
    <row r="369" spans="9:9" s="1" customFormat="1" x14ac:dyDescent="0.3">
      <c r="I369" s="28"/>
    </row>
    <row r="370" spans="9:9" s="1" customFormat="1" x14ac:dyDescent="0.3">
      <c r="I370" s="28"/>
    </row>
    <row r="371" spans="9:9" s="1" customFormat="1" x14ac:dyDescent="0.3">
      <c r="I371" s="28"/>
    </row>
    <row r="372" spans="9:9" s="1" customFormat="1" x14ac:dyDescent="0.3">
      <c r="I372" s="28"/>
    </row>
    <row r="373" spans="9:9" s="1" customFormat="1" x14ac:dyDescent="0.3">
      <c r="I373" s="28"/>
    </row>
    <row r="374" spans="9:9" s="1" customFormat="1" x14ac:dyDescent="0.3">
      <c r="I374" s="28"/>
    </row>
    <row r="375" spans="9:9" s="1" customFormat="1" x14ac:dyDescent="0.3">
      <c r="I375" s="28"/>
    </row>
    <row r="376" spans="9:9" s="1" customFormat="1" x14ac:dyDescent="0.3">
      <c r="I376" s="28"/>
    </row>
    <row r="377" spans="9:9" s="1" customFormat="1" x14ac:dyDescent="0.3">
      <c r="I377" s="28"/>
    </row>
    <row r="378" spans="9:9" s="1" customFormat="1" x14ac:dyDescent="0.3">
      <c r="I378" s="28"/>
    </row>
    <row r="379" spans="9:9" s="1" customFormat="1" x14ac:dyDescent="0.3">
      <c r="I379" s="28"/>
    </row>
    <row r="380" spans="9:9" s="1" customFormat="1" x14ac:dyDescent="0.3">
      <c r="I380" s="28"/>
    </row>
    <row r="381" spans="9:9" s="1" customFormat="1" x14ac:dyDescent="0.3">
      <c r="I381" s="28"/>
    </row>
    <row r="382" spans="9:9" s="1" customFormat="1" x14ac:dyDescent="0.3">
      <c r="I382" s="28"/>
    </row>
    <row r="383" spans="9:9" s="1" customFormat="1" x14ac:dyDescent="0.3">
      <c r="I383" s="28"/>
    </row>
    <row r="384" spans="9:9" s="1" customFormat="1" x14ac:dyDescent="0.3">
      <c r="I384" s="28"/>
    </row>
    <row r="385" spans="9:9" s="1" customFormat="1" x14ac:dyDescent="0.3">
      <c r="I385" s="28"/>
    </row>
    <row r="386" spans="9:9" s="1" customFormat="1" x14ac:dyDescent="0.3">
      <c r="I386" s="28"/>
    </row>
    <row r="387" spans="9:9" s="1" customFormat="1" x14ac:dyDescent="0.3">
      <c r="I387" s="28"/>
    </row>
    <row r="388" spans="9:9" s="1" customFormat="1" x14ac:dyDescent="0.3">
      <c r="I388" s="28"/>
    </row>
    <row r="389" spans="9:9" s="1" customFormat="1" x14ac:dyDescent="0.3">
      <c r="I389" s="28"/>
    </row>
    <row r="390" spans="9:9" s="1" customFormat="1" x14ac:dyDescent="0.3">
      <c r="I390" s="28"/>
    </row>
    <row r="391" spans="9:9" s="1" customFormat="1" x14ac:dyDescent="0.3">
      <c r="I391" s="28"/>
    </row>
    <row r="392" spans="9:9" s="1" customFormat="1" x14ac:dyDescent="0.3">
      <c r="I392" s="28"/>
    </row>
    <row r="393" spans="9:9" s="1" customFormat="1" x14ac:dyDescent="0.3">
      <c r="I393" s="28"/>
    </row>
    <row r="394" spans="9:9" s="1" customFormat="1" x14ac:dyDescent="0.3">
      <c r="I394" s="28"/>
    </row>
    <row r="395" spans="9:9" s="1" customFormat="1" x14ac:dyDescent="0.3">
      <c r="I395" s="28"/>
    </row>
    <row r="396" spans="9:9" s="1" customFormat="1" x14ac:dyDescent="0.3">
      <c r="I396" s="28"/>
    </row>
    <row r="397" spans="9:9" s="1" customFormat="1" x14ac:dyDescent="0.3">
      <c r="I397" s="28"/>
    </row>
    <row r="398" spans="9:9" s="1" customFormat="1" x14ac:dyDescent="0.3">
      <c r="I398" s="28"/>
    </row>
    <row r="399" spans="9:9" s="1" customFormat="1" x14ac:dyDescent="0.3">
      <c r="I399" s="28"/>
    </row>
    <row r="400" spans="9:9" s="1" customFormat="1" x14ac:dyDescent="0.3">
      <c r="I400" s="28"/>
    </row>
    <row r="401" spans="9:9" s="1" customFormat="1" x14ac:dyDescent="0.3">
      <c r="I401" s="28"/>
    </row>
    <row r="402" spans="9:9" s="1" customFormat="1" x14ac:dyDescent="0.3">
      <c r="I402" s="28"/>
    </row>
    <row r="403" spans="9:9" s="1" customFormat="1" x14ac:dyDescent="0.3">
      <c r="I403" s="28"/>
    </row>
    <row r="404" spans="9:9" s="1" customFormat="1" x14ac:dyDescent="0.3">
      <c r="I404" s="28"/>
    </row>
    <row r="405" spans="9:9" s="1" customFormat="1" x14ac:dyDescent="0.3">
      <c r="I405" s="28"/>
    </row>
    <row r="406" spans="9:9" s="1" customFormat="1" x14ac:dyDescent="0.3">
      <c r="I406" s="28"/>
    </row>
    <row r="407" spans="9:9" s="1" customFormat="1" x14ac:dyDescent="0.3">
      <c r="I407" s="28"/>
    </row>
    <row r="408" spans="9:9" s="1" customFormat="1" x14ac:dyDescent="0.3">
      <c r="I408" s="28"/>
    </row>
    <row r="409" spans="9:9" s="1" customFormat="1" x14ac:dyDescent="0.3">
      <c r="I409" s="28"/>
    </row>
    <row r="410" spans="9:9" s="1" customFormat="1" x14ac:dyDescent="0.3">
      <c r="I410" s="28"/>
    </row>
    <row r="411" spans="9:9" s="1" customFormat="1" x14ac:dyDescent="0.3">
      <c r="I411" s="28"/>
    </row>
    <row r="412" spans="9:9" s="1" customFormat="1" x14ac:dyDescent="0.3">
      <c r="I412" s="28"/>
    </row>
    <row r="413" spans="9:9" s="1" customFormat="1" x14ac:dyDescent="0.3">
      <c r="I413" s="28"/>
    </row>
    <row r="414" spans="9:9" s="1" customFormat="1" x14ac:dyDescent="0.3">
      <c r="I414" s="28"/>
    </row>
    <row r="415" spans="9:9" s="1" customFormat="1" x14ac:dyDescent="0.3">
      <c r="I415" s="28"/>
    </row>
    <row r="416" spans="9:9" s="1" customFormat="1" x14ac:dyDescent="0.3">
      <c r="I416" s="28"/>
    </row>
    <row r="417" spans="9:9" s="1" customFormat="1" x14ac:dyDescent="0.3">
      <c r="I417" s="28"/>
    </row>
    <row r="418" spans="9:9" s="1" customFormat="1" x14ac:dyDescent="0.3">
      <c r="I418" s="28"/>
    </row>
    <row r="419" spans="9:9" s="1" customFormat="1" x14ac:dyDescent="0.3">
      <c r="I419" s="28"/>
    </row>
    <row r="420" spans="9:9" s="1" customFormat="1" x14ac:dyDescent="0.3">
      <c r="I420" s="28"/>
    </row>
    <row r="421" spans="9:9" s="1" customFormat="1" x14ac:dyDescent="0.3">
      <c r="I421" s="28"/>
    </row>
    <row r="422" spans="9:9" s="1" customFormat="1" x14ac:dyDescent="0.3">
      <c r="I422" s="28"/>
    </row>
    <row r="423" spans="9:9" s="1" customFormat="1" x14ac:dyDescent="0.3">
      <c r="I423" s="28"/>
    </row>
    <row r="424" spans="9:9" s="1" customFormat="1" x14ac:dyDescent="0.3">
      <c r="I424" s="28"/>
    </row>
    <row r="425" spans="9:9" s="1" customFormat="1" x14ac:dyDescent="0.3">
      <c r="I425" s="28"/>
    </row>
    <row r="426" spans="9:9" s="1" customFormat="1" x14ac:dyDescent="0.3">
      <c r="I426" s="28"/>
    </row>
    <row r="427" spans="9:9" s="1" customFormat="1" x14ac:dyDescent="0.3">
      <c r="I427" s="28"/>
    </row>
    <row r="428" spans="9:9" s="1" customFormat="1" x14ac:dyDescent="0.3">
      <c r="I428" s="28"/>
    </row>
    <row r="429" spans="9:9" s="1" customFormat="1" x14ac:dyDescent="0.3">
      <c r="I429" s="28"/>
    </row>
    <row r="430" spans="9:9" s="1" customFormat="1" x14ac:dyDescent="0.3">
      <c r="I430" s="28"/>
    </row>
    <row r="431" spans="9:9" s="1" customFormat="1" x14ac:dyDescent="0.3">
      <c r="I431" s="28"/>
    </row>
    <row r="432" spans="9:9" s="1" customFormat="1" x14ac:dyDescent="0.3">
      <c r="I432" s="28"/>
    </row>
    <row r="433" spans="9:9" s="1" customFormat="1" x14ac:dyDescent="0.3">
      <c r="I433" s="28"/>
    </row>
    <row r="434" spans="9:9" s="1" customFormat="1" x14ac:dyDescent="0.3">
      <c r="I434" s="28"/>
    </row>
    <row r="435" spans="9:9" s="1" customFormat="1" x14ac:dyDescent="0.3">
      <c r="I435" s="28"/>
    </row>
    <row r="436" spans="9:9" s="1" customFormat="1" x14ac:dyDescent="0.3">
      <c r="I436" s="28"/>
    </row>
    <row r="437" spans="9:9" s="1" customFormat="1" x14ac:dyDescent="0.3">
      <c r="I437" s="28"/>
    </row>
    <row r="438" spans="9:9" s="1" customFormat="1" x14ac:dyDescent="0.3">
      <c r="I438" s="28"/>
    </row>
    <row r="439" spans="9:9" s="1" customFormat="1" x14ac:dyDescent="0.3">
      <c r="I439" s="28"/>
    </row>
    <row r="440" spans="9:9" s="1" customFormat="1" x14ac:dyDescent="0.3">
      <c r="I440" s="28"/>
    </row>
    <row r="441" spans="9:9" s="1" customFormat="1" x14ac:dyDescent="0.3">
      <c r="I441" s="28"/>
    </row>
    <row r="442" spans="9:9" s="1" customFormat="1" x14ac:dyDescent="0.3">
      <c r="I442" s="28"/>
    </row>
    <row r="443" spans="9:9" s="1" customFormat="1" x14ac:dyDescent="0.3">
      <c r="I443" s="28"/>
    </row>
    <row r="444" spans="9:9" s="1" customFormat="1" x14ac:dyDescent="0.3">
      <c r="I444" s="28"/>
    </row>
    <row r="445" spans="9:9" s="1" customFormat="1" x14ac:dyDescent="0.3">
      <c r="I445" s="28"/>
    </row>
    <row r="446" spans="9:9" s="1" customFormat="1" x14ac:dyDescent="0.3">
      <c r="I446" s="28"/>
    </row>
    <row r="447" spans="9:9" s="1" customFormat="1" x14ac:dyDescent="0.3">
      <c r="I447" s="28"/>
    </row>
    <row r="448" spans="9:9" s="1" customFormat="1" x14ac:dyDescent="0.3">
      <c r="I448" s="28"/>
    </row>
    <row r="449" spans="9:9" s="1" customFormat="1" x14ac:dyDescent="0.3">
      <c r="I449" s="28"/>
    </row>
    <row r="450" spans="9:9" s="1" customFormat="1" x14ac:dyDescent="0.3">
      <c r="I450" s="28"/>
    </row>
    <row r="451" spans="9:9" s="1" customFormat="1" x14ac:dyDescent="0.3">
      <c r="I451" s="28"/>
    </row>
    <row r="452" spans="9:9" s="1" customFormat="1" x14ac:dyDescent="0.3">
      <c r="I452" s="28"/>
    </row>
    <row r="453" spans="9:9" s="1" customFormat="1" x14ac:dyDescent="0.3">
      <c r="I453" s="28"/>
    </row>
    <row r="454" spans="9:9" s="1" customFormat="1" x14ac:dyDescent="0.3">
      <c r="I454" s="28"/>
    </row>
    <row r="455" spans="9:9" s="1" customFormat="1" x14ac:dyDescent="0.3">
      <c r="I455" s="28"/>
    </row>
    <row r="456" spans="9:9" s="1" customFormat="1" x14ac:dyDescent="0.3">
      <c r="I456" s="28"/>
    </row>
    <row r="457" spans="9:9" s="1" customFormat="1" x14ac:dyDescent="0.3">
      <c r="I457" s="28"/>
    </row>
    <row r="458" spans="9:9" s="1" customFormat="1" x14ac:dyDescent="0.3">
      <c r="I458" s="28"/>
    </row>
    <row r="459" spans="9:9" s="1" customFormat="1" x14ac:dyDescent="0.3">
      <c r="I459" s="28"/>
    </row>
    <row r="460" spans="9:9" s="1" customFormat="1" x14ac:dyDescent="0.3">
      <c r="I460" s="28"/>
    </row>
    <row r="461" spans="9:9" s="1" customFormat="1" x14ac:dyDescent="0.3">
      <c r="I461" s="28"/>
    </row>
    <row r="462" spans="9:9" s="1" customFormat="1" x14ac:dyDescent="0.3">
      <c r="I462" s="28"/>
    </row>
    <row r="463" spans="9:9" s="1" customFormat="1" x14ac:dyDescent="0.3">
      <c r="I463" s="28"/>
    </row>
    <row r="464" spans="9:9" s="1" customFormat="1" x14ac:dyDescent="0.3">
      <c r="I464" s="28"/>
    </row>
    <row r="465" spans="9:9" s="1" customFormat="1" x14ac:dyDescent="0.3">
      <c r="I465" s="28"/>
    </row>
    <row r="466" spans="9:9" s="1" customFormat="1" x14ac:dyDescent="0.3">
      <c r="I466" s="28"/>
    </row>
    <row r="467" spans="9:9" s="1" customFormat="1" x14ac:dyDescent="0.3">
      <c r="I467" s="28"/>
    </row>
    <row r="468" spans="9:9" s="1" customFormat="1" x14ac:dyDescent="0.3">
      <c r="I468" s="28"/>
    </row>
    <row r="469" spans="9:9" s="1" customFormat="1" x14ac:dyDescent="0.3">
      <c r="I469" s="28"/>
    </row>
    <row r="470" spans="9:9" s="1" customFormat="1" x14ac:dyDescent="0.3">
      <c r="I470" s="28"/>
    </row>
    <row r="471" spans="9:9" s="1" customFormat="1" x14ac:dyDescent="0.3">
      <c r="I471" s="28"/>
    </row>
    <row r="472" spans="9:9" s="1" customFormat="1" x14ac:dyDescent="0.3">
      <c r="I472" s="28"/>
    </row>
    <row r="473" spans="9:9" s="1" customFormat="1" x14ac:dyDescent="0.3">
      <c r="I473" s="28"/>
    </row>
    <row r="474" spans="9:9" s="1" customFormat="1" x14ac:dyDescent="0.3">
      <c r="I474" s="28"/>
    </row>
    <row r="475" spans="9:9" s="1" customFormat="1" x14ac:dyDescent="0.3">
      <c r="I475" s="28"/>
    </row>
    <row r="476" spans="9:9" s="1" customFormat="1" x14ac:dyDescent="0.3">
      <c r="I476" s="28"/>
    </row>
    <row r="477" spans="9:9" s="1" customFormat="1" x14ac:dyDescent="0.3">
      <c r="I477" s="28"/>
    </row>
    <row r="478" spans="9:9" s="1" customFormat="1" x14ac:dyDescent="0.3">
      <c r="I478" s="28"/>
    </row>
    <row r="479" spans="9:9" s="1" customFormat="1" x14ac:dyDescent="0.3">
      <c r="I479" s="28"/>
    </row>
    <row r="480" spans="9:9" s="1" customFormat="1" x14ac:dyDescent="0.3">
      <c r="I480" s="28"/>
    </row>
    <row r="481" spans="9:9" s="1" customFormat="1" x14ac:dyDescent="0.3">
      <c r="I481" s="28"/>
    </row>
    <row r="482" spans="9:9" s="1" customFormat="1" x14ac:dyDescent="0.3">
      <c r="I482" s="28"/>
    </row>
    <row r="483" spans="9:9" s="1" customFormat="1" x14ac:dyDescent="0.3">
      <c r="I483" s="28"/>
    </row>
    <row r="484" spans="9:9" s="1" customFormat="1" x14ac:dyDescent="0.3">
      <c r="I484" s="28"/>
    </row>
    <row r="485" spans="9:9" s="1" customFormat="1" x14ac:dyDescent="0.3">
      <c r="I485" s="28"/>
    </row>
    <row r="486" spans="9:9" s="1" customFormat="1" x14ac:dyDescent="0.3">
      <c r="I486" s="28"/>
    </row>
    <row r="487" spans="9:9" s="1" customFormat="1" x14ac:dyDescent="0.3">
      <c r="I487" s="28"/>
    </row>
    <row r="488" spans="9:9" s="1" customFormat="1" x14ac:dyDescent="0.3">
      <c r="I488" s="28"/>
    </row>
    <row r="489" spans="9:9" s="1" customFormat="1" x14ac:dyDescent="0.3">
      <c r="I489" s="28"/>
    </row>
    <row r="490" spans="9:9" s="1" customFormat="1" x14ac:dyDescent="0.3">
      <c r="I490" s="28"/>
    </row>
    <row r="491" spans="9:9" s="1" customFormat="1" x14ac:dyDescent="0.3">
      <c r="I491" s="28"/>
    </row>
    <row r="492" spans="9:9" s="1" customFormat="1" x14ac:dyDescent="0.3">
      <c r="I492" s="28"/>
    </row>
    <row r="493" spans="9:9" s="1" customFormat="1" x14ac:dyDescent="0.3">
      <c r="I493" s="28"/>
    </row>
    <row r="494" spans="9:9" s="1" customFormat="1" x14ac:dyDescent="0.3">
      <c r="I494" s="28"/>
    </row>
    <row r="495" spans="9:9" s="1" customFormat="1" x14ac:dyDescent="0.3">
      <c r="I495" s="28"/>
    </row>
    <row r="496" spans="9:9" s="1" customFormat="1" x14ac:dyDescent="0.3">
      <c r="I496" s="28"/>
    </row>
    <row r="497" spans="9:9" s="1" customFormat="1" x14ac:dyDescent="0.3">
      <c r="I497" s="28"/>
    </row>
    <row r="498" spans="9:9" s="1" customFormat="1" x14ac:dyDescent="0.3">
      <c r="I498" s="28"/>
    </row>
    <row r="499" spans="9:9" s="1" customFormat="1" x14ac:dyDescent="0.3">
      <c r="I499" s="28"/>
    </row>
    <row r="500" spans="9:9" s="1" customFormat="1" x14ac:dyDescent="0.3">
      <c r="I500" s="28"/>
    </row>
    <row r="501" spans="9:9" s="1" customFormat="1" x14ac:dyDescent="0.3">
      <c r="I501" s="28"/>
    </row>
    <row r="502" spans="9:9" s="1" customFormat="1" x14ac:dyDescent="0.3">
      <c r="I502" s="28"/>
    </row>
    <row r="503" spans="9:9" s="1" customFormat="1" x14ac:dyDescent="0.3">
      <c r="I503" s="28"/>
    </row>
    <row r="504" spans="9:9" s="1" customFormat="1" x14ac:dyDescent="0.3">
      <c r="I504" s="28"/>
    </row>
    <row r="505" spans="9:9" s="1" customFormat="1" x14ac:dyDescent="0.3">
      <c r="I505" s="28"/>
    </row>
    <row r="506" spans="9:9" s="1" customFormat="1" x14ac:dyDescent="0.3">
      <c r="I506" s="28"/>
    </row>
    <row r="507" spans="9:9" s="1" customFormat="1" x14ac:dyDescent="0.3">
      <c r="I507" s="28"/>
    </row>
    <row r="508" spans="9:9" s="1" customFormat="1" x14ac:dyDescent="0.3">
      <c r="I508" s="28"/>
    </row>
    <row r="509" spans="9:9" s="1" customFormat="1" x14ac:dyDescent="0.3">
      <c r="I509" s="28"/>
    </row>
    <row r="510" spans="9:9" s="1" customFormat="1" x14ac:dyDescent="0.3">
      <c r="I510" s="28"/>
    </row>
    <row r="511" spans="9:9" s="1" customFormat="1" x14ac:dyDescent="0.3">
      <c r="I511" s="28"/>
    </row>
    <row r="512" spans="9:9" s="1" customFormat="1" x14ac:dyDescent="0.3">
      <c r="I512" s="28"/>
    </row>
    <row r="513" spans="9:9" s="1" customFormat="1" x14ac:dyDescent="0.3">
      <c r="I513" s="28"/>
    </row>
    <row r="514" spans="9:9" s="1" customFormat="1" x14ac:dyDescent="0.3">
      <c r="I514" s="28"/>
    </row>
    <row r="515" spans="9:9" s="1" customFormat="1" x14ac:dyDescent="0.3">
      <c r="I515" s="28"/>
    </row>
    <row r="516" spans="9:9" s="1" customFormat="1" x14ac:dyDescent="0.3">
      <c r="I516" s="28"/>
    </row>
    <row r="517" spans="9:9" s="1" customFormat="1" x14ac:dyDescent="0.3">
      <c r="I517" s="28"/>
    </row>
    <row r="518" spans="9:9" s="1" customFormat="1" x14ac:dyDescent="0.3">
      <c r="I518" s="28"/>
    </row>
    <row r="519" spans="9:9" s="1" customFormat="1" x14ac:dyDescent="0.3">
      <c r="I519" s="28"/>
    </row>
    <row r="520" spans="9:9" s="1" customFormat="1" x14ac:dyDescent="0.3">
      <c r="I520" s="28"/>
    </row>
    <row r="521" spans="9:9" s="1" customFormat="1" x14ac:dyDescent="0.3">
      <c r="I521" s="28"/>
    </row>
    <row r="522" spans="9:9" s="1" customFormat="1" x14ac:dyDescent="0.3">
      <c r="I522" s="28"/>
    </row>
    <row r="523" spans="9:9" s="1" customFormat="1" x14ac:dyDescent="0.3">
      <c r="I523" s="28"/>
    </row>
    <row r="524" spans="9:9" s="1" customFormat="1" x14ac:dyDescent="0.3">
      <c r="I524" s="28"/>
    </row>
    <row r="525" spans="9:9" s="1" customFormat="1" x14ac:dyDescent="0.3">
      <c r="I525" s="28"/>
    </row>
    <row r="526" spans="9:9" s="1" customFormat="1" x14ac:dyDescent="0.3">
      <c r="I526" s="28"/>
    </row>
    <row r="527" spans="9:9" s="1" customFormat="1" x14ac:dyDescent="0.3">
      <c r="I527" s="28"/>
    </row>
    <row r="528" spans="9:9" s="1" customFormat="1" x14ac:dyDescent="0.3">
      <c r="I528" s="28"/>
    </row>
    <row r="529" spans="9:9" s="1" customFormat="1" x14ac:dyDescent="0.3">
      <c r="I529" s="28"/>
    </row>
    <row r="530" spans="9:9" s="1" customFormat="1" x14ac:dyDescent="0.3">
      <c r="I530" s="28"/>
    </row>
    <row r="531" spans="9:9" s="1" customFormat="1" x14ac:dyDescent="0.3">
      <c r="I531" s="28"/>
    </row>
    <row r="532" spans="9:9" s="1" customFormat="1" x14ac:dyDescent="0.3">
      <c r="I532" s="28"/>
    </row>
    <row r="533" spans="9:9" s="1" customFormat="1" x14ac:dyDescent="0.3">
      <c r="I533" s="28"/>
    </row>
    <row r="534" spans="9:9" s="1" customFormat="1" x14ac:dyDescent="0.3">
      <c r="I534" s="28"/>
    </row>
    <row r="535" spans="9:9" s="1" customFormat="1" x14ac:dyDescent="0.3">
      <c r="I535" s="28"/>
    </row>
    <row r="536" spans="9:9" s="1" customFormat="1" x14ac:dyDescent="0.3">
      <c r="I536" s="28"/>
    </row>
    <row r="537" spans="9:9" s="1" customFormat="1" x14ac:dyDescent="0.3">
      <c r="I537" s="28"/>
    </row>
    <row r="538" spans="9:9" s="1" customFormat="1" x14ac:dyDescent="0.3">
      <c r="I538" s="28"/>
    </row>
    <row r="539" spans="9:9" s="1" customFormat="1" x14ac:dyDescent="0.3">
      <c r="I539" s="28"/>
    </row>
    <row r="540" spans="9:9" s="1" customFormat="1" x14ac:dyDescent="0.3">
      <c r="I540" s="28"/>
    </row>
    <row r="541" spans="9:9" s="1" customFormat="1" x14ac:dyDescent="0.3">
      <c r="I541" s="28"/>
    </row>
    <row r="542" spans="9:9" s="1" customFormat="1" x14ac:dyDescent="0.3">
      <c r="I542" s="28"/>
    </row>
    <row r="543" spans="9:9" s="1" customFormat="1" x14ac:dyDescent="0.3">
      <c r="I543" s="28"/>
    </row>
    <row r="544" spans="9:9" s="1" customFormat="1" x14ac:dyDescent="0.3">
      <c r="I544" s="28"/>
    </row>
    <row r="545" spans="9:9" s="1" customFormat="1" x14ac:dyDescent="0.3">
      <c r="I545" s="28"/>
    </row>
    <row r="546" spans="9:9" s="1" customFormat="1" x14ac:dyDescent="0.3">
      <c r="I546" s="28"/>
    </row>
    <row r="547" spans="9:9" s="1" customFormat="1" x14ac:dyDescent="0.3">
      <c r="I547" s="28"/>
    </row>
    <row r="548" spans="9:9" s="1" customFormat="1" x14ac:dyDescent="0.3">
      <c r="I548" s="28"/>
    </row>
    <row r="549" spans="9:9" s="1" customFormat="1" x14ac:dyDescent="0.3">
      <c r="I549" s="28"/>
    </row>
    <row r="550" spans="9:9" s="1" customFormat="1" x14ac:dyDescent="0.3">
      <c r="I550" s="28"/>
    </row>
    <row r="551" spans="9:9" s="1" customFormat="1" x14ac:dyDescent="0.3">
      <c r="I551" s="28"/>
    </row>
    <row r="552" spans="9:9" s="1" customFormat="1" x14ac:dyDescent="0.3">
      <c r="I552" s="28"/>
    </row>
    <row r="553" spans="9:9" s="1" customFormat="1" x14ac:dyDescent="0.3">
      <c r="I553" s="28"/>
    </row>
    <row r="554" spans="9:9" s="1" customFormat="1" x14ac:dyDescent="0.3">
      <c r="I554" s="28"/>
    </row>
    <row r="555" spans="9:9" s="1" customFormat="1" x14ac:dyDescent="0.3">
      <c r="I555" s="28"/>
    </row>
    <row r="556" spans="9:9" s="1" customFormat="1" x14ac:dyDescent="0.3">
      <c r="I556" s="28"/>
    </row>
    <row r="557" spans="9:9" s="1" customFormat="1" x14ac:dyDescent="0.3">
      <c r="I557" s="28"/>
    </row>
    <row r="558" spans="9:9" s="1" customFormat="1" x14ac:dyDescent="0.3">
      <c r="I558" s="28"/>
    </row>
    <row r="559" spans="9:9" s="1" customFormat="1" x14ac:dyDescent="0.3">
      <c r="I559" s="28"/>
    </row>
    <row r="560" spans="9:9" s="1" customFormat="1" x14ac:dyDescent="0.3">
      <c r="I560" s="28"/>
    </row>
    <row r="561" spans="9:9" s="1" customFormat="1" x14ac:dyDescent="0.3">
      <c r="I561" s="28"/>
    </row>
    <row r="562" spans="9:9" s="1" customFormat="1" x14ac:dyDescent="0.3">
      <c r="I562" s="28"/>
    </row>
    <row r="563" spans="9:9" s="1" customFormat="1" x14ac:dyDescent="0.3">
      <c r="I563" s="28"/>
    </row>
    <row r="564" spans="9:9" s="1" customFormat="1" x14ac:dyDescent="0.3">
      <c r="I564" s="28"/>
    </row>
    <row r="565" spans="9:9" s="1" customFormat="1" x14ac:dyDescent="0.3">
      <c r="I565" s="28"/>
    </row>
    <row r="566" spans="9:9" s="1" customFormat="1" x14ac:dyDescent="0.3">
      <c r="I566" s="28"/>
    </row>
    <row r="567" spans="9:9" s="1" customFormat="1" x14ac:dyDescent="0.3">
      <c r="I567" s="28"/>
    </row>
    <row r="568" spans="9:9" s="1" customFormat="1" x14ac:dyDescent="0.3">
      <c r="I568" s="28"/>
    </row>
    <row r="569" spans="9:9" s="1" customFormat="1" x14ac:dyDescent="0.3">
      <c r="I569" s="28"/>
    </row>
    <row r="570" spans="9:9" s="1" customFormat="1" x14ac:dyDescent="0.3">
      <c r="I570" s="28"/>
    </row>
    <row r="571" spans="9:9" s="1" customFormat="1" x14ac:dyDescent="0.3">
      <c r="I571" s="28"/>
    </row>
    <row r="572" spans="9:9" s="1" customFormat="1" x14ac:dyDescent="0.3">
      <c r="I572" s="28"/>
    </row>
  </sheetData>
  <sheetProtection pivotTables="0"/>
  <autoFilter ref="A11:ON30" xr:uid="{497B45A6-08BD-4761-9C2F-07E9B84B4862}">
    <filterColumn colId="402" showButton="0"/>
  </autoFilter>
  <mergeCells count="8">
    <mergeCell ref="C7:E7"/>
    <mergeCell ref="OM11:ON11"/>
    <mergeCell ref="C1:E1"/>
    <mergeCell ref="C2:E2"/>
    <mergeCell ref="C3:E3"/>
    <mergeCell ref="C4:E4"/>
    <mergeCell ref="C5:E5"/>
    <mergeCell ref="C6:E6"/>
  </mergeCells>
  <conditionalFormatting sqref="J11:GU11 GW11:IA11 IC11:LA11 LC11:LK11 LM11:NJ11">
    <cfRule type="cellIs" dxfId="35" priority="57" stopIfTrue="1" operator="equal">
      <formula>TODAY()</formula>
    </cfRule>
  </conditionalFormatting>
  <conditionalFormatting sqref="J10:GU10 GW10:IA10 IC10:LA10 LC10:LK10 LM10:NJ10">
    <cfRule type="expression" dxfId="34" priority="55">
      <formula>(WEEKDAY(J10,2)=7)</formula>
    </cfRule>
    <cfRule type="expression" dxfId="33" priority="56">
      <formula>(WEEKDAY(J10,2)=6)</formula>
    </cfRule>
  </conditionalFormatting>
  <conditionalFormatting sqref="NN12:OK29">
    <cfRule type="cellIs" dxfId="32" priority="51" operator="equal">
      <formula>0</formula>
    </cfRule>
  </conditionalFormatting>
  <conditionalFormatting sqref="GV11">
    <cfRule type="cellIs" dxfId="31" priority="49" stopIfTrue="1" operator="equal">
      <formula>TODAY()</formula>
    </cfRule>
  </conditionalFormatting>
  <conditionalFormatting sqref="GV10">
    <cfRule type="expression" dxfId="30" priority="47">
      <formula>(WEEKDAY(GV10,2)=7)</formula>
    </cfRule>
    <cfRule type="expression" dxfId="29" priority="48">
      <formula>(WEEKDAY(GV10,2)=6)</formula>
    </cfRule>
  </conditionalFormatting>
  <conditionalFormatting sqref="IB11">
    <cfRule type="cellIs" dxfId="28" priority="46" stopIfTrue="1" operator="equal">
      <formula>TODAY()</formula>
    </cfRule>
  </conditionalFormatting>
  <conditionalFormatting sqref="IB10">
    <cfRule type="expression" dxfId="27" priority="44">
      <formula>(WEEKDAY(IB10,2)=7)</formula>
    </cfRule>
    <cfRule type="expression" dxfId="26" priority="45">
      <formula>(WEEKDAY(IB10,2)=6)</formula>
    </cfRule>
  </conditionalFormatting>
  <conditionalFormatting sqref="LB11">
    <cfRule type="cellIs" dxfId="25" priority="43" stopIfTrue="1" operator="equal">
      <formula>TODAY()</formula>
    </cfRule>
  </conditionalFormatting>
  <conditionalFormatting sqref="LB10">
    <cfRule type="expression" dxfId="24" priority="41">
      <formula>(WEEKDAY(LB10,2)=7)</formula>
    </cfRule>
    <cfRule type="expression" dxfId="23" priority="42">
      <formula>(WEEKDAY(LB10,2)=6)</formula>
    </cfRule>
  </conditionalFormatting>
  <conditionalFormatting sqref="LL11">
    <cfRule type="cellIs" dxfId="22" priority="40" stopIfTrue="1" operator="equal">
      <formula>TODAY()</formula>
    </cfRule>
  </conditionalFormatting>
  <conditionalFormatting sqref="LL10">
    <cfRule type="expression" dxfId="21" priority="38">
      <formula>(WEEKDAY(LL10,2)=7)</formula>
    </cfRule>
    <cfRule type="expression" dxfId="20" priority="39">
      <formula>(WEEKDAY(LL10,2)=6)</formula>
    </cfRule>
  </conditionalFormatting>
  <conditionalFormatting sqref="OM12:ON12 OM28:ON28">
    <cfRule type="cellIs" dxfId="19" priority="37" operator="equal">
      <formula>0</formula>
    </cfRule>
  </conditionalFormatting>
  <conditionalFormatting sqref="J9:NJ9">
    <cfRule type="expression" dxfId="18" priority="34">
      <formula>(J$9&lt;&gt;"")</formula>
    </cfRule>
  </conditionalFormatting>
  <conditionalFormatting sqref="NK9">
    <cfRule type="expression" dxfId="17" priority="31">
      <formula>(NK$9&lt;&gt;"")</formula>
    </cfRule>
  </conditionalFormatting>
  <conditionalFormatting sqref="OM14:ON14">
    <cfRule type="cellIs" dxfId="16" priority="29" operator="equal">
      <formula>0</formula>
    </cfRule>
  </conditionalFormatting>
  <conditionalFormatting sqref="OM16:ON16">
    <cfRule type="cellIs" dxfId="15" priority="26" operator="equal">
      <formula>0</formula>
    </cfRule>
  </conditionalFormatting>
  <conditionalFormatting sqref="OM18:ON18">
    <cfRule type="cellIs" dxfId="14" priority="23" operator="equal">
      <formula>0</formula>
    </cfRule>
  </conditionalFormatting>
  <conditionalFormatting sqref="OM20:ON20">
    <cfRule type="cellIs" dxfId="13" priority="20" operator="equal">
      <formula>0</formula>
    </cfRule>
  </conditionalFormatting>
  <conditionalFormatting sqref="OM22:ON22">
    <cfRule type="cellIs" dxfId="12" priority="17" operator="equal">
      <formula>0</formula>
    </cfRule>
  </conditionalFormatting>
  <conditionalFormatting sqref="OM24:ON24">
    <cfRule type="cellIs" dxfId="11" priority="14" operator="equal">
      <formula>0</formula>
    </cfRule>
  </conditionalFormatting>
  <conditionalFormatting sqref="OM26:ON26">
    <cfRule type="cellIs" dxfId="10" priority="11" operator="equal">
      <formula>0</formula>
    </cfRule>
  </conditionalFormatting>
  <conditionalFormatting sqref="J30:NJ30">
    <cfRule type="expression" dxfId="9" priority="9">
      <formula>(J$9&lt;&gt;"")</formula>
    </cfRule>
  </conditionalFormatting>
  <conditionalFormatting sqref="H12:H29">
    <cfRule type="cellIs" dxfId="8" priority="5" operator="equal">
      <formula>0</formula>
    </cfRule>
  </conditionalFormatting>
  <conditionalFormatting sqref="A13:H13 A15:H15 A17:H17 A19:H19 A21:H21 A23:H23 A25:H25 A27:H27 A29:H29 C12:H12 C14:H14 C16:H16 C18:H18 C20:H20 C22:H22 C24:H24 C26:H26 C28:H28">
    <cfRule type="expression" dxfId="7" priority="4">
      <formula>($H12=0)</formula>
    </cfRule>
  </conditionalFormatting>
  <conditionalFormatting sqref="D12:E12 D14:E14 D16:E16 D18:E18 D20:E20 D22:E22 D24:E24 D26:E26 D28:E28">
    <cfRule type="cellIs" dxfId="6" priority="3" operator="equal">
      <formula>"I2S"</formula>
    </cfRule>
  </conditionalFormatting>
  <conditionalFormatting sqref="A12:B12 A14:B14 A16:B16 A18:B18 A20:B20 A22:B22 A24:B24 A26:B26 A28:B28">
    <cfRule type="expression" dxfId="5" priority="2">
      <formula>($H12=0)</formula>
    </cfRule>
  </conditionalFormatting>
  <conditionalFormatting sqref="D12 D14 D16 D18 D20 D22 D24 D26 D28">
    <cfRule type="cellIs" dxfId="4" priority="1" operator="equal">
      <formula>"I2S"</formula>
    </cfRule>
  </conditionalFormatting>
  <dataValidations count="1">
    <dataValidation type="list" allowBlank="1" showInputMessage="1" showErrorMessage="1" errorTitle="/!\" error="saisir :  I2S ou EXT" promptTitle="!!!" prompt="saisir :  I2S ou EXT" sqref="D28 D26" xr:uid="{92C9FDF6-CAF7-4ED6-B6C2-84BAFC22B7D0}">
      <formula1>"I2S,EXT"</formula1>
    </dataValidation>
  </dataValidations>
  <pageMargins left="0.7" right="0.7" top="0.75" bottom="0.75" header="0.3" footer="0.3"/>
  <pageSetup paperSize="9" orientation="portrait" r:id="rId1"/>
  <headerFooter>
    <oddFooter>&amp;L&amp;"Calibri"&amp;11&amp;K000000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4" name="Check Box 1">
              <controlPr defaultSize="0" print="0" autoFill="0" autoLine="0" autoPict="0" altText="SU">
                <anchor moveWithCells="1">
                  <from>
                    <xdr:col>6</xdr:col>
                    <xdr:colOff>25400</xdr:colOff>
                    <xdr:row>1</xdr:row>
                    <xdr:rowOff>6350</xdr:rowOff>
                  </from>
                  <to>
                    <xdr:col>6</xdr:col>
                    <xdr:colOff>482600</xdr:colOff>
                    <xdr:row>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4" r:id="rId5" name="Check Box 2">
              <controlPr defaultSize="0" print="0" autoFill="0" autoLine="0" autoPict="0">
                <anchor moveWithCells="1">
                  <from>
                    <xdr:col>6</xdr:col>
                    <xdr:colOff>25400</xdr:colOff>
                    <xdr:row>2</xdr:row>
                    <xdr:rowOff>0</xdr:rowOff>
                  </from>
                  <to>
                    <xdr:col>6</xdr:col>
                    <xdr:colOff>482600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5" r:id="rId6" name="Check Box 3">
              <controlPr defaultSize="0" print="0" autoFill="0" autoLine="0" autoPict="0">
                <anchor moveWithCells="1">
                  <from>
                    <xdr:col>6</xdr:col>
                    <xdr:colOff>25400</xdr:colOff>
                    <xdr:row>3</xdr:row>
                    <xdr:rowOff>6350</xdr:rowOff>
                  </from>
                  <to>
                    <xdr:col>6</xdr:col>
                    <xdr:colOff>482600</xdr:colOff>
                    <xdr:row>3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6" r:id="rId7" name="Check Box 4">
              <controlPr defaultSize="0" print="0" autoFill="0" autoLine="0" autoPict="0">
                <anchor moveWithCells="1">
                  <from>
                    <xdr:col>6</xdr:col>
                    <xdr:colOff>25400</xdr:colOff>
                    <xdr:row>4</xdr:row>
                    <xdr:rowOff>6350</xdr:rowOff>
                  </from>
                  <to>
                    <xdr:col>6</xdr:col>
                    <xdr:colOff>482600</xdr:colOff>
                    <xdr:row>4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7" r:id="rId8" name="Check Box 5">
              <controlPr defaultSize="0" print="0" autoFill="0" autoLine="0" autoPict="0">
                <anchor moveWithCells="1">
                  <from>
                    <xdr:col>6</xdr:col>
                    <xdr:colOff>25400</xdr:colOff>
                    <xdr:row>6</xdr:row>
                    <xdr:rowOff>6350</xdr:rowOff>
                  </from>
                  <to>
                    <xdr:col>6</xdr:col>
                    <xdr:colOff>482600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8" r:id="rId9" name="Check Box 6">
              <controlPr defaultSize="0" print="0" autoFill="0" autoLine="0" autoPict="0">
                <anchor moveWithCells="1">
                  <from>
                    <xdr:col>6</xdr:col>
                    <xdr:colOff>25400</xdr:colOff>
                    <xdr:row>5</xdr:row>
                    <xdr:rowOff>6350</xdr:rowOff>
                  </from>
                  <to>
                    <xdr:col>6</xdr:col>
                    <xdr:colOff>482600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1B579-01D1-4928-BD49-0A0B004FD24B}">
  <sheetPr codeName="Feuil4"/>
  <dimension ref="A1:L80"/>
  <sheetViews>
    <sheetView topLeftCell="A49" workbookViewId="0">
      <selection activeCell="B60" sqref="B60:B79"/>
    </sheetView>
  </sheetViews>
  <sheetFormatPr baseColWidth="10" defaultColWidth="11.453125" defaultRowHeight="14.5" x14ac:dyDescent="0.35"/>
  <cols>
    <col min="2" max="2" width="20" bestFit="1" customWidth="1"/>
    <col min="4" max="4" width="12.36328125" customWidth="1"/>
  </cols>
  <sheetData>
    <row r="1" spans="1:8" x14ac:dyDescent="0.35">
      <c r="A1" s="81" t="s">
        <v>264</v>
      </c>
      <c r="B1" s="81"/>
      <c r="C1" s="81"/>
      <c r="D1" s="81"/>
      <c r="E1" s="81"/>
    </row>
    <row r="2" spans="1:8" x14ac:dyDescent="0.35">
      <c r="A2" s="83" t="str">
        <f>TEXT(Planning!C3,"AAAA")</f>
        <v>2023</v>
      </c>
      <c r="B2" s="69" t="s">
        <v>265</v>
      </c>
      <c r="C2" s="69" t="s">
        <v>266</v>
      </c>
      <c r="D2" s="69" t="s">
        <v>267</v>
      </c>
      <c r="E2" s="69">
        <v>15</v>
      </c>
      <c r="H2" s="61"/>
    </row>
    <row r="3" spans="1:8" x14ac:dyDescent="0.35">
      <c r="A3" s="60" t="s">
        <v>268</v>
      </c>
      <c r="B3" t="str">
        <f t="shared" ref="B3:B14" si="0">ADDRESS(10,D3,1,1)</f>
        <v>$X$10</v>
      </c>
      <c r="C3" s="61">
        <f>DATE($A$2,A3,$E$2)</f>
        <v>44941</v>
      </c>
      <c r="D3">
        <f t="shared" ref="D3:D14" si="1">MATCH(C3,L.DATE,0)+index1</f>
        <v>24</v>
      </c>
      <c r="E3" s="62"/>
    </row>
    <row r="4" spans="1:8" x14ac:dyDescent="0.35">
      <c r="A4" s="63" t="s">
        <v>269</v>
      </c>
      <c r="B4" t="str">
        <f t="shared" si="0"/>
        <v>$BC$10</v>
      </c>
      <c r="C4" s="61">
        <f t="shared" ref="C4:C14" si="2">DATE($A$2,A4,$E$2)</f>
        <v>44972</v>
      </c>
      <c r="D4">
        <f t="shared" si="1"/>
        <v>55</v>
      </c>
      <c r="E4" s="62"/>
    </row>
    <row r="5" spans="1:8" x14ac:dyDescent="0.35">
      <c r="A5" s="63" t="s">
        <v>270</v>
      </c>
      <c r="B5" t="str">
        <f t="shared" si="0"/>
        <v>$CE$10</v>
      </c>
      <c r="C5" s="61">
        <f t="shared" si="2"/>
        <v>45000</v>
      </c>
      <c r="D5">
        <f t="shared" si="1"/>
        <v>83</v>
      </c>
      <c r="E5" s="62"/>
    </row>
    <row r="6" spans="1:8" x14ac:dyDescent="0.35">
      <c r="A6" s="63" t="s">
        <v>271</v>
      </c>
      <c r="B6" t="str">
        <f t="shared" si="0"/>
        <v>$DJ$10</v>
      </c>
      <c r="C6" s="61">
        <f t="shared" si="2"/>
        <v>45031</v>
      </c>
      <c r="D6">
        <f t="shared" si="1"/>
        <v>114</v>
      </c>
      <c r="E6" s="62"/>
    </row>
    <row r="7" spans="1:8" x14ac:dyDescent="0.35">
      <c r="A7" s="63" t="s">
        <v>272</v>
      </c>
      <c r="B7" t="str">
        <f t="shared" si="0"/>
        <v>$EN$10</v>
      </c>
      <c r="C7" s="61">
        <f t="shared" si="2"/>
        <v>45061</v>
      </c>
      <c r="D7">
        <f t="shared" si="1"/>
        <v>144</v>
      </c>
      <c r="E7" s="62"/>
    </row>
    <row r="8" spans="1:8" x14ac:dyDescent="0.35">
      <c r="A8" s="63" t="s">
        <v>273</v>
      </c>
      <c r="B8" t="str">
        <f t="shared" si="0"/>
        <v>$FS$10</v>
      </c>
      <c r="C8" s="61">
        <f t="shared" si="2"/>
        <v>45092</v>
      </c>
      <c r="D8">
        <f t="shared" si="1"/>
        <v>175</v>
      </c>
      <c r="E8" s="62"/>
    </row>
    <row r="9" spans="1:8" x14ac:dyDescent="0.35">
      <c r="A9" s="63" t="s">
        <v>274</v>
      </c>
      <c r="B9" t="str">
        <f t="shared" si="0"/>
        <v>$GW$10</v>
      </c>
      <c r="C9" s="61">
        <f t="shared" si="2"/>
        <v>45122</v>
      </c>
      <c r="D9">
        <f t="shared" si="1"/>
        <v>205</v>
      </c>
      <c r="E9" s="62"/>
    </row>
    <row r="10" spans="1:8" x14ac:dyDescent="0.35">
      <c r="A10" s="63" t="s">
        <v>275</v>
      </c>
      <c r="B10" t="str">
        <f t="shared" si="0"/>
        <v>$IB$10</v>
      </c>
      <c r="C10" s="61">
        <f t="shared" si="2"/>
        <v>45153</v>
      </c>
      <c r="D10">
        <f t="shared" si="1"/>
        <v>236</v>
      </c>
      <c r="E10" s="62"/>
    </row>
    <row r="11" spans="1:8" x14ac:dyDescent="0.35">
      <c r="A11" s="63" t="s">
        <v>65</v>
      </c>
      <c r="B11" t="str">
        <f t="shared" si="0"/>
        <v>$JG$10</v>
      </c>
      <c r="C11" s="61">
        <f t="shared" si="2"/>
        <v>45184</v>
      </c>
      <c r="D11">
        <f t="shared" si="1"/>
        <v>267</v>
      </c>
      <c r="E11" s="62"/>
    </row>
    <row r="12" spans="1:8" x14ac:dyDescent="0.35">
      <c r="A12" s="63" t="s">
        <v>68</v>
      </c>
      <c r="B12" t="str">
        <f t="shared" si="0"/>
        <v>$KK$10</v>
      </c>
      <c r="C12" s="61">
        <f t="shared" si="2"/>
        <v>45214</v>
      </c>
      <c r="D12">
        <f t="shared" si="1"/>
        <v>297</v>
      </c>
      <c r="E12" s="62"/>
    </row>
    <row r="13" spans="1:8" x14ac:dyDescent="0.35">
      <c r="A13" s="63" t="s">
        <v>69</v>
      </c>
      <c r="B13" t="str">
        <f t="shared" si="0"/>
        <v>$LP$10</v>
      </c>
      <c r="C13" s="61">
        <f t="shared" si="2"/>
        <v>45245</v>
      </c>
      <c r="D13">
        <f t="shared" si="1"/>
        <v>328</v>
      </c>
      <c r="E13" s="62"/>
    </row>
    <row r="14" spans="1:8" x14ac:dyDescent="0.35">
      <c r="A14" s="64" t="s">
        <v>70</v>
      </c>
      <c r="B14" s="65" t="str">
        <f t="shared" si="0"/>
        <v>$MT$10</v>
      </c>
      <c r="C14" s="66">
        <f t="shared" si="2"/>
        <v>45275</v>
      </c>
      <c r="D14" s="65">
        <f t="shared" si="1"/>
        <v>358</v>
      </c>
      <c r="E14" s="67"/>
    </row>
    <row r="17" spans="1:12" x14ac:dyDescent="0.35">
      <c r="A17" s="81" t="s">
        <v>276</v>
      </c>
      <c r="B17" s="82"/>
      <c r="C17" s="82"/>
      <c r="D17" s="82"/>
      <c r="E17" s="82"/>
      <c r="F17" s="82"/>
      <c r="G17" s="82"/>
    </row>
    <row r="18" spans="1:12" x14ac:dyDescent="0.35">
      <c r="A18" s="68" t="s">
        <v>277</v>
      </c>
      <c r="B18" s="69" t="s">
        <v>278</v>
      </c>
      <c r="C18" s="68" t="s">
        <v>279</v>
      </c>
      <c r="D18" s="68" t="str">
        <f>"Férié "&amp;A2</f>
        <v>Férié 2023</v>
      </c>
      <c r="E18" s="68" t="s">
        <v>280</v>
      </c>
      <c r="F18" s="68" t="s">
        <v>281</v>
      </c>
      <c r="G18" s="68" t="s">
        <v>282</v>
      </c>
      <c r="I18" s="68" t="s">
        <v>456</v>
      </c>
      <c r="J18" s="68" t="s">
        <v>446</v>
      </c>
      <c r="K18" s="68" t="s">
        <v>455</v>
      </c>
      <c r="L18" s="68" t="s">
        <v>457</v>
      </c>
    </row>
    <row r="19" spans="1:12" x14ac:dyDescent="0.35">
      <c r="A19" s="70" t="s">
        <v>268</v>
      </c>
      <c r="B19" s="92" t="str">
        <f>$A19&amp;"/"&amp;$A$2</f>
        <v>01/2023</v>
      </c>
      <c r="C19" s="71">
        <f t="shared" ref="C19:C30" si="3">NETWORKDAYS(B19,EOMONTH(B19,0),ferie)</f>
        <v>22</v>
      </c>
      <c r="D19" s="367">
        <v>44927</v>
      </c>
      <c r="E19" s="72">
        <v>2.2000000000000002</v>
      </c>
      <c r="F19" s="539">
        <f>SUM(C19:C21)</f>
        <v>65</v>
      </c>
      <c r="G19" s="71">
        <v>20.5</v>
      </c>
      <c r="I19" s="78">
        <v>44562</v>
      </c>
      <c r="J19" s="367">
        <v>44927</v>
      </c>
      <c r="K19" s="367"/>
      <c r="L19" s="367"/>
    </row>
    <row r="20" spans="1:12" x14ac:dyDescent="0.35">
      <c r="A20" s="70" t="s">
        <v>269</v>
      </c>
      <c r="B20" s="73" t="str">
        <f t="shared" ref="B20:B30" si="4">$A20&amp;"/"&amp;$A$2</f>
        <v>02/2023</v>
      </c>
      <c r="C20" s="71">
        <f t="shared" si="3"/>
        <v>20</v>
      </c>
      <c r="D20" s="79">
        <v>45026</v>
      </c>
      <c r="E20" s="72">
        <v>2.2999999999999998</v>
      </c>
      <c r="F20" s="540"/>
      <c r="G20" s="71">
        <v>16.5</v>
      </c>
      <c r="I20" s="79">
        <v>44669</v>
      </c>
      <c r="J20" s="79">
        <v>45026</v>
      </c>
      <c r="K20" s="79"/>
      <c r="L20" s="79"/>
    </row>
    <row r="21" spans="1:12" x14ac:dyDescent="0.35">
      <c r="A21" s="70" t="s">
        <v>270</v>
      </c>
      <c r="B21" s="73" t="str">
        <f t="shared" si="4"/>
        <v>03/2023</v>
      </c>
      <c r="C21" s="71">
        <f t="shared" si="3"/>
        <v>23</v>
      </c>
      <c r="D21" s="79">
        <v>45047</v>
      </c>
      <c r="E21" s="72">
        <v>2.2999999999999998</v>
      </c>
      <c r="F21" s="541"/>
      <c r="G21" s="71">
        <v>20</v>
      </c>
      <c r="I21" s="79">
        <v>44682</v>
      </c>
      <c r="J21" s="79">
        <v>45047</v>
      </c>
      <c r="K21" s="79"/>
      <c r="L21" s="79"/>
    </row>
    <row r="22" spans="1:12" x14ac:dyDescent="0.35">
      <c r="A22" s="70" t="s">
        <v>271</v>
      </c>
      <c r="B22" s="73" t="str">
        <f t="shared" si="4"/>
        <v>04/2023</v>
      </c>
      <c r="C22" s="71">
        <f t="shared" si="3"/>
        <v>19</v>
      </c>
      <c r="D22" s="79">
        <v>45054</v>
      </c>
      <c r="E22" s="71">
        <v>2.2999999999999998</v>
      </c>
      <c r="F22" s="539">
        <f>SUM(C22:C24)</f>
        <v>60</v>
      </c>
      <c r="G22" s="71">
        <v>18</v>
      </c>
      <c r="I22" s="79">
        <v>44689</v>
      </c>
      <c r="J22" s="79">
        <v>45054</v>
      </c>
      <c r="K22" s="79"/>
      <c r="L22" s="79"/>
    </row>
    <row r="23" spans="1:12" x14ac:dyDescent="0.35">
      <c r="A23" s="70" t="s">
        <v>272</v>
      </c>
      <c r="B23" s="73" t="str">
        <f t="shared" si="4"/>
        <v>05/2023</v>
      </c>
      <c r="C23" s="71">
        <f t="shared" si="3"/>
        <v>19</v>
      </c>
      <c r="D23" s="79">
        <v>45064</v>
      </c>
      <c r="E23" s="71">
        <v>2.2999999999999998</v>
      </c>
      <c r="F23" s="540"/>
      <c r="G23" s="71">
        <v>16</v>
      </c>
      <c r="I23" s="79">
        <v>44707</v>
      </c>
      <c r="J23" s="79">
        <v>45064</v>
      </c>
      <c r="K23" s="79"/>
      <c r="L23" s="79"/>
    </row>
    <row r="24" spans="1:12" x14ac:dyDescent="0.35">
      <c r="A24" s="70" t="s">
        <v>273</v>
      </c>
      <c r="B24" s="73" t="str">
        <f t="shared" si="4"/>
        <v>06/2023</v>
      </c>
      <c r="C24" s="71">
        <f t="shared" si="3"/>
        <v>22</v>
      </c>
      <c r="D24" s="79">
        <v>45075</v>
      </c>
      <c r="E24" s="71">
        <v>2.2999999999999998</v>
      </c>
      <c r="F24" s="541"/>
      <c r="G24" s="71">
        <v>18</v>
      </c>
      <c r="I24" s="79">
        <v>44718</v>
      </c>
      <c r="J24" s="79">
        <v>45075</v>
      </c>
      <c r="K24" s="79"/>
      <c r="L24" s="79"/>
    </row>
    <row r="25" spans="1:12" x14ac:dyDescent="0.35">
      <c r="A25" s="70" t="s">
        <v>274</v>
      </c>
      <c r="B25" s="73" t="str">
        <f t="shared" si="4"/>
        <v>07/2023</v>
      </c>
      <c r="C25" s="71">
        <f t="shared" si="3"/>
        <v>20</v>
      </c>
      <c r="D25" s="79">
        <v>45121</v>
      </c>
      <c r="E25" s="71">
        <v>2.2999999999999998</v>
      </c>
      <c r="F25" s="539">
        <f>SUM(C25:C27)</f>
        <v>63</v>
      </c>
      <c r="G25" s="71">
        <v>19</v>
      </c>
      <c r="I25" s="79">
        <v>44756</v>
      </c>
      <c r="J25" s="79">
        <v>45121</v>
      </c>
      <c r="K25" s="79"/>
      <c r="L25" s="79"/>
    </row>
    <row r="26" spans="1:12" x14ac:dyDescent="0.35">
      <c r="A26" s="70" t="s">
        <v>275</v>
      </c>
      <c r="B26" s="73" t="str">
        <f t="shared" si="4"/>
        <v>08/2023</v>
      </c>
      <c r="C26" s="71">
        <f t="shared" si="3"/>
        <v>22</v>
      </c>
      <c r="D26" s="79">
        <v>45153</v>
      </c>
      <c r="E26" s="71">
        <v>2.2999999999999998</v>
      </c>
      <c r="F26" s="540"/>
      <c r="G26" s="71">
        <v>14</v>
      </c>
      <c r="I26" s="79">
        <v>44788</v>
      </c>
      <c r="J26" s="79">
        <v>45153</v>
      </c>
      <c r="K26" s="79"/>
      <c r="L26" s="79"/>
    </row>
    <row r="27" spans="1:12" x14ac:dyDescent="0.35">
      <c r="A27" s="70" t="s">
        <v>65</v>
      </c>
      <c r="B27" s="73" t="str">
        <f t="shared" si="4"/>
        <v>09/2023</v>
      </c>
      <c r="C27" s="71">
        <f t="shared" si="3"/>
        <v>21</v>
      </c>
      <c r="D27" s="79">
        <v>45231</v>
      </c>
      <c r="E27" s="71">
        <v>2.2999999999999998</v>
      </c>
      <c r="F27" s="541"/>
      <c r="G27" s="71">
        <v>19</v>
      </c>
      <c r="I27" s="79">
        <v>44866</v>
      </c>
      <c r="J27" s="79">
        <v>45231</v>
      </c>
      <c r="K27" s="79"/>
      <c r="L27" s="79"/>
    </row>
    <row r="28" spans="1:12" x14ac:dyDescent="0.35">
      <c r="A28" s="74" t="s">
        <v>68</v>
      </c>
      <c r="B28" s="73" t="str">
        <f t="shared" si="4"/>
        <v>10/2023</v>
      </c>
      <c r="C28" s="71">
        <f t="shared" si="3"/>
        <v>22</v>
      </c>
      <c r="D28" s="79">
        <v>45241</v>
      </c>
      <c r="E28" s="71">
        <v>2.2999999999999998</v>
      </c>
      <c r="F28" s="539">
        <f>SUM(C28:C30)</f>
        <v>63</v>
      </c>
      <c r="G28" s="71">
        <v>21</v>
      </c>
      <c r="I28" s="79">
        <v>44876</v>
      </c>
      <c r="J28" s="79">
        <v>45241</v>
      </c>
      <c r="K28" s="79"/>
      <c r="L28" s="79"/>
    </row>
    <row r="29" spans="1:12" x14ac:dyDescent="0.35">
      <c r="A29" s="74" t="s">
        <v>69</v>
      </c>
      <c r="B29" s="73" t="str">
        <f t="shared" si="4"/>
        <v>11/2023</v>
      </c>
      <c r="C29" s="71">
        <f t="shared" si="3"/>
        <v>21</v>
      </c>
      <c r="D29" s="79">
        <v>45285</v>
      </c>
      <c r="E29" s="71">
        <v>2.2999999999999998</v>
      </c>
      <c r="F29" s="540"/>
      <c r="G29" s="71">
        <v>18</v>
      </c>
      <c r="I29" s="79">
        <v>44920</v>
      </c>
      <c r="J29" s="79">
        <v>45285</v>
      </c>
      <c r="K29" s="79"/>
      <c r="L29" s="79"/>
    </row>
    <row r="30" spans="1:12" x14ac:dyDescent="0.35">
      <c r="A30" s="74" t="s">
        <v>70</v>
      </c>
      <c r="B30" s="73" t="str">
        <f t="shared" si="4"/>
        <v>12/2023</v>
      </c>
      <c r="C30" s="71">
        <f t="shared" si="3"/>
        <v>20</v>
      </c>
      <c r="D30" s="80"/>
      <c r="E30" s="71">
        <v>2.2999999999999998</v>
      </c>
      <c r="F30" s="541"/>
      <c r="G30" s="71">
        <v>18</v>
      </c>
      <c r="I30" s="80"/>
      <c r="J30" s="80"/>
      <c r="K30" s="80"/>
      <c r="L30" s="80"/>
    </row>
    <row r="31" spans="1:12" x14ac:dyDescent="0.35">
      <c r="A31" s="75"/>
      <c r="B31" s="75"/>
      <c r="C31" s="76">
        <f>SUM(C19:C30)</f>
        <v>251</v>
      </c>
      <c r="D31" s="75"/>
      <c r="E31" s="77">
        <f>SUM(E19:E30)</f>
        <v>27.500000000000004</v>
      </c>
      <c r="F31" s="75"/>
      <c r="G31" s="76">
        <f>SUM(G19:G30)</f>
        <v>218</v>
      </c>
    </row>
    <row r="34" spans="1:3" x14ac:dyDescent="0.35">
      <c r="A34" s="81" t="s">
        <v>283</v>
      </c>
      <c r="B34" s="82"/>
      <c r="C34" s="82"/>
    </row>
    <row r="35" spans="1:3" x14ac:dyDescent="0.35">
      <c r="A35" s="69" t="s">
        <v>0</v>
      </c>
      <c r="B35" s="69" t="s">
        <v>54</v>
      </c>
      <c r="C35" s="69" t="s">
        <v>284</v>
      </c>
    </row>
    <row r="36" spans="1:3" x14ac:dyDescent="0.35">
      <c r="A36" s="84" t="s">
        <v>285</v>
      </c>
      <c r="B36" s="85" t="s">
        <v>285</v>
      </c>
      <c r="C36" s="84" t="s">
        <v>286</v>
      </c>
    </row>
    <row r="37" spans="1:3" x14ac:dyDescent="0.35">
      <c r="A37" s="86" t="s">
        <v>287</v>
      </c>
      <c r="B37" s="87" t="s">
        <v>287</v>
      </c>
      <c r="C37" s="86" t="s">
        <v>288</v>
      </c>
    </row>
    <row r="38" spans="1:3" x14ac:dyDescent="0.35">
      <c r="A38" s="86" t="s">
        <v>289</v>
      </c>
      <c r="B38" s="87" t="s">
        <v>289</v>
      </c>
      <c r="C38" s="86" t="s">
        <v>290</v>
      </c>
    </row>
    <row r="39" spans="1:3" x14ac:dyDescent="0.35">
      <c r="A39" s="86" t="s">
        <v>253</v>
      </c>
      <c r="B39" s="87" t="s">
        <v>253</v>
      </c>
      <c r="C39" s="86" t="s">
        <v>291</v>
      </c>
    </row>
    <row r="40" spans="1:3" x14ac:dyDescent="0.35">
      <c r="A40" s="86" t="s">
        <v>257</v>
      </c>
      <c r="B40" s="87" t="s">
        <v>292</v>
      </c>
      <c r="C40" s="86" t="s">
        <v>293</v>
      </c>
    </row>
    <row r="41" spans="1:3" x14ac:dyDescent="0.35">
      <c r="A41" s="86" t="s">
        <v>294</v>
      </c>
      <c r="B41" s="87" t="s">
        <v>295</v>
      </c>
      <c r="C41" s="86" t="s">
        <v>296</v>
      </c>
    </row>
    <row r="42" spans="1:3" x14ac:dyDescent="0.35">
      <c r="A42" s="86" t="s">
        <v>297</v>
      </c>
      <c r="B42" s="87" t="s">
        <v>298</v>
      </c>
      <c r="C42" s="86" t="s">
        <v>299</v>
      </c>
    </row>
    <row r="43" spans="1:3" x14ac:dyDescent="0.35">
      <c r="A43" s="86" t="s">
        <v>37</v>
      </c>
      <c r="B43" s="87" t="s">
        <v>37</v>
      </c>
      <c r="C43" s="86" t="s">
        <v>300</v>
      </c>
    </row>
    <row r="44" spans="1:3" x14ac:dyDescent="0.35">
      <c r="A44" s="86" t="s">
        <v>301</v>
      </c>
      <c r="B44" s="87" t="s">
        <v>301</v>
      </c>
      <c r="C44" s="86" t="s">
        <v>302</v>
      </c>
    </row>
    <row r="45" spans="1:3" x14ac:dyDescent="0.35">
      <c r="A45" s="86" t="s">
        <v>263</v>
      </c>
      <c r="B45" s="87" t="s">
        <v>303</v>
      </c>
      <c r="C45" s="86" t="s">
        <v>304</v>
      </c>
    </row>
    <row r="46" spans="1:3" x14ac:dyDescent="0.35">
      <c r="A46" s="86" t="s">
        <v>305</v>
      </c>
      <c r="B46" s="87" t="s">
        <v>305</v>
      </c>
      <c r="C46" s="86" t="s">
        <v>306</v>
      </c>
    </row>
    <row r="47" spans="1:3" x14ac:dyDescent="0.35">
      <c r="A47" s="86" t="s">
        <v>307</v>
      </c>
      <c r="B47" s="87" t="s">
        <v>307</v>
      </c>
      <c r="C47" s="86" t="s">
        <v>308</v>
      </c>
    </row>
    <row r="48" spans="1:3" x14ac:dyDescent="0.35">
      <c r="A48" s="86" t="s">
        <v>309</v>
      </c>
      <c r="B48" s="87" t="s">
        <v>310</v>
      </c>
      <c r="C48" s="86" t="s">
        <v>311</v>
      </c>
    </row>
    <row r="49" spans="1:5" x14ac:dyDescent="0.35">
      <c r="A49" s="86" t="s">
        <v>312</v>
      </c>
      <c r="B49" s="87" t="s">
        <v>312</v>
      </c>
      <c r="C49" s="86" t="s">
        <v>313</v>
      </c>
    </row>
    <row r="50" spans="1:5" x14ac:dyDescent="0.35">
      <c r="A50" s="86" t="s">
        <v>314</v>
      </c>
      <c r="B50" s="87" t="s">
        <v>314</v>
      </c>
      <c r="C50" s="86" t="s">
        <v>315</v>
      </c>
    </row>
    <row r="51" spans="1:5" x14ac:dyDescent="0.35">
      <c r="A51" s="86" t="s">
        <v>316</v>
      </c>
      <c r="B51" s="87" t="s">
        <v>314</v>
      </c>
      <c r="C51" s="86" t="s">
        <v>317</v>
      </c>
    </row>
    <row r="52" spans="1:5" x14ac:dyDescent="0.35">
      <c r="A52" s="88" t="s">
        <v>318</v>
      </c>
      <c r="B52" s="89" t="s">
        <v>318</v>
      </c>
      <c r="C52" s="88" t="s">
        <v>319</v>
      </c>
    </row>
    <row r="53" spans="1:5" x14ac:dyDescent="0.35">
      <c r="A53" s="88" t="s">
        <v>320</v>
      </c>
      <c r="B53" s="89" t="s">
        <v>321</v>
      </c>
      <c r="C53" s="88" t="s">
        <v>322</v>
      </c>
    </row>
    <row r="54" spans="1:5" x14ac:dyDescent="0.35">
      <c r="A54" s="86" t="s">
        <v>23</v>
      </c>
      <c r="B54" s="87" t="s">
        <v>23</v>
      </c>
      <c r="C54" s="86" t="s">
        <v>323</v>
      </c>
    </row>
    <row r="55" spans="1:5" x14ac:dyDescent="0.35">
      <c r="A55" s="90"/>
      <c r="B55" s="91"/>
      <c r="C55" s="90"/>
    </row>
    <row r="58" spans="1:5" x14ac:dyDescent="0.35">
      <c r="A58" s="81" t="s">
        <v>464</v>
      </c>
      <c r="B58" s="82"/>
      <c r="C58" s="82"/>
      <c r="D58" s="82"/>
      <c r="E58" s="82"/>
    </row>
    <row r="59" spans="1:5" x14ac:dyDescent="0.35">
      <c r="A59" s="69" t="s">
        <v>8</v>
      </c>
      <c r="B59" s="69" t="s">
        <v>9</v>
      </c>
      <c r="C59" s="69" t="s">
        <v>63</v>
      </c>
      <c r="D59" s="69" t="s">
        <v>465</v>
      </c>
      <c r="E59" s="69" t="s">
        <v>466</v>
      </c>
    </row>
    <row r="60" spans="1:5" x14ac:dyDescent="0.35">
      <c r="A60">
        <v>930994</v>
      </c>
      <c r="B60" t="s">
        <v>483</v>
      </c>
      <c r="C60" t="str">
        <f>_xlfn.TEXTBEFORE(B60,".")</f>
        <v>RACLOT</v>
      </c>
      <c r="D60" t="str">
        <f>_xlfn.TEXTAFTER(B60,".")</f>
        <v>Jerome</v>
      </c>
      <c r="E60" t="s">
        <v>467</v>
      </c>
    </row>
    <row r="61" spans="1:5" x14ac:dyDescent="0.35">
      <c r="A61">
        <v>932163</v>
      </c>
      <c r="B61" t="s">
        <v>486</v>
      </c>
      <c r="C61" t="str">
        <f>_xlfn.TEXTBEFORE(B61,".")</f>
        <v>DEVEAUX</v>
      </c>
      <c r="D61" t="str">
        <f>_xlfn.TEXTAFTER(B61,".")</f>
        <v>Emilie</v>
      </c>
      <c r="E61" t="s">
        <v>468</v>
      </c>
    </row>
    <row r="62" spans="1:5" x14ac:dyDescent="0.35">
      <c r="A62">
        <v>504394</v>
      </c>
      <c r="B62" t="s">
        <v>488</v>
      </c>
      <c r="C62" t="str">
        <f>_xlfn.TEXTBEFORE(B62,".")</f>
        <v>LECA</v>
      </c>
      <c r="D62" t="str">
        <f>_xlfn.TEXTAFTER(B62,".")</f>
        <v>Perrine</v>
      </c>
      <c r="E62" t="s">
        <v>469</v>
      </c>
    </row>
    <row r="63" spans="1:5" x14ac:dyDescent="0.35">
      <c r="A63">
        <v>930773</v>
      </c>
      <c r="B63" t="s">
        <v>489</v>
      </c>
      <c r="C63" t="str">
        <f>_xlfn.TEXTBEFORE(B63,".")</f>
        <v>AUBIN</v>
      </c>
      <c r="D63" t="str">
        <f>_xlfn.TEXTAFTER(B63,".")</f>
        <v>Gilles</v>
      </c>
      <c r="E63" t="s">
        <v>470</v>
      </c>
    </row>
    <row r="64" spans="1:5" x14ac:dyDescent="0.35">
      <c r="A64">
        <v>107263</v>
      </c>
      <c r="B64" t="s">
        <v>491</v>
      </c>
      <c r="C64" t="str">
        <f>_xlfn.TEXTBEFORE(B64,".")</f>
        <v>HOARAU</v>
      </c>
      <c r="D64" t="str">
        <f>_xlfn.TEXTAFTER(B64,".")</f>
        <v>Johan</v>
      </c>
      <c r="E64" t="s">
        <v>471</v>
      </c>
    </row>
    <row r="65" spans="1:5" x14ac:dyDescent="0.35">
      <c r="A65">
        <v>137532</v>
      </c>
      <c r="B65" t="s">
        <v>493</v>
      </c>
      <c r="C65" t="str">
        <f>_xlfn.TEXTBEFORE(B65,".")</f>
        <v>MARTIN</v>
      </c>
      <c r="D65" t="str">
        <f>_xlfn.TEXTAFTER(B65,".")</f>
        <v>Mathis</v>
      </c>
      <c r="E65" t="s">
        <v>472</v>
      </c>
    </row>
    <row r="66" spans="1:5" x14ac:dyDescent="0.35">
      <c r="A66">
        <v>111480</v>
      </c>
      <c r="B66" t="s">
        <v>494</v>
      </c>
      <c r="C66" t="str">
        <f>_xlfn.TEXTBEFORE(B66,".")</f>
        <v>QUIOC</v>
      </c>
      <c r="D66" t="str">
        <f>_xlfn.TEXTAFTER(B66,".")</f>
        <v>Clotilde</v>
      </c>
      <c r="E66" t="s">
        <v>473</v>
      </c>
    </row>
    <row r="67" spans="1:5" x14ac:dyDescent="0.35">
      <c r="A67">
        <v>930755</v>
      </c>
      <c r="B67" t="s">
        <v>495</v>
      </c>
      <c r="C67" t="str">
        <f>_xlfn.TEXTBEFORE(B67,".")</f>
        <v>OUACHEK</v>
      </c>
      <c r="D67" t="str">
        <f>_xlfn.TEXTAFTER(B67,".")</f>
        <v>Fatma</v>
      </c>
      <c r="E67" t="s">
        <v>474</v>
      </c>
    </row>
    <row r="68" spans="1:5" x14ac:dyDescent="0.35">
      <c r="A68">
        <v>114720</v>
      </c>
      <c r="B68" t="s">
        <v>496</v>
      </c>
      <c r="C68" t="str">
        <f>_xlfn.TEXTBEFORE(B68,".")</f>
        <v>GOURDON</v>
      </c>
      <c r="D68" t="str">
        <f>_xlfn.TEXTAFTER(B68,".")</f>
        <v>Candice</v>
      </c>
      <c r="E68" t="s">
        <v>475</v>
      </c>
    </row>
    <row r="69" spans="1:5" x14ac:dyDescent="0.35">
      <c r="A69">
        <v>160295</v>
      </c>
      <c r="B69" t="s">
        <v>497</v>
      </c>
      <c r="C69" t="str">
        <f>_xlfn.TEXTBEFORE(B69,".")</f>
        <v>DINET</v>
      </c>
      <c r="D69" t="str">
        <f>_xlfn.TEXTAFTER(B69,".")</f>
        <v>Clement</v>
      </c>
      <c r="E69" t="s">
        <v>508</v>
      </c>
    </row>
    <row r="70" spans="1:5" x14ac:dyDescent="0.35">
      <c r="A70">
        <v>132992</v>
      </c>
      <c r="B70" t="s">
        <v>499</v>
      </c>
      <c r="C70" t="str">
        <f>_xlfn.TEXTBEFORE(B70,".")</f>
        <v>GODARD</v>
      </c>
      <c r="D70" t="str">
        <f>_xlfn.TEXTAFTER(B70,".")</f>
        <v>Virginie</v>
      </c>
      <c r="E70" t="s">
        <v>509</v>
      </c>
    </row>
    <row r="71" spans="1:5" x14ac:dyDescent="0.35">
      <c r="A71">
        <v>133764</v>
      </c>
      <c r="B71" t="s">
        <v>500</v>
      </c>
      <c r="C71" t="str">
        <f>_xlfn.TEXTBEFORE(B71,".")</f>
        <v>MARGOTTAT</v>
      </c>
      <c r="D71" t="str">
        <f>_xlfn.TEXTAFTER(B71,".")</f>
        <v>Florian</v>
      </c>
      <c r="E71" t="s">
        <v>482</v>
      </c>
    </row>
    <row r="72" spans="1:5" x14ac:dyDescent="0.35">
      <c r="A72">
        <v>134581</v>
      </c>
      <c r="B72" t="s">
        <v>501</v>
      </c>
      <c r="C72" t="str">
        <f>_xlfn.TEXTBEFORE(B72,".")</f>
        <v>FOUCHEYRAND</v>
      </c>
      <c r="D72" t="str">
        <f>_xlfn.TEXTAFTER(B72,".")</f>
        <v>David</v>
      </c>
      <c r="E72" t="s">
        <v>510</v>
      </c>
    </row>
    <row r="73" spans="1:5" x14ac:dyDescent="0.35">
      <c r="A73">
        <v>4</v>
      </c>
      <c r="B73" t="s">
        <v>502</v>
      </c>
      <c r="C73" t="str">
        <f>_xlfn.TEXTBEFORE(B73,".")</f>
        <v>TECH</v>
      </c>
      <c r="D73" t="str">
        <f>_xlfn.TEXTAFTER(B73,".")</f>
        <v>N1</v>
      </c>
      <c r="E73" t="s">
        <v>511</v>
      </c>
    </row>
    <row r="74" spans="1:5" x14ac:dyDescent="0.35">
      <c r="A74">
        <v>6</v>
      </c>
      <c r="B74" t="s">
        <v>502</v>
      </c>
      <c r="C74" t="str">
        <f>_xlfn.TEXTBEFORE(B74,".")</f>
        <v>TECH</v>
      </c>
      <c r="D74" t="str">
        <f>_xlfn.TEXTAFTER(B74,".")</f>
        <v>N1</v>
      </c>
      <c r="E74" t="s">
        <v>512</v>
      </c>
    </row>
    <row r="75" spans="1:5" x14ac:dyDescent="0.35">
      <c r="A75">
        <v>7</v>
      </c>
      <c r="B75" t="s">
        <v>502</v>
      </c>
      <c r="C75" t="str">
        <f>_xlfn.TEXTBEFORE(B75,".")</f>
        <v>TECH</v>
      </c>
      <c r="D75" t="str">
        <f>_xlfn.TEXTAFTER(B75,".")</f>
        <v>N1</v>
      </c>
      <c r="E75" t="s">
        <v>513</v>
      </c>
    </row>
    <row r="76" spans="1:5" x14ac:dyDescent="0.35">
      <c r="A76">
        <v>8</v>
      </c>
      <c r="B76" t="s">
        <v>502</v>
      </c>
      <c r="C76" t="str">
        <f>_xlfn.TEXTBEFORE(B76,".")</f>
        <v>TECH</v>
      </c>
      <c r="D76" t="str">
        <f>_xlfn.TEXTAFTER(B76,".")</f>
        <v>N1</v>
      </c>
      <c r="E76" t="s">
        <v>514</v>
      </c>
    </row>
    <row r="77" spans="1:5" x14ac:dyDescent="0.35">
      <c r="A77">
        <v>9</v>
      </c>
      <c r="B77" t="s">
        <v>502</v>
      </c>
      <c r="C77" t="str">
        <f>_xlfn.TEXTBEFORE(B77,".")</f>
        <v>TECH</v>
      </c>
      <c r="D77" t="str">
        <f>_xlfn.TEXTAFTER(B77,".")</f>
        <v>N1</v>
      </c>
      <c r="E77" t="s">
        <v>515</v>
      </c>
    </row>
    <row r="78" spans="1:5" x14ac:dyDescent="0.35">
      <c r="A78">
        <v>10</v>
      </c>
      <c r="B78" t="s">
        <v>502</v>
      </c>
      <c r="C78" t="str">
        <f>_xlfn.TEXTBEFORE(B78,".")</f>
        <v>TECH</v>
      </c>
      <c r="D78" t="str">
        <f>_xlfn.TEXTAFTER(B78,".")</f>
        <v>N1</v>
      </c>
      <c r="E78" t="s">
        <v>516</v>
      </c>
    </row>
    <row r="79" spans="1:5" x14ac:dyDescent="0.35">
      <c r="A79">
        <v>11</v>
      </c>
      <c r="B79" t="s">
        <v>503</v>
      </c>
      <c r="C79" t="str">
        <f>_xlfn.TEXTBEFORE(B79,".")</f>
        <v>IM</v>
      </c>
      <c r="D79" t="str">
        <f>_xlfn.TEXTAFTER(B79,".")</f>
        <v>PM</v>
      </c>
      <c r="E79" t="s">
        <v>517</v>
      </c>
    </row>
    <row r="80" spans="1:5" x14ac:dyDescent="0.35">
      <c r="A80" t="s">
        <v>16</v>
      </c>
      <c r="B80" t="s">
        <v>16</v>
      </c>
      <c r="C80" t="e">
        <f>_xlfn.TEXTBEFORE(B80,".")</f>
        <v>#N/A</v>
      </c>
      <c r="D80" t="e">
        <f>_xlfn.TEXTAFTER(B80,".")</f>
        <v>#N/A</v>
      </c>
      <c r="E80" t="s">
        <v>518</v>
      </c>
    </row>
  </sheetData>
  <mergeCells count="4">
    <mergeCell ref="F19:F21"/>
    <mergeCell ref="F22:F24"/>
    <mergeCell ref="F25:F27"/>
    <mergeCell ref="F28:F30"/>
  </mergeCells>
  <phoneticPr fontId="1" type="noConversion"/>
  <conditionalFormatting sqref="A3:A14">
    <cfRule type="cellIs" dxfId="3" priority="1" stopIfTrue="1" operator="equal">
      <formula>TODAY()</formula>
    </cfRule>
  </conditionalFormatting>
  <pageMargins left="0.7" right="0.7" top="0.75" bottom="0.75" header="0.3" footer="0.3"/>
  <pageSetup paperSize="9" orientation="portrait" r:id="rId1"/>
  <headerFooter>
    <oddFooter>&amp;L&amp;1#&amp;"Tahoma"&amp;9&amp;KCF022BC2 – Usage restreint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F4A72BA20193740837B5DF9F28BEF1F" ma:contentTypeVersion="18" ma:contentTypeDescription="Crée un document." ma:contentTypeScope="" ma:versionID="ba1459479c84b630d11cd6c37f1f5348">
  <xsd:schema xmlns:xsd="http://www.w3.org/2001/XMLSchema" xmlns:xs="http://www.w3.org/2001/XMLSchema" xmlns:p="http://schemas.microsoft.com/office/2006/metadata/properties" xmlns:ns2="547a1b2c-c54e-4f6a-93da-81821b8ff3f7" xmlns:ns3="006712cb-0463-49a7-ac29-5eed1f711c0b" targetNamespace="http://schemas.microsoft.com/office/2006/metadata/properties" ma:root="true" ma:fieldsID="fff2dd22796ae3f6c55db273a8278648" ns2:_="" ns3:_="">
    <xsd:import namespace="547a1b2c-c54e-4f6a-93da-81821b8ff3f7"/>
    <xsd:import namespace="006712cb-0463-49a7-ac29-5eed1f711c0b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Classification"/>
                <xsd:element ref="ns3:VersionDocument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7a1b2c-c54e-4f6a-93da-81821b8ff3f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d4ddf0ca-4749-4fdd-80fd-29d80fbe18a5}" ma:internalName="TaxCatchAll" ma:showField="CatchAllData" ma:web="547a1b2c-c54e-4f6a-93da-81821b8ff3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06712cb-0463-49a7-ac29-5eed1f711c0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alises d’images" ma:readOnly="false" ma:fieldId="{5cf76f15-5ced-4ddc-b409-7134ff3c332f}" ma:taxonomyMulti="true" ma:sspId="000e2059-5ee7-47e9-8d7c-e5c5b9f97e0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Classification" ma:index="24" ma:displayName="Classification" ma:default="C2 - Interne Uniquement" ma:format="Dropdown" ma:internalName="Classification">
      <xsd:simpleType>
        <xsd:restriction base="dms:Choice">
          <xsd:enumeration value="C1 - Public"/>
          <xsd:enumeration value="C2 - Interne Uniquement"/>
          <xsd:enumeration value="C3 - Confidentiel"/>
          <xsd:enumeration value="C4 - Très Confidentiel"/>
          <xsd:enumeration value="NA"/>
        </xsd:restriction>
      </xsd:simpleType>
    </xsd:element>
    <xsd:element name="VersionDocument" ma:index="25" ma:displayName="Version Document" ma:default="NA" ma:format="Dropdown" ma:internalName="VersionDocument">
      <xsd:simpleType>
        <xsd:union memberTypes="dms:Text">
          <xsd:simpleType>
            <xsd:restriction base="dms:Choice">
              <xsd:enumeration value="V 1.0"/>
              <xsd:enumeration value="V 1.1"/>
              <xsd:enumeration value="V 1.2"/>
              <xsd:enumeration value="V 1.3"/>
              <xsd:enumeration value="NA"/>
            </xsd:restriction>
          </xsd:simpleType>
        </xsd:un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06712cb-0463-49a7-ac29-5eed1f711c0b">
      <Terms xmlns="http://schemas.microsoft.com/office/infopath/2007/PartnerControls"/>
    </lcf76f155ced4ddcb4097134ff3c332f>
    <TaxCatchAll xmlns="547a1b2c-c54e-4f6a-93da-81821b8ff3f7" xsi:nil="true"/>
    <VersionDocument xmlns="006712cb-0463-49a7-ac29-5eed1f711c0b">V 1.0</VersionDocument>
    <Classification xmlns="006712cb-0463-49a7-ac29-5eed1f711c0b">C2 - Interne Uniquement</Classification>
  </documentManagement>
</p:properties>
</file>

<file path=customXml/itemProps1.xml><?xml version="1.0" encoding="utf-8"?>
<ds:datastoreItem xmlns:ds="http://schemas.openxmlformats.org/officeDocument/2006/customXml" ds:itemID="{104AD0A6-F085-4659-9F4C-85C6ECB9617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46CE366-54E9-4812-B9D1-B4C3F02CC01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7a1b2c-c54e-4f6a-93da-81821b8ff3f7"/>
    <ds:schemaRef ds:uri="006712cb-0463-49a7-ac29-5eed1f711c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53A61B5-54EC-4851-BB41-61BFA5EBF0AB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006712cb-0463-49a7-ac29-5eed1f711c0b"/>
    <ds:schemaRef ds:uri="http://purl.org/dc/elements/1.1/"/>
    <ds:schemaRef ds:uri="http://schemas.microsoft.com/office/2006/metadata/properties"/>
    <ds:schemaRef ds:uri="547a1b2c-c54e-4f6a-93da-81821b8ff3f7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38</vt:i4>
      </vt:variant>
    </vt:vector>
  </HeadingPairs>
  <TitlesOfParts>
    <vt:vector size="50" baseType="lpstr">
      <vt:lpstr>Planning</vt:lpstr>
      <vt:lpstr>SYNTHESE-23</vt:lpstr>
      <vt:lpstr>Code H</vt:lpstr>
      <vt:lpstr>Code ABS</vt:lpstr>
      <vt:lpstr>CP 2023-Q1</vt:lpstr>
      <vt:lpstr>Télétravail</vt:lpstr>
      <vt:lpstr>Staffing Jour</vt:lpstr>
      <vt:lpstr>Horaires</vt:lpstr>
      <vt:lpstr>Charge</vt:lpstr>
      <vt:lpstr>CP 2022</vt:lpstr>
      <vt:lpstr>Plann-ASTR</vt:lpstr>
      <vt:lpstr>Param</vt:lpstr>
      <vt:lpstr>Charge</vt:lpstr>
      <vt:lpstr>Charge_h</vt:lpstr>
      <vt:lpstr>Charge_R</vt:lpstr>
      <vt:lpstr>Charge_R_h</vt:lpstr>
      <vt:lpstr>Charge_R_v</vt:lpstr>
      <vt:lpstr>Charge_Tchat_G</vt:lpstr>
      <vt:lpstr>Charge_Tchat_H</vt:lpstr>
      <vt:lpstr>Charge_Tchat_V</vt:lpstr>
      <vt:lpstr>Charge_v</vt:lpstr>
      <vt:lpstr>Charge2</vt:lpstr>
      <vt:lpstr>Charge2_h</vt:lpstr>
      <vt:lpstr>Charge2_v</vt:lpstr>
      <vt:lpstr>DONNEES</vt:lpstr>
      <vt:lpstr>ferie</vt:lpstr>
      <vt:lpstr>HORAIRE</vt:lpstr>
      <vt:lpstr>Horaires</vt:lpstr>
      <vt:lpstr>Horaires_h</vt:lpstr>
      <vt:lpstr>Horaires_v</vt:lpstr>
      <vt:lpstr>index1</vt:lpstr>
      <vt:lpstr>L.ABS</vt:lpstr>
      <vt:lpstr>L.ABS.NP</vt:lpstr>
      <vt:lpstr>L.ABS2</vt:lpstr>
      <vt:lpstr>L.ABSP</vt:lpstr>
      <vt:lpstr>L.DATE</vt:lpstr>
      <vt:lpstr>L.EQUIPE</vt:lpstr>
      <vt:lpstr>L.NOM</vt:lpstr>
      <vt:lpstr>MAT_C</vt:lpstr>
      <vt:lpstr>MOIS</vt:lpstr>
      <vt:lpstr>NOM_C</vt:lpstr>
      <vt:lpstr>p.collab</vt:lpstr>
      <vt:lpstr>p.mat</vt:lpstr>
      <vt:lpstr>p.nom</vt:lpstr>
      <vt:lpstr>Planning</vt:lpstr>
      <vt:lpstr>Planning_g</vt:lpstr>
      <vt:lpstr>Planning_h</vt:lpstr>
      <vt:lpstr>Planning_v</vt:lpstr>
      <vt:lpstr>Z_PLAN</vt:lpstr>
      <vt:lpstr>Z_TRI</vt:lpstr>
    </vt:vector>
  </TitlesOfParts>
  <Manager/>
  <Company>Sopra Steria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PETITBOUT Marc</dc:creator>
  <cp:keywords/>
  <dc:description/>
  <cp:lastModifiedBy>DEVEAUX Emilie</cp:lastModifiedBy>
  <cp:revision/>
  <dcterms:created xsi:type="dcterms:W3CDTF">2022-03-21T16:14:28Z</dcterms:created>
  <dcterms:modified xsi:type="dcterms:W3CDTF">2023-01-17T08:37:53Z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0x010100AF4A72BA20193740837B5DF9F28BEF1F</vt:lpwstr>
  </property>
  <property fmtid="{D5CDD505-2E9C-101B-9397-08002B2CF9AE}" pid="3" name="MediaServiceImageTags">
    <vt:lpwstr/>
  </property>
  <property fmtid="{D5CDD505-2E9C-101B-9397-08002B2CF9AE}" pid="4" name="MSIP_Label_7bd1f144-26ac-4410-8fdb-05c7de218e82_Enabled">
    <vt:lpwstr>true</vt:lpwstr>
  </property>
  <property fmtid="{D5CDD505-2E9C-101B-9397-08002B2CF9AE}" pid="5" name="MSIP_Label_7bd1f144-26ac-4410-8fdb-05c7de218e82_SetDate">
    <vt:lpwstr>2022-10-21T08:37:07Z</vt:lpwstr>
  </property>
  <property fmtid="{D5CDD505-2E9C-101B-9397-08002B2CF9AE}" pid="6" name="MSIP_Label_7bd1f144-26ac-4410-8fdb-05c7de218e82_Method">
    <vt:lpwstr>Standard</vt:lpwstr>
  </property>
  <property fmtid="{D5CDD505-2E9C-101B-9397-08002B2CF9AE}" pid="7" name="MSIP_Label_7bd1f144-26ac-4410-8fdb-05c7de218e82_Name">
    <vt:lpwstr>FR Usage restreint</vt:lpwstr>
  </property>
  <property fmtid="{D5CDD505-2E9C-101B-9397-08002B2CF9AE}" pid="8" name="MSIP_Label_7bd1f144-26ac-4410-8fdb-05c7de218e82_SiteId">
    <vt:lpwstr>8b87af7d-8647-4dc7-8df4-5f69a2011bb5</vt:lpwstr>
  </property>
  <property fmtid="{D5CDD505-2E9C-101B-9397-08002B2CF9AE}" pid="9" name="MSIP_Label_7bd1f144-26ac-4410-8fdb-05c7de218e82_ActionId">
    <vt:lpwstr>cd365348-a489-408d-b65b-a85fa2740dfe</vt:lpwstr>
  </property>
  <property fmtid="{D5CDD505-2E9C-101B-9397-08002B2CF9AE}" pid="10" name="MSIP_Label_7bd1f144-26ac-4410-8fdb-05c7de218e82_ContentBits">
    <vt:lpwstr>3</vt:lpwstr>
  </property>
  <property fmtid="{D5CDD505-2E9C-101B-9397-08002B2CF9AE}" pid="11" name="MSIP_Label_2d26f538-337a-4593-a7e6-123667b1a538_Enabled">
    <vt:lpwstr>true</vt:lpwstr>
  </property>
  <property fmtid="{D5CDD505-2E9C-101B-9397-08002B2CF9AE}" pid="12" name="MSIP_Label_2d26f538-337a-4593-a7e6-123667b1a538_SetDate">
    <vt:lpwstr>2022-10-26T15:30:17Z</vt:lpwstr>
  </property>
  <property fmtid="{D5CDD505-2E9C-101B-9397-08002B2CF9AE}" pid="13" name="MSIP_Label_2d26f538-337a-4593-a7e6-123667b1a538_Method">
    <vt:lpwstr>Standard</vt:lpwstr>
  </property>
  <property fmtid="{D5CDD505-2E9C-101B-9397-08002B2CF9AE}" pid="14" name="MSIP_Label_2d26f538-337a-4593-a7e6-123667b1a538_Name">
    <vt:lpwstr>C1 Interne</vt:lpwstr>
  </property>
  <property fmtid="{D5CDD505-2E9C-101B-9397-08002B2CF9AE}" pid="15" name="MSIP_Label_2d26f538-337a-4593-a7e6-123667b1a538_SiteId">
    <vt:lpwstr>e242425b-70fc-44dc-9ddf-c21e304e6c80</vt:lpwstr>
  </property>
  <property fmtid="{D5CDD505-2E9C-101B-9397-08002B2CF9AE}" pid="16" name="MSIP_Label_2d26f538-337a-4593-a7e6-123667b1a538_ActionId">
    <vt:lpwstr>71940063-d3a5-4c77-a5dd-d761e3c0de69</vt:lpwstr>
  </property>
  <property fmtid="{D5CDD505-2E9C-101B-9397-08002B2CF9AE}" pid="17" name="MSIP_Label_2d26f538-337a-4593-a7e6-123667b1a538_ContentBits">
    <vt:lpwstr>0</vt:lpwstr>
  </property>
</Properties>
</file>